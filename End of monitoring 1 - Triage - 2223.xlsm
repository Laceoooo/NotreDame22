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Student_data\2022-23\Monitoring Reports\M1\2nd run\"/>
    </mc:Choice>
  </mc:AlternateContent>
  <xr:revisionPtr revIDLastSave="0" documentId="13_ncr:1_{6A9579B0-9F6A-4051-90D1-316ED8DFAA38}" xr6:coauthVersionLast="36" xr6:coauthVersionMax="36" xr10:uidLastSave="{00000000-0000-0000-0000-000000000000}"/>
  <bookViews>
    <workbookView xWindow="0" yWindow="0" windowWidth="28800" windowHeight="12225" activeTab="7" xr2:uid="{9679AC59-8090-4F59-88F7-5F8E01C3AF1F}"/>
  </bookViews>
  <sheets>
    <sheet name="INSTRUCTIONS" sheetId="9" r:id="rId1"/>
    <sheet name="Y7" sheetId="2" r:id="rId2"/>
    <sheet name="Y8" sheetId="8" r:id="rId3"/>
    <sheet name="Y9" sheetId="6" r:id="rId4"/>
    <sheet name="Y10" sheetId="5" r:id="rId5"/>
    <sheet name="Y11" sheetId="4" r:id="rId6"/>
    <sheet name="Y12" sheetId="3" r:id="rId7"/>
    <sheet name="Y13" sheetId="7" r:id="rId8"/>
    <sheet name="Lookups" sheetId="1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4" hidden="1">'Y10'!$A$1:$CA$214</definedName>
    <definedName name="_xlnm._FilterDatabase" localSheetId="5" hidden="1">'Y11'!$A$1:$CA$231</definedName>
    <definedName name="_xlnm._FilterDatabase" localSheetId="6" hidden="1">'Y12'!$A$1:$CA$231</definedName>
    <definedName name="_xlnm._FilterDatabase" localSheetId="7" hidden="1">'Y13'!$A$1:$CC$203</definedName>
    <definedName name="_xlnm._FilterDatabase" localSheetId="1" hidden="1">'Y7'!$A$1:$BG$215</definedName>
    <definedName name="_xlnm._FilterDatabase" localSheetId="2">'Y8'!$A$1:$BI$231</definedName>
    <definedName name="_xlnm._FilterDatabase" localSheetId="3" hidden="1">'Y9'!$A$1:$BY$212</definedName>
    <definedName name="bhvtotals" localSheetId="4">[1]BHVEXPORT!$1:$10485</definedName>
    <definedName name="bhvtotals" localSheetId="5">[2]BHVEXPORT!$1:$1048576</definedName>
    <definedName name="bhvtotals" localSheetId="7">[3]BHVEXPORT!$1:$10485</definedName>
    <definedName name="bhvtotals" localSheetId="3">[4]BHVEXPORT!$1:$1048576</definedName>
    <definedName name="bhvtotals">[5]BHVEXPORT!$1:$1048576</definedName>
    <definedName name="Datasheet" localSheetId="4">'Y10'!$1:$1048576</definedName>
    <definedName name="Datasheet" localSheetId="5">'Y11'!$1:$1048576</definedName>
    <definedName name="Datasheet" localSheetId="7">'Y13'!$1:$203</definedName>
    <definedName name="Datasheet" localSheetId="1">'Y7'!$1:$1048576</definedName>
    <definedName name="Datasheet" localSheetId="2">'Y8'!$1:$1048576</definedName>
    <definedName name="Datasheet" localSheetId="3">'Y9'!$1:$1048576</definedName>
    <definedName name="Datasheet">'Y12'!$1:$231</definedName>
    <definedName name="DSc" localSheetId="4">[1]Lookups!#REF!</definedName>
    <definedName name="DSc" localSheetId="5">[6]Lookups!#REF!</definedName>
    <definedName name="DSc" localSheetId="7">[6]Lookups!#REF!</definedName>
    <definedName name="DSc">[6]Lookups!#REF!</definedName>
    <definedName name="lookup" localSheetId="4">[1]Lookups!$A$2:$B$180</definedName>
    <definedName name="lookup" localSheetId="5">[2]Lookups!$A$2:$B$180</definedName>
    <definedName name="lookup" localSheetId="6">[7]Lookups!$A$2:$C$100</definedName>
    <definedName name="lookup" localSheetId="2">[8]Lookups!$A$2:$B$49</definedName>
    <definedName name="lookup" localSheetId="3">[4]Lookups!$A$2:$B$150</definedName>
    <definedName name="lookup">Lookups!#REF!</definedName>
    <definedName name="ontrack4">Lookups!#REF!</definedName>
    <definedName name="prioratt" localSheetId="5">[2]Lookups!$I$1:$M$250</definedName>
    <definedName name="prioratt" localSheetId="2">[8]Lookups!$J:$M</definedName>
    <definedName name="prioratt">Lookups!#REF!</definedName>
    <definedName name="SCORING">Lookups!#REF!</definedName>
    <definedName name="SENEK">Lookups!#REF!</definedName>
    <definedName name="SENEKM">Lookups!#REF!</definedName>
    <definedName name="Z_2627C06E_C37D_401F_A7C5_D2FE83CA768A_.wvu.FilterData" localSheetId="4" hidden="1">'Y10'!$A$1:$CA$214</definedName>
    <definedName name="Z_32785D22_9E60_4C41_8BED_59C4926EE87B_.wvu.FilterData" localSheetId="3" hidden="1">'Y9'!$A$1:$BY$212</definedName>
    <definedName name="Z_4F6A84BA_9E98_44F6_B14F_8090C2E9C8BD_.wvu.FilterData" localSheetId="7" hidden="1">'Y13'!$A$1:$CC$203</definedName>
    <definedName name="Z_7D367D91_BDC0_4348_B263_D5DBBFD38C2D_.wvu.FilterData" localSheetId="8" hidden="1">Lookups!#REF!</definedName>
    <definedName name="Z_7D367D91_BDC0_4348_B263_D5DBBFD38C2D_.wvu.FilterData" localSheetId="1" hidden="1">'Y7'!$A$1:$AG$215</definedName>
    <definedName name="Z_8635D68E_22EC_42FF_9F05_EEEAA207F799_.wvu.FilterData" localSheetId="2" hidden="1">'Y8'!$A$1:$AG$231</definedName>
    <definedName name="Z_A028B448_8360_48A3_87DD_A7F05C1EB7E7_.wvu.FilterData" localSheetId="6" hidden="1">'Y12'!$A$1:$CA$1</definedName>
    <definedName name="Z_AB5A17B1_2FC4_418A_AFAE_1FD89C3982BF_.wvu.FilterData" localSheetId="2" hidden="1">'Y8'!$A$1:$AG$231</definedName>
    <definedName name="Z_AB72AB40_A0C1_4CA4_B3F4_70E07051F213_.wvu.FilterData" localSheetId="5" hidden="1">'Y11'!$A$1:$CA$219</definedName>
    <definedName name="Z_D8C81B0B_BAF0_475C_B016_87D4C3E60B63_.wvu.FilterData" localSheetId="5" hidden="1">'Y11'!$A$1:$CA$219</definedName>
    <definedName name="Z_DFD0D72D_911B_4661_AF5B_EF24E39285B7_.wvu.FilterData" localSheetId="7" hidden="1">'Y13'!$A$1:$CC$203</definedName>
    <definedName name="Z_E50EE22D_BFD3_47DF_BE54_CA5D5B7F17C7_.wvu.FilterData" localSheetId="6" hidden="1">'Y12'!$A$1:$CA$220</definedName>
    <definedName name="Z_FDCF309E_021A_4F62_AB29_363A1D2E644A_.wvu.FilterData" localSheetId="8" hidden="1">Lookups!#REF!</definedName>
    <definedName name="Z_FDCF309E_021A_4F62_AB29_363A1D2E644A_.wvu.FilterData" localSheetId="1" hidden="1">'Y7'!$A$1:$AG$215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7" l="1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" i="7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" i="3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" i="4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" i="5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09" i="6"/>
  <c r="AC210" i="6"/>
  <c r="AC211" i="6"/>
  <c r="AC212" i="6"/>
  <c r="AC2" i="6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" i="8"/>
  <c r="AC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A231" i="8" l="1"/>
  <c r="Z231" i="8"/>
  <c r="Y231" i="8"/>
  <c r="W231" i="8"/>
  <c r="V231" i="8"/>
  <c r="U231" i="8"/>
  <c r="T231" i="8"/>
  <c r="S231" i="8"/>
  <c r="AA230" i="8"/>
  <c r="Z230" i="8"/>
  <c r="Y230" i="8"/>
  <c r="W230" i="8"/>
  <c r="V230" i="8"/>
  <c r="U230" i="8"/>
  <c r="T230" i="8"/>
  <c r="S230" i="8"/>
  <c r="AA229" i="8"/>
  <c r="Z229" i="8"/>
  <c r="Y229" i="8"/>
  <c r="W229" i="8"/>
  <c r="V229" i="8"/>
  <c r="U229" i="8"/>
  <c r="T229" i="8"/>
  <c r="S229" i="8"/>
  <c r="AA228" i="8"/>
  <c r="Z228" i="8"/>
  <c r="Y228" i="8"/>
  <c r="W228" i="8"/>
  <c r="X228" i="8" s="1"/>
  <c r="V228" i="8"/>
  <c r="U228" i="8"/>
  <c r="T228" i="8"/>
  <c r="S228" i="8"/>
  <c r="AA227" i="8"/>
  <c r="Z227" i="8"/>
  <c r="Y227" i="8"/>
  <c r="W227" i="8"/>
  <c r="V227" i="8"/>
  <c r="U227" i="8"/>
  <c r="T227" i="8"/>
  <c r="S227" i="8"/>
  <c r="AA226" i="8"/>
  <c r="Z226" i="8"/>
  <c r="Y226" i="8"/>
  <c r="W226" i="8"/>
  <c r="V226" i="8"/>
  <c r="U226" i="8"/>
  <c r="T226" i="8"/>
  <c r="S226" i="8"/>
  <c r="AA225" i="8"/>
  <c r="Z225" i="8"/>
  <c r="Y225" i="8"/>
  <c r="W225" i="8"/>
  <c r="V225" i="8"/>
  <c r="U225" i="8"/>
  <c r="T225" i="8"/>
  <c r="S225" i="8"/>
  <c r="AA224" i="8"/>
  <c r="Z224" i="8"/>
  <c r="Y224" i="8"/>
  <c r="W224" i="8"/>
  <c r="V224" i="8"/>
  <c r="U224" i="8"/>
  <c r="T224" i="8"/>
  <c r="S224" i="8"/>
  <c r="AA223" i="8"/>
  <c r="Z223" i="8"/>
  <c r="Y223" i="8"/>
  <c r="W223" i="8"/>
  <c r="V223" i="8"/>
  <c r="U223" i="8"/>
  <c r="T223" i="8"/>
  <c r="S223" i="8"/>
  <c r="AA222" i="8"/>
  <c r="Z222" i="8"/>
  <c r="Y222" i="8"/>
  <c r="W222" i="8"/>
  <c r="V222" i="8"/>
  <c r="U222" i="8"/>
  <c r="T222" i="8"/>
  <c r="S222" i="8"/>
  <c r="AA221" i="8"/>
  <c r="Z221" i="8"/>
  <c r="Y221" i="8"/>
  <c r="W221" i="8"/>
  <c r="V221" i="8"/>
  <c r="U221" i="8"/>
  <c r="T221" i="8"/>
  <c r="S221" i="8"/>
  <c r="AA220" i="8"/>
  <c r="Z220" i="8"/>
  <c r="Y220" i="8"/>
  <c r="W220" i="8"/>
  <c r="V220" i="8"/>
  <c r="U220" i="8"/>
  <c r="T220" i="8"/>
  <c r="S220" i="8"/>
  <c r="AA219" i="8"/>
  <c r="Z219" i="8"/>
  <c r="Y219" i="8"/>
  <c r="W219" i="8"/>
  <c r="V219" i="8"/>
  <c r="U219" i="8"/>
  <c r="T219" i="8"/>
  <c r="S219" i="8"/>
  <c r="AA218" i="8"/>
  <c r="Z218" i="8"/>
  <c r="Y218" i="8"/>
  <c r="W218" i="8"/>
  <c r="V218" i="8"/>
  <c r="U218" i="8"/>
  <c r="T218" i="8"/>
  <c r="S218" i="8"/>
  <c r="AA217" i="8"/>
  <c r="Z217" i="8"/>
  <c r="Y217" i="8"/>
  <c r="W217" i="8"/>
  <c r="V217" i="8"/>
  <c r="U217" i="8"/>
  <c r="T217" i="8"/>
  <c r="S217" i="8"/>
  <c r="AA216" i="8"/>
  <c r="Z216" i="8"/>
  <c r="Y216" i="8"/>
  <c r="W216" i="8"/>
  <c r="V216" i="8"/>
  <c r="U216" i="8"/>
  <c r="T216" i="8"/>
  <c r="S216" i="8"/>
  <c r="AA215" i="8"/>
  <c r="Z215" i="8"/>
  <c r="Y215" i="8"/>
  <c r="W215" i="8"/>
  <c r="V215" i="8"/>
  <c r="U215" i="8"/>
  <c r="T215" i="8"/>
  <c r="S215" i="8"/>
  <c r="AA214" i="8"/>
  <c r="Z214" i="8"/>
  <c r="Y214" i="8"/>
  <c r="W214" i="8"/>
  <c r="V214" i="8"/>
  <c r="U214" i="8"/>
  <c r="T214" i="8"/>
  <c r="S214" i="8"/>
  <c r="AA213" i="8"/>
  <c r="Z213" i="8"/>
  <c r="Y213" i="8"/>
  <c r="W213" i="8"/>
  <c r="V213" i="8"/>
  <c r="U213" i="8"/>
  <c r="T213" i="8"/>
  <c r="S213" i="8"/>
  <c r="AA212" i="8"/>
  <c r="Z212" i="8"/>
  <c r="Y212" i="8"/>
  <c r="W212" i="8"/>
  <c r="V212" i="8"/>
  <c r="U212" i="8"/>
  <c r="T212" i="8"/>
  <c r="S212" i="8"/>
  <c r="AA211" i="8"/>
  <c r="Z211" i="8"/>
  <c r="Y211" i="8"/>
  <c r="W211" i="8"/>
  <c r="V211" i="8"/>
  <c r="U211" i="8"/>
  <c r="T211" i="8"/>
  <c r="S211" i="8"/>
  <c r="AA210" i="8"/>
  <c r="Z210" i="8"/>
  <c r="Y210" i="8"/>
  <c r="W210" i="8"/>
  <c r="V210" i="8"/>
  <c r="U210" i="8"/>
  <c r="T210" i="8"/>
  <c r="S210" i="8"/>
  <c r="AA209" i="8"/>
  <c r="Z209" i="8"/>
  <c r="Y209" i="8"/>
  <c r="W209" i="8"/>
  <c r="V209" i="8"/>
  <c r="U209" i="8"/>
  <c r="T209" i="8"/>
  <c r="S209" i="8"/>
  <c r="AA208" i="8"/>
  <c r="Z208" i="8"/>
  <c r="Y208" i="8"/>
  <c r="W208" i="8"/>
  <c r="V208" i="8"/>
  <c r="U208" i="8"/>
  <c r="T208" i="8"/>
  <c r="S208" i="8"/>
  <c r="AA207" i="8"/>
  <c r="Z207" i="8"/>
  <c r="Y207" i="8"/>
  <c r="W207" i="8"/>
  <c r="V207" i="8"/>
  <c r="U207" i="8"/>
  <c r="T207" i="8"/>
  <c r="S207" i="8"/>
  <c r="AA206" i="8"/>
  <c r="Z206" i="8"/>
  <c r="Y206" i="8"/>
  <c r="W206" i="8"/>
  <c r="V206" i="8"/>
  <c r="U206" i="8"/>
  <c r="T206" i="8"/>
  <c r="S206" i="8"/>
  <c r="AA205" i="8"/>
  <c r="Z205" i="8"/>
  <c r="Y205" i="8"/>
  <c r="W205" i="8"/>
  <c r="V205" i="8"/>
  <c r="U205" i="8"/>
  <c r="T205" i="8"/>
  <c r="S205" i="8"/>
  <c r="AA204" i="8"/>
  <c r="Z204" i="8"/>
  <c r="Y204" i="8"/>
  <c r="W204" i="8"/>
  <c r="V204" i="8"/>
  <c r="U204" i="8"/>
  <c r="T204" i="8"/>
  <c r="S204" i="8"/>
  <c r="AA203" i="8"/>
  <c r="Z203" i="8"/>
  <c r="Y203" i="8"/>
  <c r="W203" i="8"/>
  <c r="V203" i="8"/>
  <c r="U203" i="8"/>
  <c r="T203" i="8"/>
  <c r="S203" i="8"/>
  <c r="AA202" i="8"/>
  <c r="Z202" i="8"/>
  <c r="Y202" i="8"/>
  <c r="W202" i="8"/>
  <c r="V202" i="8"/>
  <c r="U202" i="8"/>
  <c r="T202" i="8"/>
  <c r="S202" i="8"/>
  <c r="AA201" i="8"/>
  <c r="Z201" i="8"/>
  <c r="Y201" i="8"/>
  <c r="W201" i="8"/>
  <c r="V201" i="8"/>
  <c r="U201" i="8"/>
  <c r="T201" i="8"/>
  <c r="S201" i="8"/>
  <c r="AA200" i="8"/>
  <c r="Z200" i="8"/>
  <c r="Y200" i="8"/>
  <c r="W200" i="8"/>
  <c r="V200" i="8"/>
  <c r="U200" i="8"/>
  <c r="T200" i="8"/>
  <c r="S200" i="8"/>
  <c r="AA199" i="8"/>
  <c r="Z199" i="8"/>
  <c r="Y199" i="8"/>
  <c r="W199" i="8"/>
  <c r="V199" i="8"/>
  <c r="U199" i="8"/>
  <c r="T199" i="8"/>
  <c r="S199" i="8"/>
  <c r="AA198" i="8"/>
  <c r="Z198" i="8"/>
  <c r="Y198" i="8"/>
  <c r="W198" i="8"/>
  <c r="V198" i="8"/>
  <c r="U198" i="8"/>
  <c r="T198" i="8"/>
  <c r="S198" i="8"/>
  <c r="AA197" i="8"/>
  <c r="Z197" i="8"/>
  <c r="Y197" i="8"/>
  <c r="W197" i="8"/>
  <c r="V197" i="8"/>
  <c r="U197" i="8"/>
  <c r="T197" i="8"/>
  <c r="S197" i="8"/>
  <c r="AA196" i="8"/>
  <c r="Z196" i="8"/>
  <c r="Y196" i="8"/>
  <c r="W196" i="8"/>
  <c r="V196" i="8"/>
  <c r="U196" i="8"/>
  <c r="T196" i="8"/>
  <c r="S196" i="8"/>
  <c r="AA195" i="8"/>
  <c r="Z195" i="8"/>
  <c r="Y195" i="8"/>
  <c r="W195" i="8"/>
  <c r="V195" i="8"/>
  <c r="U195" i="8"/>
  <c r="T195" i="8"/>
  <c r="S195" i="8"/>
  <c r="AA194" i="8"/>
  <c r="Z194" i="8"/>
  <c r="Y194" i="8"/>
  <c r="W194" i="8"/>
  <c r="V194" i="8"/>
  <c r="U194" i="8"/>
  <c r="T194" i="8"/>
  <c r="S194" i="8"/>
  <c r="AA193" i="8"/>
  <c r="Z193" i="8"/>
  <c r="Y193" i="8"/>
  <c r="W193" i="8"/>
  <c r="V193" i="8"/>
  <c r="U193" i="8"/>
  <c r="T193" i="8"/>
  <c r="S193" i="8"/>
  <c r="AA192" i="8"/>
  <c r="Z192" i="8"/>
  <c r="Y192" i="8"/>
  <c r="W192" i="8"/>
  <c r="V192" i="8"/>
  <c r="U192" i="8"/>
  <c r="T192" i="8"/>
  <c r="S192" i="8"/>
  <c r="AA191" i="8"/>
  <c r="Z191" i="8"/>
  <c r="Y191" i="8"/>
  <c r="W191" i="8"/>
  <c r="V191" i="8"/>
  <c r="U191" i="8"/>
  <c r="T191" i="8"/>
  <c r="S191" i="8"/>
  <c r="AA190" i="8"/>
  <c r="Z190" i="8"/>
  <c r="Y190" i="8"/>
  <c r="W190" i="8"/>
  <c r="V190" i="8"/>
  <c r="U190" i="8"/>
  <c r="T190" i="8"/>
  <c r="S190" i="8"/>
  <c r="AA189" i="8"/>
  <c r="Z189" i="8"/>
  <c r="Y189" i="8"/>
  <c r="W189" i="8"/>
  <c r="V189" i="8"/>
  <c r="U189" i="8"/>
  <c r="T189" i="8"/>
  <c r="S189" i="8"/>
  <c r="AA188" i="8"/>
  <c r="Z188" i="8"/>
  <c r="Y188" i="8"/>
  <c r="W188" i="8"/>
  <c r="V188" i="8"/>
  <c r="U188" i="8"/>
  <c r="T188" i="8"/>
  <c r="S188" i="8"/>
  <c r="AA187" i="8"/>
  <c r="Z187" i="8"/>
  <c r="Y187" i="8"/>
  <c r="W187" i="8"/>
  <c r="V187" i="8"/>
  <c r="U187" i="8"/>
  <c r="T187" i="8"/>
  <c r="S187" i="8"/>
  <c r="AA186" i="8"/>
  <c r="Z186" i="8"/>
  <c r="Y186" i="8"/>
  <c r="W186" i="8"/>
  <c r="V186" i="8"/>
  <c r="U186" i="8"/>
  <c r="T186" i="8"/>
  <c r="S186" i="8"/>
  <c r="AA185" i="8"/>
  <c r="Z185" i="8"/>
  <c r="Y185" i="8"/>
  <c r="W185" i="8"/>
  <c r="V185" i="8"/>
  <c r="U185" i="8"/>
  <c r="T185" i="8"/>
  <c r="S185" i="8"/>
  <c r="AA184" i="8"/>
  <c r="Z184" i="8"/>
  <c r="Y184" i="8"/>
  <c r="W184" i="8"/>
  <c r="V184" i="8"/>
  <c r="U184" i="8"/>
  <c r="T184" i="8"/>
  <c r="S184" i="8"/>
  <c r="AA183" i="8"/>
  <c r="Z183" i="8"/>
  <c r="Y183" i="8"/>
  <c r="W183" i="8"/>
  <c r="V183" i="8"/>
  <c r="U183" i="8"/>
  <c r="T183" i="8"/>
  <c r="S183" i="8"/>
  <c r="AA182" i="8"/>
  <c r="Z182" i="8"/>
  <c r="Y182" i="8"/>
  <c r="W182" i="8"/>
  <c r="V182" i="8"/>
  <c r="U182" i="8"/>
  <c r="T182" i="8"/>
  <c r="S182" i="8"/>
  <c r="AA181" i="8"/>
  <c r="Z181" i="8"/>
  <c r="Y181" i="8"/>
  <c r="W181" i="8"/>
  <c r="V181" i="8"/>
  <c r="U181" i="8"/>
  <c r="T181" i="8"/>
  <c r="S181" i="8"/>
  <c r="AA180" i="8"/>
  <c r="Z180" i="8"/>
  <c r="Y180" i="8"/>
  <c r="W180" i="8"/>
  <c r="V180" i="8"/>
  <c r="U180" i="8"/>
  <c r="T180" i="8"/>
  <c r="S180" i="8"/>
  <c r="AA179" i="8"/>
  <c r="Z179" i="8"/>
  <c r="Y179" i="8"/>
  <c r="W179" i="8"/>
  <c r="V179" i="8"/>
  <c r="U179" i="8"/>
  <c r="T179" i="8"/>
  <c r="S179" i="8"/>
  <c r="AA178" i="8"/>
  <c r="Z178" i="8"/>
  <c r="Y178" i="8"/>
  <c r="W178" i="8"/>
  <c r="V178" i="8"/>
  <c r="U178" i="8"/>
  <c r="T178" i="8"/>
  <c r="S178" i="8"/>
  <c r="AA177" i="8"/>
  <c r="Z177" i="8"/>
  <c r="Y177" i="8"/>
  <c r="W177" i="8"/>
  <c r="V177" i="8"/>
  <c r="U177" i="8"/>
  <c r="T177" i="8"/>
  <c r="S177" i="8"/>
  <c r="AA176" i="8"/>
  <c r="Z176" i="8"/>
  <c r="Y176" i="8"/>
  <c r="W176" i="8"/>
  <c r="V176" i="8"/>
  <c r="U176" i="8"/>
  <c r="T176" i="8"/>
  <c r="S176" i="8"/>
  <c r="AA175" i="8"/>
  <c r="Z175" i="8"/>
  <c r="Y175" i="8"/>
  <c r="W175" i="8"/>
  <c r="V175" i="8"/>
  <c r="U175" i="8"/>
  <c r="T175" i="8"/>
  <c r="S175" i="8"/>
  <c r="AA174" i="8"/>
  <c r="Z174" i="8"/>
  <c r="Y174" i="8"/>
  <c r="W174" i="8"/>
  <c r="V174" i="8"/>
  <c r="U174" i="8"/>
  <c r="T174" i="8"/>
  <c r="S174" i="8"/>
  <c r="AA173" i="8"/>
  <c r="Z173" i="8"/>
  <c r="Y173" i="8"/>
  <c r="W173" i="8"/>
  <c r="V173" i="8"/>
  <c r="U173" i="8"/>
  <c r="T173" i="8"/>
  <c r="S173" i="8"/>
  <c r="AA172" i="8"/>
  <c r="Z172" i="8"/>
  <c r="Y172" i="8"/>
  <c r="W172" i="8"/>
  <c r="V172" i="8"/>
  <c r="U172" i="8"/>
  <c r="T172" i="8"/>
  <c r="S172" i="8"/>
  <c r="AA171" i="8"/>
  <c r="Z171" i="8"/>
  <c r="Y171" i="8"/>
  <c r="W171" i="8"/>
  <c r="V171" i="8"/>
  <c r="U171" i="8"/>
  <c r="T171" i="8"/>
  <c r="S171" i="8"/>
  <c r="AA170" i="8"/>
  <c r="Z170" i="8"/>
  <c r="Y170" i="8"/>
  <c r="W170" i="8"/>
  <c r="V170" i="8"/>
  <c r="U170" i="8"/>
  <c r="T170" i="8"/>
  <c r="S170" i="8"/>
  <c r="AA169" i="8"/>
  <c r="Z169" i="8"/>
  <c r="Y169" i="8"/>
  <c r="W169" i="8"/>
  <c r="V169" i="8"/>
  <c r="U169" i="8"/>
  <c r="T169" i="8"/>
  <c r="S169" i="8"/>
  <c r="AA168" i="8"/>
  <c r="Z168" i="8"/>
  <c r="Y168" i="8"/>
  <c r="W168" i="8"/>
  <c r="V168" i="8"/>
  <c r="U168" i="8"/>
  <c r="T168" i="8"/>
  <c r="S168" i="8"/>
  <c r="AA167" i="8"/>
  <c r="Z167" i="8"/>
  <c r="Y167" i="8"/>
  <c r="W167" i="8"/>
  <c r="V167" i="8"/>
  <c r="U167" i="8"/>
  <c r="T167" i="8"/>
  <c r="S167" i="8"/>
  <c r="AA166" i="8"/>
  <c r="Z166" i="8"/>
  <c r="Y166" i="8"/>
  <c r="W166" i="8"/>
  <c r="V166" i="8"/>
  <c r="U166" i="8"/>
  <c r="T166" i="8"/>
  <c r="S166" i="8"/>
  <c r="AA165" i="8"/>
  <c r="Z165" i="8"/>
  <c r="Y165" i="8"/>
  <c r="W165" i="8"/>
  <c r="V165" i="8"/>
  <c r="U165" i="8"/>
  <c r="T165" i="8"/>
  <c r="S165" i="8"/>
  <c r="AA164" i="8"/>
  <c r="Z164" i="8"/>
  <c r="Y164" i="8"/>
  <c r="W164" i="8"/>
  <c r="V164" i="8"/>
  <c r="U164" i="8"/>
  <c r="T164" i="8"/>
  <c r="S164" i="8"/>
  <c r="AA163" i="8"/>
  <c r="Z163" i="8"/>
  <c r="Y163" i="8"/>
  <c r="W163" i="8"/>
  <c r="V163" i="8"/>
  <c r="U163" i="8"/>
  <c r="T163" i="8"/>
  <c r="S163" i="8"/>
  <c r="AA162" i="8"/>
  <c r="Z162" i="8"/>
  <c r="Y162" i="8"/>
  <c r="W162" i="8"/>
  <c r="V162" i="8"/>
  <c r="U162" i="8"/>
  <c r="T162" i="8"/>
  <c r="S162" i="8"/>
  <c r="AA161" i="8"/>
  <c r="Z161" i="8"/>
  <c r="Y161" i="8"/>
  <c r="W161" i="8"/>
  <c r="V161" i="8"/>
  <c r="U161" i="8"/>
  <c r="T161" i="8"/>
  <c r="S161" i="8"/>
  <c r="AA160" i="8"/>
  <c r="Z160" i="8"/>
  <c r="Y160" i="8"/>
  <c r="W160" i="8"/>
  <c r="V160" i="8"/>
  <c r="U160" i="8"/>
  <c r="T160" i="8"/>
  <c r="S160" i="8"/>
  <c r="AA159" i="8"/>
  <c r="Z159" i="8"/>
  <c r="Y159" i="8"/>
  <c r="W159" i="8"/>
  <c r="V159" i="8"/>
  <c r="U159" i="8"/>
  <c r="T159" i="8"/>
  <c r="S159" i="8"/>
  <c r="AA158" i="8"/>
  <c r="Z158" i="8"/>
  <c r="Y158" i="8"/>
  <c r="W158" i="8"/>
  <c r="V158" i="8"/>
  <c r="U158" i="8"/>
  <c r="T158" i="8"/>
  <c r="S158" i="8"/>
  <c r="AA157" i="8"/>
  <c r="Z157" i="8"/>
  <c r="Y157" i="8"/>
  <c r="W157" i="8"/>
  <c r="V157" i="8"/>
  <c r="U157" i="8"/>
  <c r="T157" i="8"/>
  <c r="S157" i="8"/>
  <c r="AA156" i="8"/>
  <c r="Z156" i="8"/>
  <c r="Y156" i="8"/>
  <c r="W156" i="8"/>
  <c r="V156" i="8"/>
  <c r="U156" i="8"/>
  <c r="T156" i="8"/>
  <c r="S156" i="8"/>
  <c r="AA155" i="8"/>
  <c r="Z155" i="8"/>
  <c r="Y155" i="8"/>
  <c r="W155" i="8"/>
  <c r="V155" i="8"/>
  <c r="U155" i="8"/>
  <c r="T155" i="8"/>
  <c r="S155" i="8"/>
  <c r="AA154" i="8"/>
  <c r="Z154" i="8"/>
  <c r="Y154" i="8"/>
  <c r="W154" i="8"/>
  <c r="V154" i="8"/>
  <c r="U154" i="8"/>
  <c r="T154" i="8"/>
  <c r="S154" i="8"/>
  <c r="AA153" i="8"/>
  <c r="Z153" i="8"/>
  <c r="Y153" i="8"/>
  <c r="W153" i="8"/>
  <c r="V153" i="8"/>
  <c r="U153" i="8"/>
  <c r="T153" i="8"/>
  <c r="S153" i="8"/>
  <c r="AA152" i="8"/>
  <c r="Z152" i="8"/>
  <c r="Y152" i="8"/>
  <c r="W152" i="8"/>
  <c r="V152" i="8"/>
  <c r="U152" i="8"/>
  <c r="T152" i="8"/>
  <c r="S152" i="8"/>
  <c r="AA151" i="8"/>
  <c r="Z151" i="8"/>
  <c r="Y151" i="8"/>
  <c r="W151" i="8"/>
  <c r="V151" i="8"/>
  <c r="U151" i="8"/>
  <c r="T151" i="8"/>
  <c r="S151" i="8"/>
  <c r="AA150" i="8"/>
  <c r="Z150" i="8"/>
  <c r="Y150" i="8"/>
  <c r="W150" i="8"/>
  <c r="V150" i="8"/>
  <c r="U150" i="8"/>
  <c r="T150" i="8"/>
  <c r="S150" i="8"/>
  <c r="AA149" i="8"/>
  <c r="Z149" i="8"/>
  <c r="Y149" i="8"/>
  <c r="W149" i="8"/>
  <c r="V149" i="8"/>
  <c r="U149" i="8"/>
  <c r="T149" i="8"/>
  <c r="S149" i="8"/>
  <c r="AA148" i="8"/>
  <c r="Z148" i="8"/>
  <c r="Y148" i="8"/>
  <c r="W148" i="8"/>
  <c r="V148" i="8"/>
  <c r="U148" i="8"/>
  <c r="T148" i="8"/>
  <c r="S148" i="8"/>
  <c r="AA147" i="8"/>
  <c r="Z147" i="8"/>
  <c r="Y147" i="8"/>
  <c r="W147" i="8"/>
  <c r="V147" i="8"/>
  <c r="U147" i="8"/>
  <c r="T147" i="8"/>
  <c r="S147" i="8"/>
  <c r="AA146" i="8"/>
  <c r="Z146" i="8"/>
  <c r="Y146" i="8"/>
  <c r="W146" i="8"/>
  <c r="V146" i="8"/>
  <c r="U146" i="8"/>
  <c r="T146" i="8"/>
  <c r="S146" i="8"/>
  <c r="AA145" i="8"/>
  <c r="Z145" i="8"/>
  <c r="Y145" i="8"/>
  <c r="W145" i="8"/>
  <c r="V145" i="8"/>
  <c r="U145" i="8"/>
  <c r="T145" i="8"/>
  <c r="S145" i="8"/>
  <c r="AA144" i="8"/>
  <c r="Z144" i="8"/>
  <c r="Y144" i="8"/>
  <c r="W144" i="8"/>
  <c r="V144" i="8"/>
  <c r="U144" i="8"/>
  <c r="T144" i="8"/>
  <c r="S144" i="8"/>
  <c r="AA143" i="8"/>
  <c r="Z143" i="8"/>
  <c r="Y143" i="8"/>
  <c r="W143" i="8"/>
  <c r="V143" i="8"/>
  <c r="U143" i="8"/>
  <c r="T143" i="8"/>
  <c r="S143" i="8"/>
  <c r="AA142" i="8"/>
  <c r="Z142" i="8"/>
  <c r="Y142" i="8"/>
  <c r="W142" i="8"/>
  <c r="V142" i="8"/>
  <c r="U142" i="8"/>
  <c r="T142" i="8"/>
  <c r="S142" i="8"/>
  <c r="AA141" i="8"/>
  <c r="Z141" i="8"/>
  <c r="Y141" i="8"/>
  <c r="W141" i="8"/>
  <c r="V141" i="8"/>
  <c r="U141" i="8"/>
  <c r="T141" i="8"/>
  <c r="S141" i="8"/>
  <c r="AA140" i="8"/>
  <c r="Z140" i="8"/>
  <c r="Y140" i="8"/>
  <c r="W140" i="8"/>
  <c r="V140" i="8"/>
  <c r="U140" i="8"/>
  <c r="T140" i="8"/>
  <c r="S140" i="8"/>
  <c r="AA139" i="8"/>
  <c r="Z139" i="8"/>
  <c r="Y139" i="8"/>
  <c r="W139" i="8"/>
  <c r="V139" i="8"/>
  <c r="U139" i="8"/>
  <c r="T139" i="8"/>
  <c r="S139" i="8"/>
  <c r="AA138" i="8"/>
  <c r="Z138" i="8"/>
  <c r="Y138" i="8"/>
  <c r="W138" i="8"/>
  <c r="V138" i="8"/>
  <c r="U138" i="8"/>
  <c r="T138" i="8"/>
  <c r="S138" i="8"/>
  <c r="AA137" i="8"/>
  <c r="Z137" i="8"/>
  <c r="Y137" i="8"/>
  <c r="W137" i="8"/>
  <c r="V137" i="8"/>
  <c r="U137" i="8"/>
  <c r="T137" i="8"/>
  <c r="S137" i="8"/>
  <c r="AA136" i="8"/>
  <c r="Z136" i="8"/>
  <c r="Y136" i="8"/>
  <c r="W136" i="8"/>
  <c r="V136" i="8"/>
  <c r="U136" i="8"/>
  <c r="T136" i="8"/>
  <c r="S136" i="8"/>
  <c r="AA135" i="8"/>
  <c r="Z135" i="8"/>
  <c r="Y135" i="8"/>
  <c r="W135" i="8"/>
  <c r="V135" i="8"/>
  <c r="U135" i="8"/>
  <c r="T135" i="8"/>
  <c r="S135" i="8"/>
  <c r="AA134" i="8"/>
  <c r="Z134" i="8"/>
  <c r="Y134" i="8"/>
  <c r="W134" i="8"/>
  <c r="V134" i="8"/>
  <c r="U134" i="8"/>
  <c r="T134" i="8"/>
  <c r="S134" i="8"/>
  <c r="AA133" i="8"/>
  <c r="Z133" i="8"/>
  <c r="Y133" i="8"/>
  <c r="W133" i="8"/>
  <c r="V133" i="8"/>
  <c r="U133" i="8"/>
  <c r="T133" i="8"/>
  <c r="S133" i="8"/>
  <c r="AA132" i="8"/>
  <c r="Z132" i="8"/>
  <c r="Y132" i="8"/>
  <c r="W132" i="8"/>
  <c r="V132" i="8"/>
  <c r="U132" i="8"/>
  <c r="T132" i="8"/>
  <c r="S132" i="8"/>
  <c r="AA131" i="8"/>
  <c r="Z131" i="8"/>
  <c r="Y131" i="8"/>
  <c r="W131" i="8"/>
  <c r="V131" i="8"/>
  <c r="U131" i="8"/>
  <c r="T131" i="8"/>
  <c r="S131" i="8"/>
  <c r="AA130" i="8"/>
  <c r="Z130" i="8"/>
  <c r="Y130" i="8"/>
  <c r="W130" i="8"/>
  <c r="V130" i="8"/>
  <c r="U130" i="8"/>
  <c r="T130" i="8"/>
  <c r="S130" i="8"/>
  <c r="AA129" i="8"/>
  <c r="Z129" i="8"/>
  <c r="Y129" i="8"/>
  <c r="W129" i="8"/>
  <c r="V129" i="8"/>
  <c r="U129" i="8"/>
  <c r="T129" i="8"/>
  <c r="S129" i="8"/>
  <c r="AA128" i="8"/>
  <c r="Z128" i="8"/>
  <c r="Y128" i="8"/>
  <c r="W128" i="8"/>
  <c r="V128" i="8"/>
  <c r="U128" i="8"/>
  <c r="T128" i="8"/>
  <c r="S128" i="8"/>
  <c r="AA127" i="8"/>
  <c r="Z127" i="8"/>
  <c r="Y127" i="8"/>
  <c r="W127" i="8"/>
  <c r="V127" i="8"/>
  <c r="U127" i="8"/>
  <c r="T127" i="8"/>
  <c r="S127" i="8"/>
  <c r="AA126" i="8"/>
  <c r="Z126" i="8"/>
  <c r="Y126" i="8"/>
  <c r="W126" i="8"/>
  <c r="V126" i="8"/>
  <c r="U126" i="8"/>
  <c r="T126" i="8"/>
  <c r="S126" i="8"/>
  <c r="AA125" i="8"/>
  <c r="Z125" i="8"/>
  <c r="Y125" i="8"/>
  <c r="W125" i="8"/>
  <c r="V125" i="8"/>
  <c r="U125" i="8"/>
  <c r="T125" i="8"/>
  <c r="S125" i="8"/>
  <c r="AA124" i="8"/>
  <c r="Z124" i="8"/>
  <c r="Y124" i="8"/>
  <c r="W124" i="8"/>
  <c r="V124" i="8"/>
  <c r="U124" i="8"/>
  <c r="T124" i="8"/>
  <c r="S124" i="8"/>
  <c r="AA123" i="8"/>
  <c r="Z123" i="8"/>
  <c r="Y123" i="8"/>
  <c r="W123" i="8"/>
  <c r="V123" i="8"/>
  <c r="U123" i="8"/>
  <c r="T123" i="8"/>
  <c r="S123" i="8"/>
  <c r="AA122" i="8"/>
  <c r="Z122" i="8"/>
  <c r="Y122" i="8"/>
  <c r="W122" i="8"/>
  <c r="V122" i="8"/>
  <c r="U122" i="8"/>
  <c r="T122" i="8"/>
  <c r="S122" i="8"/>
  <c r="AA121" i="8"/>
  <c r="Z121" i="8"/>
  <c r="Y121" i="8"/>
  <c r="W121" i="8"/>
  <c r="V121" i="8"/>
  <c r="U121" i="8"/>
  <c r="T121" i="8"/>
  <c r="S121" i="8"/>
  <c r="AA120" i="8"/>
  <c r="Z120" i="8"/>
  <c r="Y120" i="8"/>
  <c r="W120" i="8"/>
  <c r="V120" i="8"/>
  <c r="U120" i="8"/>
  <c r="T120" i="8"/>
  <c r="S120" i="8"/>
  <c r="AA119" i="8"/>
  <c r="Z119" i="8"/>
  <c r="Y119" i="8"/>
  <c r="W119" i="8"/>
  <c r="V119" i="8"/>
  <c r="U119" i="8"/>
  <c r="T119" i="8"/>
  <c r="S119" i="8"/>
  <c r="AA118" i="8"/>
  <c r="Z118" i="8"/>
  <c r="Y118" i="8"/>
  <c r="W118" i="8"/>
  <c r="V118" i="8"/>
  <c r="U118" i="8"/>
  <c r="T118" i="8"/>
  <c r="S118" i="8"/>
  <c r="AA117" i="8"/>
  <c r="Z117" i="8"/>
  <c r="Y117" i="8"/>
  <c r="W117" i="8"/>
  <c r="V117" i="8"/>
  <c r="U117" i="8"/>
  <c r="T117" i="8"/>
  <c r="S117" i="8"/>
  <c r="AA116" i="8"/>
  <c r="Z116" i="8"/>
  <c r="Y116" i="8"/>
  <c r="W116" i="8"/>
  <c r="V116" i="8"/>
  <c r="U116" i="8"/>
  <c r="T116" i="8"/>
  <c r="S116" i="8"/>
  <c r="AA115" i="8"/>
  <c r="Z115" i="8"/>
  <c r="Y115" i="8"/>
  <c r="W115" i="8"/>
  <c r="V115" i="8"/>
  <c r="U115" i="8"/>
  <c r="T115" i="8"/>
  <c r="S115" i="8"/>
  <c r="AA114" i="8"/>
  <c r="Z114" i="8"/>
  <c r="Y114" i="8"/>
  <c r="W114" i="8"/>
  <c r="V114" i="8"/>
  <c r="U114" i="8"/>
  <c r="T114" i="8"/>
  <c r="S114" i="8"/>
  <c r="AA113" i="8"/>
  <c r="Z113" i="8"/>
  <c r="Y113" i="8"/>
  <c r="W113" i="8"/>
  <c r="V113" i="8"/>
  <c r="U113" i="8"/>
  <c r="T113" i="8"/>
  <c r="S113" i="8"/>
  <c r="AA112" i="8"/>
  <c r="Z112" i="8"/>
  <c r="Y112" i="8"/>
  <c r="W112" i="8"/>
  <c r="V112" i="8"/>
  <c r="U112" i="8"/>
  <c r="T112" i="8"/>
  <c r="S112" i="8"/>
  <c r="AA111" i="8"/>
  <c r="Z111" i="8"/>
  <c r="Y111" i="8"/>
  <c r="W111" i="8"/>
  <c r="V111" i="8"/>
  <c r="U111" i="8"/>
  <c r="T111" i="8"/>
  <c r="S111" i="8"/>
  <c r="AA110" i="8"/>
  <c r="Z110" i="8"/>
  <c r="Y110" i="8"/>
  <c r="W110" i="8"/>
  <c r="V110" i="8"/>
  <c r="U110" i="8"/>
  <c r="T110" i="8"/>
  <c r="S110" i="8"/>
  <c r="AA109" i="8"/>
  <c r="Z109" i="8"/>
  <c r="Y109" i="8"/>
  <c r="W109" i="8"/>
  <c r="V109" i="8"/>
  <c r="U109" i="8"/>
  <c r="T109" i="8"/>
  <c r="S109" i="8"/>
  <c r="AA108" i="8"/>
  <c r="Z108" i="8"/>
  <c r="Y108" i="8"/>
  <c r="W108" i="8"/>
  <c r="V108" i="8"/>
  <c r="U108" i="8"/>
  <c r="T108" i="8"/>
  <c r="S108" i="8"/>
  <c r="AA107" i="8"/>
  <c r="Z107" i="8"/>
  <c r="Y107" i="8"/>
  <c r="W107" i="8"/>
  <c r="V107" i="8"/>
  <c r="U107" i="8"/>
  <c r="T107" i="8"/>
  <c r="S107" i="8"/>
  <c r="AA106" i="8"/>
  <c r="Z106" i="8"/>
  <c r="Y106" i="8"/>
  <c r="W106" i="8"/>
  <c r="V106" i="8"/>
  <c r="U106" i="8"/>
  <c r="T106" i="8"/>
  <c r="S106" i="8"/>
  <c r="AA105" i="8"/>
  <c r="Z105" i="8"/>
  <c r="Y105" i="8"/>
  <c r="W105" i="8"/>
  <c r="V105" i="8"/>
  <c r="U105" i="8"/>
  <c r="T105" i="8"/>
  <c r="S105" i="8"/>
  <c r="AA104" i="8"/>
  <c r="Z104" i="8"/>
  <c r="Y104" i="8"/>
  <c r="W104" i="8"/>
  <c r="V104" i="8"/>
  <c r="U104" i="8"/>
  <c r="T104" i="8"/>
  <c r="S104" i="8"/>
  <c r="AA103" i="8"/>
  <c r="Z103" i="8"/>
  <c r="Y103" i="8"/>
  <c r="W103" i="8"/>
  <c r="V103" i="8"/>
  <c r="U103" i="8"/>
  <c r="T103" i="8"/>
  <c r="S103" i="8"/>
  <c r="AA102" i="8"/>
  <c r="Z102" i="8"/>
  <c r="Y102" i="8"/>
  <c r="W102" i="8"/>
  <c r="V102" i="8"/>
  <c r="U102" i="8"/>
  <c r="T102" i="8"/>
  <c r="S102" i="8"/>
  <c r="AA101" i="8"/>
  <c r="Z101" i="8"/>
  <c r="Y101" i="8"/>
  <c r="W101" i="8"/>
  <c r="V101" i="8"/>
  <c r="U101" i="8"/>
  <c r="T101" i="8"/>
  <c r="S101" i="8"/>
  <c r="AA100" i="8"/>
  <c r="Z100" i="8"/>
  <c r="Y100" i="8"/>
  <c r="W100" i="8"/>
  <c r="V100" i="8"/>
  <c r="U100" i="8"/>
  <c r="T100" i="8"/>
  <c r="S100" i="8"/>
  <c r="AA99" i="8"/>
  <c r="Z99" i="8"/>
  <c r="Y99" i="8"/>
  <c r="W99" i="8"/>
  <c r="V99" i="8"/>
  <c r="U99" i="8"/>
  <c r="T99" i="8"/>
  <c r="S99" i="8"/>
  <c r="AA98" i="8"/>
  <c r="Z98" i="8"/>
  <c r="Y98" i="8"/>
  <c r="W98" i="8"/>
  <c r="V98" i="8"/>
  <c r="U98" i="8"/>
  <c r="T98" i="8"/>
  <c r="S98" i="8"/>
  <c r="AA97" i="8"/>
  <c r="Z97" i="8"/>
  <c r="Y97" i="8"/>
  <c r="W97" i="8"/>
  <c r="V97" i="8"/>
  <c r="U97" i="8"/>
  <c r="T97" i="8"/>
  <c r="S97" i="8"/>
  <c r="AA96" i="8"/>
  <c r="Z96" i="8"/>
  <c r="Y96" i="8"/>
  <c r="W96" i="8"/>
  <c r="V96" i="8"/>
  <c r="U96" i="8"/>
  <c r="T96" i="8"/>
  <c r="S96" i="8"/>
  <c r="AA95" i="8"/>
  <c r="Z95" i="8"/>
  <c r="Y95" i="8"/>
  <c r="W95" i="8"/>
  <c r="V95" i="8"/>
  <c r="U95" i="8"/>
  <c r="T95" i="8"/>
  <c r="S95" i="8"/>
  <c r="AA94" i="8"/>
  <c r="Z94" i="8"/>
  <c r="Y94" i="8"/>
  <c r="W94" i="8"/>
  <c r="V94" i="8"/>
  <c r="U94" i="8"/>
  <c r="T94" i="8"/>
  <c r="S94" i="8"/>
  <c r="AA93" i="8"/>
  <c r="Z93" i="8"/>
  <c r="Y93" i="8"/>
  <c r="W93" i="8"/>
  <c r="V93" i="8"/>
  <c r="U93" i="8"/>
  <c r="T93" i="8"/>
  <c r="S93" i="8"/>
  <c r="AA92" i="8"/>
  <c r="Z92" i="8"/>
  <c r="Y92" i="8"/>
  <c r="W92" i="8"/>
  <c r="V92" i="8"/>
  <c r="U92" i="8"/>
  <c r="T92" i="8"/>
  <c r="S92" i="8"/>
  <c r="AA91" i="8"/>
  <c r="Z91" i="8"/>
  <c r="Y91" i="8"/>
  <c r="W91" i="8"/>
  <c r="V91" i="8"/>
  <c r="U91" i="8"/>
  <c r="T91" i="8"/>
  <c r="S91" i="8"/>
  <c r="AA90" i="8"/>
  <c r="Z90" i="8"/>
  <c r="Y90" i="8"/>
  <c r="W90" i="8"/>
  <c r="V90" i="8"/>
  <c r="U90" i="8"/>
  <c r="T90" i="8"/>
  <c r="S90" i="8"/>
  <c r="AA89" i="8"/>
  <c r="Z89" i="8"/>
  <c r="Y89" i="8"/>
  <c r="W89" i="8"/>
  <c r="V89" i="8"/>
  <c r="U89" i="8"/>
  <c r="T89" i="8"/>
  <c r="S89" i="8"/>
  <c r="AA88" i="8"/>
  <c r="Z88" i="8"/>
  <c r="Y88" i="8"/>
  <c r="W88" i="8"/>
  <c r="V88" i="8"/>
  <c r="U88" i="8"/>
  <c r="T88" i="8"/>
  <c r="S88" i="8"/>
  <c r="AA87" i="8"/>
  <c r="Z87" i="8"/>
  <c r="Y87" i="8"/>
  <c r="W87" i="8"/>
  <c r="V87" i="8"/>
  <c r="U87" i="8"/>
  <c r="T87" i="8"/>
  <c r="S87" i="8"/>
  <c r="AA86" i="8"/>
  <c r="Z86" i="8"/>
  <c r="Y86" i="8"/>
  <c r="W86" i="8"/>
  <c r="V86" i="8"/>
  <c r="U86" i="8"/>
  <c r="T86" i="8"/>
  <c r="S86" i="8"/>
  <c r="AA85" i="8"/>
  <c r="Z85" i="8"/>
  <c r="Y85" i="8"/>
  <c r="W85" i="8"/>
  <c r="V85" i="8"/>
  <c r="U85" i="8"/>
  <c r="T85" i="8"/>
  <c r="S85" i="8"/>
  <c r="AA84" i="8"/>
  <c r="Z84" i="8"/>
  <c r="Y84" i="8"/>
  <c r="W84" i="8"/>
  <c r="V84" i="8"/>
  <c r="U84" i="8"/>
  <c r="T84" i="8"/>
  <c r="S84" i="8"/>
  <c r="AA83" i="8"/>
  <c r="Z83" i="8"/>
  <c r="Y83" i="8"/>
  <c r="W83" i="8"/>
  <c r="V83" i="8"/>
  <c r="U83" i="8"/>
  <c r="T83" i="8"/>
  <c r="S83" i="8"/>
  <c r="AA82" i="8"/>
  <c r="Z82" i="8"/>
  <c r="Y82" i="8"/>
  <c r="W82" i="8"/>
  <c r="V82" i="8"/>
  <c r="U82" i="8"/>
  <c r="T82" i="8"/>
  <c r="S82" i="8"/>
  <c r="AA81" i="8"/>
  <c r="Z81" i="8"/>
  <c r="Y81" i="8"/>
  <c r="W81" i="8"/>
  <c r="V81" i="8"/>
  <c r="U81" i="8"/>
  <c r="T81" i="8"/>
  <c r="S81" i="8"/>
  <c r="AA80" i="8"/>
  <c r="Z80" i="8"/>
  <c r="Y80" i="8"/>
  <c r="W80" i="8"/>
  <c r="V80" i="8"/>
  <c r="U80" i="8"/>
  <c r="T80" i="8"/>
  <c r="S80" i="8"/>
  <c r="AA79" i="8"/>
  <c r="Z79" i="8"/>
  <c r="Y79" i="8"/>
  <c r="W79" i="8"/>
  <c r="V79" i="8"/>
  <c r="U79" i="8"/>
  <c r="T79" i="8"/>
  <c r="S79" i="8"/>
  <c r="AA78" i="8"/>
  <c r="Z78" i="8"/>
  <c r="Y78" i="8"/>
  <c r="W78" i="8"/>
  <c r="V78" i="8"/>
  <c r="U78" i="8"/>
  <c r="T78" i="8"/>
  <c r="S78" i="8"/>
  <c r="AA77" i="8"/>
  <c r="Z77" i="8"/>
  <c r="Y77" i="8"/>
  <c r="W77" i="8"/>
  <c r="V77" i="8"/>
  <c r="U77" i="8"/>
  <c r="T77" i="8"/>
  <c r="S77" i="8"/>
  <c r="AA76" i="8"/>
  <c r="Z76" i="8"/>
  <c r="Y76" i="8"/>
  <c r="W76" i="8"/>
  <c r="V76" i="8"/>
  <c r="U76" i="8"/>
  <c r="T76" i="8"/>
  <c r="S76" i="8"/>
  <c r="AA75" i="8"/>
  <c r="Z75" i="8"/>
  <c r="Y75" i="8"/>
  <c r="W75" i="8"/>
  <c r="V75" i="8"/>
  <c r="U75" i="8"/>
  <c r="T75" i="8"/>
  <c r="S75" i="8"/>
  <c r="AA74" i="8"/>
  <c r="Z74" i="8"/>
  <c r="Y74" i="8"/>
  <c r="W74" i="8"/>
  <c r="V74" i="8"/>
  <c r="U74" i="8"/>
  <c r="T74" i="8"/>
  <c r="S74" i="8"/>
  <c r="AA73" i="8"/>
  <c r="Z73" i="8"/>
  <c r="Y73" i="8"/>
  <c r="W73" i="8"/>
  <c r="V73" i="8"/>
  <c r="U73" i="8"/>
  <c r="T73" i="8"/>
  <c r="S73" i="8"/>
  <c r="AA72" i="8"/>
  <c r="Z72" i="8"/>
  <c r="Y72" i="8"/>
  <c r="W72" i="8"/>
  <c r="V72" i="8"/>
  <c r="U72" i="8"/>
  <c r="T72" i="8"/>
  <c r="S72" i="8"/>
  <c r="AA71" i="8"/>
  <c r="Z71" i="8"/>
  <c r="Y71" i="8"/>
  <c r="W71" i="8"/>
  <c r="V71" i="8"/>
  <c r="U71" i="8"/>
  <c r="T71" i="8"/>
  <c r="S71" i="8"/>
  <c r="AA70" i="8"/>
  <c r="Z70" i="8"/>
  <c r="Y70" i="8"/>
  <c r="W70" i="8"/>
  <c r="V70" i="8"/>
  <c r="U70" i="8"/>
  <c r="T70" i="8"/>
  <c r="S70" i="8"/>
  <c r="AA69" i="8"/>
  <c r="Z69" i="8"/>
  <c r="Y69" i="8"/>
  <c r="W69" i="8"/>
  <c r="V69" i="8"/>
  <c r="U69" i="8"/>
  <c r="T69" i="8"/>
  <c r="S69" i="8"/>
  <c r="AA68" i="8"/>
  <c r="Z68" i="8"/>
  <c r="Y68" i="8"/>
  <c r="W68" i="8"/>
  <c r="V68" i="8"/>
  <c r="U68" i="8"/>
  <c r="T68" i="8"/>
  <c r="S68" i="8"/>
  <c r="AA67" i="8"/>
  <c r="Z67" i="8"/>
  <c r="Y67" i="8"/>
  <c r="W67" i="8"/>
  <c r="V67" i="8"/>
  <c r="U67" i="8"/>
  <c r="T67" i="8"/>
  <c r="S67" i="8"/>
  <c r="AA66" i="8"/>
  <c r="Z66" i="8"/>
  <c r="Y66" i="8"/>
  <c r="W66" i="8"/>
  <c r="V66" i="8"/>
  <c r="U66" i="8"/>
  <c r="T66" i="8"/>
  <c r="S66" i="8"/>
  <c r="AA65" i="8"/>
  <c r="Z65" i="8"/>
  <c r="Y65" i="8"/>
  <c r="W65" i="8"/>
  <c r="V65" i="8"/>
  <c r="U65" i="8"/>
  <c r="T65" i="8"/>
  <c r="S65" i="8"/>
  <c r="AA64" i="8"/>
  <c r="Z64" i="8"/>
  <c r="Y64" i="8"/>
  <c r="W64" i="8"/>
  <c r="V64" i="8"/>
  <c r="U64" i="8"/>
  <c r="T64" i="8"/>
  <c r="S64" i="8"/>
  <c r="AA63" i="8"/>
  <c r="Z63" i="8"/>
  <c r="Y63" i="8"/>
  <c r="W63" i="8"/>
  <c r="V63" i="8"/>
  <c r="U63" i="8"/>
  <c r="T63" i="8"/>
  <c r="S63" i="8"/>
  <c r="AA62" i="8"/>
  <c r="Z62" i="8"/>
  <c r="Y62" i="8"/>
  <c r="W62" i="8"/>
  <c r="V62" i="8"/>
  <c r="U62" i="8"/>
  <c r="T62" i="8"/>
  <c r="S62" i="8"/>
  <c r="AA61" i="8"/>
  <c r="Z61" i="8"/>
  <c r="Y61" i="8"/>
  <c r="W61" i="8"/>
  <c r="V61" i="8"/>
  <c r="U61" i="8"/>
  <c r="T61" i="8"/>
  <c r="S61" i="8"/>
  <c r="AA60" i="8"/>
  <c r="Z60" i="8"/>
  <c r="Y60" i="8"/>
  <c r="W60" i="8"/>
  <c r="V60" i="8"/>
  <c r="U60" i="8"/>
  <c r="T60" i="8"/>
  <c r="S60" i="8"/>
  <c r="AA59" i="8"/>
  <c r="Z59" i="8"/>
  <c r="Y59" i="8"/>
  <c r="W59" i="8"/>
  <c r="V59" i="8"/>
  <c r="U59" i="8"/>
  <c r="T59" i="8"/>
  <c r="S59" i="8"/>
  <c r="AA58" i="8"/>
  <c r="Z58" i="8"/>
  <c r="Y58" i="8"/>
  <c r="W58" i="8"/>
  <c r="V58" i="8"/>
  <c r="U58" i="8"/>
  <c r="T58" i="8"/>
  <c r="S58" i="8"/>
  <c r="AA57" i="8"/>
  <c r="Z57" i="8"/>
  <c r="Y57" i="8"/>
  <c r="W57" i="8"/>
  <c r="V57" i="8"/>
  <c r="U57" i="8"/>
  <c r="T57" i="8"/>
  <c r="S57" i="8"/>
  <c r="AA56" i="8"/>
  <c r="Z56" i="8"/>
  <c r="Y56" i="8"/>
  <c r="W56" i="8"/>
  <c r="V56" i="8"/>
  <c r="U56" i="8"/>
  <c r="T56" i="8"/>
  <c r="S56" i="8"/>
  <c r="AA55" i="8"/>
  <c r="Z55" i="8"/>
  <c r="Y55" i="8"/>
  <c r="W55" i="8"/>
  <c r="V55" i="8"/>
  <c r="U55" i="8"/>
  <c r="T55" i="8"/>
  <c r="S55" i="8"/>
  <c r="AA54" i="8"/>
  <c r="Z54" i="8"/>
  <c r="Y54" i="8"/>
  <c r="W54" i="8"/>
  <c r="V54" i="8"/>
  <c r="U54" i="8"/>
  <c r="T54" i="8"/>
  <c r="S54" i="8"/>
  <c r="AA53" i="8"/>
  <c r="Z53" i="8"/>
  <c r="Y53" i="8"/>
  <c r="W53" i="8"/>
  <c r="V53" i="8"/>
  <c r="U53" i="8"/>
  <c r="T53" i="8"/>
  <c r="S53" i="8"/>
  <c r="AA52" i="8"/>
  <c r="Z52" i="8"/>
  <c r="Y52" i="8"/>
  <c r="W52" i="8"/>
  <c r="V52" i="8"/>
  <c r="U52" i="8"/>
  <c r="T52" i="8"/>
  <c r="S52" i="8"/>
  <c r="AA51" i="8"/>
  <c r="Z51" i="8"/>
  <c r="Y51" i="8"/>
  <c r="W51" i="8"/>
  <c r="V51" i="8"/>
  <c r="U51" i="8"/>
  <c r="T51" i="8"/>
  <c r="S51" i="8"/>
  <c r="AA50" i="8"/>
  <c r="Z50" i="8"/>
  <c r="Y50" i="8"/>
  <c r="W50" i="8"/>
  <c r="V50" i="8"/>
  <c r="U50" i="8"/>
  <c r="T50" i="8"/>
  <c r="S50" i="8"/>
  <c r="AA49" i="8"/>
  <c r="Z49" i="8"/>
  <c r="Y49" i="8"/>
  <c r="W49" i="8"/>
  <c r="V49" i="8"/>
  <c r="U49" i="8"/>
  <c r="T49" i="8"/>
  <c r="S49" i="8"/>
  <c r="AA48" i="8"/>
  <c r="Z48" i="8"/>
  <c r="Y48" i="8"/>
  <c r="W48" i="8"/>
  <c r="V48" i="8"/>
  <c r="U48" i="8"/>
  <c r="T48" i="8"/>
  <c r="S48" i="8"/>
  <c r="AA47" i="8"/>
  <c r="Z47" i="8"/>
  <c r="Y47" i="8"/>
  <c r="W47" i="8"/>
  <c r="V47" i="8"/>
  <c r="U47" i="8"/>
  <c r="T47" i="8"/>
  <c r="S47" i="8"/>
  <c r="AA46" i="8"/>
  <c r="Z46" i="8"/>
  <c r="Y46" i="8"/>
  <c r="W46" i="8"/>
  <c r="V46" i="8"/>
  <c r="U46" i="8"/>
  <c r="T46" i="8"/>
  <c r="S46" i="8"/>
  <c r="AA45" i="8"/>
  <c r="Z45" i="8"/>
  <c r="Y45" i="8"/>
  <c r="W45" i="8"/>
  <c r="V45" i="8"/>
  <c r="U45" i="8"/>
  <c r="T45" i="8"/>
  <c r="S45" i="8"/>
  <c r="AA44" i="8"/>
  <c r="Z44" i="8"/>
  <c r="Y44" i="8"/>
  <c r="W44" i="8"/>
  <c r="V44" i="8"/>
  <c r="U44" i="8"/>
  <c r="T44" i="8"/>
  <c r="S44" i="8"/>
  <c r="AA43" i="8"/>
  <c r="Z43" i="8"/>
  <c r="Y43" i="8"/>
  <c r="W43" i="8"/>
  <c r="V43" i="8"/>
  <c r="U43" i="8"/>
  <c r="T43" i="8"/>
  <c r="S43" i="8"/>
  <c r="AA42" i="8"/>
  <c r="Z42" i="8"/>
  <c r="Y42" i="8"/>
  <c r="W42" i="8"/>
  <c r="V42" i="8"/>
  <c r="U42" i="8"/>
  <c r="T42" i="8"/>
  <c r="S42" i="8"/>
  <c r="AA41" i="8"/>
  <c r="Z41" i="8"/>
  <c r="Y41" i="8"/>
  <c r="W41" i="8"/>
  <c r="V41" i="8"/>
  <c r="U41" i="8"/>
  <c r="T41" i="8"/>
  <c r="S41" i="8"/>
  <c r="AA40" i="8"/>
  <c r="Z40" i="8"/>
  <c r="Y40" i="8"/>
  <c r="W40" i="8"/>
  <c r="V40" i="8"/>
  <c r="U40" i="8"/>
  <c r="T40" i="8"/>
  <c r="S40" i="8"/>
  <c r="AA39" i="8"/>
  <c r="Z39" i="8"/>
  <c r="Y39" i="8"/>
  <c r="W39" i="8"/>
  <c r="V39" i="8"/>
  <c r="U39" i="8"/>
  <c r="T39" i="8"/>
  <c r="S39" i="8"/>
  <c r="AA38" i="8"/>
  <c r="Z38" i="8"/>
  <c r="Y38" i="8"/>
  <c r="W38" i="8"/>
  <c r="V38" i="8"/>
  <c r="U38" i="8"/>
  <c r="T38" i="8"/>
  <c r="S38" i="8"/>
  <c r="AA37" i="8"/>
  <c r="Z37" i="8"/>
  <c r="Y37" i="8"/>
  <c r="W37" i="8"/>
  <c r="V37" i="8"/>
  <c r="U37" i="8"/>
  <c r="T37" i="8"/>
  <c r="S37" i="8"/>
  <c r="AA36" i="8"/>
  <c r="Z36" i="8"/>
  <c r="Y36" i="8"/>
  <c r="W36" i="8"/>
  <c r="V36" i="8"/>
  <c r="U36" i="8"/>
  <c r="T36" i="8"/>
  <c r="S36" i="8"/>
  <c r="AA35" i="8"/>
  <c r="Z35" i="8"/>
  <c r="Y35" i="8"/>
  <c r="W35" i="8"/>
  <c r="V35" i="8"/>
  <c r="U35" i="8"/>
  <c r="T35" i="8"/>
  <c r="S35" i="8"/>
  <c r="AA34" i="8"/>
  <c r="Z34" i="8"/>
  <c r="Y34" i="8"/>
  <c r="W34" i="8"/>
  <c r="V34" i="8"/>
  <c r="U34" i="8"/>
  <c r="T34" i="8"/>
  <c r="S34" i="8"/>
  <c r="AA33" i="8"/>
  <c r="Z33" i="8"/>
  <c r="Y33" i="8"/>
  <c r="W33" i="8"/>
  <c r="V33" i="8"/>
  <c r="U33" i="8"/>
  <c r="T33" i="8"/>
  <c r="S33" i="8"/>
  <c r="AA32" i="8"/>
  <c r="Z32" i="8"/>
  <c r="Y32" i="8"/>
  <c r="W32" i="8"/>
  <c r="V32" i="8"/>
  <c r="U32" i="8"/>
  <c r="T32" i="8"/>
  <c r="S32" i="8"/>
  <c r="AA31" i="8"/>
  <c r="Z31" i="8"/>
  <c r="Y31" i="8"/>
  <c r="W31" i="8"/>
  <c r="V31" i="8"/>
  <c r="U31" i="8"/>
  <c r="T31" i="8"/>
  <c r="S31" i="8"/>
  <c r="AA30" i="8"/>
  <c r="Z30" i="8"/>
  <c r="Y30" i="8"/>
  <c r="W30" i="8"/>
  <c r="V30" i="8"/>
  <c r="U30" i="8"/>
  <c r="T30" i="8"/>
  <c r="S30" i="8"/>
  <c r="AA29" i="8"/>
  <c r="Z29" i="8"/>
  <c r="Y29" i="8"/>
  <c r="W29" i="8"/>
  <c r="V29" i="8"/>
  <c r="U29" i="8"/>
  <c r="T29" i="8"/>
  <c r="S29" i="8"/>
  <c r="AA28" i="8"/>
  <c r="Z28" i="8"/>
  <c r="Y28" i="8"/>
  <c r="W28" i="8"/>
  <c r="V28" i="8"/>
  <c r="U28" i="8"/>
  <c r="T28" i="8"/>
  <c r="S28" i="8"/>
  <c r="AA27" i="8"/>
  <c r="Z27" i="8"/>
  <c r="Y27" i="8"/>
  <c r="W27" i="8"/>
  <c r="V27" i="8"/>
  <c r="U27" i="8"/>
  <c r="T27" i="8"/>
  <c r="S27" i="8"/>
  <c r="AA26" i="8"/>
  <c r="Z26" i="8"/>
  <c r="Y26" i="8"/>
  <c r="W26" i="8"/>
  <c r="V26" i="8"/>
  <c r="U26" i="8"/>
  <c r="T26" i="8"/>
  <c r="S26" i="8"/>
  <c r="AA25" i="8"/>
  <c r="Z25" i="8"/>
  <c r="Y25" i="8"/>
  <c r="W25" i="8"/>
  <c r="V25" i="8"/>
  <c r="U25" i="8"/>
  <c r="T25" i="8"/>
  <c r="S25" i="8"/>
  <c r="AA24" i="8"/>
  <c r="Z24" i="8"/>
  <c r="Y24" i="8"/>
  <c r="W24" i="8"/>
  <c r="V24" i="8"/>
  <c r="U24" i="8"/>
  <c r="T24" i="8"/>
  <c r="S24" i="8"/>
  <c r="AA23" i="8"/>
  <c r="Z23" i="8"/>
  <c r="Y23" i="8"/>
  <c r="W23" i="8"/>
  <c r="V23" i="8"/>
  <c r="U23" i="8"/>
  <c r="T23" i="8"/>
  <c r="S23" i="8"/>
  <c r="AA22" i="8"/>
  <c r="Z22" i="8"/>
  <c r="Y22" i="8"/>
  <c r="W22" i="8"/>
  <c r="V22" i="8"/>
  <c r="U22" i="8"/>
  <c r="T22" i="8"/>
  <c r="S22" i="8"/>
  <c r="AA21" i="8"/>
  <c r="Z21" i="8"/>
  <c r="Y21" i="8"/>
  <c r="W21" i="8"/>
  <c r="V21" i="8"/>
  <c r="U21" i="8"/>
  <c r="T21" i="8"/>
  <c r="S21" i="8"/>
  <c r="AA20" i="8"/>
  <c r="Z20" i="8"/>
  <c r="Y20" i="8"/>
  <c r="W20" i="8"/>
  <c r="V20" i="8"/>
  <c r="U20" i="8"/>
  <c r="T20" i="8"/>
  <c r="S20" i="8"/>
  <c r="AA19" i="8"/>
  <c r="Z19" i="8"/>
  <c r="Y19" i="8"/>
  <c r="W19" i="8"/>
  <c r="V19" i="8"/>
  <c r="U19" i="8"/>
  <c r="T19" i="8"/>
  <c r="S19" i="8"/>
  <c r="AA18" i="8"/>
  <c r="Z18" i="8"/>
  <c r="Y18" i="8"/>
  <c r="W18" i="8"/>
  <c r="V18" i="8"/>
  <c r="U18" i="8"/>
  <c r="T18" i="8"/>
  <c r="S18" i="8"/>
  <c r="AA17" i="8"/>
  <c r="Z17" i="8"/>
  <c r="Y17" i="8"/>
  <c r="W17" i="8"/>
  <c r="V17" i="8"/>
  <c r="U17" i="8"/>
  <c r="T17" i="8"/>
  <c r="S17" i="8"/>
  <c r="AA16" i="8"/>
  <c r="Z16" i="8"/>
  <c r="Y16" i="8"/>
  <c r="W16" i="8"/>
  <c r="V16" i="8"/>
  <c r="U16" i="8"/>
  <c r="T16" i="8"/>
  <c r="S16" i="8"/>
  <c r="AA15" i="8"/>
  <c r="Z15" i="8"/>
  <c r="Y15" i="8"/>
  <c r="W15" i="8"/>
  <c r="V15" i="8"/>
  <c r="U15" i="8"/>
  <c r="T15" i="8"/>
  <c r="S15" i="8"/>
  <c r="AA14" i="8"/>
  <c r="Z14" i="8"/>
  <c r="Y14" i="8"/>
  <c r="W14" i="8"/>
  <c r="V14" i="8"/>
  <c r="U14" i="8"/>
  <c r="T14" i="8"/>
  <c r="S14" i="8"/>
  <c r="AA13" i="8"/>
  <c r="Z13" i="8"/>
  <c r="Y13" i="8"/>
  <c r="W13" i="8"/>
  <c r="V13" i="8"/>
  <c r="U13" i="8"/>
  <c r="T13" i="8"/>
  <c r="S13" i="8"/>
  <c r="AA12" i="8"/>
  <c r="Z12" i="8"/>
  <c r="Y12" i="8"/>
  <c r="W12" i="8"/>
  <c r="V12" i="8"/>
  <c r="U12" i="8"/>
  <c r="T12" i="8"/>
  <c r="S12" i="8"/>
  <c r="AA11" i="8"/>
  <c r="Z11" i="8"/>
  <c r="Y11" i="8"/>
  <c r="W11" i="8"/>
  <c r="V11" i="8"/>
  <c r="U11" i="8"/>
  <c r="T11" i="8"/>
  <c r="S11" i="8"/>
  <c r="AA10" i="8"/>
  <c r="Z10" i="8"/>
  <c r="Y10" i="8"/>
  <c r="W10" i="8"/>
  <c r="V10" i="8"/>
  <c r="U10" i="8"/>
  <c r="T10" i="8"/>
  <c r="S10" i="8"/>
  <c r="AA9" i="8"/>
  <c r="Z9" i="8"/>
  <c r="Y9" i="8"/>
  <c r="W9" i="8"/>
  <c r="V9" i="8"/>
  <c r="U9" i="8"/>
  <c r="T9" i="8"/>
  <c r="S9" i="8"/>
  <c r="AA8" i="8"/>
  <c r="Z8" i="8"/>
  <c r="Y8" i="8"/>
  <c r="W8" i="8"/>
  <c r="V8" i="8"/>
  <c r="U8" i="8"/>
  <c r="T8" i="8"/>
  <c r="S8" i="8"/>
  <c r="AA7" i="8"/>
  <c r="Z7" i="8"/>
  <c r="Y7" i="8"/>
  <c r="W7" i="8"/>
  <c r="V7" i="8"/>
  <c r="U7" i="8"/>
  <c r="T7" i="8"/>
  <c r="S7" i="8"/>
  <c r="AA6" i="8"/>
  <c r="Z6" i="8"/>
  <c r="Y6" i="8"/>
  <c r="W6" i="8"/>
  <c r="V6" i="8"/>
  <c r="U6" i="8"/>
  <c r="T6" i="8"/>
  <c r="S6" i="8"/>
  <c r="AA5" i="8"/>
  <c r="Z5" i="8"/>
  <c r="Y5" i="8"/>
  <c r="W5" i="8"/>
  <c r="V5" i="8"/>
  <c r="U5" i="8"/>
  <c r="T5" i="8"/>
  <c r="S5" i="8"/>
  <c r="AA4" i="8"/>
  <c r="Z4" i="8"/>
  <c r="Y4" i="8"/>
  <c r="W4" i="8"/>
  <c r="V4" i="8"/>
  <c r="U4" i="8"/>
  <c r="T4" i="8"/>
  <c r="S4" i="8"/>
  <c r="AA3" i="8"/>
  <c r="Z3" i="8"/>
  <c r="Y3" i="8"/>
  <c r="W3" i="8"/>
  <c r="V3" i="8"/>
  <c r="U3" i="8"/>
  <c r="T3" i="8"/>
  <c r="S3" i="8"/>
  <c r="AA2" i="8"/>
  <c r="Z2" i="8"/>
  <c r="Y2" i="8"/>
  <c r="W2" i="8"/>
  <c r="V2" i="8"/>
  <c r="U2" i="8"/>
  <c r="T2" i="8"/>
  <c r="S2" i="8"/>
  <c r="Y203" i="7"/>
  <c r="X203" i="7"/>
  <c r="W203" i="7"/>
  <c r="U203" i="7"/>
  <c r="T203" i="7"/>
  <c r="S203" i="7"/>
  <c r="R203" i="7"/>
  <c r="Q203" i="7"/>
  <c r="Y202" i="7"/>
  <c r="X202" i="7"/>
  <c r="W202" i="7"/>
  <c r="U202" i="7"/>
  <c r="T202" i="7"/>
  <c r="S202" i="7"/>
  <c r="R202" i="7"/>
  <c r="Q202" i="7"/>
  <c r="Y201" i="7"/>
  <c r="X201" i="7"/>
  <c r="W201" i="7"/>
  <c r="U201" i="7"/>
  <c r="T201" i="7"/>
  <c r="S201" i="7"/>
  <c r="R201" i="7"/>
  <c r="Q201" i="7"/>
  <c r="Y200" i="7"/>
  <c r="X200" i="7"/>
  <c r="W200" i="7"/>
  <c r="U200" i="7"/>
  <c r="T200" i="7"/>
  <c r="S200" i="7"/>
  <c r="R200" i="7"/>
  <c r="Q200" i="7"/>
  <c r="Y199" i="7"/>
  <c r="X199" i="7"/>
  <c r="W199" i="7"/>
  <c r="U199" i="7"/>
  <c r="T199" i="7"/>
  <c r="S199" i="7"/>
  <c r="R199" i="7"/>
  <c r="Q199" i="7"/>
  <c r="Y198" i="7"/>
  <c r="X198" i="7"/>
  <c r="W198" i="7"/>
  <c r="U198" i="7"/>
  <c r="T198" i="7"/>
  <c r="S198" i="7"/>
  <c r="R198" i="7"/>
  <c r="Q198" i="7"/>
  <c r="Y197" i="7"/>
  <c r="X197" i="7"/>
  <c r="W197" i="7"/>
  <c r="U197" i="7"/>
  <c r="T197" i="7"/>
  <c r="S197" i="7"/>
  <c r="R197" i="7"/>
  <c r="Q197" i="7"/>
  <c r="Y196" i="7"/>
  <c r="X196" i="7"/>
  <c r="W196" i="7"/>
  <c r="U196" i="7"/>
  <c r="T196" i="7"/>
  <c r="S196" i="7"/>
  <c r="R196" i="7"/>
  <c r="Q196" i="7"/>
  <c r="Y195" i="7"/>
  <c r="X195" i="7"/>
  <c r="W195" i="7"/>
  <c r="U195" i="7"/>
  <c r="T195" i="7"/>
  <c r="S195" i="7"/>
  <c r="R195" i="7"/>
  <c r="Q195" i="7"/>
  <c r="Y194" i="7"/>
  <c r="X194" i="7"/>
  <c r="W194" i="7"/>
  <c r="U194" i="7"/>
  <c r="T194" i="7"/>
  <c r="S194" i="7"/>
  <c r="R194" i="7"/>
  <c r="Q194" i="7"/>
  <c r="Y193" i="7"/>
  <c r="X193" i="7"/>
  <c r="W193" i="7"/>
  <c r="U193" i="7"/>
  <c r="T193" i="7"/>
  <c r="S193" i="7"/>
  <c r="R193" i="7"/>
  <c r="Q193" i="7"/>
  <c r="Y192" i="7"/>
  <c r="X192" i="7"/>
  <c r="W192" i="7"/>
  <c r="U192" i="7"/>
  <c r="T192" i="7"/>
  <c r="S192" i="7"/>
  <c r="R192" i="7"/>
  <c r="Q192" i="7"/>
  <c r="Y191" i="7"/>
  <c r="X191" i="7"/>
  <c r="W191" i="7"/>
  <c r="U191" i="7"/>
  <c r="T191" i="7"/>
  <c r="S191" i="7"/>
  <c r="R191" i="7"/>
  <c r="Q191" i="7"/>
  <c r="Y190" i="7"/>
  <c r="X190" i="7"/>
  <c r="W190" i="7"/>
  <c r="U190" i="7"/>
  <c r="T190" i="7"/>
  <c r="S190" i="7"/>
  <c r="R190" i="7"/>
  <c r="Q190" i="7"/>
  <c r="Y189" i="7"/>
  <c r="X189" i="7"/>
  <c r="W189" i="7"/>
  <c r="U189" i="7"/>
  <c r="T189" i="7"/>
  <c r="S189" i="7"/>
  <c r="R189" i="7"/>
  <c r="Q189" i="7"/>
  <c r="Y188" i="7"/>
  <c r="X188" i="7"/>
  <c r="W188" i="7"/>
  <c r="U188" i="7"/>
  <c r="T188" i="7"/>
  <c r="S188" i="7"/>
  <c r="R188" i="7"/>
  <c r="Q188" i="7"/>
  <c r="Y187" i="7"/>
  <c r="X187" i="7"/>
  <c r="W187" i="7"/>
  <c r="U187" i="7"/>
  <c r="T187" i="7"/>
  <c r="S187" i="7"/>
  <c r="R187" i="7"/>
  <c r="Q187" i="7"/>
  <c r="Y186" i="7"/>
  <c r="X186" i="7"/>
  <c r="W186" i="7"/>
  <c r="U186" i="7"/>
  <c r="T186" i="7"/>
  <c r="S186" i="7"/>
  <c r="R186" i="7"/>
  <c r="Q186" i="7"/>
  <c r="Y185" i="7"/>
  <c r="X185" i="7"/>
  <c r="W185" i="7"/>
  <c r="U185" i="7"/>
  <c r="T185" i="7"/>
  <c r="S185" i="7"/>
  <c r="R185" i="7"/>
  <c r="Q185" i="7"/>
  <c r="Y184" i="7"/>
  <c r="X184" i="7"/>
  <c r="W184" i="7"/>
  <c r="U184" i="7"/>
  <c r="T184" i="7"/>
  <c r="S184" i="7"/>
  <c r="R184" i="7"/>
  <c r="Q184" i="7"/>
  <c r="Y183" i="7"/>
  <c r="X183" i="7"/>
  <c r="W183" i="7"/>
  <c r="U183" i="7"/>
  <c r="T183" i="7"/>
  <c r="S183" i="7"/>
  <c r="R183" i="7"/>
  <c r="Q183" i="7"/>
  <c r="Y182" i="7"/>
  <c r="X182" i="7"/>
  <c r="W182" i="7"/>
  <c r="U182" i="7"/>
  <c r="T182" i="7"/>
  <c r="S182" i="7"/>
  <c r="R182" i="7"/>
  <c r="Q182" i="7"/>
  <c r="Y181" i="7"/>
  <c r="X181" i="7"/>
  <c r="W181" i="7"/>
  <c r="U181" i="7"/>
  <c r="T181" i="7"/>
  <c r="S181" i="7"/>
  <c r="R181" i="7"/>
  <c r="Q181" i="7"/>
  <c r="Y180" i="7"/>
  <c r="X180" i="7"/>
  <c r="W180" i="7"/>
  <c r="U180" i="7"/>
  <c r="T180" i="7"/>
  <c r="S180" i="7"/>
  <c r="R180" i="7"/>
  <c r="Q180" i="7"/>
  <c r="Y179" i="7"/>
  <c r="X179" i="7"/>
  <c r="W179" i="7"/>
  <c r="U179" i="7"/>
  <c r="T179" i="7"/>
  <c r="S179" i="7"/>
  <c r="R179" i="7"/>
  <c r="Q179" i="7"/>
  <c r="Y178" i="7"/>
  <c r="X178" i="7"/>
  <c r="W178" i="7"/>
  <c r="U178" i="7"/>
  <c r="T178" i="7"/>
  <c r="S178" i="7"/>
  <c r="R178" i="7"/>
  <c r="Q178" i="7"/>
  <c r="Y177" i="7"/>
  <c r="X177" i="7"/>
  <c r="W177" i="7"/>
  <c r="U177" i="7"/>
  <c r="T177" i="7"/>
  <c r="S177" i="7"/>
  <c r="R177" i="7"/>
  <c r="Q177" i="7"/>
  <c r="Y176" i="7"/>
  <c r="X176" i="7"/>
  <c r="W176" i="7"/>
  <c r="U176" i="7"/>
  <c r="T176" i="7"/>
  <c r="S176" i="7"/>
  <c r="R176" i="7"/>
  <c r="Q176" i="7"/>
  <c r="Y175" i="7"/>
  <c r="X175" i="7"/>
  <c r="W175" i="7"/>
  <c r="U175" i="7"/>
  <c r="T175" i="7"/>
  <c r="S175" i="7"/>
  <c r="R175" i="7"/>
  <c r="Q175" i="7"/>
  <c r="Y174" i="7"/>
  <c r="X174" i="7"/>
  <c r="W174" i="7"/>
  <c r="U174" i="7"/>
  <c r="T174" i="7"/>
  <c r="S174" i="7"/>
  <c r="R174" i="7"/>
  <c r="Q174" i="7"/>
  <c r="Y173" i="7"/>
  <c r="X173" i="7"/>
  <c r="W173" i="7"/>
  <c r="U173" i="7"/>
  <c r="T173" i="7"/>
  <c r="S173" i="7"/>
  <c r="R173" i="7"/>
  <c r="Q173" i="7"/>
  <c r="Y172" i="7"/>
  <c r="X172" i="7"/>
  <c r="W172" i="7"/>
  <c r="U172" i="7"/>
  <c r="T172" i="7"/>
  <c r="S172" i="7"/>
  <c r="R172" i="7"/>
  <c r="Q172" i="7"/>
  <c r="Y171" i="7"/>
  <c r="X171" i="7"/>
  <c r="W171" i="7"/>
  <c r="U171" i="7"/>
  <c r="T171" i="7"/>
  <c r="S171" i="7"/>
  <c r="R171" i="7"/>
  <c r="Q171" i="7"/>
  <c r="Y170" i="7"/>
  <c r="X170" i="7"/>
  <c r="W170" i="7"/>
  <c r="U170" i="7"/>
  <c r="T170" i="7"/>
  <c r="S170" i="7"/>
  <c r="R170" i="7"/>
  <c r="Q170" i="7"/>
  <c r="Y169" i="7"/>
  <c r="X169" i="7"/>
  <c r="W169" i="7"/>
  <c r="U169" i="7"/>
  <c r="T169" i="7"/>
  <c r="S169" i="7"/>
  <c r="R169" i="7"/>
  <c r="Q169" i="7"/>
  <c r="Y168" i="7"/>
  <c r="X168" i="7"/>
  <c r="W168" i="7"/>
  <c r="U168" i="7"/>
  <c r="T168" i="7"/>
  <c r="S168" i="7"/>
  <c r="R168" i="7"/>
  <c r="Q168" i="7"/>
  <c r="Y167" i="7"/>
  <c r="X167" i="7"/>
  <c r="W167" i="7"/>
  <c r="U167" i="7"/>
  <c r="T167" i="7"/>
  <c r="S167" i="7"/>
  <c r="R167" i="7"/>
  <c r="Q167" i="7"/>
  <c r="Y166" i="7"/>
  <c r="X166" i="7"/>
  <c r="W166" i="7"/>
  <c r="U166" i="7"/>
  <c r="T166" i="7"/>
  <c r="S166" i="7"/>
  <c r="R166" i="7"/>
  <c r="Q166" i="7"/>
  <c r="Y165" i="7"/>
  <c r="X165" i="7"/>
  <c r="W165" i="7"/>
  <c r="U165" i="7"/>
  <c r="T165" i="7"/>
  <c r="S165" i="7"/>
  <c r="R165" i="7"/>
  <c r="Q165" i="7"/>
  <c r="Y164" i="7"/>
  <c r="X164" i="7"/>
  <c r="W164" i="7"/>
  <c r="U164" i="7"/>
  <c r="T164" i="7"/>
  <c r="S164" i="7"/>
  <c r="R164" i="7"/>
  <c r="Q164" i="7"/>
  <c r="Y163" i="7"/>
  <c r="X163" i="7"/>
  <c r="W163" i="7"/>
  <c r="U163" i="7"/>
  <c r="T163" i="7"/>
  <c r="S163" i="7"/>
  <c r="R163" i="7"/>
  <c r="Q163" i="7"/>
  <c r="Y162" i="7"/>
  <c r="X162" i="7"/>
  <c r="W162" i="7"/>
  <c r="U162" i="7"/>
  <c r="T162" i="7"/>
  <c r="S162" i="7"/>
  <c r="R162" i="7"/>
  <c r="Q162" i="7"/>
  <c r="Y161" i="7"/>
  <c r="X161" i="7"/>
  <c r="W161" i="7"/>
  <c r="U161" i="7"/>
  <c r="T161" i="7"/>
  <c r="S161" i="7"/>
  <c r="R161" i="7"/>
  <c r="Q161" i="7"/>
  <c r="Y160" i="7"/>
  <c r="X160" i="7"/>
  <c r="W160" i="7"/>
  <c r="U160" i="7"/>
  <c r="T160" i="7"/>
  <c r="S160" i="7"/>
  <c r="R160" i="7"/>
  <c r="Q160" i="7"/>
  <c r="Y159" i="7"/>
  <c r="X159" i="7"/>
  <c r="W159" i="7"/>
  <c r="U159" i="7"/>
  <c r="T159" i="7"/>
  <c r="S159" i="7"/>
  <c r="R159" i="7"/>
  <c r="Q159" i="7"/>
  <c r="Y158" i="7"/>
  <c r="X158" i="7"/>
  <c r="W158" i="7"/>
  <c r="U158" i="7"/>
  <c r="T158" i="7"/>
  <c r="S158" i="7"/>
  <c r="R158" i="7"/>
  <c r="Q158" i="7"/>
  <c r="Y157" i="7"/>
  <c r="X157" i="7"/>
  <c r="W157" i="7"/>
  <c r="U157" i="7"/>
  <c r="T157" i="7"/>
  <c r="S157" i="7"/>
  <c r="R157" i="7"/>
  <c r="Q157" i="7"/>
  <c r="Y156" i="7"/>
  <c r="X156" i="7"/>
  <c r="W156" i="7"/>
  <c r="U156" i="7"/>
  <c r="T156" i="7"/>
  <c r="S156" i="7"/>
  <c r="R156" i="7"/>
  <c r="Q156" i="7"/>
  <c r="Y155" i="7"/>
  <c r="X155" i="7"/>
  <c r="W155" i="7"/>
  <c r="U155" i="7"/>
  <c r="T155" i="7"/>
  <c r="S155" i="7"/>
  <c r="R155" i="7"/>
  <c r="Q155" i="7"/>
  <c r="Y154" i="7"/>
  <c r="X154" i="7"/>
  <c r="W154" i="7"/>
  <c r="U154" i="7"/>
  <c r="T154" i="7"/>
  <c r="S154" i="7"/>
  <c r="R154" i="7"/>
  <c r="Q154" i="7"/>
  <c r="Y153" i="7"/>
  <c r="X153" i="7"/>
  <c r="W153" i="7"/>
  <c r="U153" i="7"/>
  <c r="T153" i="7"/>
  <c r="S153" i="7"/>
  <c r="R153" i="7"/>
  <c r="Q153" i="7"/>
  <c r="Y152" i="7"/>
  <c r="X152" i="7"/>
  <c r="W152" i="7"/>
  <c r="U152" i="7"/>
  <c r="T152" i="7"/>
  <c r="S152" i="7"/>
  <c r="R152" i="7"/>
  <c r="Q152" i="7"/>
  <c r="Y151" i="7"/>
  <c r="X151" i="7"/>
  <c r="W151" i="7"/>
  <c r="U151" i="7"/>
  <c r="T151" i="7"/>
  <c r="S151" i="7"/>
  <c r="R151" i="7"/>
  <c r="Q151" i="7"/>
  <c r="Y150" i="7"/>
  <c r="X150" i="7"/>
  <c r="W150" i="7"/>
  <c r="U150" i="7"/>
  <c r="T150" i="7"/>
  <c r="S150" i="7"/>
  <c r="R150" i="7"/>
  <c r="Q150" i="7"/>
  <c r="Y149" i="7"/>
  <c r="X149" i="7"/>
  <c r="W149" i="7"/>
  <c r="U149" i="7"/>
  <c r="T149" i="7"/>
  <c r="S149" i="7"/>
  <c r="R149" i="7"/>
  <c r="Q149" i="7"/>
  <c r="Y148" i="7"/>
  <c r="X148" i="7"/>
  <c r="W148" i="7"/>
  <c r="U148" i="7"/>
  <c r="T148" i="7"/>
  <c r="S148" i="7"/>
  <c r="R148" i="7"/>
  <c r="Q148" i="7"/>
  <c r="Y147" i="7"/>
  <c r="X147" i="7"/>
  <c r="W147" i="7"/>
  <c r="U147" i="7"/>
  <c r="T147" i="7"/>
  <c r="S147" i="7"/>
  <c r="R147" i="7"/>
  <c r="Q147" i="7"/>
  <c r="Y146" i="7"/>
  <c r="X146" i="7"/>
  <c r="W146" i="7"/>
  <c r="U146" i="7"/>
  <c r="T146" i="7"/>
  <c r="S146" i="7"/>
  <c r="R146" i="7"/>
  <c r="Q146" i="7"/>
  <c r="Y145" i="7"/>
  <c r="X145" i="7"/>
  <c r="W145" i="7"/>
  <c r="U145" i="7"/>
  <c r="T145" i="7"/>
  <c r="S145" i="7"/>
  <c r="R145" i="7"/>
  <c r="Q145" i="7"/>
  <c r="Y144" i="7"/>
  <c r="X144" i="7"/>
  <c r="W144" i="7"/>
  <c r="U144" i="7"/>
  <c r="T144" i="7"/>
  <c r="S144" i="7"/>
  <c r="R144" i="7"/>
  <c r="Q144" i="7"/>
  <c r="Y143" i="7"/>
  <c r="X143" i="7"/>
  <c r="W143" i="7"/>
  <c r="U143" i="7"/>
  <c r="T143" i="7"/>
  <c r="S143" i="7"/>
  <c r="R143" i="7"/>
  <c r="Q143" i="7"/>
  <c r="Y142" i="7"/>
  <c r="X142" i="7"/>
  <c r="W142" i="7"/>
  <c r="U142" i="7"/>
  <c r="T142" i="7"/>
  <c r="S142" i="7"/>
  <c r="R142" i="7"/>
  <c r="Q142" i="7"/>
  <c r="Y141" i="7"/>
  <c r="X141" i="7"/>
  <c r="W141" i="7"/>
  <c r="U141" i="7"/>
  <c r="T141" i="7"/>
  <c r="S141" i="7"/>
  <c r="R141" i="7"/>
  <c r="Q141" i="7"/>
  <c r="Y140" i="7"/>
  <c r="X140" i="7"/>
  <c r="W140" i="7"/>
  <c r="U140" i="7"/>
  <c r="T140" i="7"/>
  <c r="S140" i="7"/>
  <c r="R140" i="7"/>
  <c r="Q140" i="7"/>
  <c r="Y139" i="7"/>
  <c r="X139" i="7"/>
  <c r="W139" i="7"/>
  <c r="U139" i="7"/>
  <c r="T139" i="7"/>
  <c r="S139" i="7"/>
  <c r="R139" i="7"/>
  <c r="Q139" i="7"/>
  <c r="Y138" i="7"/>
  <c r="X138" i="7"/>
  <c r="W138" i="7"/>
  <c r="U138" i="7"/>
  <c r="T138" i="7"/>
  <c r="S138" i="7"/>
  <c r="R138" i="7"/>
  <c r="Q138" i="7"/>
  <c r="Y137" i="7"/>
  <c r="X137" i="7"/>
  <c r="W137" i="7"/>
  <c r="U137" i="7"/>
  <c r="T137" i="7"/>
  <c r="S137" i="7"/>
  <c r="R137" i="7"/>
  <c r="Q137" i="7"/>
  <c r="Y136" i="7"/>
  <c r="X136" i="7"/>
  <c r="W136" i="7"/>
  <c r="U136" i="7"/>
  <c r="T136" i="7"/>
  <c r="S136" i="7"/>
  <c r="R136" i="7"/>
  <c r="Q136" i="7"/>
  <c r="Y135" i="7"/>
  <c r="X135" i="7"/>
  <c r="W135" i="7"/>
  <c r="U135" i="7"/>
  <c r="T135" i="7"/>
  <c r="S135" i="7"/>
  <c r="R135" i="7"/>
  <c r="Q135" i="7"/>
  <c r="Y134" i="7"/>
  <c r="X134" i="7"/>
  <c r="W134" i="7"/>
  <c r="U134" i="7"/>
  <c r="T134" i="7"/>
  <c r="S134" i="7"/>
  <c r="R134" i="7"/>
  <c r="Q134" i="7"/>
  <c r="Y133" i="7"/>
  <c r="X133" i="7"/>
  <c r="W133" i="7"/>
  <c r="U133" i="7"/>
  <c r="T133" i="7"/>
  <c r="S133" i="7"/>
  <c r="R133" i="7"/>
  <c r="Q133" i="7"/>
  <c r="Y132" i="7"/>
  <c r="X132" i="7"/>
  <c r="W132" i="7"/>
  <c r="U132" i="7"/>
  <c r="T132" i="7"/>
  <c r="S132" i="7"/>
  <c r="R132" i="7"/>
  <c r="Q132" i="7"/>
  <c r="Y131" i="7"/>
  <c r="X131" i="7"/>
  <c r="W131" i="7"/>
  <c r="U131" i="7"/>
  <c r="T131" i="7"/>
  <c r="S131" i="7"/>
  <c r="R131" i="7"/>
  <c r="Q131" i="7"/>
  <c r="Y130" i="7"/>
  <c r="X130" i="7"/>
  <c r="W130" i="7"/>
  <c r="U130" i="7"/>
  <c r="T130" i="7"/>
  <c r="S130" i="7"/>
  <c r="R130" i="7"/>
  <c r="Q130" i="7"/>
  <c r="Y129" i="7"/>
  <c r="X129" i="7"/>
  <c r="W129" i="7"/>
  <c r="U129" i="7"/>
  <c r="T129" i="7"/>
  <c r="S129" i="7"/>
  <c r="R129" i="7"/>
  <c r="Q129" i="7"/>
  <c r="Y128" i="7"/>
  <c r="X128" i="7"/>
  <c r="W128" i="7"/>
  <c r="U128" i="7"/>
  <c r="T128" i="7"/>
  <c r="S128" i="7"/>
  <c r="R128" i="7"/>
  <c r="Q128" i="7"/>
  <c r="Y127" i="7"/>
  <c r="X127" i="7"/>
  <c r="W127" i="7"/>
  <c r="U127" i="7"/>
  <c r="T127" i="7"/>
  <c r="S127" i="7"/>
  <c r="R127" i="7"/>
  <c r="Q127" i="7"/>
  <c r="Y126" i="7"/>
  <c r="X126" i="7"/>
  <c r="W126" i="7"/>
  <c r="U126" i="7"/>
  <c r="T126" i="7"/>
  <c r="S126" i="7"/>
  <c r="R126" i="7"/>
  <c r="Q126" i="7"/>
  <c r="Y125" i="7"/>
  <c r="X125" i="7"/>
  <c r="W125" i="7"/>
  <c r="U125" i="7"/>
  <c r="T125" i="7"/>
  <c r="S125" i="7"/>
  <c r="R125" i="7"/>
  <c r="Q125" i="7"/>
  <c r="Y124" i="7"/>
  <c r="X124" i="7"/>
  <c r="W124" i="7"/>
  <c r="U124" i="7"/>
  <c r="T124" i="7"/>
  <c r="S124" i="7"/>
  <c r="R124" i="7"/>
  <c r="Q124" i="7"/>
  <c r="Y123" i="7"/>
  <c r="X123" i="7"/>
  <c r="W123" i="7"/>
  <c r="U123" i="7"/>
  <c r="T123" i="7"/>
  <c r="S123" i="7"/>
  <c r="R123" i="7"/>
  <c r="Q123" i="7"/>
  <c r="Y122" i="7"/>
  <c r="X122" i="7"/>
  <c r="W122" i="7"/>
  <c r="U122" i="7"/>
  <c r="T122" i="7"/>
  <c r="S122" i="7"/>
  <c r="R122" i="7"/>
  <c r="Q122" i="7"/>
  <c r="Y121" i="7"/>
  <c r="X121" i="7"/>
  <c r="W121" i="7"/>
  <c r="U121" i="7"/>
  <c r="T121" i="7"/>
  <c r="S121" i="7"/>
  <c r="R121" i="7"/>
  <c r="Q121" i="7"/>
  <c r="Y120" i="7"/>
  <c r="X120" i="7"/>
  <c r="W120" i="7"/>
  <c r="U120" i="7"/>
  <c r="T120" i="7"/>
  <c r="S120" i="7"/>
  <c r="R120" i="7"/>
  <c r="Q120" i="7"/>
  <c r="Y119" i="7"/>
  <c r="X119" i="7"/>
  <c r="W119" i="7"/>
  <c r="U119" i="7"/>
  <c r="T119" i="7"/>
  <c r="S119" i="7"/>
  <c r="R119" i="7"/>
  <c r="Q119" i="7"/>
  <c r="Y118" i="7"/>
  <c r="X118" i="7"/>
  <c r="W118" i="7"/>
  <c r="U118" i="7"/>
  <c r="T118" i="7"/>
  <c r="S118" i="7"/>
  <c r="R118" i="7"/>
  <c r="Q118" i="7"/>
  <c r="Y117" i="7"/>
  <c r="X117" i="7"/>
  <c r="W117" i="7"/>
  <c r="U117" i="7"/>
  <c r="T117" i="7"/>
  <c r="S117" i="7"/>
  <c r="R117" i="7"/>
  <c r="Q117" i="7"/>
  <c r="Y116" i="7"/>
  <c r="X116" i="7"/>
  <c r="W116" i="7"/>
  <c r="U116" i="7"/>
  <c r="T116" i="7"/>
  <c r="S116" i="7"/>
  <c r="R116" i="7"/>
  <c r="Q116" i="7"/>
  <c r="Y115" i="7"/>
  <c r="X115" i="7"/>
  <c r="W115" i="7"/>
  <c r="U115" i="7"/>
  <c r="T115" i="7"/>
  <c r="S115" i="7"/>
  <c r="R115" i="7"/>
  <c r="Q115" i="7"/>
  <c r="Y114" i="7"/>
  <c r="X114" i="7"/>
  <c r="W114" i="7"/>
  <c r="U114" i="7"/>
  <c r="T114" i="7"/>
  <c r="S114" i="7"/>
  <c r="R114" i="7"/>
  <c r="Q114" i="7"/>
  <c r="Y113" i="7"/>
  <c r="X113" i="7"/>
  <c r="W113" i="7"/>
  <c r="U113" i="7"/>
  <c r="T113" i="7"/>
  <c r="S113" i="7"/>
  <c r="R113" i="7"/>
  <c r="Q113" i="7"/>
  <c r="Y112" i="7"/>
  <c r="X112" i="7"/>
  <c r="W112" i="7"/>
  <c r="U112" i="7"/>
  <c r="T112" i="7"/>
  <c r="S112" i="7"/>
  <c r="R112" i="7"/>
  <c r="Q112" i="7"/>
  <c r="Y111" i="7"/>
  <c r="X111" i="7"/>
  <c r="W111" i="7"/>
  <c r="U111" i="7"/>
  <c r="T111" i="7"/>
  <c r="S111" i="7"/>
  <c r="R111" i="7"/>
  <c r="Q111" i="7"/>
  <c r="Y110" i="7"/>
  <c r="X110" i="7"/>
  <c r="W110" i="7"/>
  <c r="U110" i="7"/>
  <c r="T110" i="7"/>
  <c r="S110" i="7"/>
  <c r="R110" i="7"/>
  <c r="Q110" i="7"/>
  <c r="Y109" i="7"/>
  <c r="X109" i="7"/>
  <c r="W109" i="7"/>
  <c r="U109" i="7"/>
  <c r="T109" i="7"/>
  <c r="S109" i="7"/>
  <c r="R109" i="7"/>
  <c r="Q109" i="7"/>
  <c r="Y108" i="7"/>
  <c r="X108" i="7"/>
  <c r="W108" i="7"/>
  <c r="U108" i="7"/>
  <c r="T108" i="7"/>
  <c r="S108" i="7"/>
  <c r="R108" i="7"/>
  <c r="Q108" i="7"/>
  <c r="Y107" i="7"/>
  <c r="X107" i="7"/>
  <c r="W107" i="7"/>
  <c r="U107" i="7"/>
  <c r="T107" i="7"/>
  <c r="S107" i="7"/>
  <c r="R107" i="7"/>
  <c r="Q107" i="7"/>
  <c r="Y106" i="7"/>
  <c r="X106" i="7"/>
  <c r="W106" i="7"/>
  <c r="U106" i="7"/>
  <c r="T106" i="7"/>
  <c r="S106" i="7"/>
  <c r="R106" i="7"/>
  <c r="Q106" i="7"/>
  <c r="Y105" i="7"/>
  <c r="X105" i="7"/>
  <c r="W105" i="7"/>
  <c r="U105" i="7"/>
  <c r="T105" i="7"/>
  <c r="S105" i="7"/>
  <c r="R105" i="7"/>
  <c r="Q105" i="7"/>
  <c r="Y104" i="7"/>
  <c r="X104" i="7"/>
  <c r="W104" i="7"/>
  <c r="U104" i="7"/>
  <c r="T104" i="7"/>
  <c r="S104" i="7"/>
  <c r="R104" i="7"/>
  <c r="Q104" i="7"/>
  <c r="Y103" i="7"/>
  <c r="X103" i="7"/>
  <c r="W103" i="7"/>
  <c r="U103" i="7"/>
  <c r="T103" i="7"/>
  <c r="S103" i="7"/>
  <c r="R103" i="7"/>
  <c r="Q103" i="7"/>
  <c r="Y102" i="7"/>
  <c r="X102" i="7"/>
  <c r="W102" i="7"/>
  <c r="U102" i="7"/>
  <c r="T102" i="7"/>
  <c r="S102" i="7"/>
  <c r="R102" i="7"/>
  <c r="Q102" i="7"/>
  <c r="Y101" i="7"/>
  <c r="X101" i="7"/>
  <c r="W101" i="7"/>
  <c r="U101" i="7"/>
  <c r="T101" i="7"/>
  <c r="S101" i="7"/>
  <c r="R101" i="7"/>
  <c r="Q101" i="7"/>
  <c r="Y100" i="7"/>
  <c r="X100" i="7"/>
  <c r="W100" i="7"/>
  <c r="U100" i="7"/>
  <c r="T100" i="7"/>
  <c r="S100" i="7"/>
  <c r="R100" i="7"/>
  <c r="Q100" i="7"/>
  <c r="Y99" i="7"/>
  <c r="X99" i="7"/>
  <c r="W99" i="7"/>
  <c r="U99" i="7"/>
  <c r="T99" i="7"/>
  <c r="S99" i="7"/>
  <c r="R99" i="7"/>
  <c r="Q99" i="7"/>
  <c r="Y98" i="7"/>
  <c r="X98" i="7"/>
  <c r="W98" i="7"/>
  <c r="U98" i="7"/>
  <c r="T98" i="7"/>
  <c r="S98" i="7"/>
  <c r="R98" i="7"/>
  <c r="Q98" i="7"/>
  <c r="Y97" i="7"/>
  <c r="X97" i="7"/>
  <c r="W97" i="7"/>
  <c r="U97" i="7"/>
  <c r="T97" i="7"/>
  <c r="S97" i="7"/>
  <c r="R97" i="7"/>
  <c r="Q97" i="7"/>
  <c r="Y96" i="7"/>
  <c r="X96" i="7"/>
  <c r="W96" i="7"/>
  <c r="U96" i="7"/>
  <c r="T96" i="7"/>
  <c r="S96" i="7"/>
  <c r="R96" i="7"/>
  <c r="Q96" i="7"/>
  <c r="Y95" i="7"/>
  <c r="X95" i="7"/>
  <c r="W95" i="7"/>
  <c r="U95" i="7"/>
  <c r="T95" i="7"/>
  <c r="S95" i="7"/>
  <c r="R95" i="7"/>
  <c r="Q95" i="7"/>
  <c r="Y94" i="7"/>
  <c r="X94" i="7"/>
  <c r="W94" i="7"/>
  <c r="U94" i="7"/>
  <c r="T94" i="7"/>
  <c r="S94" i="7"/>
  <c r="R94" i="7"/>
  <c r="Q94" i="7"/>
  <c r="Y93" i="7"/>
  <c r="X93" i="7"/>
  <c r="W93" i="7"/>
  <c r="U93" i="7"/>
  <c r="T93" i="7"/>
  <c r="S93" i="7"/>
  <c r="R93" i="7"/>
  <c r="Q93" i="7"/>
  <c r="Y92" i="7"/>
  <c r="X92" i="7"/>
  <c r="W92" i="7"/>
  <c r="U92" i="7"/>
  <c r="T92" i="7"/>
  <c r="S92" i="7"/>
  <c r="R92" i="7"/>
  <c r="Q92" i="7"/>
  <c r="Y91" i="7"/>
  <c r="X91" i="7"/>
  <c r="W91" i="7"/>
  <c r="U91" i="7"/>
  <c r="T91" i="7"/>
  <c r="S91" i="7"/>
  <c r="R91" i="7"/>
  <c r="Q91" i="7"/>
  <c r="Y90" i="7"/>
  <c r="X90" i="7"/>
  <c r="W90" i="7"/>
  <c r="U90" i="7"/>
  <c r="T90" i="7"/>
  <c r="S90" i="7"/>
  <c r="R90" i="7"/>
  <c r="Q90" i="7"/>
  <c r="Y89" i="7"/>
  <c r="X89" i="7"/>
  <c r="W89" i="7"/>
  <c r="U89" i="7"/>
  <c r="T89" i="7"/>
  <c r="S89" i="7"/>
  <c r="R89" i="7"/>
  <c r="Q89" i="7"/>
  <c r="Y88" i="7"/>
  <c r="X88" i="7"/>
  <c r="W88" i="7"/>
  <c r="U88" i="7"/>
  <c r="T88" i="7"/>
  <c r="S88" i="7"/>
  <c r="R88" i="7"/>
  <c r="Q88" i="7"/>
  <c r="Y87" i="7"/>
  <c r="X87" i="7"/>
  <c r="W87" i="7"/>
  <c r="U87" i="7"/>
  <c r="T87" i="7"/>
  <c r="S87" i="7"/>
  <c r="R87" i="7"/>
  <c r="Q87" i="7"/>
  <c r="Y86" i="7"/>
  <c r="X86" i="7"/>
  <c r="W86" i="7"/>
  <c r="U86" i="7"/>
  <c r="T86" i="7"/>
  <c r="S86" i="7"/>
  <c r="R86" i="7"/>
  <c r="Q86" i="7"/>
  <c r="Y85" i="7"/>
  <c r="X85" i="7"/>
  <c r="W85" i="7"/>
  <c r="U85" i="7"/>
  <c r="T85" i="7"/>
  <c r="S85" i="7"/>
  <c r="R85" i="7"/>
  <c r="Q85" i="7"/>
  <c r="Y84" i="7"/>
  <c r="X84" i="7"/>
  <c r="W84" i="7"/>
  <c r="U84" i="7"/>
  <c r="T84" i="7"/>
  <c r="S84" i="7"/>
  <c r="R84" i="7"/>
  <c r="Q84" i="7"/>
  <c r="Y83" i="7"/>
  <c r="X83" i="7"/>
  <c r="W83" i="7"/>
  <c r="U83" i="7"/>
  <c r="T83" i="7"/>
  <c r="S83" i="7"/>
  <c r="R83" i="7"/>
  <c r="Q83" i="7"/>
  <c r="Y82" i="7"/>
  <c r="X82" i="7"/>
  <c r="W82" i="7"/>
  <c r="U82" i="7"/>
  <c r="T82" i="7"/>
  <c r="S82" i="7"/>
  <c r="R82" i="7"/>
  <c r="Q82" i="7"/>
  <c r="Y81" i="7"/>
  <c r="X81" i="7"/>
  <c r="W81" i="7"/>
  <c r="U81" i="7"/>
  <c r="T81" i="7"/>
  <c r="S81" i="7"/>
  <c r="R81" i="7"/>
  <c r="Q81" i="7"/>
  <c r="Y80" i="7"/>
  <c r="X80" i="7"/>
  <c r="W80" i="7"/>
  <c r="U80" i="7"/>
  <c r="T80" i="7"/>
  <c r="S80" i="7"/>
  <c r="R80" i="7"/>
  <c r="Q80" i="7"/>
  <c r="Y79" i="7"/>
  <c r="X79" i="7"/>
  <c r="W79" i="7"/>
  <c r="U79" i="7"/>
  <c r="T79" i="7"/>
  <c r="S79" i="7"/>
  <c r="R79" i="7"/>
  <c r="Q79" i="7"/>
  <c r="Y78" i="7"/>
  <c r="X78" i="7"/>
  <c r="W78" i="7"/>
  <c r="U78" i="7"/>
  <c r="T78" i="7"/>
  <c r="S78" i="7"/>
  <c r="R78" i="7"/>
  <c r="Q78" i="7"/>
  <c r="Y77" i="7"/>
  <c r="X77" i="7"/>
  <c r="W77" i="7"/>
  <c r="U77" i="7"/>
  <c r="T77" i="7"/>
  <c r="S77" i="7"/>
  <c r="R77" i="7"/>
  <c r="Q77" i="7"/>
  <c r="Y76" i="7"/>
  <c r="X76" i="7"/>
  <c r="W76" i="7"/>
  <c r="U76" i="7"/>
  <c r="T76" i="7"/>
  <c r="S76" i="7"/>
  <c r="R76" i="7"/>
  <c r="Q76" i="7"/>
  <c r="Y75" i="7"/>
  <c r="X75" i="7"/>
  <c r="W75" i="7"/>
  <c r="U75" i="7"/>
  <c r="T75" i="7"/>
  <c r="S75" i="7"/>
  <c r="R75" i="7"/>
  <c r="Q75" i="7"/>
  <c r="Y74" i="7"/>
  <c r="X74" i="7"/>
  <c r="W74" i="7"/>
  <c r="U74" i="7"/>
  <c r="T74" i="7"/>
  <c r="S74" i="7"/>
  <c r="R74" i="7"/>
  <c r="Q74" i="7"/>
  <c r="Y73" i="7"/>
  <c r="X73" i="7"/>
  <c r="W73" i="7"/>
  <c r="U73" i="7"/>
  <c r="T73" i="7"/>
  <c r="S73" i="7"/>
  <c r="R73" i="7"/>
  <c r="Q73" i="7"/>
  <c r="Y72" i="7"/>
  <c r="X72" i="7"/>
  <c r="W72" i="7"/>
  <c r="U72" i="7"/>
  <c r="T72" i="7"/>
  <c r="S72" i="7"/>
  <c r="R72" i="7"/>
  <c r="Q72" i="7"/>
  <c r="Y71" i="7"/>
  <c r="X71" i="7"/>
  <c r="W71" i="7"/>
  <c r="U71" i="7"/>
  <c r="T71" i="7"/>
  <c r="S71" i="7"/>
  <c r="R71" i="7"/>
  <c r="Q71" i="7"/>
  <c r="Y70" i="7"/>
  <c r="X70" i="7"/>
  <c r="W70" i="7"/>
  <c r="U70" i="7"/>
  <c r="T70" i="7"/>
  <c r="S70" i="7"/>
  <c r="R70" i="7"/>
  <c r="Q70" i="7"/>
  <c r="Y69" i="7"/>
  <c r="X69" i="7"/>
  <c r="W69" i="7"/>
  <c r="U69" i="7"/>
  <c r="T69" i="7"/>
  <c r="S69" i="7"/>
  <c r="R69" i="7"/>
  <c r="Q69" i="7"/>
  <c r="Y68" i="7"/>
  <c r="X68" i="7"/>
  <c r="W68" i="7"/>
  <c r="U68" i="7"/>
  <c r="T68" i="7"/>
  <c r="S68" i="7"/>
  <c r="R68" i="7"/>
  <c r="Q68" i="7"/>
  <c r="Y67" i="7"/>
  <c r="X67" i="7"/>
  <c r="W67" i="7"/>
  <c r="U67" i="7"/>
  <c r="T67" i="7"/>
  <c r="S67" i="7"/>
  <c r="R67" i="7"/>
  <c r="Q67" i="7"/>
  <c r="Y66" i="7"/>
  <c r="X66" i="7"/>
  <c r="W66" i="7"/>
  <c r="U66" i="7"/>
  <c r="T66" i="7"/>
  <c r="S66" i="7"/>
  <c r="R66" i="7"/>
  <c r="Q66" i="7"/>
  <c r="Y65" i="7"/>
  <c r="X65" i="7"/>
  <c r="W65" i="7"/>
  <c r="U65" i="7"/>
  <c r="T65" i="7"/>
  <c r="S65" i="7"/>
  <c r="R65" i="7"/>
  <c r="Q65" i="7"/>
  <c r="Y64" i="7"/>
  <c r="X64" i="7"/>
  <c r="W64" i="7"/>
  <c r="U64" i="7"/>
  <c r="T64" i="7"/>
  <c r="S64" i="7"/>
  <c r="R64" i="7"/>
  <c r="Q64" i="7"/>
  <c r="Y63" i="7"/>
  <c r="X63" i="7"/>
  <c r="W63" i="7"/>
  <c r="U63" i="7"/>
  <c r="T63" i="7"/>
  <c r="S63" i="7"/>
  <c r="R63" i="7"/>
  <c r="Q63" i="7"/>
  <c r="Y62" i="7"/>
  <c r="X62" i="7"/>
  <c r="W62" i="7"/>
  <c r="U62" i="7"/>
  <c r="T62" i="7"/>
  <c r="S62" i="7"/>
  <c r="R62" i="7"/>
  <c r="Q62" i="7"/>
  <c r="Y61" i="7"/>
  <c r="X61" i="7"/>
  <c r="W61" i="7"/>
  <c r="U61" i="7"/>
  <c r="T61" i="7"/>
  <c r="S61" i="7"/>
  <c r="R61" i="7"/>
  <c r="Q61" i="7"/>
  <c r="Y60" i="7"/>
  <c r="X60" i="7"/>
  <c r="W60" i="7"/>
  <c r="U60" i="7"/>
  <c r="T60" i="7"/>
  <c r="S60" i="7"/>
  <c r="R60" i="7"/>
  <c r="Q60" i="7"/>
  <c r="Y59" i="7"/>
  <c r="X59" i="7"/>
  <c r="W59" i="7"/>
  <c r="U59" i="7"/>
  <c r="T59" i="7"/>
  <c r="S59" i="7"/>
  <c r="R59" i="7"/>
  <c r="Q59" i="7"/>
  <c r="Y58" i="7"/>
  <c r="X58" i="7"/>
  <c r="W58" i="7"/>
  <c r="U58" i="7"/>
  <c r="T58" i="7"/>
  <c r="S58" i="7"/>
  <c r="R58" i="7"/>
  <c r="Q58" i="7"/>
  <c r="Y57" i="7"/>
  <c r="X57" i="7"/>
  <c r="W57" i="7"/>
  <c r="U57" i="7"/>
  <c r="T57" i="7"/>
  <c r="S57" i="7"/>
  <c r="R57" i="7"/>
  <c r="Q57" i="7"/>
  <c r="Y56" i="7"/>
  <c r="X56" i="7"/>
  <c r="W56" i="7"/>
  <c r="U56" i="7"/>
  <c r="T56" i="7"/>
  <c r="S56" i="7"/>
  <c r="R56" i="7"/>
  <c r="Q56" i="7"/>
  <c r="Y55" i="7"/>
  <c r="X55" i="7"/>
  <c r="W55" i="7"/>
  <c r="U55" i="7"/>
  <c r="T55" i="7"/>
  <c r="S55" i="7"/>
  <c r="R55" i="7"/>
  <c r="Q55" i="7"/>
  <c r="Y54" i="7"/>
  <c r="X54" i="7"/>
  <c r="W54" i="7"/>
  <c r="U54" i="7"/>
  <c r="T54" i="7"/>
  <c r="S54" i="7"/>
  <c r="R54" i="7"/>
  <c r="Q54" i="7"/>
  <c r="Y53" i="7"/>
  <c r="X53" i="7"/>
  <c r="W53" i="7"/>
  <c r="U53" i="7"/>
  <c r="T53" i="7"/>
  <c r="S53" i="7"/>
  <c r="R53" i="7"/>
  <c r="Q53" i="7"/>
  <c r="Y52" i="7"/>
  <c r="X52" i="7"/>
  <c r="W52" i="7"/>
  <c r="U52" i="7"/>
  <c r="T52" i="7"/>
  <c r="S52" i="7"/>
  <c r="R52" i="7"/>
  <c r="Q52" i="7"/>
  <c r="Y51" i="7"/>
  <c r="X51" i="7"/>
  <c r="W51" i="7"/>
  <c r="U51" i="7"/>
  <c r="T51" i="7"/>
  <c r="S51" i="7"/>
  <c r="R51" i="7"/>
  <c r="Q51" i="7"/>
  <c r="Y50" i="7"/>
  <c r="X50" i="7"/>
  <c r="W50" i="7"/>
  <c r="U50" i="7"/>
  <c r="T50" i="7"/>
  <c r="S50" i="7"/>
  <c r="R50" i="7"/>
  <c r="Q50" i="7"/>
  <c r="Y49" i="7"/>
  <c r="X49" i="7"/>
  <c r="W49" i="7"/>
  <c r="U49" i="7"/>
  <c r="T49" i="7"/>
  <c r="S49" i="7"/>
  <c r="R49" i="7"/>
  <c r="Q49" i="7"/>
  <c r="Y48" i="7"/>
  <c r="X48" i="7"/>
  <c r="W48" i="7"/>
  <c r="U48" i="7"/>
  <c r="T48" i="7"/>
  <c r="S48" i="7"/>
  <c r="R48" i="7"/>
  <c r="Q48" i="7"/>
  <c r="Y47" i="7"/>
  <c r="X47" i="7"/>
  <c r="W47" i="7"/>
  <c r="U47" i="7"/>
  <c r="T47" i="7"/>
  <c r="S47" i="7"/>
  <c r="R47" i="7"/>
  <c r="Q47" i="7"/>
  <c r="Y46" i="7"/>
  <c r="X46" i="7"/>
  <c r="W46" i="7"/>
  <c r="U46" i="7"/>
  <c r="T46" i="7"/>
  <c r="S46" i="7"/>
  <c r="R46" i="7"/>
  <c r="Q46" i="7"/>
  <c r="Y45" i="7"/>
  <c r="X45" i="7"/>
  <c r="W45" i="7"/>
  <c r="U45" i="7"/>
  <c r="T45" i="7"/>
  <c r="S45" i="7"/>
  <c r="R45" i="7"/>
  <c r="Q45" i="7"/>
  <c r="Y44" i="7"/>
  <c r="X44" i="7"/>
  <c r="W44" i="7"/>
  <c r="U44" i="7"/>
  <c r="T44" i="7"/>
  <c r="S44" i="7"/>
  <c r="R44" i="7"/>
  <c r="Q44" i="7"/>
  <c r="Y43" i="7"/>
  <c r="X43" i="7"/>
  <c r="W43" i="7"/>
  <c r="U43" i="7"/>
  <c r="T43" i="7"/>
  <c r="S43" i="7"/>
  <c r="R43" i="7"/>
  <c r="Q43" i="7"/>
  <c r="Y42" i="7"/>
  <c r="X42" i="7"/>
  <c r="W42" i="7"/>
  <c r="U42" i="7"/>
  <c r="T42" i="7"/>
  <c r="S42" i="7"/>
  <c r="R42" i="7"/>
  <c r="Q42" i="7"/>
  <c r="Y41" i="7"/>
  <c r="X41" i="7"/>
  <c r="W41" i="7"/>
  <c r="U41" i="7"/>
  <c r="T41" i="7"/>
  <c r="S41" i="7"/>
  <c r="R41" i="7"/>
  <c r="Q41" i="7"/>
  <c r="Y40" i="7"/>
  <c r="X40" i="7"/>
  <c r="W40" i="7"/>
  <c r="U40" i="7"/>
  <c r="T40" i="7"/>
  <c r="S40" i="7"/>
  <c r="R40" i="7"/>
  <c r="Q40" i="7"/>
  <c r="Y39" i="7"/>
  <c r="X39" i="7"/>
  <c r="W39" i="7"/>
  <c r="U39" i="7"/>
  <c r="T39" i="7"/>
  <c r="S39" i="7"/>
  <c r="R39" i="7"/>
  <c r="Q39" i="7"/>
  <c r="Y38" i="7"/>
  <c r="X38" i="7"/>
  <c r="W38" i="7"/>
  <c r="U38" i="7"/>
  <c r="T38" i="7"/>
  <c r="S38" i="7"/>
  <c r="R38" i="7"/>
  <c r="Q38" i="7"/>
  <c r="Y37" i="7"/>
  <c r="X37" i="7"/>
  <c r="W37" i="7"/>
  <c r="U37" i="7"/>
  <c r="T37" i="7"/>
  <c r="S37" i="7"/>
  <c r="R37" i="7"/>
  <c r="Q37" i="7"/>
  <c r="Y36" i="7"/>
  <c r="X36" i="7"/>
  <c r="W36" i="7"/>
  <c r="U36" i="7"/>
  <c r="T36" i="7"/>
  <c r="S36" i="7"/>
  <c r="R36" i="7"/>
  <c r="Q36" i="7"/>
  <c r="Y35" i="7"/>
  <c r="X35" i="7"/>
  <c r="W35" i="7"/>
  <c r="U35" i="7"/>
  <c r="T35" i="7"/>
  <c r="S35" i="7"/>
  <c r="R35" i="7"/>
  <c r="Q35" i="7"/>
  <c r="Y34" i="7"/>
  <c r="X34" i="7"/>
  <c r="W34" i="7"/>
  <c r="U34" i="7"/>
  <c r="T34" i="7"/>
  <c r="S34" i="7"/>
  <c r="R34" i="7"/>
  <c r="Q34" i="7"/>
  <c r="Y33" i="7"/>
  <c r="X33" i="7"/>
  <c r="W33" i="7"/>
  <c r="U33" i="7"/>
  <c r="T33" i="7"/>
  <c r="S33" i="7"/>
  <c r="R33" i="7"/>
  <c r="Q33" i="7"/>
  <c r="Y32" i="7"/>
  <c r="X32" i="7"/>
  <c r="W32" i="7"/>
  <c r="U32" i="7"/>
  <c r="T32" i="7"/>
  <c r="S32" i="7"/>
  <c r="R32" i="7"/>
  <c r="Q32" i="7"/>
  <c r="Y31" i="7"/>
  <c r="X31" i="7"/>
  <c r="W31" i="7"/>
  <c r="U31" i="7"/>
  <c r="T31" i="7"/>
  <c r="S31" i="7"/>
  <c r="R31" i="7"/>
  <c r="Q31" i="7"/>
  <c r="Y30" i="7"/>
  <c r="X30" i="7"/>
  <c r="W30" i="7"/>
  <c r="U30" i="7"/>
  <c r="T30" i="7"/>
  <c r="S30" i="7"/>
  <c r="R30" i="7"/>
  <c r="Q30" i="7"/>
  <c r="Y29" i="7"/>
  <c r="X29" i="7"/>
  <c r="W29" i="7"/>
  <c r="U29" i="7"/>
  <c r="T29" i="7"/>
  <c r="S29" i="7"/>
  <c r="R29" i="7"/>
  <c r="Q29" i="7"/>
  <c r="Y28" i="7"/>
  <c r="X28" i="7"/>
  <c r="W28" i="7"/>
  <c r="U28" i="7"/>
  <c r="T28" i="7"/>
  <c r="S28" i="7"/>
  <c r="R28" i="7"/>
  <c r="Q28" i="7"/>
  <c r="Y27" i="7"/>
  <c r="X27" i="7"/>
  <c r="W27" i="7"/>
  <c r="U27" i="7"/>
  <c r="T27" i="7"/>
  <c r="S27" i="7"/>
  <c r="R27" i="7"/>
  <c r="Q27" i="7"/>
  <c r="Y26" i="7"/>
  <c r="X26" i="7"/>
  <c r="W26" i="7"/>
  <c r="U26" i="7"/>
  <c r="T26" i="7"/>
  <c r="S26" i="7"/>
  <c r="R26" i="7"/>
  <c r="Q26" i="7"/>
  <c r="Y25" i="7"/>
  <c r="X25" i="7"/>
  <c r="W25" i="7"/>
  <c r="U25" i="7"/>
  <c r="T25" i="7"/>
  <c r="S25" i="7"/>
  <c r="R25" i="7"/>
  <c r="Q25" i="7"/>
  <c r="Y24" i="7"/>
  <c r="X24" i="7"/>
  <c r="W24" i="7"/>
  <c r="U24" i="7"/>
  <c r="T24" i="7"/>
  <c r="S24" i="7"/>
  <c r="R24" i="7"/>
  <c r="Q24" i="7"/>
  <c r="Y23" i="7"/>
  <c r="X23" i="7"/>
  <c r="W23" i="7"/>
  <c r="U23" i="7"/>
  <c r="T23" i="7"/>
  <c r="S23" i="7"/>
  <c r="R23" i="7"/>
  <c r="Q23" i="7"/>
  <c r="Y22" i="7"/>
  <c r="X22" i="7"/>
  <c r="W22" i="7"/>
  <c r="U22" i="7"/>
  <c r="T22" i="7"/>
  <c r="S22" i="7"/>
  <c r="R22" i="7"/>
  <c r="Q22" i="7"/>
  <c r="Y21" i="7"/>
  <c r="X21" i="7"/>
  <c r="W21" i="7"/>
  <c r="U21" i="7"/>
  <c r="T21" i="7"/>
  <c r="S21" i="7"/>
  <c r="R21" i="7"/>
  <c r="Q21" i="7"/>
  <c r="Y20" i="7"/>
  <c r="X20" i="7"/>
  <c r="W20" i="7"/>
  <c r="U20" i="7"/>
  <c r="T20" i="7"/>
  <c r="S20" i="7"/>
  <c r="R20" i="7"/>
  <c r="Q20" i="7"/>
  <c r="Y19" i="7"/>
  <c r="X19" i="7"/>
  <c r="W19" i="7"/>
  <c r="U19" i="7"/>
  <c r="T19" i="7"/>
  <c r="S19" i="7"/>
  <c r="R19" i="7"/>
  <c r="Q19" i="7"/>
  <c r="Y18" i="7"/>
  <c r="X18" i="7"/>
  <c r="W18" i="7"/>
  <c r="U18" i="7"/>
  <c r="T18" i="7"/>
  <c r="S18" i="7"/>
  <c r="R18" i="7"/>
  <c r="Q18" i="7"/>
  <c r="Y17" i="7"/>
  <c r="X17" i="7"/>
  <c r="W17" i="7"/>
  <c r="U17" i="7"/>
  <c r="T17" i="7"/>
  <c r="S17" i="7"/>
  <c r="R17" i="7"/>
  <c r="Q17" i="7"/>
  <c r="Y16" i="7"/>
  <c r="X16" i="7"/>
  <c r="W16" i="7"/>
  <c r="U16" i="7"/>
  <c r="T16" i="7"/>
  <c r="S16" i="7"/>
  <c r="R16" i="7"/>
  <c r="Q16" i="7"/>
  <c r="Y15" i="7"/>
  <c r="X15" i="7"/>
  <c r="W15" i="7"/>
  <c r="U15" i="7"/>
  <c r="T15" i="7"/>
  <c r="S15" i="7"/>
  <c r="R15" i="7"/>
  <c r="Q15" i="7"/>
  <c r="Y14" i="7"/>
  <c r="X14" i="7"/>
  <c r="W14" i="7"/>
  <c r="U14" i="7"/>
  <c r="T14" i="7"/>
  <c r="S14" i="7"/>
  <c r="R14" i="7"/>
  <c r="Q14" i="7"/>
  <c r="Y13" i="7"/>
  <c r="X13" i="7"/>
  <c r="W13" i="7"/>
  <c r="U13" i="7"/>
  <c r="T13" i="7"/>
  <c r="S13" i="7"/>
  <c r="R13" i="7"/>
  <c r="Q13" i="7"/>
  <c r="Y12" i="7"/>
  <c r="X12" i="7"/>
  <c r="W12" i="7"/>
  <c r="U12" i="7"/>
  <c r="T12" i="7"/>
  <c r="S12" i="7"/>
  <c r="R12" i="7"/>
  <c r="Q12" i="7"/>
  <c r="Y11" i="7"/>
  <c r="X11" i="7"/>
  <c r="W11" i="7"/>
  <c r="U11" i="7"/>
  <c r="T11" i="7"/>
  <c r="S11" i="7"/>
  <c r="R11" i="7"/>
  <c r="Q11" i="7"/>
  <c r="Y10" i="7"/>
  <c r="X10" i="7"/>
  <c r="W10" i="7"/>
  <c r="U10" i="7"/>
  <c r="T10" i="7"/>
  <c r="S10" i="7"/>
  <c r="R10" i="7"/>
  <c r="Q10" i="7"/>
  <c r="Y9" i="7"/>
  <c r="X9" i="7"/>
  <c r="W9" i="7"/>
  <c r="U9" i="7"/>
  <c r="T9" i="7"/>
  <c r="S9" i="7"/>
  <c r="R9" i="7"/>
  <c r="Q9" i="7"/>
  <c r="Y8" i="7"/>
  <c r="X8" i="7"/>
  <c r="W8" i="7"/>
  <c r="U8" i="7"/>
  <c r="T8" i="7"/>
  <c r="S8" i="7"/>
  <c r="R8" i="7"/>
  <c r="Q8" i="7"/>
  <c r="Y7" i="7"/>
  <c r="X7" i="7"/>
  <c r="W7" i="7"/>
  <c r="U7" i="7"/>
  <c r="T7" i="7"/>
  <c r="S7" i="7"/>
  <c r="R7" i="7"/>
  <c r="Q7" i="7"/>
  <c r="Y6" i="7"/>
  <c r="X6" i="7"/>
  <c r="W6" i="7"/>
  <c r="U6" i="7"/>
  <c r="T6" i="7"/>
  <c r="S6" i="7"/>
  <c r="R6" i="7"/>
  <c r="Q6" i="7"/>
  <c r="Y5" i="7"/>
  <c r="X5" i="7"/>
  <c r="W5" i="7"/>
  <c r="U5" i="7"/>
  <c r="T5" i="7"/>
  <c r="S5" i="7"/>
  <c r="R5" i="7"/>
  <c r="Q5" i="7"/>
  <c r="Y4" i="7"/>
  <c r="X4" i="7"/>
  <c r="W4" i="7"/>
  <c r="U4" i="7"/>
  <c r="T4" i="7"/>
  <c r="S4" i="7"/>
  <c r="R4" i="7"/>
  <c r="Q4" i="7"/>
  <c r="Y3" i="7"/>
  <c r="X3" i="7"/>
  <c r="W3" i="7"/>
  <c r="U3" i="7"/>
  <c r="T3" i="7"/>
  <c r="S3" i="7"/>
  <c r="R3" i="7"/>
  <c r="Q3" i="7"/>
  <c r="Y2" i="7"/>
  <c r="X2" i="7"/>
  <c r="W2" i="7"/>
  <c r="U2" i="7"/>
  <c r="T2" i="7"/>
  <c r="S2" i="7"/>
  <c r="R2" i="7"/>
  <c r="Q2" i="7"/>
  <c r="AA212" i="6"/>
  <c r="Z212" i="6"/>
  <c r="Y212" i="6"/>
  <c r="W212" i="6"/>
  <c r="V212" i="6"/>
  <c r="U212" i="6"/>
  <c r="T212" i="6"/>
  <c r="S212" i="6"/>
  <c r="AA211" i="6"/>
  <c r="Z211" i="6"/>
  <c r="Y211" i="6"/>
  <c r="W211" i="6"/>
  <c r="V211" i="6"/>
  <c r="U211" i="6"/>
  <c r="T211" i="6"/>
  <c r="S211" i="6"/>
  <c r="AA210" i="6"/>
  <c r="Z210" i="6"/>
  <c r="Y210" i="6"/>
  <c r="W210" i="6"/>
  <c r="V210" i="6"/>
  <c r="U210" i="6"/>
  <c r="T210" i="6"/>
  <c r="S210" i="6"/>
  <c r="AA209" i="6"/>
  <c r="Z209" i="6"/>
  <c r="Y209" i="6"/>
  <c r="W209" i="6"/>
  <c r="V209" i="6"/>
  <c r="U209" i="6"/>
  <c r="T209" i="6"/>
  <c r="S209" i="6"/>
  <c r="AA208" i="6"/>
  <c r="Z208" i="6"/>
  <c r="Y208" i="6"/>
  <c r="W208" i="6"/>
  <c r="V208" i="6"/>
  <c r="U208" i="6"/>
  <c r="T208" i="6"/>
  <c r="S208" i="6"/>
  <c r="AA207" i="6"/>
  <c r="Z207" i="6"/>
  <c r="Y207" i="6"/>
  <c r="W207" i="6"/>
  <c r="V207" i="6"/>
  <c r="U207" i="6"/>
  <c r="T207" i="6"/>
  <c r="S207" i="6"/>
  <c r="AA206" i="6"/>
  <c r="Z206" i="6"/>
  <c r="Y206" i="6"/>
  <c r="W206" i="6"/>
  <c r="V206" i="6"/>
  <c r="U206" i="6"/>
  <c r="T206" i="6"/>
  <c r="S206" i="6"/>
  <c r="AA205" i="6"/>
  <c r="Z205" i="6"/>
  <c r="Y205" i="6"/>
  <c r="W205" i="6"/>
  <c r="V205" i="6"/>
  <c r="U205" i="6"/>
  <c r="T205" i="6"/>
  <c r="S205" i="6"/>
  <c r="AA204" i="6"/>
  <c r="Z204" i="6"/>
  <c r="Y204" i="6"/>
  <c r="W204" i="6"/>
  <c r="V204" i="6"/>
  <c r="U204" i="6"/>
  <c r="T204" i="6"/>
  <c r="S204" i="6"/>
  <c r="AA203" i="6"/>
  <c r="Z203" i="6"/>
  <c r="Y203" i="6"/>
  <c r="W203" i="6"/>
  <c r="V203" i="6"/>
  <c r="U203" i="6"/>
  <c r="T203" i="6"/>
  <c r="S203" i="6"/>
  <c r="AA202" i="6"/>
  <c r="Z202" i="6"/>
  <c r="Y202" i="6"/>
  <c r="W202" i="6"/>
  <c r="V202" i="6"/>
  <c r="U202" i="6"/>
  <c r="T202" i="6"/>
  <c r="S202" i="6"/>
  <c r="AA201" i="6"/>
  <c r="Z201" i="6"/>
  <c r="Y201" i="6"/>
  <c r="W201" i="6"/>
  <c r="V201" i="6"/>
  <c r="U201" i="6"/>
  <c r="T201" i="6"/>
  <c r="S201" i="6"/>
  <c r="AA200" i="6"/>
  <c r="Z200" i="6"/>
  <c r="Y200" i="6"/>
  <c r="W200" i="6"/>
  <c r="V200" i="6"/>
  <c r="U200" i="6"/>
  <c r="T200" i="6"/>
  <c r="S200" i="6"/>
  <c r="AA199" i="6"/>
  <c r="Z199" i="6"/>
  <c r="Y199" i="6"/>
  <c r="W199" i="6"/>
  <c r="V199" i="6"/>
  <c r="U199" i="6"/>
  <c r="T199" i="6"/>
  <c r="S199" i="6"/>
  <c r="AA198" i="6"/>
  <c r="Z198" i="6"/>
  <c r="Y198" i="6"/>
  <c r="W198" i="6"/>
  <c r="V198" i="6"/>
  <c r="U198" i="6"/>
  <c r="T198" i="6"/>
  <c r="S198" i="6"/>
  <c r="AA197" i="6"/>
  <c r="Z197" i="6"/>
  <c r="Y197" i="6"/>
  <c r="W197" i="6"/>
  <c r="V197" i="6"/>
  <c r="U197" i="6"/>
  <c r="T197" i="6"/>
  <c r="S197" i="6"/>
  <c r="AA196" i="6"/>
  <c r="Z196" i="6"/>
  <c r="Y196" i="6"/>
  <c r="W196" i="6"/>
  <c r="V196" i="6"/>
  <c r="U196" i="6"/>
  <c r="T196" i="6"/>
  <c r="S196" i="6"/>
  <c r="AA195" i="6"/>
  <c r="Z195" i="6"/>
  <c r="Y195" i="6"/>
  <c r="W195" i="6"/>
  <c r="V195" i="6"/>
  <c r="U195" i="6"/>
  <c r="T195" i="6"/>
  <c r="S195" i="6"/>
  <c r="AA194" i="6"/>
  <c r="Z194" i="6"/>
  <c r="Y194" i="6"/>
  <c r="W194" i="6"/>
  <c r="V194" i="6"/>
  <c r="U194" i="6"/>
  <c r="T194" i="6"/>
  <c r="S194" i="6"/>
  <c r="AA193" i="6"/>
  <c r="Z193" i="6"/>
  <c r="Y193" i="6"/>
  <c r="W193" i="6"/>
  <c r="V193" i="6"/>
  <c r="U193" i="6"/>
  <c r="T193" i="6"/>
  <c r="S193" i="6"/>
  <c r="AA192" i="6"/>
  <c r="Z192" i="6"/>
  <c r="Y192" i="6"/>
  <c r="W192" i="6"/>
  <c r="V192" i="6"/>
  <c r="U192" i="6"/>
  <c r="T192" i="6"/>
  <c r="S192" i="6"/>
  <c r="AA191" i="6"/>
  <c r="Z191" i="6"/>
  <c r="Y191" i="6"/>
  <c r="W191" i="6"/>
  <c r="V191" i="6"/>
  <c r="U191" i="6"/>
  <c r="T191" i="6"/>
  <c r="S191" i="6"/>
  <c r="AA190" i="6"/>
  <c r="Z190" i="6"/>
  <c r="Y190" i="6"/>
  <c r="W190" i="6"/>
  <c r="V190" i="6"/>
  <c r="U190" i="6"/>
  <c r="T190" i="6"/>
  <c r="S190" i="6"/>
  <c r="AA189" i="6"/>
  <c r="Z189" i="6"/>
  <c r="Y189" i="6"/>
  <c r="W189" i="6"/>
  <c r="V189" i="6"/>
  <c r="U189" i="6"/>
  <c r="T189" i="6"/>
  <c r="S189" i="6"/>
  <c r="AA188" i="6"/>
  <c r="Z188" i="6"/>
  <c r="Y188" i="6"/>
  <c r="W188" i="6"/>
  <c r="V188" i="6"/>
  <c r="U188" i="6"/>
  <c r="T188" i="6"/>
  <c r="S188" i="6"/>
  <c r="AA187" i="6"/>
  <c r="Z187" i="6"/>
  <c r="Y187" i="6"/>
  <c r="W187" i="6"/>
  <c r="V187" i="6"/>
  <c r="U187" i="6"/>
  <c r="T187" i="6"/>
  <c r="S187" i="6"/>
  <c r="AA186" i="6"/>
  <c r="Z186" i="6"/>
  <c r="Y186" i="6"/>
  <c r="W186" i="6"/>
  <c r="V186" i="6"/>
  <c r="U186" i="6"/>
  <c r="T186" i="6"/>
  <c r="S186" i="6"/>
  <c r="AA185" i="6"/>
  <c r="Z185" i="6"/>
  <c r="Y185" i="6"/>
  <c r="W185" i="6"/>
  <c r="V185" i="6"/>
  <c r="U185" i="6"/>
  <c r="T185" i="6"/>
  <c r="S185" i="6"/>
  <c r="AA184" i="6"/>
  <c r="Z184" i="6"/>
  <c r="Y184" i="6"/>
  <c r="W184" i="6"/>
  <c r="V184" i="6"/>
  <c r="U184" i="6"/>
  <c r="T184" i="6"/>
  <c r="S184" i="6"/>
  <c r="AA183" i="6"/>
  <c r="Z183" i="6"/>
  <c r="Y183" i="6"/>
  <c r="W183" i="6"/>
  <c r="V183" i="6"/>
  <c r="U183" i="6"/>
  <c r="T183" i="6"/>
  <c r="S183" i="6"/>
  <c r="AA182" i="6"/>
  <c r="Z182" i="6"/>
  <c r="Y182" i="6"/>
  <c r="W182" i="6"/>
  <c r="V182" i="6"/>
  <c r="U182" i="6"/>
  <c r="T182" i="6"/>
  <c r="S182" i="6"/>
  <c r="AA181" i="6"/>
  <c r="Z181" i="6"/>
  <c r="Y181" i="6"/>
  <c r="W181" i="6"/>
  <c r="V181" i="6"/>
  <c r="U181" i="6"/>
  <c r="T181" i="6"/>
  <c r="S181" i="6"/>
  <c r="AA180" i="6"/>
  <c r="Z180" i="6"/>
  <c r="Y180" i="6"/>
  <c r="W180" i="6"/>
  <c r="V180" i="6"/>
  <c r="U180" i="6"/>
  <c r="T180" i="6"/>
  <c r="S180" i="6"/>
  <c r="AA179" i="6"/>
  <c r="Z179" i="6"/>
  <c r="Y179" i="6"/>
  <c r="W179" i="6"/>
  <c r="V179" i="6"/>
  <c r="U179" i="6"/>
  <c r="T179" i="6"/>
  <c r="S179" i="6"/>
  <c r="AA178" i="6"/>
  <c r="Z178" i="6"/>
  <c r="Y178" i="6"/>
  <c r="W178" i="6"/>
  <c r="V178" i="6"/>
  <c r="U178" i="6"/>
  <c r="T178" i="6"/>
  <c r="S178" i="6"/>
  <c r="AA177" i="6"/>
  <c r="Z177" i="6"/>
  <c r="Y177" i="6"/>
  <c r="W177" i="6"/>
  <c r="V177" i="6"/>
  <c r="U177" i="6"/>
  <c r="T177" i="6"/>
  <c r="S177" i="6"/>
  <c r="AA176" i="6"/>
  <c r="Z176" i="6"/>
  <c r="Y176" i="6"/>
  <c r="W176" i="6"/>
  <c r="V176" i="6"/>
  <c r="U176" i="6"/>
  <c r="T176" i="6"/>
  <c r="S176" i="6"/>
  <c r="AA175" i="6"/>
  <c r="Z175" i="6"/>
  <c r="Y175" i="6"/>
  <c r="W175" i="6"/>
  <c r="V175" i="6"/>
  <c r="U175" i="6"/>
  <c r="T175" i="6"/>
  <c r="S175" i="6"/>
  <c r="AA174" i="6"/>
  <c r="Z174" i="6"/>
  <c r="Y174" i="6"/>
  <c r="W174" i="6"/>
  <c r="V174" i="6"/>
  <c r="U174" i="6"/>
  <c r="T174" i="6"/>
  <c r="S174" i="6"/>
  <c r="AA173" i="6"/>
  <c r="Z173" i="6"/>
  <c r="Y173" i="6"/>
  <c r="W173" i="6"/>
  <c r="V173" i="6"/>
  <c r="U173" i="6"/>
  <c r="T173" i="6"/>
  <c r="S173" i="6"/>
  <c r="AA172" i="6"/>
  <c r="Z172" i="6"/>
  <c r="Y172" i="6"/>
  <c r="W172" i="6"/>
  <c r="V172" i="6"/>
  <c r="U172" i="6"/>
  <c r="T172" i="6"/>
  <c r="S172" i="6"/>
  <c r="AA171" i="6"/>
  <c r="Z171" i="6"/>
  <c r="Y171" i="6"/>
  <c r="W171" i="6"/>
  <c r="V171" i="6"/>
  <c r="U171" i="6"/>
  <c r="T171" i="6"/>
  <c r="S171" i="6"/>
  <c r="AA170" i="6"/>
  <c r="Z170" i="6"/>
  <c r="Y170" i="6"/>
  <c r="W170" i="6"/>
  <c r="V170" i="6"/>
  <c r="U170" i="6"/>
  <c r="T170" i="6"/>
  <c r="S170" i="6"/>
  <c r="AA169" i="6"/>
  <c r="Z169" i="6"/>
  <c r="Y169" i="6"/>
  <c r="W169" i="6"/>
  <c r="V169" i="6"/>
  <c r="U169" i="6"/>
  <c r="T169" i="6"/>
  <c r="S169" i="6"/>
  <c r="AA168" i="6"/>
  <c r="Z168" i="6"/>
  <c r="Y168" i="6"/>
  <c r="W168" i="6"/>
  <c r="V168" i="6"/>
  <c r="U168" i="6"/>
  <c r="T168" i="6"/>
  <c r="S168" i="6"/>
  <c r="AA167" i="6"/>
  <c r="Z167" i="6"/>
  <c r="Y167" i="6"/>
  <c r="W167" i="6"/>
  <c r="V167" i="6"/>
  <c r="U167" i="6"/>
  <c r="T167" i="6"/>
  <c r="S167" i="6"/>
  <c r="AA166" i="6"/>
  <c r="Z166" i="6"/>
  <c r="Y166" i="6"/>
  <c r="W166" i="6"/>
  <c r="V166" i="6"/>
  <c r="U166" i="6"/>
  <c r="T166" i="6"/>
  <c r="S166" i="6"/>
  <c r="AA165" i="6"/>
  <c r="Z165" i="6"/>
  <c r="Y165" i="6"/>
  <c r="W165" i="6"/>
  <c r="V165" i="6"/>
  <c r="U165" i="6"/>
  <c r="T165" i="6"/>
  <c r="S165" i="6"/>
  <c r="AA164" i="6"/>
  <c r="Z164" i="6"/>
  <c r="Y164" i="6"/>
  <c r="W164" i="6"/>
  <c r="V164" i="6"/>
  <c r="U164" i="6"/>
  <c r="T164" i="6"/>
  <c r="S164" i="6"/>
  <c r="AA163" i="6"/>
  <c r="Z163" i="6"/>
  <c r="Y163" i="6"/>
  <c r="W163" i="6"/>
  <c r="V163" i="6"/>
  <c r="U163" i="6"/>
  <c r="T163" i="6"/>
  <c r="S163" i="6"/>
  <c r="AA162" i="6"/>
  <c r="Z162" i="6"/>
  <c r="Y162" i="6"/>
  <c r="W162" i="6"/>
  <c r="V162" i="6"/>
  <c r="U162" i="6"/>
  <c r="T162" i="6"/>
  <c r="S162" i="6"/>
  <c r="AA161" i="6"/>
  <c r="Z161" i="6"/>
  <c r="Y161" i="6"/>
  <c r="W161" i="6"/>
  <c r="V161" i="6"/>
  <c r="U161" i="6"/>
  <c r="T161" i="6"/>
  <c r="S161" i="6"/>
  <c r="AA160" i="6"/>
  <c r="Z160" i="6"/>
  <c r="Y160" i="6"/>
  <c r="W160" i="6"/>
  <c r="V160" i="6"/>
  <c r="U160" i="6"/>
  <c r="T160" i="6"/>
  <c r="S160" i="6"/>
  <c r="AA159" i="6"/>
  <c r="Z159" i="6"/>
  <c r="Y159" i="6"/>
  <c r="W159" i="6"/>
  <c r="V159" i="6"/>
  <c r="U159" i="6"/>
  <c r="T159" i="6"/>
  <c r="S159" i="6"/>
  <c r="AA158" i="6"/>
  <c r="Z158" i="6"/>
  <c r="Y158" i="6"/>
  <c r="W158" i="6"/>
  <c r="V158" i="6"/>
  <c r="U158" i="6"/>
  <c r="T158" i="6"/>
  <c r="S158" i="6"/>
  <c r="AA157" i="6"/>
  <c r="Z157" i="6"/>
  <c r="Y157" i="6"/>
  <c r="W157" i="6"/>
  <c r="V157" i="6"/>
  <c r="U157" i="6"/>
  <c r="T157" i="6"/>
  <c r="S157" i="6"/>
  <c r="AA156" i="6"/>
  <c r="Z156" i="6"/>
  <c r="Y156" i="6"/>
  <c r="W156" i="6"/>
  <c r="V156" i="6"/>
  <c r="U156" i="6"/>
  <c r="T156" i="6"/>
  <c r="S156" i="6"/>
  <c r="AA155" i="6"/>
  <c r="Z155" i="6"/>
  <c r="Y155" i="6"/>
  <c r="W155" i="6"/>
  <c r="V155" i="6"/>
  <c r="U155" i="6"/>
  <c r="T155" i="6"/>
  <c r="S155" i="6"/>
  <c r="AA154" i="6"/>
  <c r="Z154" i="6"/>
  <c r="Y154" i="6"/>
  <c r="W154" i="6"/>
  <c r="V154" i="6"/>
  <c r="U154" i="6"/>
  <c r="T154" i="6"/>
  <c r="S154" i="6"/>
  <c r="AA153" i="6"/>
  <c r="Z153" i="6"/>
  <c r="Y153" i="6"/>
  <c r="W153" i="6"/>
  <c r="V153" i="6"/>
  <c r="U153" i="6"/>
  <c r="T153" i="6"/>
  <c r="S153" i="6"/>
  <c r="AA152" i="6"/>
  <c r="Z152" i="6"/>
  <c r="Y152" i="6"/>
  <c r="W152" i="6"/>
  <c r="V152" i="6"/>
  <c r="U152" i="6"/>
  <c r="T152" i="6"/>
  <c r="S152" i="6"/>
  <c r="AA151" i="6"/>
  <c r="Z151" i="6"/>
  <c r="Y151" i="6"/>
  <c r="W151" i="6"/>
  <c r="V151" i="6"/>
  <c r="U151" i="6"/>
  <c r="T151" i="6"/>
  <c r="S151" i="6"/>
  <c r="AA150" i="6"/>
  <c r="Z150" i="6"/>
  <c r="Y150" i="6"/>
  <c r="W150" i="6"/>
  <c r="V150" i="6"/>
  <c r="U150" i="6"/>
  <c r="T150" i="6"/>
  <c r="S150" i="6"/>
  <c r="AA149" i="6"/>
  <c r="Z149" i="6"/>
  <c r="Y149" i="6"/>
  <c r="W149" i="6"/>
  <c r="V149" i="6"/>
  <c r="U149" i="6"/>
  <c r="T149" i="6"/>
  <c r="S149" i="6"/>
  <c r="AA148" i="6"/>
  <c r="Z148" i="6"/>
  <c r="Y148" i="6"/>
  <c r="W148" i="6"/>
  <c r="V148" i="6"/>
  <c r="U148" i="6"/>
  <c r="T148" i="6"/>
  <c r="S148" i="6"/>
  <c r="AA147" i="6"/>
  <c r="Z147" i="6"/>
  <c r="Y147" i="6"/>
  <c r="W147" i="6"/>
  <c r="V147" i="6"/>
  <c r="U147" i="6"/>
  <c r="T147" i="6"/>
  <c r="S147" i="6"/>
  <c r="AA146" i="6"/>
  <c r="Z146" i="6"/>
  <c r="Y146" i="6"/>
  <c r="W146" i="6"/>
  <c r="V146" i="6"/>
  <c r="U146" i="6"/>
  <c r="T146" i="6"/>
  <c r="S146" i="6"/>
  <c r="AA145" i="6"/>
  <c r="Z145" i="6"/>
  <c r="Y145" i="6"/>
  <c r="W145" i="6"/>
  <c r="V145" i="6"/>
  <c r="U145" i="6"/>
  <c r="T145" i="6"/>
  <c r="S145" i="6"/>
  <c r="AA144" i="6"/>
  <c r="Z144" i="6"/>
  <c r="Y144" i="6"/>
  <c r="W144" i="6"/>
  <c r="V144" i="6"/>
  <c r="U144" i="6"/>
  <c r="T144" i="6"/>
  <c r="S144" i="6"/>
  <c r="AA143" i="6"/>
  <c r="Z143" i="6"/>
  <c r="Y143" i="6"/>
  <c r="W143" i="6"/>
  <c r="V143" i="6"/>
  <c r="U143" i="6"/>
  <c r="T143" i="6"/>
  <c r="S143" i="6"/>
  <c r="AA142" i="6"/>
  <c r="Z142" i="6"/>
  <c r="Y142" i="6"/>
  <c r="W142" i="6"/>
  <c r="V142" i="6"/>
  <c r="U142" i="6"/>
  <c r="T142" i="6"/>
  <c r="S142" i="6"/>
  <c r="AA141" i="6"/>
  <c r="Z141" i="6"/>
  <c r="Y141" i="6"/>
  <c r="W141" i="6"/>
  <c r="V141" i="6"/>
  <c r="U141" i="6"/>
  <c r="T141" i="6"/>
  <c r="S141" i="6"/>
  <c r="AA140" i="6"/>
  <c r="Z140" i="6"/>
  <c r="Y140" i="6"/>
  <c r="W140" i="6"/>
  <c r="V140" i="6"/>
  <c r="U140" i="6"/>
  <c r="T140" i="6"/>
  <c r="S140" i="6"/>
  <c r="AA139" i="6"/>
  <c r="Z139" i="6"/>
  <c r="Y139" i="6"/>
  <c r="W139" i="6"/>
  <c r="V139" i="6"/>
  <c r="U139" i="6"/>
  <c r="T139" i="6"/>
  <c r="S139" i="6"/>
  <c r="AA138" i="6"/>
  <c r="Z138" i="6"/>
  <c r="Y138" i="6"/>
  <c r="W138" i="6"/>
  <c r="V138" i="6"/>
  <c r="U138" i="6"/>
  <c r="T138" i="6"/>
  <c r="S138" i="6"/>
  <c r="AA137" i="6"/>
  <c r="Z137" i="6"/>
  <c r="Y137" i="6"/>
  <c r="W137" i="6"/>
  <c r="V137" i="6"/>
  <c r="U137" i="6"/>
  <c r="T137" i="6"/>
  <c r="S137" i="6"/>
  <c r="AA136" i="6"/>
  <c r="Z136" i="6"/>
  <c r="Y136" i="6"/>
  <c r="W136" i="6"/>
  <c r="V136" i="6"/>
  <c r="U136" i="6"/>
  <c r="T136" i="6"/>
  <c r="S136" i="6"/>
  <c r="AA135" i="6"/>
  <c r="Z135" i="6"/>
  <c r="Y135" i="6"/>
  <c r="W135" i="6"/>
  <c r="V135" i="6"/>
  <c r="U135" i="6"/>
  <c r="T135" i="6"/>
  <c r="S135" i="6"/>
  <c r="AA134" i="6"/>
  <c r="Z134" i="6"/>
  <c r="Y134" i="6"/>
  <c r="W134" i="6"/>
  <c r="V134" i="6"/>
  <c r="U134" i="6"/>
  <c r="T134" i="6"/>
  <c r="S134" i="6"/>
  <c r="AA133" i="6"/>
  <c r="Z133" i="6"/>
  <c r="Y133" i="6"/>
  <c r="W133" i="6"/>
  <c r="V133" i="6"/>
  <c r="U133" i="6"/>
  <c r="T133" i="6"/>
  <c r="S133" i="6"/>
  <c r="AA132" i="6"/>
  <c r="Z132" i="6"/>
  <c r="Y132" i="6"/>
  <c r="W132" i="6"/>
  <c r="V132" i="6"/>
  <c r="U132" i="6"/>
  <c r="T132" i="6"/>
  <c r="S132" i="6"/>
  <c r="AA131" i="6"/>
  <c r="Z131" i="6"/>
  <c r="Y131" i="6"/>
  <c r="W131" i="6"/>
  <c r="V131" i="6"/>
  <c r="U131" i="6"/>
  <c r="T131" i="6"/>
  <c r="S131" i="6"/>
  <c r="AA130" i="6"/>
  <c r="Z130" i="6"/>
  <c r="Y130" i="6"/>
  <c r="W130" i="6"/>
  <c r="V130" i="6"/>
  <c r="U130" i="6"/>
  <c r="T130" i="6"/>
  <c r="S130" i="6"/>
  <c r="AA129" i="6"/>
  <c r="Z129" i="6"/>
  <c r="Y129" i="6"/>
  <c r="W129" i="6"/>
  <c r="V129" i="6"/>
  <c r="U129" i="6"/>
  <c r="T129" i="6"/>
  <c r="S129" i="6"/>
  <c r="AA128" i="6"/>
  <c r="Z128" i="6"/>
  <c r="Y128" i="6"/>
  <c r="W128" i="6"/>
  <c r="V128" i="6"/>
  <c r="U128" i="6"/>
  <c r="T128" i="6"/>
  <c r="S128" i="6"/>
  <c r="AA127" i="6"/>
  <c r="Z127" i="6"/>
  <c r="Y127" i="6"/>
  <c r="W127" i="6"/>
  <c r="V127" i="6"/>
  <c r="U127" i="6"/>
  <c r="T127" i="6"/>
  <c r="S127" i="6"/>
  <c r="AA126" i="6"/>
  <c r="Z126" i="6"/>
  <c r="Y126" i="6"/>
  <c r="W126" i="6"/>
  <c r="V126" i="6"/>
  <c r="U126" i="6"/>
  <c r="T126" i="6"/>
  <c r="S126" i="6"/>
  <c r="AA125" i="6"/>
  <c r="Z125" i="6"/>
  <c r="Y125" i="6"/>
  <c r="W125" i="6"/>
  <c r="V125" i="6"/>
  <c r="U125" i="6"/>
  <c r="T125" i="6"/>
  <c r="S125" i="6"/>
  <c r="AA124" i="6"/>
  <c r="Z124" i="6"/>
  <c r="Y124" i="6"/>
  <c r="W124" i="6"/>
  <c r="V124" i="6"/>
  <c r="U124" i="6"/>
  <c r="T124" i="6"/>
  <c r="S124" i="6"/>
  <c r="AA123" i="6"/>
  <c r="Z123" i="6"/>
  <c r="Y123" i="6"/>
  <c r="W123" i="6"/>
  <c r="V123" i="6"/>
  <c r="U123" i="6"/>
  <c r="T123" i="6"/>
  <c r="S123" i="6"/>
  <c r="AA122" i="6"/>
  <c r="Z122" i="6"/>
  <c r="Y122" i="6"/>
  <c r="W122" i="6"/>
  <c r="V122" i="6"/>
  <c r="U122" i="6"/>
  <c r="T122" i="6"/>
  <c r="S122" i="6"/>
  <c r="AA121" i="6"/>
  <c r="Z121" i="6"/>
  <c r="Y121" i="6"/>
  <c r="W121" i="6"/>
  <c r="V121" i="6"/>
  <c r="U121" i="6"/>
  <c r="T121" i="6"/>
  <c r="S121" i="6"/>
  <c r="AA120" i="6"/>
  <c r="Z120" i="6"/>
  <c r="Y120" i="6"/>
  <c r="W120" i="6"/>
  <c r="V120" i="6"/>
  <c r="U120" i="6"/>
  <c r="T120" i="6"/>
  <c r="S120" i="6"/>
  <c r="AA119" i="6"/>
  <c r="Z119" i="6"/>
  <c r="Y119" i="6"/>
  <c r="W119" i="6"/>
  <c r="V119" i="6"/>
  <c r="U119" i="6"/>
  <c r="T119" i="6"/>
  <c r="S119" i="6"/>
  <c r="AA118" i="6"/>
  <c r="Z118" i="6"/>
  <c r="Y118" i="6"/>
  <c r="W118" i="6"/>
  <c r="V118" i="6"/>
  <c r="U118" i="6"/>
  <c r="T118" i="6"/>
  <c r="S118" i="6"/>
  <c r="AA117" i="6"/>
  <c r="Z117" i="6"/>
  <c r="Y117" i="6"/>
  <c r="W117" i="6"/>
  <c r="V117" i="6"/>
  <c r="U117" i="6"/>
  <c r="T117" i="6"/>
  <c r="S117" i="6"/>
  <c r="AA116" i="6"/>
  <c r="Z116" i="6"/>
  <c r="Y116" i="6"/>
  <c r="W116" i="6"/>
  <c r="V116" i="6"/>
  <c r="U116" i="6"/>
  <c r="T116" i="6"/>
  <c r="S116" i="6"/>
  <c r="AA115" i="6"/>
  <c r="Z115" i="6"/>
  <c r="Y115" i="6"/>
  <c r="W115" i="6"/>
  <c r="V115" i="6"/>
  <c r="U115" i="6"/>
  <c r="T115" i="6"/>
  <c r="S115" i="6"/>
  <c r="AA114" i="6"/>
  <c r="Z114" i="6"/>
  <c r="Y114" i="6"/>
  <c r="W114" i="6"/>
  <c r="V114" i="6"/>
  <c r="U114" i="6"/>
  <c r="T114" i="6"/>
  <c r="S114" i="6"/>
  <c r="AA113" i="6"/>
  <c r="Z113" i="6"/>
  <c r="Y113" i="6"/>
  <c r="W113" i="6"/>
  <c r="V113" i="6"/>
  <c r="U113" i="6"/>
  <c r="T113" i="6"/>
  <c r="S113" i="6"/>
  <c r="AA112" i="6"/>
  <c r="Z112" i="6"/>
  <c r="Y112" i="6"/>
  <c r="W112" i="6"/>
  <c r="V112" i="6"/>
  <c r="U112" i="6"/>
  <c r="T112" i="6"/>
  <c r="S112" i="6"/>
  <c r="AA111" i="6"/>
  <c r="Z111" i="6"/>
  <c r="Y111" i="6"/>
  <c r="W111" i="6"/>
  <c r="V111" i="6"/>
  <c r="U111" i="6"/>
  <c r="T111" i="6"/>
  <c r="S111" i="6"/>
  <c r="AA110" i="6"/>
  <c r="Z110" i="6"/>
  <c r="Y110" i="6"/>
  <c r="W110" i="6"/>
  <c r="V110" i="6"/>
  <c r="U110" i="6"/>
  <c r="T110" i="6"/>
  <c r="S110" i="6"/>
  <c r="AA109" i="6"/>
  <c r="Z109" i="6"/>
  <c r="Y109" i="6"/>
  <c r="W109" i="6"/>
  <c r="V109" i="6"/>
  <c r="U109" i="6"/>
  <c r="T109" i="6"/>
  <c r="S109" i="6"/>
  <c r="AA108" i="6"/>
  <c r="Z108" i="6"/>
  <c r="Y108" i="6"/>
  <c r="W108" i="6"/>
  <c r="V108" i="6"/>
  <c r="U108" i="6"/>
  <c r="T108" i="6"/>
  <c r="S108" i="6"/>
  <c r="AA107" i="6"/>
  <c r="Z107" i="6"/>
  <c r="Y107" i="6"/>
  <c r="W107" i="6"/>
  <c r="V107" i="6"/>
  <c r="U107" i="6"/>
  <c r="T107" i="6"/>
  <c r="S107" i="6"/>
  <c r="AA106" i="6"/>
  <c r="Z106" i="6"/>
  <c r="Y106" i="6"/>
  <c r="W106" i="6"/>
  <c r="V106" i="6"/>
  <c r="U106" i="6"/>
  <c r="T106" i="6"/>
  <c r="S106" i="6"/>
  <c r="AA105" i="6"/>
  <c r="Z105" i="6"/>
  <c r="Y105" i="6"/>
  <c r="W105" i="6"/>
  <c r="V105" i="6"/>
  <c r="U105" i="6"/>
  <c r="T105" i="6"/>
  <c r="S105" i="6"/>
  <c r="AA104" i="6"/>
  <c r="Z104" i="6"/>
  <c r="Y104" i="6"/>
  <c r="W104" i="6"/>
  <c r="V104" i="6"/>
  <c r="U104" i="6"/>
  <c r="T104" i="6"/>
  <c r="S104" i="6"/>
  <c r="AA103" i="6"/>
  <c r="Z103" i="6"/>
  <c r="Y103" i="6"/>
  <c r="W103" i="6"/>
  <c r="V103" i="6"/>
  <c r="U103" i="6"/>
  <c r="T103" i="6"/>
  <c r="S103" i="6"/>
  <c r="AA102" i="6"/>
  <c r="Z102" i="6"/>
  <c r="Y102" i="6"/>
  <c r="W102" i="6"/>
  <c r="V102" i="6"/>
  <c r="U102" i="6"/>
  <c r="T102" i="6"/>
  <c r="S102" i="6"/>
  <c r="AA101" i="6"/>
  <c r="Z101" i="6"/>
  <c r="Y101" i="6"/>
  <c r="W101" i="6"/>
  <c r="V101" i="6"/>
  <c r="U101" i="6"/>
  <c r="T101" i="6"/>
  <c r="S101" i="6"/>
  <c r="AA100" i="6"/>
  <c r="Z100" i="6"/>
  <c r="Y100" i="6"/>
  <c r="W100" i="6"/>
  <c r="V100" i="6"/>
  <c r="U100" i="6"/>
  <c r="T100" i="6"/>
  <c r="S100" i="6"/>
  <c r="AA99" i="6"/>
  <c r="Z99" i="6"/>
  <c r="Y99" i="6"/>
  <c r="W99" i="6"/>
  <c r="V99" i="6"/>
  <c r="U99" i="6"/>
  <c r="T99" i="6"/>
  <c r="S99" i="6"/>
  <c r="AA98" i="6"/>
  <c r="Z98" i="6"/>
  <c r="Y98" i="6"/>
  <c r="W98" i="6"/>
  <c r="V98" i="6"/>
  <c r="U98" i="6"/>
  <c r="T98" i="6"/>
  <c r="S98" i="6"/>
  <c r="AA97" i="6"/>
  <c r="Z97" i="6"/>
  <c r="Y97" i="6"/>
  <c r="W97" i="6"/>
  <c r="V97" i="6"/>
  <c r="U97" i="6"/>
  <c r="T97" i="6"/>
  <c r="S97" i="6"/>
  <c r="AA96" i="6"/>
  <c r="Z96" i="6"/>
  <c r="Y96" i="6"/>
  <c r="W96" i="6"/>
  <c r="V96" i="6"/>
  <c r="U96" i="6"/>
  <c r="T96" i="6"/>
  <c r="S96" i="6"/>
  <c r="AA95" i="6"/>
  <c r="Z95" i="6"/>
  <c r="Y95" i="6"/>
  <c r="W95" i="6"/>
  <c r="V95" i="6"/>
  <c r="U95" i="6"/>
  <c r="T95" i="6"/>
  <c r="S95" i="6"/>
  <c r="AA94" i="6"/>
  <c r="Z94" i="6"/>
  <c r="Y94" i="6"/>
  <c r="W94" i="6"/>
  <c r="V94" i="6"/>
  <c r="U94" i="6"/>
  <c r="T94" i="6"/>
  <c r="S94" i="6"/>
  <c r="AA93" i="6"/>
  <c r="Z93" i="6"/>
  <c r="Y93" i="6"/>
  <c r="W93" i="6"/>
  <c r="V93" i="6"/>
  <c r="U93" i="6"/>
  <c r="T93" i="6"/>
  <c r="S93" i="6"/>
  <c r="AA92" i="6"/>
  <c r="Z92" i="6"/>
  <c r="Y92" i="6"/>
  <c r="W92" i="6"/>
  <c r="V92" i="6"/>
  <c r="U92" i="6"/>
  <c r="T92" i="6"/>
  <c r="S92" i="6"/>
  <c r="AA91" i="6"/>
  <c r="Z91" i="6"/>
  <c r="Y91" i="6"/>
  <c r="W91" i="6"/>
  <c r="V91" i="6"/>
  <c r="U91" i="6"/>
  <c r="T91" i="6"/>
  <c r="S91" i="6"/>
  <c r="AA90" i="6"/>
  <c r="Z90" i="6"/>
  <c r="Y90" i="6"/>
  <c r="W90" i="6"/>
  <c r="V90" i="6"/>
  <c r="U90" i="6"/>
  <c r="T90" i="6"/>
  <c r="S90" i="6"/>
  <c r="AA89" i="6"/>
  <c r="Z89" i="6"/>
  <c r="Y89" i="6"/>
  <c r="W89" i="6"/>
  <c r="V89" i="6"/>
  <c r="U89" i="6"/>
  <c r="T89" i="6"/>
  <c r="S89" i="6"/>
  <c r="AA88" i="6"/>
  <c r="Z88" i="6"/>
  <c r="Y88" i="6"/>
  <c r="W88" i="6"/>
  <c r="V88" i="6"/>
  <c r="U88" i="6"/>
  <c r="T88" i="6"/>
  <c r="S88" i="6"/>
  <c r="AA87" i="6"/>
  <c r="Z87" i="6"/>
  <c r="Y87" i="6"/>
  <c r="W87" i="6"/>
  <c r="V87" i="6"/>
  <c r="U87" i="6"/>
  <c r="T87" i="6"/>
  <c r="S87" i="6"/>
  <c r="AA86" i="6"/>
  <c r="Z86" i="6"/>
  <c r="Y86" i="6"/>
  <c r="W86" i="6"/>
  <c r="V86" i="6"/>
  <c r="U86" i="6"/>
  <c r="T86" i="6"/>
  <c r="S86" i="6"/>
  <c r="AA85" i="6"/>
  <c r="Z85" i="6"/>
  <c r="Y85" i="6"/>
  <c r="W85" i="6"/>
  <c r="V85" i="6"/>
  <c r="U85" i="6"/>
  <c r="T85" i="6"/>
  <c r="S85" i="6"/>
  <c r="AA84" i="6"/>
  <c r="Z84" i="6"/>
  <c r="Y84" i="6"/>
  <c r="W84" i="6"/>
  <c r="V84" i="6"/>
  <c r="U84" i="6"/>
  <c r="T84" i="6"/>
  <c r="S84" i="6"/>
  <c r="AA83" i="6"/>
  <c r="Z83" i="6"/>
  <c r="Y83" i="6"/>
  <c r="W83" i="6"/>
  <c r="V83" i="6"/>
  <c r="U83" i="6"/>
  <c r="T83" i="6"/>
  <c r="S83" i="6"/>
  <c r="AA82" i="6"/>
  <c r="Z82" i="6"/>
  <c r="Y82" i="6"/>
  <c r="W82" i="6"/>
  <c r="V82" i="6"/>
  <c r="U82" i="6"/>
  <c r="T82" i="6"/>
  <c r="S82" i="6"/>
  <c r="AA81" i="6"/>
  <c r="Z81" i="6"/>
  <c r="Y81" i="6"/>
  <c r="W81" i="6"/>
  <c r="V81" i="6"/>
  <c r="U81" i="6"/>
  <c r="T81" i="6"/>
  <c r="S81" i="6"/>
  <c r="AA80" i="6"/>
  <c r="Z80" i="6"/>
  <c r="Y80" i="6"/>
  <c r="W80" i="6"/>
  <c r="V80" i="6"/>
  <c r="U80" i="6"/>
  <c r="T80" i="6"/>
  <c r="S80" i="6"/>
  <c r="AA79" i="6"/>
  <c r="Z79" i="6"/>
  <c r="Y79" i="6"/>
  <c r="W79" i="6"/>
  <c r="V79" i="6"/>
  <c r="U79" i="6"/>
  <c r="T79" i="6"/>
  <c r="S79" i="6"/>
  <c r="AA78" i="6"/>
  <c r="Z78" i="6"/>
  <c r="Y78" i="6"/>
  <c r="W78" i="6"/>
  <c r="V78" i="6"/>
  <c r="U78" i="6"/>
  <c r="T78" i="6"/>
  <c r="S78" i="6"/>
  <c r="AA77" i="6"/>
  <c r="Z77" i="6"/>
  <c r="Y77" i="6"/>
  <c r="W77" i="6"/>
  <c r="V77" i="6"/>
  <c r="U77" i="6"/>
  <c r="T77" i="6"/>
  <c r="S77" i="6"/>
  <c r="AA76" i="6"/>
  <c r="Z76" i="6"/>
  <c r="Y76" i="6"/>
  <c r="W76" i="6"/>
  <c r="V76" i="6"/>
  <c r="U76" i="6"/>
  <c r="T76" i="6"/>
  <c r="S76" i="6"/>
  <c r="AA75" i="6"/>
  <c r="Z75" i="6"/>
  <c r="Y75" i="6"/>
  <c r="W75" i="6"/>
  <c r="V75" i="6"/>
  <c r="U75" i="6"/>
  <c r="T75" i="6"/>
  <c r="S75" i="6"/>
  <c r="AA74" i="6"/>
  <c r="Z74" i="6"/>
  <c r="Y74" i="6"/>
  <c r="W74" i="6"/>
  <c r="V74" i="6"/>
  <c r="U74" i="6"/>
  <c r="T74" i="6"/>
  <c r="S74" i="6"/>
  <c r="AA73" i="6"/>
  <c r="Z73" i="6"/>
  <c r="Y73" i="6"/>
  <c r="W73" i="6"/>
  <c r="V73" i="6"/>
  <c r="U73" i="6"/>
  <c r="T73" i="6"/>
  <c r="S73" i="6"/>
  <c r="AA72" i="6"/>
  <c r="Z72" i="6"/>
  <c r="Y72" i="6"/>
  <c r="W72" i="6"/>
  <c r="V72" i="6"/>
  <c r="U72" i="6"/>
  <c r="T72" i="6"/>
  <c r="S72" i="6"/>
  <c r="AA71" i="6"/>
  <c r="Z71" i="6"/>
  <c r="Y71" i="6"/>
  <c r="W71" i="6"/>
  <c r="V71" i="6"/>
  <c r="U71" i="6"/>
  <c r="T71" i="6"/>
  <c r="S71" i="6"/>
  <c r="AA70" i="6"/>
  <c r="Z70" i="6"/>
  <c r="Y70" i="6"/>
  <c r="W70" i="6"/>
  <c r="V70" i="6"/>
  <c r="U70" i="6"/>
  <c r="T70" i="6"/>
  <c r="S70" i="6"/>
  <c r="AA69" i="6"/>
  <c r="Z69" i="6"/>
  <c r="Y69" i="6"/>
  <c r="W69" i="6"/>
  <c r="V69" i="6"/>
  <c r="U69" i="6"/>
  <c r="T69" i="6"/>
  <c r="S69" i="6"/>
  <c r="AA68" i="6"/>
  <c r="Z68" i="6"/>
  <c r="Y68" i="6"/>
  <c r="W68" i="6"/>
  <c r="V68" i="6"/>
  <c r="U68" i="6"/>
  <c r="T68" i="6"/>
  <c r="S68" i="6"/>
  <c r="AA67" i="6"/>
  <c r="Z67" i="6"/>
  <c r="Y67" i="6"/>
  <c r="W67" i="6"/>
  <c r="V67" i="6"/>
  <c r="U67" i="6"/>
  <c r="T67" i="6"/>
  <c r="S67" i="6"/>
  <c r="AA66" i="6"/>
  <c r="Z66" i="6"/>
  <c r="Y66" i="6"/>
  <c r="W66" i="6"/>
  <c r="V66" i="6"/>
  <c r="U66" i="6"/>
  <c r="T66" i="6"/>
  <c r="S66" i="6"/>
  <c r="AA65" i="6"/>
  <c r="Z65" i="6"/>
  <c r="Y65" i="6"/>
  <c r="W65" i="6"/>
  <c r="V65" i="6"/>
  <c r="U65" i="6"/>
  <c r="T65" i="6"/>
  <c r="S65" i="6"/>
  <c r="AA64" i="6"/>
  <c r="Z64" i="6"/>
  <c r="Y64" i="6"/>
  <c r="W64" i="6"/>
  <c r="V64" i="6"/>
  <c r="U64" i="6"/>
  <c r="T64" i="6"/>
  <c r="S64" i="6"/>
  <c r="AA63" i="6"/>
  <c r="Z63" i="6"/>
  <c r="Y63" i="6"/>
  <c r="W63" i="6"/>
  <c r="V63" i="6"/>
  <c r="U63" i="6"/>
  <c r="T63" i="6"/>
  <c r="S63" i="6"/>
  <c r="AA62" i="6"/>
  <c r="Z62" i="6"/>
  <c r="Y62" i="6"/>
  <c r="W62" i="6"/>
  <c r="V62" i="6"/>
  <c r="U62" i="6"/>
  <c r="T62" i="6"/>
  <c r="S62" i="6"/>
  <c r="AA61" i="6"/>
  <c r="Z61" i="6"/>
  <c r="Y61" i="6"/>
  <c r="W61" i="6"/>
  <c r="V61" i="6"/>
  <c r="U61" i="6"/>
  <c r="T61" i="6"/>
  <c r="S61" i="6"/>
  <c r="AA60" i="6"/>
  <c r="Z60" i="6"/>
  <c r="Y60" i="6"/>
  <c r="W60" i="6"/>
  <c r="V60" i="6"/>
  <c r="U60" i="6"/>
  <c r="T60" i="6"/>
  <c r="S60" i="6"/>
  <c r="AA59" i="6"/>
  <c r="Z59" i="6"/>
  <c r="Y59" i="6"/>
  <c r="W59" i="6"/>
  <c r="V59" i="6"/>
  <c r="U59" i="6"/>
  <c r="T59" i="6"/>
  <c r="S59" i="6"/>
  <c r="AA58" i="6"/>
  <c r="Z58" i="6"/>
  <c r="Y58" i="6"/>
  <c r="W58" i="6"/>
  <c r="V58" i="6"/>
  <c r="U58" i="6"/>
  <c r="T58" i="6"/>
  <c r="S58" i="6"/>
  <c r="AA57" i="6"/>
  <c r="Z57" i="6"/>
  <c r="Y57" i="6"/>
  <c r="W57" i="6"/>
  <c r="V57" i="6"/>
  <c r="U57" i="6"/>
  <c r="T57" i="6"/>
  <c r="S57" i="6"/>
  <c r="AA56" i="6"/>
  <c r="Z56" i="6"/>
  <c r="Y56" i="6"/>
  <c r="W56" i="6"/>
  <c r="V56" i="6"/>
  <c r="U56" i="6"/>
  <c r="T56" i="6"/>
  <c r="S56" i="6"/>
  <c r="AA55" i="6"/>
  <c r="Z55" i="6"/>
  <c r="Y55" i="6"/>
  <c r="W55" i="6"/>
  <c r="V55" i="6"/>
  <c r="U55" i="6"/>
  <c r="T55" i="6"/>
  <c r="S55" i="6"/>
  <c r="AA54" i="6"/>
  <c r="Z54" i="6"/>
  <c r="Y54" i="6"/>
  <c r="W54" i="6"/>
  <c r="V54" i="6"/>
  <c r="U54" i="6"/>
  <c r="T54" i="6"/>
  <c r="S54" i="6"/>
  <c r="AA53" i="6"/>
  <c r="Z53" i="6"/>
  <c r="Y53" i="6"/>
  <c r="W53" i="6"/>
  <c r="V53" i="6"/>
  <c r="U53" i="6"/>
  <c r="T53" i="6"/>
  <c r="S53" i="6"/>
  <c r="AA52" i="6"/>
  <c r="Z52" i="6"/>
  <c r="Y52" i="6"/>
  <c r="W52" i="6"/>
  <c r="V52" i="6"/>
  <c r="U52" i="6"/>
  <c r="T52" i="6"/>
  <c r="S52" i="6"/>
  <c r="AA51" i="6"/>
  <c r="Z51" i="6"/>
  <c r="Y51" i="6"/>
  <c r="W51" i="6"/>
  <c r="V51" i="6"/>
  <c r="U51" i="6"/>
  <c r="T51" i="6"/>
  <c r="S51" i="6"/>
  <c r="AA50" i="6"/>
  <c r="Z50" i="6"/>
  <c r="Y50" i="6"/>
  <c r="W50" i="6"/>
  <c r="V50" i="6"/>
  <c r="U50" i="6"/>
  <c r="T50" i="6"/>
  <c r="S50" i="6"/>
  <c r="AA49" i="6"/>
  <c r="Z49" i="6"/>
  <c r="Y49" i="6"/>
  <c r="W49" i="6"/>
  <c r="V49" i="6"/>
  <c r="U49" i="6"/>
  <c r="T49" i="6"/>
  <c r="S49" i="6"/>
  <c r="AA48" i="6"/>
  <c r="Z48" i="6"/>
  <c r="Y48" i="6"/>
  <c r="W48" i="6"/>
  <c r="V48" i="6"/>
  <c r="U48" i="6"/>
  <c r="T48" i="6"/>
  <c r="S48" i="6"/>
  <c r="AA47" i="6"/>
  <c r="Z47" i="6"/>
  <c r="Y47" i="6"/>
  <c r="W47" i="6"/>
  <c r="V47" i="6"/>
  <c r="U47" i="6"/>
  <c r="T47" i="6"/>
  <c r="S47" i="6"/>
  <c r="AA46" i="6"/>
  <c r="Z46" i="6"/>
  <c r="Y46" i="6"/>
  <c r="W46" i="6"/>
  <c r="V46" i="6"/>
  <c r="U46" i="6"/>
  <c r="T46" i="6"/>
  <c r="S46" i="6"/>
  <c r="AA45" i="6"/>
  <c r="Z45" i="6"/>
  <c r="Y45" i="6"/>
  <c r="W45" i="6"/>
  <c r="V45" i="6"/>
  <c r="U45" i="6"/>
  <c r="T45" i="6"/>
  <c r="S45" i="6"/>
  <c r="AA44" i="6"/>
  <c r="Z44" i="6"/>
  <c r="Y44" i="6"/>
  <c r="W44" i="6"/>
  <c r="V44" i="6"/>
  <c r="U44" i="6"/>
  <c r="T44" i="6"/>
  <c r="S44" i="6"/>
  <c r="AA43" i="6"/>
  <c r="Z43" i="6"/>
  <c r="Y43" i="6"/>
  <c r="W43" i="6"/>
  <c r="V43" i="6"/>
  <c r="U43" i="6"/>
  <c r="T43" i="6"/>
  <c r="S43" i="6"/>
  <c r="AA42" i="6"/>
  <c r="Z42" i="6"/>
  <c r="Y42" i="6"/>
  <c r="W42" i="6"/>
  <c r="V42" i="6"/>
  <c r="U42" i="6"/>
  <c r="T42" i="6"/>
  <c r="S42" i="6"/>
  <c r="AA41" i="6"/>
  <c r="Z41" i="6"/>
  <c r="Y41" i="6"/>
  <c r="W41" i="6"/>
  <c r="V41" i="6"/>
  <c r="U41" i="6"/>
  <c r="T41" i="6"/>
  <c r="S41" i="6"/>
  <c r="AA40" i="6"/>
  <c r="Z40" i="6"/>
  <c r="Y40" i="6"/>
  <c r="W40" i="6"/>
  <c r="V40" i="6"/>
  <c r="U40" i="6"/>
  <c r="T40" i="6"/>
  <c r="S40" i="6"/>
  <c r="AA39" i="6"/>
  <c r="Z39" i="6"/>
  <c r="Y39" i="6"/>
  <c r="W39" i="6"/>
  <c r="V39" i="6"/>
  <c r="U39" i="6"/>
  <c r="T39" i="6"/>
  <c r="S39" i="6"/>
  <c r="AA38" i="6"/>
  <c r="Z38" i="6"/>
  <c r="Y38" i="6"/>
  <c r="W38" i="6"/>
  <c r="V38" i="6"/>
  <c r="U38" i="6"/>
  <c r="T38" i="6"/>
  <c r="S38" i="6"/>
  <c r="AA37" i="6"/>
  <c r="Z37" i="6"/>
  <c r="Y37" i="6"/>
  <c r="W37" i="6"/>
  <c r="V37" i="6"/>
  <c r="U37" i="6"/>
  <c r="T37" i="6"/>
  <c r="S37" i="6"/>
  <c r="AA36" i="6"/>
  <c r="Z36" i="6"/>
  <c r="Y36" i="6"/>
  <c r="W36" i="6"/>
  <c r="V36" i="6"/>
  <c r="U36" i="6"/>
  <c r="T36" i="6"/>
  <c r="S36" i="6"/>
  <c r="AA35" i="6"/>
  <c r="Z35" i="6"/>
  <c r="Y35" i="6"/>
  <c r="W35" i="6"/>
  <c r="V35" i="6"/>
  <c r="U35" i="6"/>
  <c r="T35" i="6"/>
  <c r="S35" i="6"/>
  <c r="AA34" i="6"/>
  <c r="Z34" i="6"/>
  <c r="Y34" i="6"/>
  <c r="W34" i="6"/>
  <c r="V34" i="6"/>
  <c r="U34" i="6"/>
  <c r="T34" i="6"/>
  <c r="S34" i="6"/>
  <c r="AA33" i="6"/>
  <c r="Z33" i="6"/>
  <c r="Y33" i="6"/>
  <c r="W33" i="6"/>
  <c r="V33" i="6"/>
  <c r="U33" i="6"/>
  <c r="T33" i="6"/>
  <c r="S33" i="6"/>
  <c r="AA32" i="6"/>
  <c r="Z32" i="6"/>
  <c r="Y32" i="6"/>
  <c r="W32" i="6"/>
  <c r="V32" i="6"/>
  <c r="U32" i="6"/>
  <c r="T32" i="6"/>
  <c r="S32" i="6"/>
  <c r="AA31" i="6"/>
  <c r="Z31" i="6"/>
  <c r="Y31" i="6"/>
  <c r="W31" i="6"/>
  <c r="V31" i="6"/>
  <c r="U31" i="6"/>
  <c r="T31" i="6"/>
  <c r="S31" i="6"/>
  <c r="AA30" i="6"/>
  <c r="Z30" i="6"/>
  <c r="Y30" i="6"/>
  <c r="W30" i="6"/>
  <c r="V30" i="6"/>
  <c r="U30" i="6"/>
  <c r="T30" i="6"/>
  <c r="S30" i="6"/>
  <c r="AA29" i="6"/>
  <c r="Z29" i="6"/>
  <c r="Y29" i="6"/>
  <c r="W29" i="6"/>
  <c r="V29" i="6"/>
  <c r="U29" i="6"/>
  <c r="T29" i="6"/>
  <c r="S29" i="6"/>
  <c r="AA28" i="6"/>
  <c r="Z28" i="6"/>
  <c r="Y28" i="6"/>
  <c r="W28" i="6"/>
  <c r="V28" i="6"/>
  <c r="U28" i="6"/>
  <c r="T28" i="6"/>
  <c r="S28" i="6"/>
  <c r="AA27" i="6"/>
  <c r="Z27" i="6"/>
  <c r="Y27" i="6"/>
  <c r="W27" i="6"/>
  <c r="V27" i="6"/>
  <c r="U27" i="6"/>
  <c r="T27" i="6"/>
  <c r="S27" i="6"/>
  <c r="AA26" i="6"/>
  <c r="Z26" i="6"/>
  <c r="Y26" i="6"/>
  <c r="W26" i="6"/>
  <c r="V26" i="6"/>
  <c r="U26" i="6"/>
  <c r="T26" i="6"/>
  <c r="S26" i="6"/>
  <c r="AA25" i="6"/>
  <c r="Z25" i="6"/>
  <c r="Y25" i="6"/>
  <c r="W25" i="6"/>
  <c r="V25" i="6"/>
  <c r="U25" i="6"/>
  <c r="T25" i="6"/>
  <c r="S25" i="6"/>
  <c r="AA24" i="6"/>
  <c r="Z24" i="6"/>
  <c r="Y24" i="6"/>
  <c r="W24" i="6"/>
  <c r="V24" i="6"/>
  <c r="U24" i="6"/>
  <c r="T24" i="6"/>
  <c r="S24" i="6"/>
  <c r="AA23" i="6"/>
  <c r="Z23" i="6"/>
  <c r="Y23" i="6"/>
  <c r="W23" i="6"/>
  <c r="V23" i="6"/>
  <c r="U23" i="6"/>
  <c r="T23" i="6"/>
  <c r="S23" i="6"/>
  <c r="AA22" i="6"/>
  <c r="Z22" i="6"/>
  <c r="Y22" i="6"/>
  <c r="W22" i="6"/>
  <c r="V22" i="6"/>
  <c r="U22" i="6"/>
  <c r="T22" i="6"/>
  <c r="S22" i="6"/>
  <c r="AA21" i="6"/>
  <c r="Z21" i="6"/>
  <c r="Y21" i="6"/>
  <c r="W21" i="6"/>
  <c r="V21" i="6"/>
  <c r="U21" i="6"/>
  <c r="T21" i="6"/>
  <c r="S21" i="6"/>
  <c r="AA20" i="6"/>
  <c r="Z20" i="6"/>
  <c r="Y20" i="6"/>
  <c r="W20" i="6"/>
  <c r="V20" i="6"/>
  <c r="U20" i="6"/>
  <c r="T20" i="6"/>
  <c r="S20" i="6"/>
  <c r="AA19" i="6"/>
  <c r="Z19" i="6"/>
  <c r="Y19" i="6"/>
  <c r="W19" i="6"/>
  <c r="V19" i="6"/>
  <c r="U19" i="6"/>
  <c r="T19" i="6"/>
  <c r="S19" i="6"/>
  <c r="AA18" i="6"/>
  <c r="Z18" i="6"/>
  <c r="Y18" i="6"/>
  <c r="W18" i="6"/>
  <c r="V18" i="6"/>
  <c r="U18" i="6"/>
  <c r="T18" i="6"/>
  <c r="S18" i="6"/>
  <c r="AA17" i="6"/>
  <c r="Z17" i="6"/>
  <c r="Y17" i="6"/>
  <c r="W17" i="6"/>
  <c r="V17" i="6"/>
  <c r="U17" i="6"/>
  <c r="T17" i="6"/>
  <c r="S17" i="6"/>
  <c r="AA16" i="6"/>
  <c r="Z16" i="6"/>
  <c r="Y16" i="6"/>
  <c r="W16" i="6"/>
  <c r="V16" i="6"/>
  <c r="U16" i="6"/>
  <c r="T16" i="6"/>
  <c r="S16" i="6"/>
  <c r="AA15" i="6"/>
  <c r="Z15" i="6"/>
  <c r="Y15" i="6"/>
  <c r="W15" i="6"/>
  <c r="V15" i="6"/>
  <c r="U15" i="6"/>
  <c r="T15" i="6"/>
  <c r="S15" i="6"/>
  <c r="AA14" i="6"/>
  <c r="Z14" i="6"/>
  <c r="Y14" i="6"/>
  <c r="W14" i="6"/>
  <c r="V14" i="6"/>
  <c r="U14" i="6"/>
  <c r="T14" i="6"/>
  <c r="S14" i="6"/>
  <c r="AA13" i="6"/>
  <c r="Z13" i="6"/>
  <c r="Y13" i="6"/>
  <c r="W13" i="6"/>
  <c r="V13" i="6"/>
  <c r="U13" i="6"/>
  <c r="T13" i="6"/>
  <c r="S13" i="6"/>
  <c r="AA12" i="6"/>
  <c r="Z12" i="6"/>
  <c r="Y12" i="6"/>
  <c r="W12" i="6"/>
  <c r="V12" i="6"/>
  <c r="U12" i="6"/>
  <c r="T12" i="6"/>
  <c r="S12" i="6"/>
  <c r="AA11" i="6"/>
  <c r="Z11" i="6"/>
  <c r="Y11" i="6"/>
  <c r="W11" i="6"/>
  <c r="V11" i="6"/>
  <c r="U11" i="6"/>
  <c r="T11" i="6"/>
  <c r="S11" i="6"/>
  <c r="AA10" i="6"/>
  <c r="Z10" i="6"/>
  <c r="Y10" i="6"/>
  <c r="W10" i="6"/>
  <c r="V10" i="6"/>
  <c r="U10" i="6"/>
  <c r="T10" i="6"/>
  <c r="S10" i="6"/>
  <c r="AA9" i="6"/>
  <c r="Z9" i="6"/>
  <c r="Y9" i="6"/>
  <c r="W9" i="6"/>
  <c r="V9" i="6"/>
  <c r="U9" i="6"/>
  <c r="T9" i="6"/>
  <c r="S9" i="6"/>
  <c r="AA8" i="6"/>
  <c r="Z8" i="6"/>
  <c r="Y8" i="6"/>
  <c r="W8" i="6"/>
  <c r="V8" i="6"/>
  <c r="U8" i="6"/>
  <c r="T8" i="6"/>
  <c r="S8" i="6"/>
  <c r="AA7" i="6"/>
  <c r="Z7" i="6"/>
  <c r="Y7" i="6"/>
  <c r="W7" i="6"/>
  <c r="V7" i="6"/>
  <c r="U7" i="6"/>
  <c r="T7" i="6"/>
  <c r="S7" i="6"/>
  <c r="AA6" i="6"/>
  <c r="Z6" i="6"/>
  <c r="Y6" i="6"/>
  <c r="W6" i="6"/>
  <c r="V6" i="6"/>
  <c r="U6" i="6"/>
  <c r="T6" i="6"/>
  <c r="S6" i="6"/>
  <c r="AA5" i="6"/>
  <c r="Z5" i="6"/>
  <c r="Y5" i="6"/>
  <c r="W5" i="6"/>
  <c r="V5" i="6"/>
  <c r="U5" i="6"/>
  <c r="T5" i="6"/>
  <c r="S5" i="6"/>
  <c r="AA4" i="6"/>
  <c r="Z4" i="6"/>
  <c r="Y4" i="6"/>
  <c r="W4" i="6"/>
  <c r="V4" i="6"/>
  <c r="U4" i="6"/>
  <c r="T4" i="6"/>
  <c r="S4" i="6"/>
  <c r="AA3" i="6"/>
  <c r="Z3" i="6"/>
  <c r="Y3" i="6"/>
  <c r="W3" i="6"/>
  <c r="V3" i="6"/>
  <c r="U3" i="6"/>
  <c r="T3" i="6"/>
  <c r="S3" i="6"/>
  <c r="AA2" i="6"/>
  <c r="Z2" i="6"/>
  <c r="Y2" i="6"/>
  <c r="W2" i="6"/>
  <c r="V2" i="6"/>
  <c r="U2" i="6"/>
  <c r="T2" i="6"/>
  <c r="S2" i="6"/>
  <c r="AA214" i="5"/>
  <c r="Z214" i="5"/>
  <c r="Y214" i="5"/>
  <c r="W214" i="5"/>
  <c r="V214" i="5"/>
  <c r="U214" i="5"/>
  <c r="T214" i="5"/>
  <c r="S214" i="5"/>
  <c r="AA213" i="5"/>
  <c r="Z213" i="5"/>
  <c r="Y213" i="5"/>
  <c r="W213" i="5"/>
  <c r="V213" i="5"/>
  <c r="U213" i="5"/>
  <c r="T213" i="5"/>
  <c r="S213" i="5"/>
  <c r="AA212" i="5"/>
  <c r="Z212" i="5"/>
  <c r="Y212" i="5"/>
  <c r="W212" i="5"/>
  <c r="V212" i="5"/>
  <c r="U212" i="5"/>
  <c r="T212" i="5"/>
  <c r="S212" i="5"/>
  <c r="AA211" i="5"/>
  <c r="Z211" i="5"/>
  <c r="Y211" i="5"/>
  <c r="W211" i="5"/>
  <c r="V211" i="5"/>
  <c r="U211" i="5"/>
  <c r="T211" i="5"/>
  <c r="S211" i="5"/>
  <c r="AA210" i="5"/>
  <c r="Z210" i="5"/>
  <c r="Y210" i="5"/>
  <c r="W210" i="5"/>
  <c r="V210" i="5"/>
  <c r="U210" i="5"/>
  <c r="T210" i="5"/>
  <c r="S210" i="5"/>
  <c r="AA209" i="5"/>
  <c r="Z209" i="5"/>
  <c r="Y209" i="5"/>
  <c r="W209" i="5"/>
  <c r="V209" i="5"/>
  <c r="U209" i="5"/>
  <c r="T209" i="5"/>
  <c r="S209" i="5"/>
  <c r="AA208" i="5"/>
  <c r="Z208" i="5"/>
  <c r="Y208" i="5"/>
  <c r="W208" i="5"/>
  <c r="V208" i="5"/>
  <c r="U208" i="5"/>
  <c r="T208" i="5"/>
  <c r="S208" i="5"/>
  <c r="AA207" i="5"/>
  <c r="Z207" i="5"/>
  <c r="Y207" i="5"/>
  <c r="W207" i="5"/>
  <c r="V207" i="5"/>
  <c r="U207" i="5"/>
  <c r="T207" i="5"/>
  <c r="S207" i="5"/>
  <c r="AA206" i="5"/>
  <c r="Z206" i="5"/>
  <c r="Y206" i="5"/>
  <c r="W206" i="5"/>
  <c r="V206" i="5"/>
  <c r="U206" i="5"/>
  <c r="T206" i="5"/>
  <c r="S206" i="5"/>
  <c r="AA205" i="5"/>
  <c r="Z205" i="5"/>
  <c r="Y205" i="5"/>
  <c r="W205" i="5"/>
  <c r="V205" i="5"/>
  <c r="U205" i="5"/>
  <c r="T205" i="5"/>
  <c r="S205" i="5"/>
  <c r="AA204" i="5"/>
  <c r="Z204" i="5"/>
  <c r="Y204" i="5"/>
  <c r="W204" i="5"/>
  <c r="V204" i="5"/>
  <c r="U204" i="5"/>
  <c r="T204" i="5"/>
  <c r="S204" i="5"/>
  <c r="AA203" i="5"/>
  <c r="Z203" i="5"/>
  <c r="Y203" i="5"/>
  <c r="W203" i="5"/>
  <c r="V203" i="5"/>
  <c r="U203" i="5"/>
  <c r="T203" i="5"/>
  <c r="S203" i="5"/>
  <c r="AA202" i="5"/>
  <c r="Z202" i="5"/>
  <c r="Y202" i="5"/>
  <c r="W202" i="5"/>
  <c r="V202" i="5"/>
  <c r="U202" i="5"/>
  <c r="T202" i="5"/>
  <c r="S202" i="5"/>
  <c r="AA201" i="5"/>
  <c r="Z201" i="5"/>
  <c r="Y201" i="5"/>
  <c r="W201" i="5"/>
  <c r="V201" i="5"/>
  <c r="U201" i="5"/>
  <c r="T201" i="5"/>
  <c r="S201" i="5"/>
  <c r="AA200" i="5"/>
  <c r="Z200" i="5"/>
  <c r="Y200" i="5"/>
  <c r="W200" i="5"/>
  <c r="V200" i="5"/>
  <c r="U200" i="5"/>
  <c r="T200" i="5"/>
  <c r="S200" i="5"/>
  <c r="AA199" i="5"/>
  <c r="Z199" i="5"/>
  <c r="Y199" i="5"/>
  <c r="W199" i="5"/>
  <c r="V199" i="5"/>
  <c r="U199" i="5"/>
  <c r="T199" i="5"/>
  <c r="S199" i="5"/>
  <c r="AA198" i="5"/>
  <c r="Z198" i="5"/>
  <c r="Y198" i="5"/>
  <c r="W198" i="5"/>
  <c r="V198" i="5"/>
  <c r="U198" i="5"/>
  <c r="T198" i="5"/>
  <c r="S198" i="5"/>
  <c r="AA197" i="5"/>
  <c r="Z197" i="5"/>
  <c r="Y197" i="5"/>
  <c r="W197" i="5"/>
  <c r="V197" i="5"/>
  <c r="U197" i="5"/>
  <c r="T197" i="5"/>
  <c r="S197" i="5"/>
  <c r="AA196" i="5"/>
  <c r="Z196" i="5"/>
  <c r="Y196" i="5"/>
  <c r="W196" i="5"/>
  <c r="V196" i="5"/>
  <c r="U196" i="5"/>
  <c r="T196" i="5"/>
  <c r="S196" i="5"/>
  <c r="AA195" i="5"/>
  <c r="Z195" i="5"/>
  <c r="Y195" i="5"/>
  <c r="W195" i="5"/>
  <c r="V195" i="5"/>
  <c r="U195" i="5"/>
  <c r="T195" i="5"/>
  <c r="S195" i="5"/>
  <c r="AA194" i="5"/>
  <c r="Z194" i="5"/>
  <c r="Y194" i="5"/>
  <c r="W194" i="5"/>
  <c r="V194" i="5"/>
  <c r="U194" i="5"/>
  <c r="T194" i="5"/>
  <c r="S194" i="5"/>
  <c r="AA193" i="5"/>
  <c r="Z193" i="5"/>
  <c r="Y193" i="5"/>
  <c r="W193" i="5"/>
  <c r="V193" i="5"/>
  <c r="U193" i="5"/>
  <c r="T193" i="5"/>
  <c r="S193" i="5"/>
  <c r="AA192" i="5"/>
  <c r="Z192" i="5"/>
  <c r="Y192" i="5"/>
  <c r="W192" i="5"/>
  <c r="V192" i="5"/>
  <c r="U192" i="5"/>
  <c r="T192" i="5"/>
  <c r="S192" i="5"/>
  <c r="AA191" i="5"/>
  <c r="Z191" i="5"/>
  <c r="Y191" i="5"/>
  <c r="W191" i="5"/>
  <c r="V191" i="5"/>
  <c r="U191" i="5"/>
  <c r="T191" i="5"/>
  <c r="S191" i="5"/>
  <c r="AA190" i="5"/>
  <c r="Z190" i="5"/>
  <c r="Y190" i="5"/>
  <c r="W190" i="5"/>
  <c r="V190" i="5"/>
  <c r="U190" i="5"/>
  <c r="T190" i="5"/>
  <c r="S190" i="5"/>
  <c r="AA189" i="5"/>
  <c r="Z189" i="5"/>
  <c r="Y189" i="5"/>
  <c r="W189" i="5"/>
  <c r="V189" i="5"/>
  <c r="U189" i="5"/>
  <c r="T189" i="5"/>
  <c r="S189" i="5"/>
  <c r="AA188" i="5"/>
  <c r="Z188" i="5"/>
  <c r="Y188" i="5"/>
  <c r="W188" i="5"/>
  <c r="V188" i="5"/>
  <c r="U188" i="5"/>
  <c r="T188" i="5"/>
  <c r="S188" i="5"/>
  <c r="AA187" i="5"/>
  <c r="Z187" i="5"/>
  <c r="Y187" i="5"/>
  <c r="W187" i="5"/>
  <c r="V187" i="5"/>
  <c r="U187" i="5"/>
  <c r="T187" i="5"/>
  <c r="S187" i="5"/>
  <c r="AA186" i="5"/>
  <c r="Z186" i="5"/>
  <c r="Y186" i="5"/>
  <c r="W186" i="5"/>
  <c r="V186" i="5"/>
  <c r="U186" i="5"/>
  <c r="T186" i="5"/>
  <c r="S186" i="5"/>
  <c r="AA185" i="5"/>
  <c r="Z185" i="5"/>
  <c r="Y185" i="5"/>
  <c r="W185" i="5"/>
  <c r="V185" i="5"/>
  <c r="U185" i="5"/>
  <c r="T185" i="5"/>
  <c r="S185" i="5"/>
  <c r="AA184" i="5"/>
  <c r="Z184" i="5"/>
  <c r="Y184" i="5"/>
  <c r="W184" i="5"/>
  <c r="V184" i="5"/>
  <c r="U184" i="5"/>
  <c r="T184" i="5"/>
  <c r="S184" i="5"/>
  <c r="AA183" i="5"/>
  <c r="Z183" i="5"/>
  <c r="Y183" i="5"/>
  <c r="W183" i="5"/>
  <c r="V183" i="5"/>
  <c r="U183" i="5"/>
  <c r="T183" i="5"/>
  <c r="S183" i="5"/>
  <c r="AA182" i="5"/>
  <c r="Z182" i="5"/>
  <c r="Y182" i="5"/>
  <c r="W182" i="5"/>
  <c r="V182" i="5"/>
  <c r="U182" i="5"/>
  <c r="T182" i="5"/>
  <c r="S182" i="5"/>
  <c r="AA181" i="5"/>
  <c r="Z181" i="5"/>
  <c r="Y181" i="5"/>
  <c r="W181" i="5"/>
  <c r="V181" i="5"/>
  <c r="U181" i="5"/>
  <c r="T181" i="5"/>
  <c r="S181" i="5"/>
  <c r="AA180" i="5"/>
  <c r="Z180" i="5"/>
  <c r="Y180" i="5"/>
  <c r="W180" i="5"/>
  <c r="V180" i="5"/>
  <c r="U180" i="5"/>
  <c r="T180" i="5"/>
  <c r="S180" i="5"/>
  <c r="AA179" i="5"/>
  <c r="Z179" i="5"/>
  <c r="Y179" i="5"/>
  <c r="W179" i="5"/>
  <c r="V179" i="5"/>
  <c r="U179" i="5"/>
  <c r="T179" i="5"/>
  <c r="S179" i="5"/>
  <c r="AA178" i="5"/>
  <c r="Z178" i="5"/>
  <c r="Y178" i="5"/>
  <c r="W178" i="5"/>
  <c r="V178" i="5"/>
  <c r="U178" i="5"/>
  <c r="T178" i="5"/>
  <c r="S178" i="5"/>
  <c r="AA177" i="5"/>
  <c r="Z177" i="5"/>
  <c r="Y177" i="5"/>
  <c r="W177" i="5"/>
  <c r="V177" i="5"/>
  <c r="U177" i="5"/>
  <c r="T177" i="5"/>
  <c r="S177" i="5"/>
  <c r="AA176" i="5"/>
  <c r="Z176" i="5"/>
  <c r="Y176" i="5"/>
  <c r="W176" i="5"/>
  <c r="V176" i="5"/>
  <c r="U176" i="5"/>
  <c r="T176" i="5"/>
  <c r="S176" i="5"/>
  <c r="AA175" i="5"/>
  <c r="Z175" i="5"/>
  <c r="Y175" i="5"/>
  <c r="W175" i="5"/>
  <c r="V175" i="5"/>
  <c r="U175" i="5"/>
  <c r="T175" i="5"/>
  <c r="S175" i="5"/>
  <c r="AA174" i="5"/>
  <c r="Z174" i="5"/>
  <c r="Y174" i="5"/>
  <c r="W174" i="5"/>
  <c r="V174" i="5"/>
  <c r="U174" i="5"/>
  <c r="T174" i="5"/>
  <c r="S174" i="5"/>
  <c r="AA173" i="5"/>
  <c r="Z173" i="5"/>
  <c r="Y173" i="5"/>
  <c r="W173" i="5"/>
  <c r="V173" i="5"/>
  <c r="U173" i="5"/>
  <c r="T173" i="5"/>
  <c r="S173" i="5"/>
  <c r="AA172" i="5"/>
  <c r="Z172" i="5"/>
  <c r="Y172" i="5"/>
  <c r="W172" i="5"/>
  <c r="V172" i="5"/>
  <c r="U172" i="5"/>
  <c r="T172" i="5"/>
  <c r="S172" i="5"/>
  <c r="AA171" i="5"/>
  <c r="Z171" i="5"/>
  <c r="Y171" i="5"/>
  <c r="W171" i="5"/>
  <c r="V171" i="5"/>
  <c r="U171" i="5"/>
  <c r="T171" i="5"/>
  <c r="S171" i="5"/>
  <c r="AA170" i="5"/>
  <c r="Z170" i="5"/>
  <c r="Y170" i="5"/>
  <c r="W170" i="5"/>
  <c r="V170" i="5"/>
  <c r="U170" i="5"/>
  <c r="T170" i="5"/>
  <c r="S170" i="5"/>
  <c r="AA169" i="5"/>
  <c r="Z169" i="5"/>
  <c r="Y169" i="5"/>
  <c r="W169" i="5"/>
  <c r="V169" i="5"/>
  <c r="U169" i="5"/>
  <c r="T169" i="5"/>
  <c r="S169" i="5"/>
  <c r="AA168" i="5"/>
  <c r="Z168" i="5"/>
  <c r="Y168" i="5"/>
  <c r="W168" i="5"/>
  <c r="V168" i="5"/>
  <c r="U168" i="5"/>
  <c r="T168" i="5"/>
  <c r="S168" i="5"/>
  <c r="AA167" i="5"/>
  <c r="Z167" i="5"/>
  <c r="Y167" i="5"/>
  <c r="W167" i="5"/>
  <c r="V167" i="5"/>
  <c r="U167" i="5"/>
  <c r="T167" i="5"/>
  <c r="S167" i="5"/>
  <c r="AA166" i="5"/>
  <c r="Z166" i="5"/>
  <c r="Y166" i="5"/>
  <c r="W166" i="5"/>
  <c r="V166" i="5"/>
  <c r="U166" i="5"/>
  <c r="T166" i="5"/>
  <c r="S166" i="5"/>
  <c r="AA165" i="5"/>
  <c r="Z165" i="5"/>
  <c r="Y165" i="5"/>
  <c r="W165" i="5"/>
  <c r="V165" i="5"/>
  <c r="U165" i="5"/>
  <c r="T165" i="5"/>
  <c r="S165" i="5"/>
  <c r="AA164" i="5"/>
  <c r="Z164" i="5"/>
  <c r="Y164" i="5"/>
  <c r="W164" i="5"/>
  <c r="V164" i="5"/>
  <c r="U164" i="5"/>
  <c r="T164" i="5"/>
  <c r="S164" i="5"/>
  <c r="AA163" i="5"/>
  <c r="Z163" i="5"/>
  <c r="Y163" i="5"/>
  <c r="W163" i="5"/>
  <c r="V163" i="5"/>
  <c r="U163" i="5"/>
  <c r="T163" i="5"/>
  <c r="S163" i="5"/>
  <c r="AA162" i="5"/>
  <c r="Z162" i="5"/>
  <c r="Y162" i="5"/>
  <c r="W162" i="5"/>
  <c r="V162" i="5"/>
  <c r="U162" i="5"/>
  <c r="T162" i="5"/>
  <c r="S162" i="5"/>
  <c r="AA161" i="5"/>
  <c r="Z161" i="5"/>
  <c r="Y161" i="5"/>
  <c r="W161" i="5"/>
  <c r="V161" i="5"/>
  <c r="U161" i="5"/>
  <c r="T161" i="5"/>
  <c r="S161" i="5"/>
  <c r="AA160" i="5"/>
  <c r="Z160" i="5"/>
  <c r="Y160" i="5"/>
  <c r="W160" i="5"/>
  <c r="V160" i="5"/>
  <c r="U160" i="5"/>
  <c r="T160" i="5"/>
  <c r="S160" i="5"/>
  <c r="AA159" i="5"/>
  <c r="Z159" i="5"/>
  <c r="Y159" i="5"/>
  <c r="W159" i="5"/>
  <c r="V159" i="5"/>
  <c r="U159" i="5"/>
  <c r="T159" i="5"/>
  <c r="S159" i="5"/>
  <c r="AA158" i="5"/>
  <c r="Z158" i="5"/>
  <c r="Y158" i="5"/>
  <c r="W158" i="5"/>
  <c r="V158" i="5"/>
  <c r="U158" i="5"/>
  <c r="T158" i="5"/>
  <c r="S158" i="5"/>
  <c r="AA157" i="5"/>
  <c r="Z157" i="5"/>
  <c r="Y157" i="5"/>
  <c r="W157" i="5"/>
  <c r="V157" i="5"/>
  <c r="U157" i="5"/>
  <c r="T157" i="5"/>
  <c r="S157" i="5"/>
  <c r="AA156" i="5"/>
  <c r="Z156" i="5"/>
  <c r="Y156" i="5"/>
  <c r="W156" i="5"/>
  <c r="V156" i="5"/>
  <c r="U156" i="5"/>
  <c r="T156" i="5"/>
  <c r="S156" i="5"/>
  <c r="AA155" i="5"/>
  <c r="Z155" i="5"/>
  <c r="Y155" i="5"/>
  <c r="W155" i="5"/>
  <c r="V155" i="5"/>
  <c r="U155" i="5"/>
  <c r="T155" i="5"/>
  <c r="S155" i="5"/>
  <c r="AA154" i="5"/>
  <c r="Z154" i="5"/>
  <c r="Y154" i="5"/>
  <c r="W154" i="5"/>
  <c r="V154" i="5"/>
  <c r="U154" i="5"/>
  <c r="T154" i="5"/>
  <c r="S154" i="5"/>
  <c r="AA153" i="5"/>
  <c r="Z153" i="5"/>
  <c r="Y153" i="5"/>
  <c r="W153" i="5"/>
  <c r="V153" i="5"/>
  <c r="U153" i="5"/>
  <c r="T153" i="5"/>
  <c r="S153" i="5"/>
  <c r="AA152" i="5"/>
  <c r="Z152" i="5"/>
  <c r="Y152" i="5"/>
  <c r="W152" i="5"/>
  <c r="V152" i="5"/>
  <c r="U152" i="5"/>
  <c r="T152" i="5"/>
  <c r="S152" i="5"/>
  <c r="AA151" i="5"/>
  <c r="Z151" i="5"/>
  <c r="Y151" i="5"/>
  <c r="W151" i="5"/>
  <c r="V151" i="5"/>
  <c r="U151" i="5"/>
  <c r="T151" i="5"/>
  <c r="S151" i="5"/>
  <c r="AA150" i="5"/>
  <c r="Z150" i="5"/>
  <c r="Y150" i="5"/>
  <c r="W150" i="5"/>
  <c r="V150" i="5"/>
  <c r="U150" i="5"/>
  <c r="T150" i="5"/>
  <c r="S150" i="5"/>
  <c r="AA149" i="5"/>
  <c r="Z149" i="5"/>
  <c r="Y149" i="5"/>
  <c r="W149" i="5"/>
  <c r="V149" i="5"/>
  <c r="U149" i="5"/>
  <c r="T149" i="5"/>
  <c r="S149" i="5"/>
  <c r="AA148" i="5"/>
  <c r="Z148" i="5"/>
  <c r="Y148" i="5"/>
  <c r="W148" i="5"/>
  <c r="V148" i="5"/>
  <c r="U148" i="5"/>
  <c r="T148" i="5"/>
  <c r="S148" i="5"/>
  <c r="AA147" i="5"/>
  <c r="Z147" i="5"/>
  <c r="Y147" i="5"/>
  <c r="W147" i="5"/>
  <c r="V147" i="5"/>
  <c r="U147" i="5"/>
  <c r="T147" i="5"/>
  <c r="S147" i="5"/>
  <c r="AA146" i="5"/>
  <c r="Z146" i="5"/>
  <c r="Y146" i="5"/>
  <c r="W146" i="5"/>
  <c r="V146" i="5"/>
  <c r="U146" i="5"/>
  <c r="T146" i="5"/>
  <c r="S146" i="5"/>
  <c r="AA145" i="5"/>
  <c r="Z145" i="5"/>
  <c r="Y145" i="5"/>
  <c r="W145" i="5"/>
  <c r="V145" i="5"/>
  <c r="U145" i="5"/>
  <c r="T145" i="5"/>
  <c r="S145" i="5"/>
  <c r="AA144" i="5"/>
  <c r="Z144" i="5"/>
  <c r="Y144" i="5"/>
  <c r="W144" i="5"/>
  <c r="V144" i="5"/>
  <c r="U144" i="5"/>
  <c r="T144" i="5"/>
  <c r="S144" i="5"/>
  <c r="AA143" i="5"/>
  <c r="Z143" i="5"/>
  <c r="Y143" i="5"/>
  <c r="W143" i="5"/>
  <c r="V143" i="5"/>
  <c r="U143" i="5"/>
  <c r="T143" i="5"/>
  <c r="S143" i="5"/>
  <c r="AA142" i="5"/>
  <c r="Z142" i="5"/>
  <c r="Y142" i="5"/>
  <c r="W142" i="5"/>
  <c r="V142" i="5"/>
  <c r="U142" i="5"/>
  <c r="T142" i="5"/>
  <c r="S142" i="5"/>
  <c r="AA141" i="5"/>
  <c r="Z141" i="5"/>
  <c r="Y141" i="5"/>
  <c r="W141" i="5"/>
  <c r="V141" i="5"/>
  <c r="U141" i="5"/>
  <c r="T141" i="5"/>
  <c r="S141" i="5"/>
  <c r="AA140" i="5"/>
  <c r="Z140" i="5"/>
  <c r="Y140" i="5"/>
  <c r="W140" i="5"/>
  <c r="V140" i="5"/>
  <c r="U140" i="5"/>
  <c r="T140" i="5"/>
  <c r="S140" i="5"/>
  <c r="AA139" i="5"/>
  <c r="Z139" i="5"/>
  <c r="Y139" i="5"/>
  <c r="W139" i="5"/>
  <c r="V139" i="5"/>
  <c r="U139" i="5"/>
  <c r="T139" i="5"/>
  <c r="S139" i="5"/>
  <c r="AA138" i="5"/>
  <c r="Z138" i="5"/>
  <c r="Y138" i="5"/>
  <c r="W138" i="5"/>
  <c r="V138" i="5"/>
  <c r="U138" i="5"/>
  <c r="T138" i="5"/>
  <c r="S138" i="5"/>
  <c r="AA137" i="5"/>
  <c r="Z137" i="5"/>
  <c r="Y137" i="5"/>
  <c r="W137" i="5"/>
  <c r="V137" i="5"/>
  <c r="U137" i="5"/>
  <c r="T137" i="5"/>
  <c r="S137" i="5"/>
  <c r="AA136" i="5"/>
  <c r="Z136" i="5"/>
  <c r="Y136" i="5"/>
  <c r="W136" i="5"/>
  <c r="V136" i="5"/>
  <c r="U136" i="5"/>
  <c r="T136" i="5"/>
  <c r="S136" i="5"/>
  <c r="AA135" i="5"/>
  <c r="Z135" i="5"/>
  <c r="Y135" i="5"/>
  <c r="W135" i="5"/>
  <c r="V135" i="5"/>
  <c r="U135" i="5"/>
  <c r="T135" i="5"/>
  <c r="S135" i="5"/>
  <c r="AA134" i="5"/>
  <c r="Z134" i="5"/>
  <c r="Y134" i="5"/>
  <c r="W134" i="5"/>
  <c r="V134" i="5"/>
  <c r="U134" i="5"/>
  <c r="T134" i="5"/>
  <c r="S134" i="5"/>
  <c r="AA133" i="5"/>
  <c r="Z133" i="5"/>
  <c r="Y133" i="5"/>
  <c r="W133" i="5"/>
  <c r="V133" i="5"/>
  <c r="U133" i="5"/>
  <c r="T133" i="5"/>
  <c r="S133" i="5"/>
  <c r="AA132" i="5"/>
  <c r="Z132" i="5"/>
  <c r="Y132" i="5"/>
  <c r="W132" i="5"/>
  <c r="V132" i="5"/>
  <c r="U132" i="5"/>
  <c r="T132" i="5"/>
  <c r="S132" i="5"/>
  <c r="AA131" i="5"/>
  <c r="Z131" i="5"/>
  <c r="Y131" i="5"/>
  <c r="W131" i="5"/>
  <c r="V131" i="5"/>
  <c r="U131" i="5"/>
  <c r="T131" i="5"/>
  <c r="S131" i="5"/>
  <c r="AA130" i="5"/>
  <c r="Z130" i="5"/>
  <c r="Y130" i="5"/>
  <c r="W130" i="5"/>
  <c r="V130" i="5"/>
  <c r="U130" i="5"/>
  <c r="T130" i="5"/>
  <c r="S130" i="5"/>
  <c r="AA129" i="5"/>
  <c r="Z129" i="5"/>
  <c r="Y129" i="5"/>
  <c r="W129" i="5"/>
  <c r="V129" i="5"/>
  <c r="U129" i="5"/>
  <c r="T129" i="5"/>
  <c r="S129" i="5"/>
  <c r="AA128" i="5"/>
  <c r="Z128" i="5"/>
  <c r="Y128" i="5"/>
  <c r="W128" i="5"/>
  <c r="V128" i="5"/>
  <c r="U128" i="5"/>
  <c r="T128" i="5"/>
  <c r="S128" i="5"/>
  <c r="AA127" i="5"/>
  <c r="Z127" i="5"/>
  <c r="Y127" i="5"/>
  <c r="W127" i="5"/>
  <c r="V127" i="5"/>
  <c r="U127" i="5"/>
  <c r="T127" i="5"/>
  <c r="S127" i="5"/>
  <c r="AA126" i="5"/>
  <c r="Z126" i="5"/>
  <c r="Y126" i="5"/>
  <c r="W126" i="5"/>
  <c r="V126" i="5"/>
  <c r="U126" i="5"/>
  <c r="T126" i="5"/>
  <c r="S126" i="5"/>
  <c r="AA125" i="5"/>
  <c r="Z125" i="5"/>
  <c r="Y125" i="5"/>
  <c r="W125" i="5"/>
  <c r="V125" i="5"/>
  <c r="U125" i="5"/>
  <c r="T125" i="5"/>
  <c r="S125" i="5"/>
  <c r="AA124" i="5"/>
  <c r="Z124" i="5"/>
  <c r="Y124" i="5"/>
  <c r="W124" i="5"/>
  <c r="V124" i="5"/>
  <c r="U124" i="5"/>
  <c r="T124" i="5"/>
  <c r="S124" i="5"/>
  <c r="AA123" i="5"/>
  <c r="Z123" i="5"/>
  <c r="Y123" i="5"/>
  <c r="W123" i="5"/>
  <c r="V123" i="5"/>
  <c r="U123" i="5"/>
  <c r="T123" i="5"/>
  <c r="S123" i="5"/>
  <c r="AA122" i="5"/>
  <c r="Z122" i="5"/>
  <c r="Y122" i="5"/>
  <c r="W122" i="5"/>
  <c r="V122" i="5"/>
  <c r="U122" i="5"/>
  <c r="T122" i="5"/>
  <c r="S122" i="5"/>
  <c r="AA121" i="5"/>
  <c r="Z121" i="5"/>
  <c r="Y121" i="5"/>
  <c r="W121" i="5"/>
  <c r="V121" i="5"/>
  <c r="U121" i="5"/>
  <c r="T121" i="5"/>
  <c r="S121" i="5"/>
  <c r="AA120" i="5"/>
  <c r="Z120" i="5"/>
  <c r="Y120" i="5"/>
  <c r="W120" i="5"/>
  <c r="V120" i="5"/>
  <c r="U120" i="5"/>
  <c r="T120" i="5"/>
  <c r="S120" i="5"/>
  <c r="AA119" i="5"/>
  <c r="Z119" i="5"/>
  <c r="Y119" i="5"/>
  <c r="W119" i="5"/>
  <c r="V119" i="5"/>
  <c r="U119" i="5"/>
  <c r="T119" i="5"/>
  <c r="S119" i="5"/>
  <c r="AA118" i="5"/>
  <c r="Z118" i="5"/>
  <c r="Y118" i="5"/>
  <c r="W118" i="5"/>
  <c r="V118" i="5"/>
  <c r="U118" i="5"/>
  <c r="T118" i="5"/>
  <c r="S118" i="5"/>
  <c r="AA117" i="5"/>
  <c r="Z117" i="5"/>
  <c r="Y117" i="5"/>
  <c r="W117" i="5"/>
  <c r="V117" i="5"/>
  <c r="U117" i="5"/>
  <c r="T117" i="5"/>
  <c r="S117" i="5"/>
  <c r="AA116" i="5"/>
  <c r="Z116" i="5"/>
  <c r="Y116" i="5"/>
  <c r="W116" i="5"/>
  <c r="V116" i="5"/>
  <c r="U116" i="5"/>
  <c r="T116" i="5"/>
  <c r="S116" i="5"/>
  <c r="AA115" i="5"/>
  <c r="Z115" i="5"/>
  <c r="Y115" i="5"/>
  <c r="W115" i="5"/>
  <c r="V115" i="5"/>
  <c r="U115" i="5"/>
  <c r="T115" i="5"/>
  <c r="S115" i="5"/>
  <c r="AA114" i="5"/>
  <c r="Z114" i="5"/>
  <c r="Y114" i="5"/>
  <c r="W114" i="5"/>
  <c r="V114" i="5"/>
  <c r="U114" i="5"/>
  <c r="T114" i="5"/>
  <c r="S114" i="5"/>
  <c r="AA113" i="5"/>
  <c r="Z113" i="5"/>
  <c r="Y113" i="5"/>
  <c r="W113" i="5"/>
  <c r="V113" i="5"/>
  <c r="U113" i="5"/>
  <c r="T113" i="5"/>
  <c r="S113" i="5"/>
  <c r="AA112" i="5"/>
  <c r="Z112" i="5"/>
  <c r="Y112" i="5"/>
  <c r="W112" i="5"/>
  <c r="V112" i="5"/>
  <c r="U112" i="5"/>
  <c r="T112" i="5"/>
  <c r="S112" i="5"/>
  <c r="AA111" i="5"/>
  <c r="Z111" i="5"/>
  <c r="Y111" i="5"/>
  <c r="W111" i="5"/>
  <c r="V111" i="5"/>
  <c r="U111" i="5"/>
  <c r="T111" i="5"/>
  <c r="S111" i="5"/>
  <c r="AA110" i="5"/>
  <c r="Z110" i="5"/>
  <c r="Y110" i="5"/>
  <c r="W110" i="5"/>
  <c r="V110" i="5"/>
  <c r="U110" i="5"/>
  <c r="T110" i="5"/>
  <c r="S110" i="5"/>
  <c r="AA109" i="5"/>
  <c r="Z109" i="5"/>
  <c r="Y109" i="5"/>
  <c r="W109" i="5"/>
  <c r="V109" i="5"/>
  <c r="U109" i="5"/>
  <c r="T109" i="5"/>
  <c r="S109" i="5"/>
  <c r="AA108" i="5"/>
  <c r="Z108" i="5"/>
  <c r="Y108" i="5"/>
  <c r="W108" i="5"/>
  <c r="V108" i="5"/>
  <c r="U108" i="5"/>
  <c r="T108" i="5"/>
  <c r="S108" i="5"/>
  <c r="AA107" i="5"/>
  <c r="Z107" i="5"/>
  <c r="Y107" i="5"/>
  <c r="W107" i="5"/>
  <c r="V107" i="5"/>
  <c r="U107" i="5"/>
  <c r="T107" i="5"/>
  <c r="S107" i="5"/>
  <c r="AA106" i="5"/>
  <c r="Z106" i="5"/>
  <c r="Y106" i="5"/>
  <c r="W106" i="5"/>
  <c r="V106" i="5"/>
  <c r="U106" i="5"/>
  <c r="T106" i="5"/>
  <c r="S106" i="5"/>
  <c r="AA105" i="5"/>
  <c r="Z105" i="5"/>
  <c r="Y105" i="5"/>
  <c r="W105" i="5"/>
  <c r="V105" i="5"/>
  <c r="U105" i="5"/>
  <c r="T105" i="5"/>
  <c r="S105" i="5"/>
  <c r="AA104" i="5"/>
  <c r="Z104" i="5"/>
  <c r="Y104" i="5"/>
  <c r="W104" i="5"/>
  <c r="V104" i="5"/>
  <c r="U104" i="5"/>
  <c r="T104" i="5"/>
  <c r="S104" i="5"/>
  <c r="AA103" i="5"/>
  <c r="Z103" i="5"/>
  <c r="Y103" i="5"/>
  <c r="W103" i="5"/>
  <c r="V103" i="5"/>
  <c r="U103" i="5"/>
  <c r="T103" i="5"/>
  <c r="S103" i="5"/>
  <c r="AA102" i="5"/>
  <c r="Z102" i="5"/>
  <c r="Y102" i="5"/>
  <c r="W102" i="5"/>
  <c r="V102" i="5"/>
  <c r="U102" i="5"/>
  <c r="T102" i="5"/>
  <c r="S102" i="5"/>
  <c r="AA101" i="5"/>
  <c r="Z101" i="5"/>
  <c r="Y101" i="5"/>
  <c r="W101" i="5"/>
  <c r="V101" i="5"/>
  <c r="U101" i="5"/>
  <c r="T101" i="5"/>
  <c r="S101" i="5"/>
  <c r="AA100" i="5"/>
  <c r="Z100" i="5"/>
  <c r="Y100" i="5"/>
  <c r="W100" i="5"/>
  <c r="V100" i="5"/>
  <c r="U100" i="5"/>
  <c r="T100" i="5"/>
  <c r="S100" i="5"/>
  <c r="AA99" i="5"/>
  <c r="Z99" i="5"/>
  <c r="Y99" i="5"/>
  <c r="W99" i="5"/>
  <c r="V99" i="5"/>
  <c r="U99" i="5"/>
  <c r="T99" i="5"/>
  <c r="S99" i="5"/>
  <c r="AA98" i="5"/>
  <c r="Z98" i="5"/>
  <c r="Y98" i="5"/>
  <c r="W98" i="5"/>
  <c r="V98" i="5"/>
  <c r="U98" i="5"/>
  <c r="T98" i="5"/>
  <c r="S98" i="5"/>
  <c r="AA97" i="5"/>
  <c r="Z97" i="5"/>
  <c r="Y97" i="5"/>
  <c r="W97" i="5"/>
  <c r="V97" i="5"/>
  <c r="U97" i="5"/>
  <c r="T97" i="5"/>
  <c r="S97" i="5"/>
  <c r="AA96" i="5"/>
  <c r="Z96" i="5"/>
  <c r="Y96" i="5"/>
  <c r="W96" i="5"/>
  <c r="V96" i="5"/>
  <c r="U96" i="5"/>
  <c r="T96" i="5"/>
  <c r="S96" i="5"/>
  <c r="AA95" i="5"/>
  <c r="Z95" i="5"/>
  <c r="Y95" i="5"/>
  <c r="W95" i="5"/>
  <c r="V95" i="5"/>
  <c r="U95" i="5"/>
  <c r="T95" i="5"/>
  <c r="S95" i="5"/>
  <c r="AA94" i="5"/>
  <c r="Z94" i="5"/>
  <c r="Y94" i="5"/>
  <c r="W94" i="5"/>
  <c r="V94" i="5"/>
  <c r="U94" i="5"/>
  <c r="T94" i="5"/>
  <c r="S94" i="5"/>
  <c r="AA93" i="5"/>
  <c r="Z93" i="5"/>
  <c r="Y93" i="5"/>
  <c r="W93" i="5"/>
  <c r="V93" i="5"/>
  <c r="U93" i="5"/>
  <c r="T93" i="5"/>
  <c r="S93" i="5"/>
  <c r="AA92" i="5"/>
  <c r="Z92" i="5"/>
  <c r="Y92" i="5"/>
  <c r="W92" i="5"/>
  <c r="V92" i="5"/>
  <c r="U92" i="5"/>
  <c r="T92" i="5"/>
  <c r="S92" i="5"/>
  <c r="AA91" i="5"/>
  <c r="Z91" i="5"/>
  <c r="Y91" i="5"/>
  <c r="W91" i="5"/>
  <c r="V91" i="5"/>
  <c r="U91" i="5"/>
  <c r="T91" i="5"/>
  <c r="S91" i="5"/>
  <c r="AA90" i="5"/>
  <c r="Z90" i="5"/>
  <c r="Y90" i="5"/>
  <c r="W90" i="5"/>
  <c r="V90" i="5"/>
  <c r="U90" i="5"/>
  <c r="T90" i="5"/>
  <c r="S90" i="5"/>
  <c r="AA89" i="5"/>
  <c r="Z89" i="5"/>
  <c r="Y89" i="5"/>
  <c r="W89" i="5"/>
  <c r="V89" i="5"/>
  <c r="U89" i="5"/>
  <c r="T89" i="5"/>
  <c r="S89" i="5"/>
  <c r="AA88" i="5"/>
  <c r="Z88" i="5"/>
  <c r="Y88" i="5"/>
  <c r="W88" i="5"/>
  <c r="V88" i="5"/>
  <c r="U88" i="5"/>
  <c r="T88" i="5"/>
  <c r="S88" i="5"/>
  <c r="AA87" i="5"/>
  <c r="Z87" i="5"/>
  <c r="Y87" i="5"/>
  <c r="W87" i="5"/>
  <c r="V87" i="5"/>
  <c r="U87" i="5"/>
  <c r="T87" i="5"/>
  <c r="S87" i="5"/>
  <c r="AA86" i="5"/>
  <c r="Z86" i="5"/>
  <c r="Y86" i="5"/>
  <c r="W86" i="5"/>
  <c r="V86" i="5"/>
  <c r="U86" i="5"/>
  <c r="T86" i="5"/>
  <c r="S86" i="5"/>
  <c r="AA85" i="5"/>
  <c r="Z85" i="5"/>
  <c r="Y85" i="5"/>
  <c r="W85" i="5"/>
  <c r="V85" i="5"/>
  <c r="U85" i="5"/>
  <c r="T85" i="5"/>
  <c r="S85" i="5"/>
  <c r="AA84" i="5"/>
  <c r="Z84" i="5"/>
  <c r="Y84" i="5"/>
  <c r="W84" i="5"/>
  <c r="V84" i="5"/>
  <c r="U84" i="5"/>
  <c r="T84" i="5"/>
  <c r="S84" i="5"/>
  <c r="AA83" i="5"/>
  <c r="Z83" i="5"/>
  <c r="Y83" i="5"/>
  <c r="W83" i="5"/>
  <c r="V83" i="5"/>
  <c r="U83" i="5"/>
  <c r="T83" i="5"/>
  <c r="S83" i="5"/>
  <c r="AA82" i="5"/>
  <c r="Z82" i="5"/>
  <c r="Y82" i="5"/>
  <c r="W82" i="5"/>
  <c r="V82" i="5"/>
  <c r="U82" i="5"/>
  <c r="T82" i="5"/>
  <c r="S82" i="5"/>
  <c r="AA81" i="5"/>
  <c r="Z81" i="5"/>
  <c r="Y81" i="5"/>
  <c r="W81" i="5"/>
  <c r="V81" i="5"/>
  <c r="U81" i="5"/>
  <c r="T81" i="5"/>
  <c r="S81" i="5"/>
  <c r="AA80" i="5"/>
  <c r="Z80" i="5"/>
  <c r="Y80" i="5"/>
  <c r="W80" i="5"/>
  <c r="V80" i="5"/>
  <c r="U80" i="5"/>
  <c r="T80" i="5"/>
  <c r="S80" i="5"/>
  <c r="AA79" i="5"/>
  <c r="Z79" i="5"/>
  <c r="Y79" i="5"/>
  <c r="W79" i="5"/>
  <c r="V79" i="5"/>
  <c r="U79" i="5"/>
  <c r="T79" i="5"/>
  <c r="S79" i="5"/>
  <c r="AA78" i="5"/>
  <c r="Z78" i="5"/>
  <c r="Y78" i="5"/>
  <c r="W78" i="5"/>
  <c r="V78" i="5"/>
  <c r="U78" i="5"/>
  <c r="T78" i="5"/>
  <c r="S78" i="5"/>
  <c r="AA77" i="5"/>
  <c r="Z77" i="5"/>
  <c r="Y77" i="5"/>
  <c r="W77" i="5"/>
  <c r="V77" i="5"/>
  <c r="U77" i="5"/>
  <c r="T77" i="5"/>
  <c r="S77" i="5"/>
  <c r="AA76" i="5"/>
  <c r="Z76" i="5"/>
  <c r="Y76" i="5"/>
  <c r="W76" i="5"/>
  <c r="V76" i="5"/>
  <c r="U76" i="5"/>
  <c r="T76" i="5"/>
  <c r="S76" i="5"/>
  <c r="AA75" i="5"/>
  <c r="Z75" i="5"/>
  <c r="Y75" i="5"/>
  <c r="W75" i="5"/>
  <c r="V75" i="5"/>
  <c r="U75" i="5"/>
  <c r="T75" i="5"/>
  <c r="S75" i="5"/>
  <c r="AA74" i="5"/>
  <c r="Z74" i="5"/>
  <c r="Y74" i="5"/>
  <c r="W74" i="5"/>
  <c r="V74" i="5"/>
  <c r="U74" i="5"/>
  <c r="T74" i="5"/>
  <c r="S74" i="5"/>
  <c r="AA73" i="5"/>
  <c r="Z73" i="5"/>
  <c r="Y73" i="5"/>
  <c r="W73" i="5"/>
  <c r="V73" i="5"/>
  <c r="U73" i="5"/>
  <c r="T73" i="5"/>
  <c r="S73" i="5"/>
  <c r="AA72" i="5"/>
  <c r="Z72" i="5"/>
  <c r="Y72" i="5"/>
  <c r="W72" i="5"/>
  <c r="V72" i="5"/>
  <c r="U72" i="5"/>
  <c r="T72" i="5"/>
  <c r="S72" i="5"/>
  <c r="AA71" i="5"/>
  <c r="Z71" i="5"/>
  <c r="Y71" i="5"/>
  <c r="W71" i="5"/>
  <c r="V71" i="5"/>
  <c r="U71" i="5"/>
  <c r="T71" i="5"/>
  <c r="S71" i="5"/>
  <c r="AA70" i="5"/>
  <c r="Z70" i="5"/>
  <c r="Y70" i="5"/>
  <c r="W70" i="5"/>
  <c r="V70" i="5"/>
  <c r="U70" i="5"/>
  <c r="T70" i="5"/>
  <c r="S70" i="5"/>
  <c r="AA69" i="5"/>
  <c r="Z69" i="5"/>
  <c r="Y69" i="5"/>
  <c r="W69" i="5"/>
  <c r="V69" i="5"/>
  <c r="U69" i="5"/>
  <c r="T69" i="5"/>
  <c r="S69" i="5"/>
  <c r="AA68" i="5"/>
  <c r="Z68" i="5"/>
  <c r="Y68" i="5"/>
  <c r="W68" i="5"/>
  <c r="V68" i="5"/>
  <c r="U68" i="5"/>
  <c r="T68" i="5"/>
  <c r="S68" i="5"/>
  <c r="AA67" i="5"/>
  <c r="Z67" i="5"/>
  <c r="Y67" i="5"/>
  <c r="W67" i="5"/>
  <c r="V67" i="5"/>
  <c r="U67" i="5"/>
  <c r="T67" i="5"/>
  <c r="S67" i="5"/>
  <c r="AA66" i="5"/>
  <c r="Z66" i="5"/>
  <c r="Y66" i="5"/>
  <c r="W66" i="5"/>
  <c r="V66" i="5"/>
  <c r="U66" i="5"/>
  <c r="T66" i="5"/>
  <c r="S66" i="5"/>
  <c r="AA65" i="5"/>
  <c r="Z65" i="5"/>
  <c r="Y65" i="5"/>
  <c r="W65" i="5"/>
  <c r="V65" i="5"/>
  <c r="U65" i="5"/>
  <c r="T65" i="5"/>
  <c r="S65" i="5"/>
  <c r="AA64" i="5"/>
  <c r="Z64" i="5"/>
  <c r="Y64" i="5"/>
  <c r="W64" i="5"/>
  <c r="V64" i="5"/>
  <c r="U64" i="5"/>
  <c r="T64" i="5"/>
  <c r="S64" i="5"/>
  <c r="AA63" i="5"/>
  <c r="Z63" i="5"/>
  <c r="Y63" i="5"/>
  <c r="W63" i="5"/>
  <c r="V63" i="5"/>
  <c r="U63" i="5"/>
  <c r="T63" i="5"/>
  <c r="S63" i="5"/>
  <c r="AA62" i="5"/>
  <c r="Z62" i="5"/>
  <c r="Y62" i="5"/>
  <c r="W62" i="5"/>
  <c r="V62" i="5"/>
  <c r="U62" i="5"/>
  <c r="T62" i="5"/>
  <c r="S62" i="5"/>
  <c r="AA61" i="5"/>
  <c r="Z61" i="5"/>
  <c r="Y61" i="5"/>
  <c r="W61" i="5"/>
  <c r="V61" i="5"/>
  <c r="U61" i="5"/>
  <c r="T61" i="5"/>
  <c r="S61" i="5"/>
  <c r="AA60" i="5"/>
  <c r="Z60" i="5"/>
  <c r="Y60" i="5"/>
  <c r="W60" i="5"/>
  <c r="V60" i="5"/>
  <c r="U60" i="5"/>
  <c r="T60" i="5"/>
  <c r="S60" i="5"/>
  <c r="AA59" i="5"/>
  <c r="Z59" i="5"/>
  <c r="Y59" i="5"/>
  <c r="W59" i="5"/>
  <c r="V59" i="5"/>
  <c r="U59" i="5"/>
  <c r="T59" i="5"/>
  <c r="S59" i="5"/>
  <c r="AA58" i="5"/>
  <c r="Z58" i="5"/>
  <c r="Y58" i="5"/>
  <c r="W58" i="5"/>
  <c r="V58" i="5"/>
  <c r="U58" i="5"/>
  <c r="T58" i="5"/>
  <c r="S58" i="5"/>
  <c r="AA57" i="5"/>
  <c r="Z57" i="5"/>
  <c r="Y57" i="5"/>
  <c r="W57" i="5"/>
  <c r="V57" i="5"/>
  <c r="U57" i="5"/>
  <c r="T57" i="5"/>
  <c r="S57" i="5"/>
  <c r="AA56" i="5"/>
  <c r="Z56" i="5"/>
  <c r="Y56" i="5"/>
  <c r="W56" i="5"/>
  <c r="V56" i="5"/>
  <c r="U56" i="5"/>
  <c r="T56" i="5"/>
  <c r="S56" i="5"/>
  <c r="AA55" i="5"/>
  <c r="Z55" i="5"/>
  <c r="Y55" i="5"/>
  <c r="W55" i="5"/>
  <c r="V55" i="5"/>
  <c r="U55" i="5"/>
  <c r="T55" i="5"/>
  <c r="S55" i="5"/>
  <c r="AA54" i="5"/>
  <c r="Z54" i="5"/>
  <c r="Y54" i="5"/>
  <c r="W54" i="5"/>
  <c r="V54" i="5"/>
  <c r="U54" i="5"/>
  <c r="T54" i="5"/>
  <c r="S54" i="5"/>
  <c r="AA53" i="5"/>
  <c r="Z53" i="5"/>
  <c r="Y53" i="5"/>
  <c r="W53" i="5"/>
  <c r="V53" i="5"/>
  <c r="U53" i="5"/>
  <c r="T53" i="5"/>
  <c r="S53" i="5"/>
  <c r="AA52" i="5"/>
  <c r="Z52" i="5"/>
  <c r="Y52" i="5"/>
  <c r="W52" i="5"/>
  <c r="V52" i="5"/>
  <c r="U52" i="5"/>
  <c r="T52" i="5"/>
  <c r="S52" i="5"/>
  <c r="AA51" i="5"/>
  <c r="Z51" i="5"/>
  <c r="Y51" i="5"/>
  <c r="W51" i="5"/>
  <c r="V51" i="5"/>
  <c r="U51" i="5"/>
  <c r="T51" i="5"/>
  <c r="S51" i="5"/>
  <c r="AA50" i="5"/>
  <c r="Z50" i="5"/>
  <c r="Y50" i="5"/>
  <c r="W50" i="5"/>
  <c r="V50" i="5"/>
  <c r="U50" i="5"/>
  <c r="T50" i="5"/>
  <c r="S50" i="5"/>
  <c r="AA49" i="5"/>
  <c r="Z49" i="5"/>
  <c r="Y49" i="5"/>
  <c r="W49" i="5"/>
  <c r="V49" i="5"/>
  <c r="U49" i="5"/>
  <c r="T49" i="5"/>
  <c r="S49" i="5"/>
  <c r="AA48" i="5"/>
  <c r="Z48" i="5"/>
  <c r="Y48" i="5"/>
  <c r="W48" i="5"/>
  <c r="V48" i="5"/>
  <c r="U48" i="5"/>
  <c r="T48" i="5"/>
  <c r="S48" i="5"/>
  <c r="AA47" i="5"/>
  <c r="Z47" i="5"/>
  <c r="Y47" i="5"/>
  <c r="W47" i="5"/>
  <c r="V47" i="5"/>
  <c r="U47" i="5"/>
  <c r="T47" i="5"/>
  <c r="S47" i="5"/>
  <c r="AA46" i="5"/>
  <c r="Z46" i="5"/>
  <c r="Y46" i="5"/>
  <c r="W46" i="5"/>
  <c r="V46" i="5"/>
  <c r="U46" i="5"/>
  <c r="T46" i="5"/>
  <c r="S46" i="5"/>
  <c r="AA45" i="5"/>
  <c r="Z45" i="5"/>
  <c r="Y45" i="5"/>
  <c r="W45" i="5"/>
  <c r="V45" i="5"/>
  <c r="U45" i="5"/>
  <c r="T45" i="5"/>
  <c r="S45" i="5"/>
  <c r="AA44" i="5"/>
  <c r="Z44" i="5"/>
  <c r="Y44" i="5"/>
  <c r="W44" i="5"/>
  <c r="V44" i="5"/>
  <c r="U44" i="5"/>
  <c r="T44" i="5"/>
  <c r="S44" i="5"/>
  <c r="AA43" i="5"/>
  <c r="Z43" i="5"/>
  <c r="Y43" i="5"/>
  <c r="W43" i="5"/>
  <c r="V43" i="5"/>
  <c r="U43" i="5"/>
  <c r="T43" i="5"/>
  <c r="S43" i="5"/>
  <c r="AA42" i="5"/>
  <c r="Z42" i="5"/>
  <c r="Y42" i="5"/>
  <c r="W42" i="5"/>
  <c r="V42" i="5"/>
  <c r="U42" i="5"/>
  <c r="T42" i="5"/>
  <c r="S42" i="5"/>
  <c r="AA41" i="5"/>
  <c r="Z41" i="5"/>
  <c r="Y41" i="5"/>
  <c r="W41" i="5"/>
  <c r="V41" i="5"/>
  <c r="U41" i="5"/>
  <c r="T41" i="5"/>
  <c r="S41" i="5"/>
  <c r="AA40" i="5"/>
  <c r="Z40" i="5"/>
  <c r="Y40" i="5"/>
  <c r="W40" i="5"/>
  <c r="V40" i="5"/>
  <c r="U40" i="5"/>
  <c r="T40" i="5"/>
  <c r="S40" i="5"/>
  <c r="AA39" i="5"/>
  <c r="Z39" i="5"/>
  <c r="Y39" i="5"/>
  <c r="W39" i="5"/>
  <c r="V39" i="5"/>
  <c r="U39" i="5"/>
  <c r="T39" i="5"/>
  <c r="S39" i="5"/>
  <c r="AA38" i="5"/>
  <c r="Z38" i="5"/>
  <c r="Y38" i="5"/>
  <c r="W38" i="5"/>
  <c r="V38" i="5"/>
  <c r="U38" i="5"/>
  <c r="T38" i="5"/>
  <c r="S38" i="5"/>
  <c r="AA37" i="5"/>
  <c r="Z37" i="5"/>
  <c r="Y37" i="5"/>
  <c r="W37" i="5"/>
  <c r="V37" i="5"/>
  <c r="U37" i="5"/>
  <c r="T37" i="5"/>
  <c r="S37" i="5"/>
  <c r="AA36" i="5"/>
  <c r="Z36" i="5"/>
  <c r="Y36" i="5"/>
  <c r="W36" i="5"/>
  <c r="V36" i="5"/>
  <c r="U36" i="5"/>
  <c r="T36" i="5"/>
  <c r="S36" i="5"/>
  <c r="AA35" i="5"/>
  <c r="Z35" i="5"/>
  <c r="Y35" i="5"/>
  <c r="W35" i="5"/>
  <c r="V35" i="5"/>
  <c r="U35" i="5"/>
  <c r="T35" i="5"/>
  <c r="S35" i="5"/>
  <c r="AA34" i="5"/>
  <c r="Z34" i="5"/>
  <c r="Y34" i="5"/>
  <c r="W34" i="5"/>
  <c r="V34" i="5"/>
  <c r="U34" i="5"/>
  <c r="T34" i="5"/>
  <c r="S34" i="5"/>
  <c r="AA33" i="5"/>
  <c r="Z33" i="5"/>
  <c r="Y33" i="5"/>
  <c r="W33" i="5"/>
  <c r="V33" i="5"/>
  <c r="U33" i="5"/>
  <c r="T33" i="5"/>
  <c r="S33" i="5"/>
  <c r="AA32" i="5"/>
  <c r="Z32" i="5"/>
  <c r="Y32" i="5"/>
  <c r="W32" i="5"/>
  <c r="V32" i="5"/>
  <c r="U32" i="5"/>
  <c r="T32" i="5"/>
  <c r="S32" i="5"/>
  <c r="AA31" i="5"/>
  <c r="Z31" i="5"/>
  <c r="Y31" i="5"/>
  <c r="W31" i="5"/>
  <c r="V31" i="5"/>
  <c r="U31" i="5"/>
  <c r="T31" i="5"/>
  <c r="S31" i="5"/>
  <c r="AA30" i="5"/>
  <c r="Z30" i="5"/>
  <c r="Y30" i="5"/>
  <c r="W30" i="5"/>
  <c r="V30" i="5"/>
  <c r="U30" i="5"/>
  <c r="T30" i="5"/>
  <c r="S30" i="5"/>
  <c r="AA29" i="5"/>
  <c r="Z29" i="5"/>
  <c r="Y29" i="5"/>
  <c r="W29" i="5"/>
  <c r="V29" i="5"/>
  <c r="U29" i="5"/>
  <c r="T29" i="5"/>
  <c r="S29" i="5"/>
  <c r="AA28" i="5"/>
  <c r="Z28" i="5"/>
  <c r="Y28" i="5"/>
  <c r="W28" i="5"/>
  <c r="V28" i="5"/>
  <c r="U28" i="5"/>
  <c r="T28" i="5"/>
  <c r="S28" i="5"/>
  <c r="AA27" i="5"/>
  <c r="Z27" i="5"/>
  <c r="Y27" i="5"/>
  <c r="W27" i="5"/>
  <c r="V27" i="5"/>
  <c r="U27" i="5"/>
  <c r="T27" i="5"/>
  <c r="S27" i="5"/>
  <c r="AA26" i="5"/>
  <c r="Z26" i="5"/>
  <c r="Y26" i="5"/>
  <c r="W26" i="5"/>
  <c r="V26" i="5"/>
  <c r="U26" i="5"/>
  <c r="T26" i="5"/>
  <c r="S26" i="5"/>
  <c r="AA25" i="5"/>
  <c r="Z25" i="5"/>
  <c r="Y25" i="5"/>
  <c r="W25" i="5"/>
  <c r="V25" i="5"/>
  <c r="U25" i="5"/>
  <c r="T25" i="5"/>
  <c r="S25" i="5"/>
  <c r="AA24" i="5"/>
  <c r="Z24" i="5"/>
  <c r="Y24" i="5"/>
  <c r="W24" i="5"/>
  <c r="V24" i="5"/>
  <c r="U24" i="5"/>
  <c r="T24" i="5"/>
  <c r="S24" i="5"/>
  <c r="AA23" i="5"/>
  <c r="Z23" i="5"/>
  <c r="Y23" i="5"/>
  <c r="W23" i="5"/>
  <c r="V23" i="5"/>
  <c r="U23" i="5"/>
  <c r="T23" i="5"/>
  <c r="S23" i="5"/>
  <c r="AA22" i="5"/>
  <c r="Z22" i="5"/>
  <c r="Y22" i="5"/>
  <c r="W22" i="5"/>
  <c r="V22" i="5"/>
  <c r="U22" i="5"/>
  <c r="T22" i="5"/>
  <c r="S22" i="5"/>
  <c r="AA21" i="5"/>
  <c r="Z21" i="5"/>
  <c r="Y21" i="5"/>
  <c r="W21" i="5"/>
  <c r="V21" i="5"/>
  <c r="U21" i="5"/>
  <c r="T21" i="5"/>
  <c r="S21" i="5"/>
  <c r="AA20" i="5"/>
  <c r="Z20" i="5"/>
  <c r="Y20" i="5"/>
  <c r="W20" i="5"/>
  <c r="V20" i="5"/>
  <c r="U20" i="5"/>
  <c r="T20" i="5"/>
  <c r="S20" i="5"/>
  <c r="AA19" i="5"/>
  <c r="Z19" i="5"/>
  <c r="Y19" i="5"/>
  <c r="W19" i="5"/>
  <c r="V19" i="5"/>
  <c r="U19" i="5"/>
  <c r="T19" i="5"/>
  <c r="S19" i="5"/>
  <c r="AA18" i="5"/>
  <c r="Z18" i="5"/>
  <c r="Y18" i="5"/>
  <c r="W18" i="5"/>
  <c r="V18" i="5"/>
  <c r="U18" i="5"/>
  <c r="T18" i="5"/>
  <c r="S18" i="5"/>
  <c r="AA17" i="5"/>
  <c r="Z17" i="5"/>
  <c r="Y17" i="5"/>
  <c r="W17" i="5"/>
  <c r="V17" i="5"/>
  <c r="U17" i="5"/>
  <c r="T17" i="5"/>
  <c r="S17" i="5"/>
  <c r="AA16" i="5"/>
  <c r="Z16" i="5"/>
  <c r="Y16" i="5"/>
  <c r="W16" i="5"/>
  <c r="V16" i="5"/>
  <c r="U16" i="5"/>
  <c r="T16" i="5"/>
  <c r="S16" i="5"/>
  <c r="AA15" i="5"/>
  <c r="Z15" i="5"/>
  <c r="Y15" i="5"/>
  <c r="W15" i="5"/>
  <c r="V15" i="5"/>
  <c r="U15" i="5"/>
  <c r="T15" i="5"/>
  <c r="S15" i="5"/>
  <c r="AA14" i="5"/>
  <c r="Z14" i="5"/>
  <c r="Y14" i="5"/>
  <c r="W14" i="5"/>
  <c r="V14" i="5"/>
  <c r="U14" i="5"/>
  <c r="T14" i="5"/>
  <c r="S14" i="5"/>
  <c r="AA13" i="5"/>
  <c r="Z13" i="5"/>
  <c r="Y13" i="5"/>
  <c r="W13" i="5"/>
  <c r="V13" i="5"/>
  <c r="U13" i="5"/>
  <c r="T13" i="5"/>
  <c r="S13" i="5"/>
  <c r="AA12" i="5"/>
  <c r="Z12" i="5"/>
  <c r="Y12" i="5"/>
  <c r="W12" i="5"/>
  <c r="V12" i="5"/>
  <c r="U12" i="5"/>
  <c r="T12" i="5"/>
  <c r="S12" i="5"/>
  <c r="AA11" i="5"/>
  <c r="Z11" i="5"/>
  <c r="Y11" i="5"/>
  <c r="W11" i="5"/>
  <c r="V11" i="5"/>
  <c r="U11" i="5"/>
  <c r="T11" i="5"/>
  <c r="S11" i="5"/>
  <c r="AA10" i="5"/>
  <c r="Z10" i="5"/>
  <c r="Y10" i="5"/>
  <c r="W10" i="5"/>
  <c r="V10" i="5"/>
  <c r="U10" i="5"/>
  <c r="T10" i="5"/>
  <c r="S10" i="5"/>
  <c r="AA9" i="5"/>
  <c r="Z9" i="5"/>
  <c r="Y9" i="5"/>
  <c r="W9" i="5"/>
  <c r="V9" i="5"/>
  <c r="U9" i="5"/>
  <c r="T9" i="5"/>
  <c r="S9" i="5"/>
  <c r="AA8" i="5"/>
  <c r="Z8" i="5"/>
  <c r="Y8" i="5"/>
  <c r="W8" i="5"/>
  <c r="V8" i="5"/>
  <c r="U8" i="5"/>
  <c r="T8" i="5"/>
  <c r="S8" i="5"/>
  <c r="AA7" i="5"/>
  <c r="Z7" i="5"/>
  <c r="Y7" i="5"/>
  <c r="W7" i="5"/>
  <c r="V7" i="5"/>
  <c r="U7" i="5"/>
  <c r="T7" i="5"/>
  <c r="S7" i="5"/>
  <c r="AA6" i="5"/>
  <c r="Z6" i="5"/>
  <c r="Y6" i="5"/>
  <c r="W6" i="5"/>
  <c r="V6" i="5"/>
  <c r="U6" i="5"/>
  <c r="T6" i="5"/>
  <c r="S6" i="5"/>
  <c r="AA5" i="5"/>
  <c r="Z5" i="5"/>
  <c r="Y5" i="5"/>
  <c r="W5" i="5"/>
  <c r="V5" i="5"/>
  <c r="U5" i="5"/>
  <c r="T5" i="5"/>
  <c r="S5" i="5"/>
  <c r="AA4" i="5"/>
  <c r="Z4" i="5"/>
  <c r="Y4" i="5"/>
  <c r="W4" i="5"/>
  <c r="V4" i="5"/>
  <c r="U4" i="5"/>
  <c r="T4" i="5"/>
  <c r="S4" i="5"/>
  <c r="AA3" i="5"/>
  <c r="Z3" i="5"/>
  <c r="Y3" i="5"/>
  <c r="W3" i="5"/>
  <c r="V3" i="5"/>
  <c r="U3" i="5"/>
  <c r="T3" i="5"/>
  <c r="S3" i="5"/>
  <c r="AA2" i="5"/>
  <c r="Z2" i="5"/>
  <c r="Y2" i="5"/>
  <c r="W2" i="5"/>
  <c r="V2" i="5"/>
  <c r="U2" i="5"/>
  <c r="T2" i="5"/>
  <c r="S2" i="5"/>
  <c r="AA231" i="4"/>
  <c r="Z231" i="4"/>
  <c r="Y231" i="4"/>
  <c r="W231" i="4"/>
  <c r="V231" i="4"/>
  <c r="U231" i="4"/>
  <c r="T231" i="4"/>
  <c r="S231" i="4"/>
  <c r="AA230" i="4"/>
  <c r="Z230" i="4"/>
  <c r="Y230" i="4"/>
  <c r="W230" i="4"/>
  <c r="V230" i="4"/>
  <c r="U230" i="4"/>
  <c r="T230" i="4"/>
  <c r="S230" i="4"/>
  <c r="AA229" i="4"/>
  <c r="Z229" i="4"/>
  <c r="Y229" i="4"/>
  <c r="W229" i="4"/>
  <c r="V229" i="4"/>
  <c r="U229" i="4"/>
  <c r="T229" i="4"/>
  <c r="S229" i="4"/>
  <c r="AA228" i="4"/>
  <c r="Z228" i="4"/>
  <c r="Y228" i="4"/>
  <c r="W228" i="4"/>
  <c r="V228" i="4"/>
  <c r="U228" i="4"/>
  <c r="T228" i="4"/>
  <c r="S228" i="4"/>
  <c r="AA227" i="4"/>
  <c r="Z227" i="4"/>
  <c r="Y227" i="4"/>
  <c r="W227" i="4"/>
  <c r="V227" i="4"/>
  <c r="U227" i="4"/>
  <c r="T227" i="4"/>
  <c r="S227" i="4"/>
  <c r="AA226" i="4"/>
  <c r="Z226" i="4"/>
  <c r="Y226" i="4"/>
  <c r="W226" i="4"/>
  <c r="V226" i="4"/>
  <c r="U226" i="4"/>
  <c r="T226" i="4"/>
  <c r="S226" i="4"/>
  <c r="AA225" i="4"/>
  <c r="Z225" i="4"/>
  <c r="Y225" i="4"/>
  <c r="W225" i="4"/>
  <c r="V225" i="4"/>
  <c r="U225" i="4"/>
  <c r="T225" i="4"/>
  <c r="S225" i="4"/>
  <c r="AA224" i="4"/>
  <c r="Z224" i="4"/>
  <c r="Y224" i="4"/>
  <c r="W224" i="4"/>
  <c r="V224" i="4"/>
  <c r="U224" i="4"/>
  <c r="T224" i="4"/>
  <c r="S224" i="4"/>
  <c r="AA223" i="4"/>
  <c r="Z223" i="4"/>
  <c r="Y223" i="4"/>
  <c r="W223" i="4"/>
  <c r="V223" i="4"/>
  <c r="U223" i="4"/>
  <c r="T223" i="4"/>
  <c r="S223" i="4"/>
  <c r="AA222" i="4"/>
  <c r="Z222" i="4"/>
  <c r="Y222" i="4"/>
  <c r="W222" i="4"/>
  <c r="V222" i="4"/>
  <c r="U222" i="4"/>
  <c r="T222" i="4"/>
  <c r="S222" i="4"/>
  <c r="AA221" i="4"/>
  <c r="Z221" i="4"/>
  <c r="Y221" i="4"/>
  <c r="W221" i="4"/>
  <c r="V221" i="4"/>
  <c r="U221" i="4"/>
  <c r="T221" i="4"/>
  <c r="S221" i="4"/>
  <c r="AA220" i="4"/>
  <c r="Z220" i="4"/>
  <c r="Y220" i="4"/>
  <c r="W220" i="4"/>
  <c r="V220" i="4"/>
  <c r="U220" i="4"/>
  <c r="T220" i="4"/>
  <c r="S220" i="4"/>
  <c r="AA219" i="4"/>
  <c r="Z219" i="4"/>
  <c r="Y219" i="4"/>
  <c r="W219" i="4"/>
  <c r="V219" i="4"/>
  <c r="U219" i="4"/>
  <c r="T219" i="4"/>
  <c r="S219" i="4"/>
  <c r="AA218" i="4"/>
  <c r="Z218" i="4"/>
  <c r="Y218" i="4"/>
  <c r="W218" i="4"/>
  <c r="V218" i="4"/>
  <c r="U218" i="4"/>
  <c r="T218" i="4"/>
  <c r="S218" i="4"/>
  <c r="AA217" i="4"/>
  <c r="Z217" i="4"/>
  <c r="Y217" i="4"/>
  <c r="W217" i="4"/>
  <c r="V217" i="4"/>
  <c r="U217" i="4"/>
  <c r="T217" i="4"/>
  <c r="S217" i="4"/>
  <c r="AA216" i="4"/>
  <c r="Z216" i="4"/>
  <c r="Y216" i="4"/>
  <c r="W216" i="4"/>
  <c r="V216" i="4"/>
  <c r="U216" i="4"/>
  <c r="T216" i="4"/>
  <c r="S216" i="4"/>
  <c r="AA215" i="4"/>
  <c r="Z215" i="4"/>
  <c r="Y215" i="4"/>
  <c r="W215" i="4"/>
  <c r="V215" i="4"/>
  <c r="U215" i="4"/>
  <c r="T215" i="4"/>
  <c r="S215" i="4"/>
  <c r="AA214" i="4"/>
  <c r="Z214" i="4"/>
  <c r="Y214" i="4"/>
  <c r="W214" i="4"/>
  <c r="V214" i="4"/>
  <c r="U214" i="4"/>
  <c r="T214" i="4"/>
  <c r="S214" i="4"/>
  <c r="AA213" i="4"/>
  <c r="Z213" i="4"/>
  <c r="Y213" i="4"/>
  <c r="W213" i="4"/>
  <c r="V213" i="4"/>
  <c r="U213" i="4"/>
  <c r="T213" i="4"/>
  <c r="S213" i="4"/>
  <c r="AA212" i="4"/>
  <c r="Z212" i="4"/>
  <c r="Y212" i="4"/>
  <c r="W212" i="4"/>
  <c r="V212" i="4"/>
  <c r="U212" i="4"/>
  <c r="T212" i="4"/>
  <c r="S212" i="4"/>
  <c r="AA211" i="4"/>
  <c r="Z211" i="4"/>
  <c r="Y211" i="4"/>
  <c r="W211" i="4"/>
  <c r="V211" i="4"/>
  <c r="U211" i="4"/>
  <c r="T211" i="4"/>
  <c r="S211" i="4"/>
  <c r="AA210" i="4"/>
  <c r="Z210" i="4"/>
  <c r="Y210" i="4"/>
  <c r="W210" i="4"/>
  <c r="V210" i="4"/>
  <c r="U210" i="4"/>
  <c r="T210" i="4"/>
  <c r="S210" i="4"/>
  <c r="AA209" i="4"/>
  <c r="Z209" i="4"/>
  <c r="Y209" i="4"/>
  <c r="W209" i="4"/>
  <c r="V209" i="4"/>
  <c r="U209" i="4"/>
  <c r="T209" i="4"/>
  <c r="S209" i="4"/>
  <c r="AA208" i="4"/>
  <c r="Z208" i="4"/>
  <c r="Y208" i="4"/>
  <c r="W208" i="4"/>
  <c r="V208" i="4"/>
  <c r="U208" i="4"/>
  <c r="T208" i="4"/>
  <c r="S208" i="4"/>
  <c r="AA207" i="4"/>
  <c r="Z207" i="4"/>
  <c r="Y207" i="4"/>
  <c r="W207" i="4"/>
  <c r="V207" i="4"/>
  <c r="U207" i="4"/>
  <c r="T207" i="4"/>
  <c r="S207" i="4"/>
  <c r="AA206" i="4"/>
  <c r="Z206" i="4"/>
  <c r="Y206" i="4"/>
  <c r="W206" i="4"/>
  <c r="V206" i="4"/>
  <c r="U206" i="4"/>
  <c r="T206" i="4"/>
  <c r="S206" i="4"/>
  <c r="AA205" i="4"/>
  <c r="Z205" i="4"/>
  <c r="Y205" i="4"/>
  <c r="W205" i="4"/>
  <c r="V205" i="4"/>
  <c r="U205" i="4"/>
  <c r="T205" i="4"/>
  <c r="S205" i="4"/>
  <c r="AA204" i="4"/>
  <c r="Z204" i="4"/>
  <c r="Y204" i="4"/>
  <c r="W204" i="4"/>
  <c r="V204" i="4"/>
  <c r="U204" i="4"/>
  <c r="T204" i="4"/>
  <c r="S204" i="4"/>
  <c r="AA203" i="4"/>
  <c r="Z203" i="4"/>
  <c r="Y203" i="4"/>
  <c r="W203" i="4"/>
  <c r="V203" i="4"/>
  <c r="U203" i="4"/>
  <c r="T203" i="4"/>
  <c r="S203" i="4"/>
  <c r="AA202" i="4"/>
  <c r="Z202" i="4"/>
  <c r="Y202" i="4"/>
  <c r="W202" i="4"/>
  <c r="V202" i="4"/>
  <c r="U202" i="4"/>
  <c r="T202" i="4"/>
  <c r="S202" i="4"/>
  <c r="AA201" i="4"/>
  <c r="Z201" i="4"/>
  <c r="Y201" i="4"/>
  <c r="W201" i="4"/>
  <c r="V201" i="4"/>
  <c r="U201" i="4"/>
  <c r="T201" i="4"/>
  <c r="S201" i="4"/>
  <c r="AA200" i="4"/>
  <c r="Z200" i="4"/>
  <c r="Y200" i="4"/>
  <c r="W200" i="4"/>
  <c r="V200" i="4"/>
  <c r="U200" i="4"/>
  <c r="T200" i="4"/>
  <c r="S200" i="4"/>
  <c r="AA199" i="4"/>
  <c r="Z199" i="4"/>
  <c r="Y199" i="4"/>
  <c r="W199" i="4"/>
  <c r="V199" i="4"/>
  <c r="U199" i="4"/>
  <c r="T199" i="4"/>
  <c r="S199" i="4"/>
  <c r="AA198" i="4"/>
  <c r="Z198" i="4"/>
  <c r="Y198" i="4"/>
  <c r="W198" i="4"/>
  <c r="V198" i="4"/>
  <c r="U198" i="4"/>
  <c r="T198" i="4"/>
  <c r="S198" i="4"/>
  <c r="AA197" i="4"/>
  <c r="Z197" i="4"/>
  <c r="Y197" i="4"/>
  <c r="W197" i="4"/>
  <c r="V197" i="4"/>
  <c r="U197" i="4"/>
  <c r="T197" i="4"/>
  <c r="S197" i="4"/>
  <c r="AA196" i="4"/>
  <c r="Z196" i="4"/>
  <c r="Y196" i="4"/>
  <c r="W196" i="4"/>
  <c r="V196" i="4"/>
  <c r="U196" i="4"/>
  <c r="T196" i="4"/>
  <c r="S196" i="4"/>
  <c r="AA195" i="4"/>
  <c r="Z195" i="4"/>
  <c r="Y195" i="4"/>
  <c r="W195" i="4"/>
  <c r="V195" i="4"/>
  <c r="U195" i="4"/>
  <c r="T195" i="4"/>
  <c r="S195" i="4"/>
  <c r="AA194" i="4"/>
  <c r="Z194" i="4"/>
  <c r="Y194" i="4"/>
  <c r="W194" i="4"/>
  <c r="V194" i="4"/>
  <c r="U194" i="4"/>
  <c r="T194" i="4"/>
  <c r="S194" i="4"/>
  <c r="AA193" i="4"/>
  <c r="Z193" i="4"/>
  <c r="Y193" i="4"/>
  <c r="W193" i="4"/>
  <c r="V193" i="4"/>
  <c r="U193" i="4"/>
  <c r="T193" i="4"/>
  <c r="S193" i="4"/>
  <c r="AA192" i="4"/>
  <c r="Z192" i="4"/>
  <c r="Y192" i="4"/>
  <c r="W192" i="4"/>
  <c r="V192" i="4"/>
  <c r="U192" i="4"/>
  <c r="T192" i="4"/>
  <c r="S192" i="4"/>
  <c r="AA191" i="4"/>
  <c r="Z191" i="4"/>
  <c r="Y191" i="4"/>
  <c r="W191" i="4"/>
  <c r="V191" i="4"/>
  <c r="U191" i="4"/>
  <c r="T191" i="4"/>
  <c r="S191" i="4"/>
  <c r="AA190" i="4"/>
  <c r="Z190" i="4"/>
  <c r="Y190" i="4"/>
  <c r="W190" i="4"/>
  <c r="V190" i="4"/>
  <c r="U190" i="4"/>
  <c r="T190" i="4"/>
  <c r="S190" i="4"/>
  <c r="AA189" i="4"/>
  <c r="Z189" i="4"/>
  <c r="Y189" i="4"/>
  <c r="W189" i="4"/>
  <c r="V189" i="4"/>
  <c r="U189" i="4"/>
  <c r="T189" i="4"/>
  <c r="S189" i="4"/>
  <c r="AA188" i="4"/>
  <c r="Z188" i="4"/>
  <c r="Y188" i="4"/>
  <c r="W188" i="4"/>
  <c r="V188" i="4"/>
  <c r="U188" i="4"/>
  <c r="T188" i="4"/>
  <c r="S188" i="4"/>
  <c r="AA187" i="4"/>
  <c r="Z187" i="4"/>
  <c r="Y187" i="4"/>
  <c r="W187" i="4"/>
  <c r="V187" i="4"/>
  <c r="U187" i="4"/>
  <c r="T187" i="4"/>
  <c r="S187" i="4"/>
  <c r="AA186" i="4"/>
  <c r="Z186" i="4"/>
  <c r="Y186" i="4"/>
  <c r="W186" i="4"/>
  <c r="V186" i="4"/>
  <c r="U186" i="4"/>
  <c r="T186" i="4"/>
  <c r="S186" i="4"/>
  <c r="AA185" i="4"/>
  <c r="Z185" i="4"/>
  <c r="Y185" i="4"/>
  <c r="W185" i="4"/>
  <c r="V185" i="4"/>
  <c r="U185" i="4"/>
  <c r="T185" i="4"/>
  <c r="S185" i="4"/>
  <c r="AA184" i="4"/>
  <c r="Z184" i="4"/>
  <c r="Y184" i="4"/>
  <c r="W184" i="4"/>
  <c r="V184" i="4"/>
  <c r="U184" i="4"/>
  <c r="T184" i="4"/>
  <c r="S184" i="4"/>
  <c r="AA183" i="4"/>
  <c r="Z183" i="4"/>
  <c r="Y183" i="4"/>
  <c r="W183" i="4"/>
  <c r="V183" i="4"/>
  <c r="U183" i="4"/>
  <c r="T183" i="4"/>
  <c r="S183" i="4"/>
  <c r="AA182" i="4"/>
  <c r="Z182" i="4"/>
  <c r="Y182" i="4"/>
  <c r="W182" i="4"/>
  <c r="V182" i="4"/>
  <c r="U182" i="4"/>
  <c r="T182" i="4"/>
  <c r="S182" i="4"/>
  <c r="AA181" i="4"/>
  <c r="Z181" i="4"/>
  <c r="Y181" i="4"/>
  <c r="W181" i="4"/>
  <c r="V181" i="4"/>
  <c r="U181" i="4"/>
  <c r="T181" i="4"/>
  <c r="S181" i="4"/>
  <c r="AA180" i="4"/>
  <c r="Z180" i="4"/>
  <c r="Y180" i="4"/>
  <c r="W180" i="4"/>
  <c r="V180" i="4"/>
  <c r="U180" i="4"/>
  <c r="T180" i="4"/>
  <c r="S180" i="4"/>
  <c r="AA179" i="4"/>
  <c r="Z179" i="4"/>
  <c r="Y179" i="4"/>
  <c r="W179" i="4"/>
  <c r="V179" i="4"/>
  <c r="U179" i="4"/>
  <c r="T179" i="4"/>
  <c r="S179" i="4"/>
  <c r="AA178" i="4"/>
  <c r="Z178" i="4"/>
  <c r="Y178" i="4"/>
  <c r="W178" i="4"/>
  <c r="V178" i="4"/>
  <c r="U178" i="4"/>
  <c r="T178" i="4"/>
  <c r="S178" i="4"/>
  <c r="AA177" i="4"/>
  <c r="Z177" i="4"/>
  <c r="Y177" i="4"/>
  <c r="W177" i="4"/>
  <c r="V177" i="4"/>
  <c r="U177" i="4"/>
  <c r="T177" i="4"/>
  <c r="S177" i="4"/>
  <c r="AA176" i="4"/>
  <c r="Z176" i="4"/>
  <c r="Y176" i="4"/>
  <c r="W176" i="4"/>
  <c r="V176" i="4"/>
  <c r="U176" i="4"/>
  <c r="T176" i="4"/>
  <c r="S176" i="4"/>
  <c r="AA175" i="4"/>
  <c r="Z175" i="4"/>
  <c r="Y175" i="4"/>
  <c r="W175" i="4"/>
  <c r="V175" i="4"/>
  <c r="U175" i="4"/>
  <c r="T175" i="4"/>
  <c r="S175" i="4"/>
  <c r="AA174" i="4"/>
  <c r="Z174" i="4"/>
  <c r="Y174" i="4"/>
  <c r="W174" i="4"/>
  <c r="V174" i="4"/>
  <c r="U174" i="4"/>
  <c r="T174" i="4"/>
  <c r="S174" i="4"/>
  <c r="AA173" i="4"/>
  <c r="Z173" i="4"/>
  <c r="Y173" i="4"/>
  <c r="W173" i="4"/>
  <c r="V173" i="4"/>
  <c r="U173" i="4"/>
  <c r="T173" i="4"/>
  <c r="S173" i="4"/>
  <c r="AA172" i="4"/>
  <c r="Z172" i="4"/>
  <c r="Y172" i="4"/>
  <c r="W172" i="4"/>
  <c r="V172" i="4"/>
  <c r="U172" i="4"/>
  <c r="T172" i="4"/>
  <c r="S172" i="4"/>
  <c r="AA171" i="4"/>
  <c r="Z171" i="4"/>
  <c r="Y171" i="4"/>
  <c r="W171" i="4"/>
  <c r="V171" i="4"/>
  <c r="U171" i="4"/>
  <c r="T171" i="4"/>
  <c r="S171" i="4"/>
  <c r="AA170" i="4"/>
  <c r="Z170" i="4"/>
  <c r="Y170" i="4"/>
  <c r="W170" i="4"/>
  <c r="V170" i="4"/>
  <c r="U170" i="4"/>
  <c r="T170" i="4"/>
  <c r="S170" i="4"/>
  <c r="AA169" i="4"/>
  <c r="Z169" i="4"/>
  <c r="Y169" i="4"/>
  <c r="W169" i="4"/>
  <c r="V169" i="4"/>
  <c r="U169" i="4"/>
  <c r="T169" i="4"/>
  <c r="S169" i="4"/>
  <c r="AA168" i="4"/>
  <c r="Z168" i="4"/>
  <c r="Y168" i="4"/>
  <c r="W168" i="4"/>
  <c r="V168" i="4"/>
  <c r="U168" i="4"/>
  <c r="T168" i="4"/>
  <c r="S168" i="4"/>
  <c r="AA167" i="4"/>
  <c r="Z167" i="4"/>
  <c r="Y167" i="4"/>
  <c r="W167" i="4"/>
  <c r="V167" i="4"/>
  <c r="U167" i="4"/>
  <c r="T167" i="4"/>
  <c r="S167" i="4"/>
  <c r="AA166" i="4"/>
  <c r="Z166" i="4"/>
  <c r="Y166" i="4"/>
  <c r="W166" i="4"/>
  <c r="V166" i="4"/>
  <c r="U166" i="4"/>
  <c r="T166" i="4"/>
  <c r="S166" i="4"/>
  <c r="AA165" i="4"/>
  <c r="Z165" i="4"/>
  <c r="Y165" i="4"/>
  <c r="W165" i="4"/>
  <c r="V165" i="4"/>
  <c r="U165" i="4"/>
  <c r="T165" i="4"/>
  <c r="S165" i="4"/>
  <c r="AA164" i="4"/>
  <c r="Z164" i="4"/>
  <c r="Y164" i="4"/>
  <c r="W164" i="4"/>
  <c r="V164" i="4"/>
  <c r="U164" i="4"/>
  <c r="T164" i="4"/>
  <c r="S164" i="4"/>
  <c r="AA163" i="4"/>
  <c r="Z163" i="4"/>
  <c r="Y163" i="4"/>
  <c r="W163" i="4"/>
  <c r="V163" i="4"/>
  <c r="U163" i="4"/>
  <c r="T163" i="4"/>
  <c r="S163" i="4"/>
  <c r="AA162" i="4"/>
  <c r="Z162" i="4"/>
  <c r="Y162" i="4"/>
  <c r="W162" i="4"/>
  <c r="V162" i="4"/>
  <c r="U162" i="4"/>
  <c r="T162" i="4"/>
  <c r="S162" i="4"/>
  <c r="AA161" i="4"/>
  <c r="Z161" i="4"/>
  <c r="Y161" i="4"/>
  <c r="W161" i="4"/>
  <c r="V161" i="4"/>
  <c r="U161" i="4"/>
  <c r="T161" i="4"/>
  <c r="S161" i="4"/>
  <c r="AA160" i="4"/>
  <c r="Z160" i="4"/>
  <c r="Y160" i="4"/>
  <c r="W160" i="4"/>
  <c r="V160" i="4"/>
  <c r="U160" i="4"/>
  <c r="T160" i="4"/>
  <c r="S160" i="4"/>
  <c r="AA159" i="4"/>
  <c r="Z159" i="4"/>
  <c r="Y159" i="4"/>
  <c r="W159" i="4"/>
  <c r="V159" i="4"/>
  <c r="U159" i="4"/>
  <c r="T159" i="4"/>
  <c r="S159" i="4"/>
  <c r="AA158" i="4"/>
  <c r="Z158" i="4"/>
  <c r="Y158" i="4"/>
  <c r="W158" i="4"/>
  <c r="V158" i="4"/>
  <c r="U158" i="4"/>
  <c r="T158" i="4"/>
  <c r="S158" i="4"/>
  <c r="AA157" i="4"/>
  <c r="Z157" i="4"/>
  <c r="Y157" i="4"/>
  <c r="W157" i="4"/>
  <c r="V157" i="4"/>
  <c r="U157" i="4"/>
  <c r="T157" i="4"/>
  <c r="S157" i="4"/>
  <c r="AA156" i="4"/>
  <c r="Z156" i="4"/>
  <c r="Y156" i="4"/>
  <c r="W156" i="4"/>
  <c r="V156" i="4"/>
  <c r="U156" i="4"/>
  <c r="T156" i="4"/>
  <c r="S156" i="4"/>
  <c r="AA155" i="4"/>
  <c r="Z155" i="4"/>
  <c r="Y155" i="4"/>
  <c r="W155" i="4"/>
  <c r="V155" i="4"/>
  <c r="U155" i="4"/>
  <c r="T155" i="4"/>
  <c r="S155" i="4"/>
  <c r="AA154" i="4"/>
  <c r="Z154" i="4"/>
  <c r="Y154" i="4"/>
  <c r="W154" i="4"/>
  <c r="V154" i="4"/>
  <c r="U154" i="4"/>
  <c r="T154" i="4"/>
  <c r="S154" i="4"/>
  <c r="AA153" i="4"/>
  <c r="Z153" i="4"/>
  <c r="Y153" i="4"/>
  <c r="W153" i="4"/>
  <c r="V153" i="4"/>
  <c r="U153" i="4"/>
  <c r="T153" i="4"/>
  <c r="S153" i="4"/>
  <c r="AA152" i="4"/>
  <c r="Z152" i="4"/>
  <c r="Y152" i="4"/>
  <c r="W152" i="4"/>
  <c r="V152" i="4"/>
  <c r="U152" i="4"/>
  <c r="T152" i="4"/>
  <c r="S152" i="4"/>
  <c r="AA151" i="4"/>
  <c r="Z151" i="4"/>
  <c r="Y151" i="4"/>
  <c r="W151" i="4"/>
  <c r="V151" i="4"/>
  <c r="U151" i="4"/>
  <c r="T151" i="4"/>
  <c r="S151" i="4"/>
  <c r="AA150" i="4"/>
  <c r="Z150" i="4"/>
  <c r="Y150" i="4"/>
  <c r="W150" i="4"/>
  <c r="V150" i="4"/>
  <c r="U150" i="4"/>
  <c r="T150" i="4"/>
  <c r="S150" i="4"/>
  <c r="AA149" i="4"/>
  <c r="Z149" i="4"/>
  <c r="Y149" i="4"/>
  <c r="W149" i="4"/>
  <c r="V149" i="4"/>
  <c r="U149" i="4"/>
  <c r="T149" i="4"/>
  <c r="S149" i="4"/>
  <c r="AA148" i="4"/>
  <c r="Z148" i="4"/>
  <c r="Y148" i="4"/>
  <c r="W148" i="4"/>
  <c r="V148" i="4"/>
  <c r="U148" i="4"/>
  <c r="T148" i="4"/>
  <c r="S148" i="4"/>
  <c r="AA147" i="4"/>
  <c r="Z147" i="4"/>
  <c r="Y147" i="4"/>
  <c r="W147" i="4"/>
  <c r="V147" i="4"/>
  <c r="U147" i="4"/>
  <c r="T147" i="4"/>
  <c r="S147" i="4"/>
  <c r="AA146" i="4"/>
  <c r="Z146" i="4"/>
  <c r="Y146" i="4"/>
  <c r="W146" i="4"/>
  <c r="V146" i="4"/>
  <c r="U146" i="4"/>
  <c r="T146" i="4"/>
  <c r="S146" i="4"/>
  <c r="AA145" i="4"/>
  <c r="Z145" i="4"/>
  <c r="Y145" i="4"/>
  <c r="W145" i="4"/>
  <c r="V145" i="4"/>
  <c r="U145" i="4"/>
  <c r="T145" i="4"/>
  <c r="S145" i="4"/>
  <c r="AA144" i="4"/>
  <c r="Z144" i="4"/>
  <c r="Y144" i="4"/>
  <c r="W144" i="4"/>
  <c r="V144" i="4"/>
  <c r="U144" i="4"/>
  <c r="T144" i="4"/>
  <c r="S144" i="4"/>
  <c r="AA143" i="4"/>
  <c r="Z143" i="4"/>
  <c r="Y143" i="4"/>
  <c r="W143" i="4"/>
  <c r="V143" i="4"/>
  <c r="U143" i="4"/>
  <c r="T143" i="4"/>
  <c r="S143" i="4"/>
  <c r="AA142" i="4"/>
  <c r="Z142" i="4"/>
  <c r="Y142" i="4"/>
  <c r="W142" i="4"/>
  <c r="V142" i="4"/>
  <c r="U142" i="4"/>
  <c r="T142" i="4"/>
  <c r="S142" i="4"/>
  <c r="AA141" i="4"/>
  <c r="Z141" i="4"/>
  <c r="Y141" i="4"/>
  <c r="W141" i="4"/>
  <c r="V141" i="4"/>
  <c r="U141" i="4"/>
  <c r="T141" i="4"/>
  <c r="S141" i="4"/>
  <c r="AA140" i="4"/>
  <c r="Z140" i="4"/>
  <c r="Y140" i="4"/>
  <c r="W140" i="4"/>
  <c r="V140" i="4"/>
  <c r="U140" i="4"/>
  <c r="T140" i="4"/>
  <c r="S140" i="4"/>
  <c r="AA139" i="4"/>
  <c r="Z139" i="4"/>
  <c r="Y139" i="4"/>
  <c r="W139" i="4"/>
  <c r="V139" i="4"/>
  <c r="U139" i="4"/>
  <c r="T139" i="4"/>
  <c r="S139" i="4"/>
  <c r="AA138" i="4"/>
  <c r="Z138" i="4"/>
  <c r="Y138" i="4"/>
  <c r="W138" i="4"/>
  <c r="V138" i="4"/>
  <c r="U138" i="4"/>
  <c r="T138" i="4"/>
  <c r="S138" i="4"/>
  <c r="AA137" i="4"/>
  <c r="Z137" i="4"/>
  <c r="Y137" i="4"/>
  <c r="W137" i="4"/>
  <c r="V137" i="4"/>
  <c r="U137" i="4"/>
  <c r="T137" i="4"/>
  <c r="S137" i="4"/>
  <c r="AA136" i="4"/>
  <c r="Z136" i="4"/>
  <c r="Y136" i="4"/>
  <c r="W136" i="4"/>
  <c r="V136" i="4"/>
  <c r="U136" i="4"/>
  <c r="T136" i="4"/>
  <c r="S136" i="4"/>
  <c r="AA135" i="4"/>
  <c r="Z135" i="4"/>
  <c r="Y135" i="4"/>
  <c r="W135" i="4"/>
  <c r="V135" i="4"/>
  <c r="U135" i="4"/>
  <c r="T135" i="4"/>
  <c r="S135" i="4"/>
  <c r="AA134" i="4"/>
  <c r="Z134" i="4"/>
  <c r="Y134" i="4"/>
  <c r="W134" i="4"/>
  <c r="V134" i="4"/>
  <c r="U134" i="4"/>
  <c r="T134" i="4"/>
  <c r="S134" i="4"/>
  <c r="AA133" i="4"/>
  <c r="Z133" i="4"/>
  <c r="Y133" i="4"/>
  <c r="W133" i="4"/>
  <c r="V133" i="4"/>
  <c r="U133" i="4"/>
  <c r="T133" i="4"/>
  <c r="S133" i="4"/>
  <c r="AA132" i="4"/>
  <c r="Z132" i="4"/>
  <c r="Y132" i="4"/>
  <c r="W132" i="4"/>
  <c r="V132" i="4"/>
  <c r="U132" i="4"/>
  <c r="T132" i="4"/>
  <c r="S132" i="4"/>
  <c r="AA131" i="4"/>
  <c r="Z131" i="4"/>
  <c r="Y131" i="4"/>
  <c r="W131" i="4"/>
  <c r="V131" i="4"/>
  <c r="U131" i="4"/>
  <c r="T131" i="4"/>
  <c r="S131" i="4"/>
  <c r="AA130" i="4"/>
  <c r="Z130" i="4"/>
  <c r="Y130" i="4"/>
  <c r="W130" i="4"/>
  <c r="V130" i="4"/>
  <c r="U130" i="4"/>
  <c r="T130" i="4"/>
  <c r="S130" i="4"/>
  <c r="AA129" i="4"/>
  <c r="Z129" i="4"/>
  <c r="Y129" i="4"/>
  <c r="W129" i="4"/>
  <c r="V129" i="4"/>
  <c r="U129" i="4"/>
  <c r="T129" i="4"/>
  <c r="S129" i="4"/>
  <c r="AA128" i="4"/>
  <c r="Z128" i="4"/>
  <c r="Y128" i="4"/>
  <c r="W128" i="4"/>
  <c r="V128" i="4"/>
  <c r="U128" i="4"/>
  <c r="T128" i="4"/>
  <c r="S128" i="4"/>
  <c r="AA127" i="4"/>
  <c r="Z127" i="4"/>
  <c r="Y127" i="4"/>
  <c r="W127" i="4"/>
  <c r="V127" i="4"/>
  <c r="U127" i="4"/>
  <c r="T127" i="4"/>
  <c r="S127" i="4"/>
  <c r="AA126" i="4"/>
  <c r="Z126" i="4"/>
  <c r="Y126" i="4"/>
  <c r="W126" i="4"/>
  <c r="V126" i="4"/>
  <c r="U126" i="4"/>
  <c r="T126" i="4"/>
  <c r="S126" i="4"/>
  <c r="AA125" i="4"/>
  <c r="Z125" i="4"/>
  <c r="Y125" i="4"/>
  <c r="W125" i="4"/>
  <c r="V125" i="4"/>
  <c r="U125" i="4"/>
  <c r="T125" i="4"/>
  <c r="S125" i="4"/>
  <c r="AA124" i="4"/>
  <c r="Z124" i="4"/>
  <c r="Y124" i="4"/>
  <c r="W124" i="4"/>
  <c r="V124" i="4"/>
  <c r="U124" i="4"/>
  <c r="T124" i="4"/>
  <c r="S124" i="4"/>
  <c r="AA123" i="4"/>
  <c r="Z123" i="4"/>
  <c r="Y123" i="4"/>
  <c r="W123" i="4"/>
  <c r="V123" i="4"/>
  <c r="U123" i="4"/>
  <c r="T123" i="4"/>
  <c r="S123" i="4"/>
  <c r="AA122" i="4"/>
  <c r="Z122" i="4"/>
  <c r="Y122" i="4"/>
  <c r="W122" i="4"/>
  <c r="V122" i="4"/>
  <c r="U122" i="4"/>
  <c r="T122" i="4"/>
  <c r="S122" i="4"/>
  <c r="AA121" i="4"/>
  <c r="Z121" i="4"/>
  <c r="Y121" i="4"/>
  <c r="W121" i="4"/>
  <c r="V121" i="4"/>
  <c r="U121" i="4"/>
  <c r="T121" i="4"/>
  <c r="S121" i="4"/>
  <c r="AA120" i="4"/>
  <c r="Z120" i="4"/>
  <c r="Y120" i="4"/>
  <c r="W120" i="4"/>
  <c r="V120" i="4"/>
  <c r="U120" i="4"/>
  <c r="T120" i="4"/>
  <c r="S120" i="4"/>
  <c r="AA119" i="4"/>
  <c r="Z119" i="4"/>
  <c r="Y119" i="4"/>
  <c r="W119" i="4"/>
  <c r="V119" i="4"/>
  <c r="U119" i="4"/>
  <c r="T119" i="4"/>
  <c r="S119" i="4"/>
  <c r="AA118" i="4"/>
  <c r="Z118" i="4"/>
  <c r="Y118" i="4"/>
  <c r="W118" i="4"/>
  <c r="V118" i="4"/>
  <c r="U118" i="4"/>
  <c r="T118" i="4"/>
  <c r="S118" i="4"/>
  <c r="AA117" i="4"/>
  <c r="Z117" i="4"/>
  <c r="Y117" i="4"/>
  <c r="W117" i="4"/>
  <c r="V117" i="4"/>
  <c r="U117" i="4"/>
  <c r="T117" i="4"/>
  <c r="S117" i="4"/>
  <c r="AA116" i="4"/>
  <c r="Z116" i="4"/>
  <c r="Y116" i="4"/>
  <c r="W116" i="4"/>
  <c r="V116" i="4"/>
  <c r="U116" i="4"/>
  <c r="T116" i="4"/>
  <c r="S116" i="4"/>
  <c r="AA115" i="4"/>
  <c r="Z115" i="4"/>
  <c r="Y115" i="4"/>
  <c r="W115" i="4"/>
  <c r="V115" i="4"/>
  <c r="U115" i="4"/>
  <c r="T115" i="4"/>
  <c r="S115" i="4"/>
  <c r="AA114" i="4"/>
  <c r="Z114" i="4"/>
  <c r="Y114" i="4"/>
  <c r="W114" i="4"/>
  <c r="V114" i="4"/>
  <c r="U114" i="4"/>
  <c r="T114" i="4"/>
  <c r="S114" i="4"/>
  <c r="AA113" i="4"/>
  <c r="Z113" i="4"/>
  <c r="Y113" i="4"/>
  <c r="W113" i="4"/>
  <c r="V113" i="4"/>
  <c r="U113" i="4"/>
  <c r="T113" i="4"/>
  <c r="S113" i="4"/>
  <c r="AA112" i="4"/>
  <c r="Z112" i="4"/>
  <c r="Y112" i="4"/>
  <c r="W112" i="4"/>
  <c r="V112" i="4"/>
  <c r="U112" i="4"/>
  <c r="T112" i="4"/>
  <c r="S112" i="4"/>
  <c r="AA111" i="4"/>
  <c r="Z111" i="4"/>
  <c r="Y111" i="4"/>
  <c r="W111" i="4"/>
  <c r="V111" i="4"/>
  <c r="U111" i="4"/>
  <c r="T111" i="4"/>
  <c r="S111" i="4"/>
  <c r="AA110" i="4"/>
  <c r="Z110" i="4"/>
  <c r="Y110" i="4"/>
  <c r="W110" i="4"/>
  <c r="V110" i="4"/>
  <c r="U110" i="4"/>
  <c r="T110" i="4"/>
  <c r="S110" i="4"/>
  <c r="AA109" i="4"/>
  <c r="Z109" i="4"/>
  <c r="Y109" i="4"/>
  <c r="W109" i="4"/>
  <c r="V109" i="4"/>
  <c r="U109" i="4"/>
  <c r="T109" i="4"/>
  <c r="S109" i="4"/>
  <c r="AA108" i="4"/>
  <c r="Z108" i="4"/>
  <c r="Y108" i="4"/>
  <c r="W108" i="4"/>
  <c r="V108" i="4"/>
  <c r="U108" i="4"/>
  <c r="T108" i="4"/>
  <c r="S108" i="4"/>
  <c r="AA107" i="4"/>
  <c r="Z107" i="4"/>
  <c r="Y107" i="4"/>
  <c r="W107" i="4"/>
  <c r="V107" i="4"/>
  <c r="U107" i="4"/>
  <c r="T107" i="4"/>
  <c r="S107" i="4"/>
  <c r="AA106" i="4"/>
  <c r="Z106" i="4"/>
  <c r="Y106" i="4"/>
  <c r="W106" i="4"/>
  <c r="V106" i="4"/>
  <c r="U106" i="4"/>
  <c r="T106" i="4"/>
  <c r="S106" i="4"/>
  <c r="AA105" i="4"/>
  <c r="Z105" i="4"/>
  <c r="Y105" i="4"/>
  <c r="W105" i="4"/>
  <c r="V105" i="4"/>
  <c r="U105" i="4"/>
  <c r="T105" i="4"/>
  <c r="S105" i="4"/>
  <c r="AA104" i="4"/>
  <c r="Z104" i="4"/>
  <c r="Y104" i="4"/>
  <c r="W104" i="4"/>
  <c r="V104" i="4"/>
  <c r="U104" i="4"/>
  <c r="T104" i="4"/>
  <c r="S104" i="4"/>
  <c r="AA103" i="4"/>
  <c r="Z103" i="4"/>
  <c r="Y103" i="4"/>
  <c r="W103" i="4"/>
  <c r="V103" i="4"/>
  <c r="U103" i="4"/>
  <c r="T103" i="4"/>
  <c r="S103" i="4"/>
  <c r="AA102" i="4"/>
  <c r="Z102" i="4"/>
  <c r="Y102" i="4"/>
  <c r="W102" i="4"/>
  <c r="V102" i="4"/>
  <c r="U102" i="4"/>
  <c r="T102" i="4"/>
  <c r="S102" i="4"/>
  <c r="AA101" i="4"/>
  <c r="Z101" i="4"/>
  <c r="Y101" i="4"/>
  <c r="W101" i="4"/>
  <c r="V101" i="4"/>
  <c r="U101" i="4"/>
  <c r="T101" i="4"/>
  <c r="S101" i="4"/>
  <c r="AA100" i="4"/>
  <c r="Z100" i="4"/>
  <c r="Y100" i="4"/>
  <c r="W100" i="4"/>
  <c r="V100" i="4"/>
  <c r="U100" i="4"/>
  <c r="T100" i="4"/>
  <c r="S100" i="4"/>
  <c r="AA99" i="4"/>
  <c r="Z99" i="4"/>
  <c r="Y99" i="4"/>
  <c r="W99" i="4"/>
  <c r="V99" i="4"/>
  <c r="U99" i="4"/>
  <c r="T99" i="4"/>
  <c r="S99" i="4"/>
  <c r="AA98" i="4"/>
  <c r="Z98" i="4"/>
  <c r="Y98" i="4"/>
  <c r="W98" i="4"/>
  <c r="V98" i="4"/>
  <c r="U98" i="4"/>
  <c r="T98" i="4"/>
  <c r="S98" i="4"/>
  <c r="AA97" i="4"/>
  <c r="Z97" i="4"/>
  <c r="Y97" i="4"/>
  <c r="W97" i="4"/>
  <c r="V97" i="4"/>
  <c r="U97" i="4"/>
  <c r="T97" i="4"/>
  <c r="S97" i="4"/>
  <c r="AA96" i="4"/>
  <c r="Z96" i="4"/>
  <c r="Y96" i="4"/>
  <c r="W96" i="4"/>
  <c r="V96" i="4"/>
  <c r="U96" i="4"/>
  <c r="T96" i="4"/>
  <c r="S96" i="4"/>
  <c r="AA95" i="4"/>
  <c r="Z95" i="4"/>
  <c r="Y95" i="4"/>
  <c r="W95" i="4"/>
  <c r="V95" i="4"/>
  <c r="U95" i="4"/>
  <c r="T95" i="4"/>
  <c r="S95" i="4"/>
  <c r="AA94" i="4"/>
  <c r="Z94" i="4"/>
  <c r="Y94" i="4"/>
  <c r="W94" i="4"/>
  <c r="V94" i="4"/>
  <c r="U94" i="4"/>
  <c r="T94" i="4"/>
  <c r="S94" i="4"/>
  <c r="AA93" i="4"/>
  <c r="Z93" i="4"/>
  <c r="Y93" i="4"/>
  <c r="W93" i="4"/>
  <c r="V93" i="4"/>
  <c r="U93" i="4"/>
  <c r="T93" i="4"/>
  <c r="S93" i="4"/>
  <c r="AA92" i="4"/>
  <c r="Z92" i="4"/>
  <c r="Y92" i="4"/>
  <c r="W92" i="4"/>
  <c r="V92" i="4"/>
  <c r="U92" i="4"/>
  <c r="T92" i="4"/>
  <c r="S92" i="4"/>
  <c r="AA91" i="4"/>
  <c r="Z91" i="4"/>
  <c r="Y91" i="4"/>
  <c r="W91" i="4"/>
  <c r="V91" i="4"/>
  <c r="U91" i="4"/>
  <c r="T91" i="4"/>
  <c r="S91" i="4"/>
  <c r="AA90" i="4"/>
  <c r="Z90" i="4"/>
  <c r="Y90" i="4"/>
  <c r="W90" i="4"/>
  <c r="V90" i="4"/>
  <c r="U90" i="4"/>
  <c r="T90" i="4"/>
  <c r="S90" i="4"/>
  <c r="AA89" i="4"/>
  <c r="Z89" i="4"/>
  <c r="Y89" i="4"/>
  <c r="W89" i="4"/>
  <c r="V89" i="4"/>
  <c r="U89" i="4"/>
  <c r="T89" i="4"/>
  <c r="S89" i="4"/>
  <c r="AA88" i="4"/>
  <c r="Z88" i="4"/>
  <c r="Y88" i="4"/>
  <c r="W88" i="4"/>
  <c r="V88" i="4"/>
  <c r="U88" i="4"/>
  <c r="T88" i="4"/>
  <c r="S88" i="4"/>
  <c r="AA87" i="4"/>
  <c r="Z87" i="4"/>
  <c r="Y87" i="4"/>
  <c r="W87" i="4"/>
  <c r="V87" i="4"/>
  <c r="U87" i="4"/>
  <c r="T87" i="4"/>
  <c r="S87" i="4"/>
  <c r="AA86" i="4"/>
  <c r="Z86" i="4"/>
  <c r="Y86" i="4"/>
  <c r="W86" i="4"/>
  <c r="V86" i="4"/>
  <c r="U86" i="4"/>
  <c r="T86" i="4"/>
  <c r="S86" i="4"/>
  <c r="AA85" i="4"/>
  <c r="Z85" i="4"/>
  <c r="Y85" i="4"/>
  <c r="W85" i="4"/>
  <c r="V85" i="4"/>
  <c r="U85" i="4"/>
  <c r="T85" i="4"/>
  <c r="S85" i="4"/>
  <c r="AA84" i="4"/>
  <c r="Z84" i="4"/>
  <c r="Y84" i="4"/>
  <c r="W84" i="4"/>
  <c r="V84" i="4"/>
  <c r="U84" i="4"/>
  <c r="T84" i="4"/>
  <c r="S84" i="4"/>
  <c r="AA83" i="4"/>
  <c r="Z83" i="4"/>
  <c r="Y83" i="4"/>
  <c r="W83" i="4"/>
  <c r="V83" i="4"/>
  <c r="U83" i="4"/>
  <c r="T83" i="4"/>
  <c r="S83" i="4"/>
  <c r="AA82" i="4"/>
  <c r="Z82" i="4"/>
  <c r="Y82" i="4"/>
  <c r="W82" i="4"/>
  <c r="V82" i="4"/>
  <c r="U82" i="4"/>
  <c r="T82" i="4"/>
  <c r="S82" i="4"/>
  <c r="AA81" i="4"/>
  <c r="Z81" i="4"/>
  <c r="Y81" i="4"/>
  <c r="W81" i="4"/>
  <c r="V81" i="4"/>
  <c r="U81" i="4"/>
  <c r="T81" i="4"/>
  <c r="S81" i="4"/>
  <c r="AA80" i="4"/>
  <c r="Z80" i="4"/>
  <c r="Y80" i="4"/>
  <c r="W80" i="4"/>
  <c r="V80" i="4"/>
  <c r="U80" i="4"/>
  <c r="T80" i="4"/>
  <c r="S80" i="4"/>
  <c r="AA79" i="4"/>
  <c r="Z79" i="4"/>
  <c r="Y79" i="4"/>
  <c r="W79" i="4"/>
  <c r="V79" i="4"/>
  <c r="U79" i="4"/>
  <c r="T79" i="4"/>
  <c r="S79" i="4"/>
  <c r="AA78" i="4"/>
  <c r="Z78" i="4"/>
  <c r="Y78" i="4"/>
  <c r="W78" i="4"/>
  <c r="V78" i="4"/>
  <c r="U78" i="4"/>
  <c r="T78" i="4"/>
  <c r="S78" i="4"/>
  <c r="AA77" i="4"/>
  <c r="Z77" i="4"/>
  <c r="Y77" i="4"/>
  <c r="W77" i="4"/>
  <c r="V77" i="4"/>
  <c r="U77" i="4"/>
  <c r="T77" i="4"/>
  <c r="S77" i="4"/>
  <c r="AA76" i="4"/>
  <c r="Z76" i="4"/>
  <c r="Y76" i="4"/>
  <c r="W76" i="4"/>
  <c r="V76" i="4"/>
  <c r="U76" i="4"/>
  <c r="T76" i="4"/>
  <c r="S76" i="4"/>
  <c r="AA75" i="4"/>
  <c r="Z75" i="4"/>
  <c r="Y75" i="4"/>
  <c r="W75" i="4"/>
  <c r="V75" i="4"/>
  <c r="U75" i="4"/>
  <c r="T75" i="4"/>
  <c r="S75" i="4"/>
  <c r="AA74" i="4"/>
  <c r="Z74" i="4"/>
  <c r="Y74" i="4"/>
  <c r="W74" i="4"/>
  <c r="V74" i="4"/>
  <c r="U74" i="4"/>
  <c r="T74" i="4"/>
  <c r="S74" i="4"/>
  <c r="AA73" i="4"/>
  <c r="Z73" i="4"/>
  <c r="Y73" i="4"/>
  <c r="W73" i="4"/>
  <c r="V73" i="4"/>
  <c r="U73" i="4"/>
  <c r="T73" i="4"/>
  <c r="S73" i="4"/>
  <c r="AA72" i="4"/>
  <c r="Z72" i="4"/>
  <c r="Y72" i="4"/>
  <c r="W72" i="4"/>
  <c r="V72" i="4"/>
  <c r="U72" i="4"/>
  <c r="T72" i="4"/>
  <c r="S72" i="4"/>
  <c r="AA71" i="4"/>
  <c r="Z71" i="4"/>
  <c r="Y71" i="4"/>
  <c r="W71" i="4"/>
  <c r="V71" i="4"/>
  <c r="U71" i="4"/>
  <c r="T71" i="4"/>
  <c r="S71" i="4"/>
  <c r="AA70" i="4"/>
  <c r="Z70" i="4"/>
  <c r="Y70" i="4"/>
  <c r="W70" i="4"/>
  <c r="V70" i="4"/>
  <c r="U70" i="4"/>
  <c r="T70" i="4"/>
  <c r="S70" i="4"/>
  <c r="AA69" i="4"/>
  <c r="Z69" i="4"/>
  <c r="Y69" i="4"/>
  <c r="W69" i="4"/>
  <c r="V69" i="4"/>
  <c r="U69" i="4"/>
  <c r="T69" i="4"/>
  <c r="S69" i="4"/>
  <c r="AA68" i="4"/>
  <c r="Z68" i="4"/>
  <c r="Y68" i="4"/>
  <c r="W68" i="4"/>
  <c r="V68" i="4"/>
  <c r="U68" i="4"/>
  <c r="T68" i="4"/>
  <c r="S68" i="4"/>
  <c r="AA67" i="4"/>
  <c r="Z67" i="4"/>
  <c r="Y67" i="4"/>
  <c r="W67" i="4"/>
  <c r="V67" i="4"/>
  <c r="U67" i="4"/>
  <c r="T67" i="4"/>
  <c r="S67" i="4"/>
  <c r="AA66" i="4"/>
  <c r="Z66" i="4"/>
  <c r="Y66" i="4"/>
  <c r="W66" i="4"/>
  <c r="V66" i="4"/>
  <c r="U66" i="4"/>
  <c r="T66" i="4"/>
  <c r="S66" i="4"/>
  <c r="AA65" i="4"/>
  <c r="Z65" i="4"/>
  <c r="Y65" i="4"/>
  <c r="W65" i="4"/>
  <c r="V65" i="4"/>
  <c r="U65" i="4"/>
  <c r="T65" i="4"/>
  <c r="S65" i="4"/>
  <c r="AA64" i="4"/>
  <c r="Z64" i="4"/>
  <c r="Y64" i="4"/>
  <c r="W64" i="4"/>
  <c r="V64" i="4"/>
  <c r="U64" i="4"/>
  <c r="T64" i="4"/>
  <c r="S64" i="4"/>
  <c r="AA63" i="4"/>
  <c r="Z63" i="4"/>
  <c r="Y63" i="4"/>
  <c r="W63" i="4"/>
  <c r="V63" i="4"/>
  <c r="U63" i="4"/>
  <c r="T63" i="4"/>
  <c r="S63" i="4"/>
  <c r="AA62" i="4"/>
  <c r="Z62" i="4"/>
  <c r="Y62" i="4"/>
  <c r="W62" i="4"/>
  <c r="V62" i="4"/>
  <c r="U62" i="4"/>
  <c r="T62" i="4"/>
  <c r="S62" i="4"/>
  <c r="AA61" i="4"/>
  <c r="Z61" i="4"/>
  <c r="Y61" i="4"/>
  <c r="W61" i="4"/>
  <c r="V61" i="4"/>
  <c r="U61" i="4"/>
  <c r="T61" i="4"/>
  <c r="S61" i="4"/>
  <c r="AA60" i="4"/>
  <c r="Z60" i="4"/>
  <c r="Y60" i="4"/>
  <c r="W60" i="4"/>
  <c r="V60" i="4"/>
  <c r="U60" i="4"/>
  <c r="T60" i="4"/>
  <c r="S60" i="4"/>
  <c r="AA59" i="4"/>
  <c r="Z59" i="4"/>
  <c r="Y59" i="4"/>
  <c r="W59" i="4"/>
  <c r="V59" i="4"/>
  <c r="U59" i="4"/>
  <c r="T59" i="4"/>
  <c r="S59" i="4"/>
  <c r="AA58" i="4"/>
  <c r="Z58" i="4"/>
  <c r="Y58" i="4"/>
  <c r="W58" i="4"/>
  <c r="V58" i="4"/>
  <c r="U58" i="4"/>
  <c r="T58" i="4"/>
  <c r="S58" i="4"/>
  <c r="AA57" i="4"/>
  <c r="Z57" i="4"/>
  <c r="Y57" i="4"/>
  <c r="W57" i="4"/>
  <c r="V57" i="4"/>
  <c r="U57" i="4"/>
  <c r="T57" i="4"/>
  <c r="S57" i="4"/>
  <c r="AA56" i="4"/>
  <c r="Z56" i="4"/>
  <c r="Y56" i="4"/>
  <c r="W56" i="4"/>
  <c r="V56" i="4"/>
  <c r="U56" i="4"/>
  <c r="T56" i="4"/>
  <c r="S56" i="4"/>
  <c r="AA55" i="4"/>
  <c r="Z55" i="4"/>
  <c r="Y55" i="4"/>
  <c r="W55" i="4"/>
  <c r="V55" i="4"/>
  <c r="U55" i="4"/>
  <c r="T55" i="4"/>
  <c r="S55" i="4"/>
  <c r="AA54" i="4"/>
  <c r="Z54" i="4"/>
  <c r="Y54" i="4"/>
  <c r="W54" i="4"/>
  <c r="V54" i="4"/>
  <c r="U54" i="4"/>
  <c r="T54" i="4"/>
  <c r="S54" i="4"/>
  <c r="AA53" i="4"/>
  <c r="Z53" i="4"/>
  <c r="Y53" i="4"/>
  <c r="W53" i="4"/>
  <c r="V53" i="4"/>
  <c r="U53" i="4"/>
  <c r="T53" i="4"/>
  <c r="S53" i="4"/>
  <c r="AA52" i="4"/>
  <c r="Z52" i="4"/>
  <c r="Y52" i="4"/>
  <c r="W52" i="4"/>
  <c r="V52" i="4"/>
  <c r="U52" i="4"/>
  <c r="T52" i="4"/>
  <c r="S52" i="4"/>
  <c r="AA51" i="4"/>
  <c r="Z51" i="4"/>
  <c r="Y51" i="4"/>
  <c r="W51" i="4"/>
  <c r="V51" i="4"/>
  <c r="U51" i="4"/>
  <c r="T51" i="4"/>
  <c r="S51" i="4"/>
  <c r="AA50" i="4"/>
  <c r="Z50" i="4"/>
  <c r="Y50" i="4"/>
  <c r="W50" i="4"/>
  <c r="V50" i="4"/>
  <c r="U50" i="4"/>
  <c r="T50" i="4"/>
  <c r="S50" i="4"/>
  <c r="AA49" i="4"/>
  <c r="Z49" i="4"/>
  <c r="Y49" i="4"/>
  <c r="W49" i="4"/>
  <c r="V49" i="4"/>
  <c r="U49" i="4"/>
  <c r="T49" i="4"/>
  <c r="S49" i="4"/>
  <c r="AA48" i="4"/>
  <c r="Z48" i="4"/>
  <c r="Y48" i="4"/>
  <c r="W48" i="4"/>
  <c r="V48" i="4"/>
  <c r="U48" i="4"/>
  <c r="T48" i="4"/>
  <c r="S48" i="4"/>
  <c r="AA47" i="4"/>
  <c r="Z47" i="4"/>
  <c r="Y47" i="4"/>
  <c r="W47" i="4"/>
  <c r="V47" i="4"/>
  <c r="U47" i="4"/>
  <c r="T47" i="4"/>
  <c r="S47" i="4"/>
  <c r="AA46" i="4"/>
  <c r="Z46" i="4"/>
  <c r="Y46" i="4"/>
  <c r="W46" i="4"/>
  <c r="V46" i="4"/>
  <c r="U46" i="4"/>
  <c r="T46" i="4"/>
  <c r="S46" i="4"/>
  <c r="AA45" i="4"/>
  <c r="Z45" i="4"/>
  <c r="Y45" i="4"/>
  <c r="W45" i="4"/>
  <c r="V45" i="4"/>
  <c r="U45" i="4"/>
  <c r="T45" i="4"/>
  <c r="S45" i="4"/>
  <c r="AA44" i="4"/>
  <c r="Z44" i="4"/>
  <c r="Y44" i="4"/>
  <c r="W44" i="4"/>
  <c r="V44" i="4"/>
  <c r="U44" i="4"/>
  <c r="T44" i="4"/>
  <c r="S44" i="4"/>
  <c r="AA43" i="4"/>
  <c r="Z43" i="4"/>
  <c r="Y43" i="4"/>
  <c r="W43" i="4"/>
  <c r="V43" i="4"/>
  <c r="U43" i="4"/>
  <c r="T43" i="4"/>
  <c r="S43" i="4"/>
  <c r="AA42" i="4"/>
  <c r="Z42" i="4"/>
  <c r="Y42" i="4"/>
  <c r="W42" i="4"/>
  <c r="V42" i="4"/>
  <c r="U42" i="4"/>
  <c r="T42" i="4"/>
  <c r="S42" i="4"/>
  <c r="AA41" i="4"/>
  <c r="Z41" i="4"/>
  <c r="Y41" i="4"/>
  <c r="W41" i="4"/>
  <c r="V41" i="4"/>
  <c r="U41" i="4"/>
  <c r="T41" i="4"/>
  <c r="S41" i="4"/>
  <c r="AA40" i="4"/>
  <c r="Z40" i="4"/>
  <c r="Y40" i="4"/>
  <c r="W40" i="4"/>
  <c r="V40" i="4"/>
  <c r="U40" i="4"/>
  <c r="T40" i="4"/>
  <c r="S40" i="4"/>
  <c r="AA39" i="4"/>
  <c r="Z39" i="4"/>
  <c r="Y39" i="4"/>
  <c r="W39" i="4"/>
  <c r="V39" i="4"/>
  <c r="U39" i="4"/>
  <c r="T39" i="4"/>
  <c r="S39" i="4"/>
  <c r="AA38" i="4"/>
  <c r="Z38" i="4"/>
  <c r="Y38" i="4"/>
  <c r="W38" i="4"/>
  <c r="V38" i="4"/>
  <c r="U38" i="4"/>
  <c r="T38" i="4"/>
  <c r="S38" i="4"/>
  <c r="AA37" i="4"/>
  <c r="Z37" i="4"/>
  <c r="Y37" i="4"/>
  <c r="W37" i="4"/>
  <c r="V37" i="4"/>
  <c r="U37" i="4"/>
  <c r="T37" i="4"/>
  <c r="S37" i="4"/>
  <c r="AA36" i="4"/>
  <c r="Z36" i="4"/>
  <c r="Y36" i="4"/>
  <c r="W36" i="4"/>
  <c r="V36" i="4"/>
  <c r="U36" i="4"/>
  <c r="T36" i="4"/>
  <c r="S36" i="4"/>
  <c r="AA35" i="4"/>
  <c r="Z35" i="4"/>
  <c r="Y35" i="4"/>
  <c r="W35" i="4"/>
  <c r="V35" i="4"/>
  <c r="U35" i="4"/>
  <c r="T35" i="4"/>
  <c r="S35" i="4"/>
  <c r="AA34" i="4"/>
  <c r="Z34" i="4"/>
  <c r="Y34" i="4"/>
  <c r="W34" i="4"/>
  <c r="V34" i="4"/>
  <c r="U34" i="4"/>
  <c r="T34" i="4"/>
  <c r="S34" i="4"/>
  <c r="AA33" i="4"/>
  <c r="Z33" i="4"/>
  <c r="Y33" i="4"/>
  <c r="W33" i="4"/>
  <c r="V33" i="4"/>
  <c r="U33" i="4"/>
  <c r="T33" i="4"/>
  <c r="S33" i="4"/>
  <c r="AA32" i="4"/>
  <c r="Z32" i="4"/>
  <c r="Y32" i="4"/>
  <c r="W32" i="4"/>
  <c r="V32" i="4"/>
  <c r="U32" i="4"/>
  <c r="T32" i="4"/>
  <c r="S32" i="4"/>
  <c r="AA31" i="4"/>
  <c r="Z31" i="4"/>
  <c r="Y31" i="4"/>
  <c r="W31" i="4"/>
  <c r="V31" i="4"/>
  <c r="U31" i="4"/>
  <c r="T31" i="4"/>
  <c r="S31" i="4"/>
  <c r="AA30" i="4"/>
  <c r="Z30" i="4"/>
  <c r="Y30" i="4"/>
  <c r="W30" i="4"/>
  <c r="V30" i="4"/>
  <c r="U30" i="4"/>
  <c r="T30" i="4"/>
  <c r="S30" i="4"/>
  <c r="AA29" i="4"/>
  <c r="Z29" i="4"/>
  <c r="Y29" i="4"/>
  <c r="W29" i="4"/>
  <c r="V29" i="4"/>
  <c r="U29" i="4"/>
  <c r="T29" i="4"/>
  <c r="S29" i="4"/>
  <c r="AA28" i="4"/>
  <c r="Z28" i="4"/>
  <c r="Y28" i="4"/>
  <c r="W28" i="4"/>
  <c r="V28" i="4"/>
  <c r="U28" i="4"/>
  <c r="T28" i="4"/>
  <c r="S28" i="4"/>
  <c r="AA27" i="4"/>
  <c r="Z27" i="4"/>
  <c r="Y27" i="4"/>
  <c r="W27" i="4"/>
  <c r="V27" i="4"/>
  <c r="U27" i="4"/>
  <c r="T27" i="4"/>
  <c r="S27" i="4"/>
  <c r="AA26" i="4"/>
  <c r="Z26" i="4"/>
  <c r="Y26" i="4"/>
  <c r="W26" i="4"/>
  <c r="V26" i="4"/>
  <c r="U26" i="4"/>
  <c r="T26" i="4"/>
  <c r="S26" i="4"/>
  <c r="AA25" i="4"/>
  <c r="Z25" i="4"/>
  <c r="Y25" i="4"/>
  <c r="W25" i="4"/>
  <c r="V25" i="4"/>
  <c r="U25" i="4"/>
  <c r="T25" i="4"/>
  <c r="S25" i="4"/>
  <c r="AA24" i="4"/>
  <c r="Z24" i="4"/>
  <c r="Y24" i="4"/>
  <c r="W24" i="4"/>
  <c r="V24" i="4"/>
  <c r="U24" i="4"/>
  <c r="T24" i="4"/>
  <c r="S24" i="4"/>
  <c r="AA23" i="4"/>
  <c r="Z23" i="4"/>
  <c r="Y23" i="4"/>
  <c r="W23" i="4"/>
  <c r="V23" i="4"/>
  <c r="U23" i="4"/>
  <c r="T23" i="4"/>
  <c r="S23" i="4"/>
  <c r="AA22" i="4"/>
  <c r="Z22" i="4"/>
  <c r="Y22" i="4"/>
  <c r="W22" i="4"/>
  <c r="V22" i="4"/>
  <c r="U22" i="4"/>
  <c r="T22" i="4"/>
  <c r="S22" i="4"/>
  <c r="AA21" i="4"/>
  <c r="Z21" i="4"/>
  <c r="Y21" i="4"/>
  <c r="W21" i="4"/>
  <c r="V21" i="4"/>
  <c r="U21" i="4"/>
  <c r="T21" i="4"/>
  <c r="S21" i="4"/>
  <c r="AA20" i="4"/>
  <c r="Z20" i="4"/>
  <c r="Y20" i="4"/>
  <c r="W20" i="4"/>
  <c r="V20" i="4"/>
  <c r="U20" i="4"/>
  <c r="T20" i="4"/>
  <c r="S20" i="4"/>
  <c r="AA19" i="4"/>
  <c r="Z19" i="4"/>
  <c r="Y19" i="4"/>
  <c r="W19" i="4"/>
  <c r="V19" i="4"/>
  <c r="U19" i="4"/>
  <c r="T19" i="4"/>
  <c r="S19" i="4"/>
  <c r="AA18" i="4"/>
  <c r="Z18" i="4"/>
  <c r="Y18" i="4"/>
  <c r="W18" i="4"/>
  <c r="V18" i="4"/>
  <c r="U18" i="4"/>
  <c r="T18" i="4"/>
  <c r="S18" i="4"/>
  <c r="AA17" i="4"/>
  <c r="Z17" i="4"/>
  <c r="Y17" i="4"/>
  <c r="W17" i="4"/>
  <c r="V17" i="4"/>
  <c r="U17" i="4"/>
  <c r="T17" i="4"/>
  <c r="S17" i="4"/>
  <c r="AA16" i="4"/>
  <c r="Z16" i="4"/>
  <c r="Y16" i="4"/>
  <c r="W16" i="4"/>
  <c r="V16" i="4"/>
  <c r="U16" i="4"/>
  <c r="T16" i="4"/>
  <c r="S16" i="4"/>
  <c r="AA15" i="4"/>
  <c r="Z15" i="4"/>
  <c r="Y15" i="4"/>
  <c r="W15" i="4"/>
  <c r="V15" i="4"/>
  <c r="U15" i="4"/>
  <c r="T15" i="4"/>
  <c r="S15" i="4"/>
  <c r="AA14" i="4"/>
  <c r="Z14" i="4"/>
  <c r="Y14" i="4"/>
  <c r="W14" i="4"/>
  <c r="V14" i="4"/>
  <c r="U14" i="4"/>
  <c r="T14" i="4"/>
  <c r="S14" i="4"/>
  <c r="AA13" i="4"/>
  <c r="Z13" i="4"/>
  <c r="Y13" i="4"/>
  <c r="W13" i="4"/>
  <c r="V13" i="4"/>
  <c r="U13" i="4"/>
  <c r="T13" i="4"/>
  <c r="S13" i="4"/>
  <c r="AA12" i="4"/>
  <c r="Z12" i="4"/>
  <c r="Y12" i="4"/>
  <c r="W12" i="4"/>
  <c r="V12" i="4"/>
  <c r="U12" i="4"/>
  <c r="T12" i="4"/>
  <c r="S12" i="4"/>
  <c r="AA11" i="4"/>
  <c r="Z11" i="4"/>
  <c r="Y11" i="4"/>
  <c r="W11" i="4"/>
  <c r="V11" i="4"/>
  <c r="U11" i="4"/>
  <c r="T11" i="4"/>
  <c r="S11" i="4"/>
  <c r="AA10" i="4"/>
  <c r="Z10" i="4"/>
  <c r="Y10" i="4"/>
  <c r="W10" i="4"/>
  <c r="V10" i="4"/>
  <c r="U10" i="4"/>
  <c r="T10" i="4"/>
  <c r="S10" i="4"/>
  <c r="AA9" i="4"/>
  <c r="Z9" i="4"/>
  <c r="Y9" i="4"/>
  <c r="W9" i="4"/>
  <c r="V9" i="4"/>
  <c r="U9" i="4"/>
  <c r="T9" i="4"/>
  <c r="S9" i="4"/>
  <c r="AA8" i="4"/>
  <c r="Z8" i="4"/>
  <c r="Y8" i="4"/>
  <c r="W8" i="4"/>
  <c r="V8" i="4"/>
  <c r="U8" i="4"/>
  <c r="T8" i="4"/>
  <c r="S8" i="4"/>
  <c r="AA7" i="4"/>
  <c r="Z7" i="4"/>
  <c r="Y7" i="4"/>
  <c r="W7" i="4"/>
  <c r="V7" i="4"/>
  <c r="U7" i="4"/>
  <c r="T7" i="4"/>
  <c r="S7" i="4"/>
  <c r="AA6" i="4"/>
  <c r="Z6" i="4"/>
  <c r="Y6" i="4"/>
  <c r="W6" i="4"/>
  <c r="V6" i="4"/>
  <c r="U6" i="4"/>
  <c r="T6" i="4"/>
  <c r="S6" i="4"/>
  <c r="AA5" i="4"/>
  <c r="Z5" i="4"/>
  <c r="Y5" i="4"/>
  <c r="W5" i="4"/>
  <c r="V5" i="4"/>
  <c r="U5" i="4"/>
  <c r="T5" i="4"/>
  <c r="S5" i="4"/>
  <c r="AA4" i="4"/>
  <c r="Z4" i="4"/>
  <c r="Y4" i="4"/>
  <c r="W4" i="4"/>
  <c r="V4" i="4"/>
  <c r="U4" i="4"/>
  <c r="T4" i="4"/>
  <c r="S4" i="4"/>
  <c r="AA3" i="4"/>
  <c r="Z3" i="4"/>
  <c r="Y3" i="4"/>
  <c r="W3" i="4"/>
  <c r="V3" i="4"/>
  <c r="U3" i="4"/>
  <c r="T3" i="4"/>
  <c r="S3" i="4"/>
  <c r="AA2" i="4"/>
  <c r="Z2" i="4"/>
  <c r="Y2" i="4"/>
  <c r="W2" i="4"/>
  <c r="V2" i="4"/>
  <c r="U2" i="4"/>
  <c r="T2" i="4"/>
  <c r="S2" i="4"/>
  <c r="Y231" i="3"/>
  <c r="X231" i="3"/>
  <c r="W231" i="3"/>
  <c r="U231" i="3"/>
  <c r="T231" i="3"/>
  <c r="S231" i="3"/>
  <c r="R231" i="3"/>
  <c r="Q231" i="3"/>
  <c r="Y230" i="3"/>
  <c r="X230" i="3"/>
  <c r="W230" i="3"/>
  <c r="U230" i="3"/>
  <c r="T230" i="3"/>
  <c r="S230" i="3"/>
  <c r="R230" i="3"/>
  <c r="Q230" i="3"/>
  <c r="Y229" i="3"/>
  <c r="X229" i="3"/>
  <c r="W229" i="3"/>
  <c r="U229" i="3"/>
  <c r="T229" i="3"/>
  <c r="S229" i="3"/>
  <c r="R229" i="3"/>
  <c r="Q229" i="3"/>
  <c r="Y228" i="3"/>
  <c r="X228" i="3"/>
  <c r="W228" i="3"/>
  <c r="U228" i="3"/>
  <c r="T228" i="3"/>
  <c r="S228" i="3"/>
  <c r="R228" i="3"/>
  <c r="Q228" i="3"/>
  <c r="Y227" i="3"/>
  <c r="X227" i="3"/>
  <c r="W227" i="3"/>
  <c r="U227" i="3"/>
  <c r="T227" i="3"/>
  <c r="S227" i="3"/>
  <c r="R227" i="3"/>
  <c r="Q227" i="3"/>
  <c r="Y226" i="3"/>
  <c r="X226" i="3"/>
  <c r="W226" i="3"/>
  <c r="U226" i="3"/>
  <c r="T226" i="3"/>
  <c r="S226" i="3"/>
  <c r="R226" i="3"/>
  <c r="Q226" i="3"/>
  <c r="Y225" i="3"/>
  <c r="X225" i="3"/>
  <c r="W225" i="3"/>
  <c r="U225" i="3"/>
  <c r="T225" i="3"/>
  <c r="S225" i="3"/>
  <c r="R225" i="3"/>
  <c r="Q225" i="3"/>
  <c r="Y224" i="3"/>
  <c r="X224" i="3"/>
  <c r="W224" i="3"/>
  <c r="U224" i="3"/>
  <c r="T224" i="3"/>
  <c r="S224" i="3"/>
  <c r="R224" i="3"/>
  <c r="Q224" i="3"/>
  <c r="Y223" i="3"/>
  <c r="X223" i="3"/>
  <c r="W223" i="3"/>
  <c r="U223" i="3"/>
  <c r="T223" i="3"/>
  <c r="S223" i="3"/>
  <c r="R223" i="3"/>
  <c r="Q223" i="3"/>
  <c r="Y222" i="3"/>
  <c r="X222" i="3"/>
  <c r="W222" i="3"/>
  <c r="U222" i="3"/>
  <c r="T222" i="3"/>
  <c r="S222" i="3"/>
  <c r="R222" i="3"/>
  <c r="Q222" i="3"/>
  <c r="Y221" i="3"/>
  <c r="X221" i="3"/>
  <c r="W221" i="3"/>
  <c r="U221" i="3"/>
  <c r="T221" i="3"/>
  <c r="S221" i="3"/>
  <c r="R221" i="3"/>
  <c r="Q221" i="3"/>
  <c r="Y220" i="3"/>
  <c r="X220" i="3"/>
  <c r="W220" i="3"/>
  <c r="U220" i="3"/>
  <c r="T220" i="3"/>
  <c r="S220" i="3"/>
  <c r="R220" i="3"/>
  <c r="Q220" i="3"/>
  <c r="Y219" i="3"/>
  <c r="X219" i="3"/>
  <c r="W219" i="3"/>
  <c r="U219" i="3"/>
  <c r="T219" i="3"/>
  <c r="S219" i="3"/>
  <c r="R219" i="3"/>
  <c r="Q219" i="3"/>
  <c r="Y218" i="3"/>
  <c r="X218" i="3"/>
  <c r="W218" i="3"/>
  <c r="U218" i="3"/>
  <c r="T218" i="3"/>
  <c r="S218" i="3"/>
  <c r="R218" i="3"/>
  <c r="Q218" i="3"/>
  <c r="Y217" i="3"/>
  <c r="X217" i="3"/>
  <c r="W217" i="3"/>
  <c r="U217" i="3"/>
  <c r="T217" i="3"/>
  <c r="S217" i="3"/>
  <c r="R217" i="3"/>
  <c r="Q217" i="3"/>
  <c r="Y216" i="3"/>
  <c r="X216" i="3"/>
  <c r="W216" i="3"/>
  <c r="U216" i="3"/>
  <c r="T216" i="3"/>
  <c r="S216" i="3"/>
  <c r="R216" i="3"/>
  <c r="Q216" i="3"/>
  <c r="Y215" i="3"/>
  <c r="X215" i="3"/>
  <c r="W215" i="3"/>
  <c r="U215" i="3"/>
  <c r="T215" i="3"/>
  <c r="S215" i="3"/>
  <c r="R215" i="3"/>
  <c r="Q215" i="3"/>
  <c r="Y214" i="3"/>
  <c r="X214" i="3"/>
  <c r="W214" i="3"/>
  <c r="U214" i="3"/>
  <c r="T214" i="3"/>
  <c r="S214" i="3"/>
  <c r="R214" i="3"/>
  <c r="Q214" i="3"/>
  <c r="Y213" i="3"/>
  <c r="X213" i="3"/>
  <c r="W213" i="3"/>
  <c r="U213" i="3"/>
  <c r="T213" i="3"/>
  <c r="S213" i="3"/>
  <c r="R213" i="3"/>
  <c r="Q213" i="3"/>
  <c r="Y212" i="3"/>
  <c r="X212" i="3"/>
  <c r="W212" i="3"/>
  <c r="U212" i="3"/>
  <c r="T212" i="3"/>
  <c r="S212" i="3"/>
  <c r="R212" i="3"/>
  <c r="Q212" i="3"/>
  <c r="Y211" i="3"/>
  <c r="X211" i="3"/>
  <c r="W211" i="3"/>
  <c r="U211" i="3"/>
  <c r="T211" i="3"/>
  <c r="S211" i="3"/>
  <c r="R211" i="3"/>
  <c r="Q211" i="3"/>
  <c r="Y210" i="3"/>
  <c r="X210" i="3"/>
  <c r="W210" i="3"/>
  <c r="U210" i="3"/>
  <c r="T210" i="3"/>
  <c r="S210" i="3"/>
  <c r="R210" i="3"/>
  <c r="Q210" i="3"/>
  <c r="Y209" i="3"/>
  <c r="X209" i="3"/>
  <c r="W209" i="3"/>
  <c r="U209" i="3"/>
  <c r="T209" i="3"/>
  <c r="S209" i="3"/>
  <c r="R209" i="3"/>
  <c r="Q209" i="3"/>
  <c r="Y208" i="3"/>
  <c r="X208" i="3"/>
  <c r="W208" i="3"/>
  <c r="U208" i="3"/>
  <c r="T208" i="3"/>
  <c r="S208" i="3"/>
  <c r="R208" i="3"/>
  <c r="Q208" i="3"/>
  <c r="Y207" i="3"/>
  <c r="X207" i="3"/>
  <c r="W207" i="3"/>
  <c r="U207" i="3"/>
  <c r="T207" i="3"/>
  <c r="S207" i="3"/>
  <c r="R207" i="3"/>
  <c r="Q207" i="3"/>
  <c r="Y206" i="3"/>
  <c r="X206" i="3"/>
  <c r="W206" i="3"/>
  <c r="U206" i="3"/>
  <c r="T206" i="3"/>
  <c r="S206" i="3"/>
  <c r="R206" i="3"/>
  <c r="Q206" i="3"/>
  <c r="Y205" i="3"/>
  <c r="X205" i="3"/>
  <c r="W205" i="3"/>
  <c r="U205" i="3"/>
  <c r="T205" i="3"/>
  <c r="S205" i="3"/>
  <c r="R205" i="3"/>
  <c r="Q205" i="3"/>
  <c r="Y204" i="3"/>
  <c r="X204" i="3"/>
  <c r="W204" i="3"/>
  <c r="U204" i="3"/>
  <c r="T204" i="3"/>
  <c r="S204" i="3"/>
  <c r="R204" i="3"/>
  <c r="Q204" i="3"/>
  <c r="Y203" i="3"/>
  <c r="X203" i="3"/>
  <c r="W203" i="3"/>
  <c r="U203" i="3"/>
  <c r="T203" i="3"/>
  <c r="S203" i="3"/>
  <c r="R203" i="3"/>
  <c r="Q203" i="3"/>
  <c r="Y202" i="3"/>
  <c r="X202" i="3"/>
  <c r="W202" i="3"/>
  <c r="U202" i="3"/>
  <c r="T202" i="3"/>
  <c r="S202" i="3"/>
  <c r="R202" i="3"/>
  <c r="Q202" i="3"/>
  <c r="Y201" i="3"/>
  <c r="X201" i="3"/>
  <c r="W201" i="3"/>
  <c r="U201" i="3"/>
  <c r="T201" i="3"/>
  <c r="S201" i="3"/>
  <c r="R201" i="3"/>
  <c r="Q201" i="3"/>
  <c r="Y200" i="3"/>
  <c r="X200" i="3"/>
  <c r="W200" i="3"/>
  <c r="U200" i="3"/>
  <c r="T200" i="3"/>
  <c r="S200" i="3"/>
  <c r="R200" i="3"/>
  <c r="Q200" i="3"/>
  <c r="Y199" i="3"/>
  <c r="X199" i="3"/>
  <c r="W199" i="3"/>
  <c r="U199" i="3"/>
  <c r="T199" i="3"/>
  <c r="S199" i="3"/>
  <c r="R199" i="3"/>
  <c r="Q199" i="3"/>
  <c r="Y198" i="3"/>
  <c r="X198" i="3"/>
  <c r="W198" i="3"/>
  <c r="U198" i="3"/>
  <c r="T198" i="3"/>
  <c r="S198" i="3"/>
  <c r="R198" i="3"/>
  <c r="Q198" i="3"/>
  <c r="Y197" i="3"/>
  <c r="X197" i="3"/>
  <c r="W197" i="3"/>
  <c r="U197" i="3"/>
  <c r="T197" i="3"/>
  <c r="S197" i="3"/>
  <c r="R197" i="3"/>
  <c r="Q197" i="3"/>
  <c r="Y196" i="3"/>
  <c r="X196" i="3"/>
  <c r="W196" i="3"/>
  <c r="U196" i="3"/>
  <c r="T196" i="3"/>
  <c r="S196" i="3"/>
  <c r="R196" i="3"/>
  <c r="Q196" i="3"/>
  <c r="Y195" i="3"/>
  <c r="X195" i="3"/>
  <c r="W195" i="3"/>
  <c r="U195" i="3"/>
  <c r="T195" i="3"/>
  <c r="S195" i="3"/>
  <c r="R195" i="3"/>
  <c r="Q195" i="3"/>
  <c r="Y194" i="3"/>
  <c r="X194" i="3"/>
  <c r="W194" i="3"/>
  <c r="U194" i="3"/>
  <c r="T194" i="3"/>
  <c r="S194" i="3"/>
  <c r="R194" i="3"/>
  <c r="Q194" i="3"/>
  <c r="Y193" i="3"/>
  <c r="X193" i="3"/>
  <c r="W193" i="3"/>
  <c r="U193" i="3"/>
  <c r="T193" i="3"/>
  <c r="S193" i="3"/>
  <c r="R193" i="3"/>
  <c r="Q193" i="3"/>
  <c r="Y192" i="3"/>
  <c r="X192" i="3"/>
  <c r="W192" i="3"/>
  <c r="U192" i="3"/>
  <c r="T192" i="3"/>
  <c r="S192" i="3"/>
  <c r="R192" i="3"/>
  <c r="Q192" i="3"/>
  <c r="Y191" i="3"/>
  <c r="X191" i="3"/>
  <c r="W191" i="3"/>
  <c r="U191" i="3"/>
  <c r="T191" i="3"/>
  <c r="S191" i="3"/>
  <c r="R191" i="3"/>
  <c r="Q191" i="3"/>
  <c r="Y190" i="3"/>
  <c r="X190" i="3"/>
  <c r="W190" i="3"/>
  <c r="U190" i="3"/>
  <c r="T190" i="3"/>
  <c r="S190" i="3"/>
  <c r="R190" i="3"/>
  <c r="Q190" i="3"/>
  <c r="Y189" i="3"/>
  <c r="X189" i="3"/>
  <c r="W189" i="3"/>
  <c r="U189" i="3"/>
  <c r="T189" i="3"/>
  <c r="S189" i="3"/>
  <c r="R189" i="3"/>
  <c r="Q189" i="3"/>
  <c r="Y188" i="3"/>
  <c r="X188" i="3"/>
  <c r="W188" i="3"/>
  <c r="U188" i="3"/>
  <c r="T188" i="3"/>
  <c r="S188" i="3"/>
  <c r="R188" i="3"/>
  <c r="Q188" i="3"/>
  <c r="Y187" i="3"/>
  <c r="X187" i="3"/>
  <c r="W187" i="3"/>
  <c r="U187" i="3"/>
  <c r="T187" i="3"/>
  <c r="S187" i="3"/>
  <c r="R187" i="3"/>
  <c r="Q187" i="3"/>
  <c r="Y186" i="3"/>
  <c r="X186" i="3"/>
  <c r="W186" i="3"/>
  <c r="U186" i="3"/>
  <c r="T186" i="3"/>
  <c r="S186" i="3"/>
  <c r="R186" i="3"/>
  <c r="Q186" i="3"/>
  <c r="Y185" i="3"/>
  <c r="X185" i="3"/>
  <c r="W185" i="3"/>
  <c r="U185" i="3"/>
  <c r="T185" i="3"/>
  <c r="S185" i="3"/>
  <c r="R185" i="3"/>
  <c r="Q185" i="3"/>
  <c r="Y184" i="3"/>
  <c r="X184" i="3"/>
  <c r="W184" i="3"/>
  <c r="U184" i="3"/>
  <c r="T184" i="3"/>
  <c r="S184" i="3"/>
  <c r="R184" i="3"/>
  <c r="Q184" i="3"/>
  <c r="Y183" i="3"/>
  <c r="X183" i="3"/>
  <c r="W183" i="3"/>
  <c r="U183" i="3"/>
  <c r="T183" i="3"/>
  <c r="S183" i="3"/>
  <c r="R183" i="3"/>
  <c r="Q183" i="3"/>
  <c r="Y182" i="3"/>
  <c r="X182" i="3"/>
  <c r="W182" i="3"/>
  <c r="U182" i="3"/>
  <c r="T182" i="3"/>
  <c r="S182" i="3"/>
  <c r="R182" i="3"/>
  <c r="Q182" i="3"/>
  <c r="Y181" i="3"/>
  <c r="X181" i="3"/>
  <c r="W181" i="3"/>
  <c r="U181" i="3"/>
  <c r="T181" i="3"/>
  <c r="S181" i="3"/>
  <c r="R181" i="3"/>
  <c r="Q181" i="3"/>
  <c r="Y180" i="3"/>
  <c r="X180" i="3"/>
  <c r="W180" i="3"/>
  <c r="U180" i="3"/>
  <c r="T180" i="3"/>
  <c r="S180" i="3"/>
  <c r="R180" i="3"/>
  <c r="Q180" i="3"/>
  <c r="Y179" i="3"/>
  <c r="X179" i="3"/>
  <c r="W179" i="3"/>
  <c r="U179" i="3"/>
  <c r="T179" i="3"/>
  <c r="S179" i="3"/>
  <c r="R179" i="3"/>
  <c r="Q179" i="3"/>
  <c r="Y178" i="3"/>
  <c r="X178" i="3"/>
  <c r="W178" i="3"/>
  <c r="U178" i="3"/>
  <c r="T178" i="3"/>
  <c r="S178" i="3"/>
  <c r="R178" i="3"/>
  <c r="Q178" i="3"/>
  <c r="Y177" i="3"/>
  <c r="X177" i="3"/>
  <c r="W177" i="3"/>
  <c r="U177" i="3"/>
  <c r="T177" i="3"/>
  <c r="S177" i="3"/>
  <c r="R177" i="3"/>
  <c r="Q177" i="3"/>
  <c r="Y176" i="3"/>
  <c r="X176" i="3"/>
  <c r="W176" i="3"/>
  <c r="U176" i="3"/>
  <c r="T176" i="3"/>
  <c r="S176" i="3"/>
  <c r="R176" i="3"/>
  <c r="Q176" i="3"/>
  <c r="Y175" i="3"/>
  <c r="X175" i="3"/>
  <c r="W175" i="3"/>
  <c r="U175" i="3"/>
  <c r="T175" i="3"/>
  <c r="S175" i="3"/>
  <c r="R175" i="3"/>
  <c r="Q175" i="3"/>
  <c r="Y174" i="3"/>
  <c r="X174" i="3"/>
  <c r="W174" i="3"/>
  <c r="U174" i="3"/>
  <c r="T174" i="3"/>
  <c r="S174" i="3"/>
  <c r="R174" i="3"/>
  <c r="Q174" i="3"/>
  <c r="Y173" i="3"/>
  <c r="X173" i="3"/>
  <c r="W173" i="3"/>
  <c r="U173" i="3"/>
  <c r="T173" i="3"/>
  <c r="S173" i="3"/>
  <c r="R173" i="3"/>
  <c r="Q173" i="3"/>
  <c r="Y172" i="3"/>
  <c r="X172" i="3"/>
  <c r="W172" i="3"/>
  <c r="U172" i="3"/>
  <c r="T172" i="3"/>
  <c r="S172" i="3"/>
  <c r="R172" i="3"/>
  <c r="Q172" i="3"/>
  <c r="Y171" i="3"/>
  <c r="X171" i="3"/>
  <c r="W171" i="3"/>
  <c r="U171" i="3"/>
  <c r="T171" i="3"/>
  <c r="S171" i="3"/>
  <c r="R171" i="3"/>
  <c r="Q171" i="3"/>
  <c r="Y170" i="3"/>
  <c r="X170" i="3"/>
  <c r="W170" i="3"/>
  <c r="U170" i="3"/>
  <c r="T170" i="3"/>
  <c r="S170" i="3"/>
  <c r="R170" i="3"/>
  <c r="Q170" i="3"/>
  <c r="Y169" i="3"/>
  <c r="X169" i="3"/>
  <c r="W169" i="3"/>
  <c r="U169" i="3"/>
  <c r="T169" i="3"/>
  <c r="S169" i="3"/>
  <c r="R169" i="3"/>
  <c r="Q169" i="3"/>
  <c r="Y168" i="3"/>
  <c r="X168" i="3"/>
  <c r="W168" i="3"/>
  <c r="U168" i="3"/>
  <c r="T168" i="3"/>
  <c r="S168" i="3"/>
  <c r="R168" i="3"/>
  <c r="Q168" i="3"/>
  <c r="Y167" i="3"/>
  <c r="X167" i="3"/>
  <c r="W167" i="3"/>
  <c r="U167" i="3"/>
  <c r="T167" i="3"/>
  <c r="S167" i="3"/>
  <c r="R167" i="3"/>
  <c r="Q167" i="3"/>
  <c r="Y166" i="3"/>
  <c r="X166" i="3"/>
  <c r="W166" i="3"/>
  <c r="U166" i="3"/>
  <c r="T166" i="3"/>
  <c r="S166" i="3"/>
  <c r="R166" i="3"/>
  <c r="Q166" i="3"/>
  <c r="Y165" i="3"/>
  <c r="X165" i="3"/>
  <c r="W165" i="3"/>
  <c r="U165" i="3"/>
  <c r="T165" i="3"/>
  <c r="S165" i="3"/>
  <c r="R165" i="3"/>
  <c r="Q165" i="3"/>
  <c r="Y164" i="3"/>
  <c r="X164" i="3"/>
  <c r="W164" i="3"/>
  <c r="U164" i="3"/>
  <c r="T164" i="3"/>
  <c r="S164" i="3"/>
  <c r="R164" i="3"/>
  <c r="Q164" i="3"/>
  <c r="Y163" i="3"/>
  <c r="X163" i="3"/>
  <c r="W163" i="3"/>
  <c r="U163" i="3"/>
  <c r="T163" i="3"/>
  <c r="S163" i="3"/>
  <c r="R163" i="3"/>
  <c r="Q163" i="3"/>
  <c r="Y162" i="3"/>
  <c r="X162" i="3"/>
  <c r="W162" i="3"/>
  <c r="U162" i="3"/>
  <c r="T162" i="3"/>
  <c r="S162" i="3"/>
  <c r="R162" i="3"/>
  <c r="Q162" i="3"/>
  <c r="Y161" i="3"/>
  <c r="X161" i="3"/>
  <c r="W161" i="3"/>
  <c r="U161" i="3"/>
  <c r="T161" i="3"/>
  <c r="S161" i="3"/>
  <c r="R161" i="3"/>
  <c r="Q161" i="3"/>
  <c r="Y160" i="3"/>
  <c r="X160" i="3"/>
  <c r="W160" i="3"/>
  <c r="U160" i="3"/>
  <c r="T160" i="3"/>
  <c r="S160" i="3"/>
  <c r="R160" i="3"/>
  <c r="Q160" i="3"/>
  <c r="Y159" i="3"/>
  <c r="X159" i="3"/>
  <c r="W159" i="3"/>
  <c r="U159" i="3"/>
  <c r="T159" i="3"/>
  <c r="S159" i="3"/>
  <c r="R159" i="3"/>
  <c r="Q159" i="3"/>
  <c r="Y158" i="3"/>
  <c r="X158" i="3"/>
  <c r="W158" i="3"/>
  <c r="U158" i="3"/>
  <c r="T158" i="3"/>
  <c r="S158" i="3"/>
  <c r="R158" i="3"/>
  <c r="Q158" i="3"/>
  <c r="Y157" i="3"/>
  <c r="X157" i="3"/>
  <c r="W157" i="3"/>
  <c r="U157" i="3"/>
  <c r="T157" i="3"/>
  <c r="S157" i="3"/>
  <c r="R157" i="3"/>
  <c r="Q157" i="3"/>
  <c r="Y156" i="3"/>
  <c r="X156" i="3"/>
  <c r="W156" i="3"/>
  <c r="U156" i="3"/>
  <c r="T156" i="3"/>
  <c r="S156" i="3"/>
  <c r="R156" i="3"/>
  <c r="Q156" i="3"/>
  <c r="Y155" i="3"/>
  <c r="X155" i="3"/>
  <c r="W155" i="3"/>
  <c r="U155" i="3"/>
  <c r="T155" i="3"/>
  <c r="S155" i="3"/>
  <c r="R155" i="3"/>
  <c r="Q155" i="3"/>
  <c r="Y154" i="3"/>
  <c r="X154" i="3"/>
  <c r="W154" i="3"/>
  <c r="U154" i="3"/>
  <c r="T154" i="3"/>
  <c r="S154" i="3"/>
  <c r="R154" i="3"/>
  <c r="Q154" i="3"/>
  <c r="Y153" i="3"/>
  <c r="X153" i="3"/>
  <c r="W153" i="3"/>
  <c r="U153" i="3"/>
  <c r="T153" i="3"/>
  <c r="S153" i="3"/>
  <c r="R153" i="3"/>
  <c r="Q153" i="3"/>
  <c r="Y152" i="3"/>
  <c r="X152" i="3"/>
  <c r="W152" i="3"/>
  <c r="U152" i="3"/>
  <c r="T152" i="3"/>
  <c r="S152" i="3"/>
  <c r="R152" i="3"/>
  <c r="Q152" i="3"/>
  <c r="Y151" i="3"/>
  <c r="X151" i="3"/>
  <c r="W151" i="3"/>
  <c r="U151" i="3"/>
  <c r="T151" i="3"/>
  <c r="S151" i="3"/>
  <c r="R151" i="3"/>
  <c r="Q151" i="3"/>
  <c r="Y150" i="3"/>
  <c r="X150" i="3"/>
  <c r="W150" i="3"/>
  <c r="U150" i="3"/>
  <c r="T150" i="3"/>
  <c r="S150" i="3"/>
  <c r="R150" i="3"/>
  <c r="Q150" i="3"/>
  <c r="Y149" i="3"/>
  <c r="X149" i="3"/>
  <c r="W149" i="3"/>
  <c r="U149" i="3"/>
  <c r="T149" i="3"/>
  <c r="S149" i="3"/>
  <c r="R149" i="3"/>
  <c r="Q149" i="3"/>
  <c r="Y148" i="3"/>
  <c r="X148" i="3"/>
  <c r="W148" i="3"/>
  <c r="U148" i="3"/>
  <c r="T148" i="3"/>
  <c r="S148" i="3"/>
  <c r="R148" i="3"/>
  <c r="Q148" i="3"/>
  <c r="Y147" i="3"/>
  <c r="X147" i="3"/>
  <c r="W147" i="3"/>
  <c r="U147" i="3"/>
  <c r="T147" i="3"/>
  <c r="S147" i="3"/>
  <c r="R147" i="3"/>
  <c r="Q147" i="3"/>
  <c r="Y146" i="3"/>
  <c r="X146" i="3"/>
  <c r="W146" i="3"/>
  <c r="U146" i="3"/>
  <c r="T146" i="3"/>
  <c r="S146" i="3"/>
  <c r="R146" i="3"/>
  <c r="Q146" i="3"/>
  <c r="Y145" i="3"/>
  <c r="X145" i="3"/>
  <c r="W145" i="3"/>
  <c r="U145" i="3"/>
  <c r="T145" i="3"/>
  <c r="S145" i="3"/>
  <c r="R145" i="3"/>
  <c r="Q145" i="3"/>
  <c r="Y144" i="3"/>
  <c r="X144" i="3"/>
  <c r="W144" i="3"/>
  <c r="U144" i="3"/>
  <c r="T144" i="3"/>
  <c r="S144" i="3"/>
  <c r="R144" i="3"/>
  <c r="Q144" i="3"/>
  <c r="Y143" i="3"/>
  <c r="X143" i="3"/>
  <c r="W143" i="3"/>
  <c r="U143" i="3"/>
  <c r="T143" i="3"/>
  <c r="S143" i="3"/>
  <c r="R143" i="3"/>
  <c r="Q143" i="3"/>
  <c r="Y142" i="3"/>
  <c r="X142" i="3"/>
  <c r="W142" i="3"/>
  <c r="U142" i="3"/>
  <c r="T142" i="3"/>
  <c r="S142" i="3"/>
  <c r="R142" i="3"/>
  <c r="Q142" i="3"/>
  <c r="Y141" i="3"/>
  <c r="X141" i="3"/>
  <c r="W141" i="3"/>
  <c r="U141" i="3"/>
  <c r="T141" i="3"/>
  <c r="S141" i="3"/>
  <c r="R141" i="3"/>
  <c r="Q141" i="3"/>
  <c r="Y140" i="3"/>
  <c r="X140" i="3"/>
  <c r="W140" i="3"/>
  <c r="U140" i="3"/>
  <c r="T140" i="3"/>
  <c r="S140" i="3"/>
  <c r="R140" i="3"/>
  <c r="Q140" i="3"/>
  <c r="Y139" i="3"/>
  <c r="X139" i="3"/>
  <c r="W139" i="3"/>
  <c r="U139" i="3"/>
  <c r="T139" i="3"/>
  <c r="S139" i="3"/>
  <c r="R139" i="3"/>
  <c r="Q139" i="3"/>
  <c r="Y138" i="3"/>
  <c r="X138" i="3"/>
  <c r="W138" i="3"/>
  <c r="U138" i="3"/>
  <c r="T138" i="3"/>
  <c r="S138" i="3"/>
  <c r="R138" i="3"/>
  <c r="Q138" i="3"/>
  <c r="Y137" i="3"/>
  <c r="X137" i="3"/>
  <c r="W137" i="3"/>
  <c r="U137" i="3"/>
  <c r="T137" i="3"/>
  <c r="S137" i="3"/>
  <c r="R137" i="3"/>
  <c r="Q137" i="3"/>
  <c r="Y136" i="3"/>
  <c r="X136" i="3"/>
  <c r="W136" i="3"/>
  <c r="U136" i="3"/>
  <c r="T136" i="3"/>
  <c r="S136" i="3"/>
  <c r="R136" i="3"/>
  <c r="Q136" i="3"/>
  <c r="Y135" i="3"/>
  <c r="X135" i="3"/>
  <c r="W135" i="3"/>
  <c r="U135" i="3"/>
  <c r="T135" i="3"/>
  <c r="S135" i="3"/>
  <c r="R135" i="3"/>
  <c r="Q135" i="3"/>
  <c r="Y134" i="3"/>
  <c r="X134" i="3"/>
  <c r="W134" i="3"/>
  <c r="U134" i="3"/>
  <c r="T134" i="3"/>
  <c r="S134" i="3"/>
  <c r="R134" i="3"/>
  <c r="Q134" i="3"/>
  <c r="Y133" i="3"/>
  <c r="X133" i="3"/>
  <c r="W133" i="3"/>
  <c r="U133" i="3"/>
  <c r="T133" i="3"/>
  <c r="S133" i="3"/>
  <c r="R133" i="3"/>
  <c r="Q133" i="3"/>
  <c r="Y132" i="3"/>
  <c r="X132" i="3"/>
  <c r="W132" i="3"/>
  <c r="U132" i="3"/>
  <c r="T132" i="3"/>
  <c r="S132" i="3"/>
  <c r="R132" i="3"/>
  <c r="Q132" i="3"/>
  <c r="Y131" i="3"/>
  <c r="X131" i="3"/>
  <c r="W131" i="3"/>
  <c r="U131" i="3"/>
  <c r="T131" i="3"/>
  <c r="S131" i="3"/>
  <c r="R131" i="3"/>
  <c r="Q131" i="3"/>
  <c r="Y130" i="3"/>
  <c r="X130" i="3"/>
  <c r="W130" i="3"/>
  <c r="U130" i="3"/>
  <c r="T130" i="3"/>
  <c r="S130" i="3"/>
  <c r="R130" i="3"/>
  <c r="Q130" i="3"/>
  <c r="Y129" i="3"/>
  <c r="X129" i="3"/>
  <c r="W129" i="3"/>
  <c r="U129" i="3"/>
  <c r="T129" i="3"/>
  <c r="S129" i="3"/>
  <c r="R129" i="3"/>
  <c r="Q129" i="3"/>
  <c r="Y128" i="3"/>
  <c r="X128" i="3"/>
  <c r="W128" i="3"/>
  <c r="U128" i="3"/>
  <c r="T128" i="3"/>
  <c r="S128" i="3"/>
  <c r="R128" i="3"/>
  <c r="Q128" i="3"/>
  <c r="Y127" i="3"/>
  <c r="X127" i="3"/>
  <c r="W127" i="3"/>
  <c r="U127" i="3"/>
  <c r="T127" i="3"/>
  <c r="S127" i="3"/>
  <c r="R127" i="3"/>
  <c r="Q127" i="3"/>
  <c r="Y126" i="3"/>
  <c r="X126" i="3"/>
  <c r="W126" i="3"/>
  <c r="U126" i="3"/>
  <c r="T126" i="3"/>
  <c r="S126" i="3"/>
  <c r="R126" i="3"/>
  <c r="Q126" i="3"/>
  <c r="Y125" i="3"/>
  <c r="X125" i="3"/>
  <c r="W125" i="3"/>
  <c r="U125" i="3"/>
  <c r="T125" i="3"/>
  <c r="S125" i="3"/>
  <c r="R125" i="3"/>
  <c r="Q125" i="3"/>
  <c r="Y124" i="3"/>
  <c r="X124" i="3"/>
  <c r="W124" i="3"/>
  <c r="U124" i="3"/>
  <c r="T124" i="3"/>
  <c r="S124" i="3"/>
  <c r="R124" i="3"/>
  <c r="Q124" i="3"/>
  <c r="Y123" i="3"/>
  <c r="X123" i="3"/>
  <c r="W123" i="3"/>
  <c r="U123" i="3"/>
  <c r="T123" i="3"/>
  <c r="S123" i="3"/>
  <c r="R123" i="3"/>
  <c r="Q123" i="3"/>
  <c r="Y122" i="3"/>
  <c r="X122" i="3"/>
  <c r="W122" i="3"/>
  <c r="U122" i="3"/>
  <c r="T122" i="3"/>
  <c r="S122" i="3"/>
  <c r="R122" i="3"/>
  <c r="Q122" i="3"/>
  <c r="Y121" i="3"/>
  <c r="X121" i="3"/>
  <c r="W121" i="3"/>
  <c r="U121" i="3"/>
  <c r="T121" i="3"/>
  <c r="S121" i="3"/>
  <c r="R121" i="3"/>
  <c r="Q121" i="3"/>
  <c r="Y120" i="3"/>
  <c r="X120" i="3"/>
  <c r="W120" i="3"/>
  <c r="U120" i="3"/>
  <c r="T120" i="3"/>
  <c r="S120" i="3"/>
  <c r="R120" i="3"/>
  <c r="Q120" i="3"/>
  <c r="Y119" i="3"/>
  <c r="X119" i="3"/>
  <c r="W119" i="3"/>
  <c r="U119" i="3"/>
  <c r="T119" i="3"/>
  <c r="S119" i="3"/>
  <c r="R119" i="3"/>
  <c r="Q119" i="3"/>
  <c r="Y118" i="3"/>
  <c r="X118" i="3"/>
  <c r="W118" i="3"/>
  <c r="U118" i="3"/>
  <c r="T118" i="3"/>
  <c r="S118" i="3"/>
  <c r="R118" i="3"/>
  <c r="Q118" i="3"/>
  <c r="Y117" i="3"/>
  <c r="X117" i="3"/>
  <c r="W117" i="3"/>
  <c r="U117" i="3"/>
  <c r="T117" i="3"/>
  <c r="S117" i="3"/>
  <c r="R117" i="3"/>
  <c r="Q117" i="3"/>
  <c r="Y116" i="3"/>
  <c r="X116" i="3"/>
  <c r="W116" i="3"/>
  <c r="U116" i="3"/>
  <c r="T116" i="3"/>
  <c r="S116" i="3"/>
  <c r="R116" i="3"/>
  <c r="Q116" i="3"/>
  <c r="Y115" i="3"/>
  <c r="X115" i="3"/>
  <c r="W115" i="3"/>
  <c r="U115" i="3"/>
  <c r="T115" i="3"/>
  <c r="S115" i="3"/>
  <c r="R115" i="3"/>
  <c r="Q115" i="3"/>
  <c r="Y114" i="3"/>
  <c r="X114" i="3"/>
  <c r="W114" i="3"/>
  <c r="U114" i="3"/>
  <c r="T114" i="3"/>
  <c r="S114" i="3"/>
  <c r="R114" i="3"/>
  <c r="Q114" i="3"/>
  <c r="Y113" i="3"/>
  <c r="X113" i="3"/>
  <c r="W113" i="3"/>
  <c r="U113" i="3"/>
  <c r="T113" i="3"/>
  <c r="S113" i="3"/>
  <c r="R113" i="3"/>
  <c r="Q113" i="3"/>
  <c r="Y112" i="3"/>
  <c r="X112" i="3"/>
  <c r="W112" i="3"/>
  <c r="U112" i="3"/>
  <c r="T112" i="3"/>
  <c r="S112" i="3"/>
  <c r="R112" i="3"/>
  <c r="Q112" i="3"/>
  <c r="Y111" i="3"/>
  <c r="X111" i="3"/>
  <c r="W111" i="3"/>
  <c r="U111" i="3"/>
  <c r="T111" i="3"/>
  <c r="S111" i="3"/>
  <c r="R111" i="3"/>
  <c r="Q111" i="3"/>
  <c r="Y110" i="3"/>
  <c r="X110" i="3"/>
  <c r="W110" i="3"/>
  <c r="U110" i="3"/>
  <c r="T110" i="3"/>
  <c r="S110" i="3"/>
  <c r="R110" i="3"/>
  <c r="Q110" i="3"/>
  <c r="Y109" i="3"/>
  <c r="X109" i="3"/>
  <c r="W109" i="3"/>
  <c r="U109" i="3"/>
  <c r="T109" i="3"/>
  <c r="S109" i="3"/>
  <c r="R109" i="3"/>
  <c r="Q109" i="3"/>
  <c r="Y108" i="3"/>
  <c r="X108" i="3"/>
  <c r="W108" i="3"/>
  <c r="U108" i="3"/>
  <c r="T108" i="3"/>
  <c r="S108" i="3"/>
  <c r="R108" i="3"/>
  <c r="Q108" i="3"/>
  <c r="Y107" i="3"/>
  <c r="X107" i="3"/>
  <c r="W107" i="3"/>
  <c r="U107" i="3"/>
  <c r="T107" i="3"/>
  <c r="S107" i="3"/>
  <c r="R107" i="3"/>
  <c r="Q107" i="3"/>
  <c r="Y106" i="3"/>
  <c r="X106" i="3"/>
  <c r="W106" i="3"/>
  <c r="U106" i="3"/>
  <c r="T106" i="3"/>
  <c r="S106" i="3"/>
  <c r="R106" i="3"/>
  <c r="Q106" i="3"/>
  <c r="Y105" i="3"/>
  <c r="X105" i="3"/>
  <c r="W105" i="3"/>
  <c r="U105" i="3"/>
  <c r="T105" i="3"/>
  <c r="S105" i="3"/>
  <c r="R105" i="3"/>
  <c r="Q105" i="3"/>
  <c r="Y104" i="3"/>
  <c r="X104" i="3"/>
  <c r="W104" i="3"/>
  <c r="U104" i="3"/>
  <c r="T104" i="3"/>
  <c r="S104" i="3"/>
  <c r="R104" i="3"/>
  <c r="Q104" i="3"/>
  <c r="Y103" i="3"/>
  <c r="X103" i="3"/>
  <c r="W103" i="3"/>
  <c r="U103" i="3"/>
  <c r="T103" i="3"/>
  <c r="S103" i="3"/>
  <c r="R103" i="3"/>
  <c r="Q103" i="3"/>
  <c r="Y102" i="3"/>
  <c r="X102" i="3"/>
  <c r="W102" i="3"/>
  <c r="U102" i="3"/>
  <c r="T102" i="3"/>
  <c r="S102" i="3"/>
  <c r="R102" i="3"/>
  <c r="Q102" i="3"/>
  <c r="Y101" i="3"/>
  <c r="X101" i="3"/>
  <c r="W101" i="3"/>
  <c r="U101" i="3"/>
  <c r="T101" i="3"/>
  <c r="S101" i="3"/>
  <c r="R101" i="3"/>
  <c r="Q101" i="3"/>
  <c r="Y100" i="3"/>
  <c r="X100" i="3"/>
  <c r="W100" i="3"/>
  <c r="U100" i="3"/>
  <c r="T100" i="3"/>
  <c r="S100" i="3"/>
  <c r="R100" i="3"/>
  <c r="Q100" i="3"/>
  <c r="Y99" i="3"/>
  <c r="X99" i="3"/>
  <c r="W99" i="3"/>
  <c r="U99" i="3"/>
  <c r="T99" i="3"/>
  <c r="S99" i="3"/>
  <c r="R99" i="3"/>
  <c r="Q99" i="3"/>
  <c r="Y98" i="3"/>
  <c r="X98" i="3"/>
  <c r="W98" i="3"/>
  <c r="U98" i="3"/>
  <c r="T98" i="3"/>
  <c r="S98" i="3"/>
  <c r="R98" i="3"/>
  <c r="Q98" i="3"/>
  <c r="Y97" i="3"/>
  <c r="X97" i="3"/>
  <c r="W97" i="3"/>
  <c r="U97" i="3"/>
  <c r="T97" i="3"/>
  <c r="S97" i="3"/>
  <c r="R97" i="3"/>
  <c r="Q97" i="3"/>
  <c r="Y96" i="3"/>
  <c r="X96" i="3"/>
  <c r="W96" i="3"/>
  <c r="U96" i="3"/>
  <c r="T96" i="3"/>
  <c r="S96" i="3"/>
  <c r="R96" i="3"/>
  <c r="Q96" i="3"/>
  <c r="Y95" i="3"/>
  <c r="X95" i="3"/>
  <c r="W95" i="3"/>
  <c r="U95" i="3"/>
  <c r="T95" i="3"/>
  <c r="S95" i="3"/>
  <c r="R95" i="3"/>
  <c r="Q95" i="3"/>
  <c r="Y94" i="3"/>
  <c r="X94" i="3"/>
  <c r="W94" i="3"/>
  <c r="U94" i="3"/>
  <c r="T94" i="3"/>
  <c r="S94" i="3"/>
  <c r="R94" i="3"/>
  <c r="Q94" i="3"/>
  <c r="Y93" i="3"/>
  <c r="X93" i="3"/>
  <c r="W93" i="3"/>
  <c r="U93" i="3"/>
  <c r="T93" i="3"/>
  <c r="S93" i="3"/>
  <c r="R93" i="3"/>
  <c r="Q93" i="3"/>
  <c r="Y92" i="3"/>
  <c r="X92" i="3"/>
  <c r="W92" i="3"/>
  <c r="U92" i="3"/>
  <c r="T92" i="3"/>
  <c r="S92" i="3"/>
  <c r="R92" i="3"/>
  <c r="Q92" i="3"/>
  <c r="Y91" i="3"/>
  <c r="X91" i="3"/>
  <c r="W91" i="3"/>
  <c r="U91" i="3"/>
  <c r="T91" i="3"/>
  <c r="S91" i="3"/>
  <c r="R91" i="3"/>
  <c r="Q91" i="3"/>
  <c r="Y90" i="3"/>
  <c r="X90" i="3"/>
  <c r="W90" i="3"/>
  <c r="U90" i="3"/>
  <c r="T90" i="3"/>
  <c r="S90" i="3"/>
  <c r="R90" i="3"/>
  <c r="Q90" i="3"/>
  <c r="Y89" i="3"/>
  <c r="X89" i="3"/>
  <c r="W89" i="3"/>
  <c r="U89" i="3"/>
  <c r="T89" i="3"/>
  <c r="S89" i="3"/>
  <c r="R89" i="3"/>
  <c r="Q89" i="3"/>
  <c r="Y88" i="3"/>
  <c r="X88" i="3"/>
  <c r="W88" i="3"/>
  <c r="U88" i="3"/>
  <c r="T88" i="3"/>
  <c r="S88" i="3"/>
  <c r="R88" i="3"/>
  <c r="Q88" i="3"/>
  <c r="Y87" i="3"/>
  <c r="X87" i="3"/>
  <c r="W87" i="3"/>
  <c r="U87" i="3"/>
  <c r="T87" i="3"/>
  <c r="S87" i="3"/>
  <c r="R87" i="3"/>
  <c r="Q87" i="3"/>
  <c r="Y86" i="3"/>
  <c r="X86" i="3"/>
  <c r="W86" i="3"/>
  <c r="U86" i="3"/>
  <c r="T86" i="3"/>
  <c r="S86" i="3"/>
  <c r="R86" i="3"/>
  <c r="Q86" i="3"/>
  <c r="Y85" i="3"/>
  <c r="X85" i="3"/>
  <c r="W85" i="3"/>
  <c r="U85" i="3"/>
  <c r="T85" i="3"/>
  <c r="S85" i="3"/>
  <c r="R85" i="3"/>
  <c r="Q85" i="3"/>
  <c r="Y84" i="3"/>
  <c r="X84" i="3"/>
  <c r="W84" i="3"/>
  <c r="U84" i="3"/>
  <c r="T84" i="3"/>
  <c r="S84" i="3"/>
  <c r="R84" i="3"/>
  <c r="Q84" i="3"/>
  <c r="Y83" i="3"/>
  <c r="X83" i="3"/>
  <c r="W83" i="3"/>
  <c r="U83" i="3"/>
  <c r="T83" i="3"/>
  <c r="S83" i="3"/>
  <c r="R83" i="3"/>
  <c r="Q83" i="3"/>
  <c r="Y82" i="3"/>
  <c r="X82" i="3"/>
  <c r="W82" i="3"/>
  <c r="U82" i="3"/>
  <c r="T82" i="3"/>
  <c r="S82" i="3"/>
  <c r="R82" i="3"/>
  <c r="Q82" i="3"/>
  <c r="Y81" i="3"/>
  <c r="X81" i="3"/>
  <c r="W81" i="3"/>
  <c r="U81" i="3"/>
  <c r="T81" i="3"/>
  <c r="S81" i="3"/>
  <c r="R81" i="3"/>
  <c r="Q81" i="3"/>
  <c r="Y80" i="3"/>
  <c r="X80" i="3"/>
  <c r="W80" i="3"/>
  <c r="U80" i="3"/>
  <c r="T80" i="3"/>
  <c r="S80" i="3"/>
  <c r="R80" i="3"/>
  <c r="Q80" i="3"/>
  <c r="Y79" i="3"/>
  <c r="X79" i="3"/>
  <c r="W79" i="3"/>
  <c r="U79" i="3"/>
  <c r="T79" i="3"/>
  <c r="S79" i="3"/>
  <c r="R79" i="3"/>
  <c r="Q79" i="3"/>
  <c r="Y78" i="3"/>
  <c r="X78" i="3"/>
  <c r="W78" i="3"/>
  <c r="U78" i="3"/>
  <c r="T78" i="3"/>
  <c r="S78" i="3"/>
  <c r="R78" i="3"/>
  <c r="Q78" i="3"/>
  <c r="Y77" i="3"/>
  <c r="X77" i="3"/>
  <c r="W77" i="3"/>
  <c r="U77" i="3"/>
  <c r="T77" i="3"/>
  <c r="S77" i="3"/>
  <c r="R77" i="3"/>
  <c r="Q77" i="3"/>
  <c r="Y76" i="3"/>
  <c r="X76" i="3"/>
  <c r="W76" i="3"/>
  <c r="U76" i="3"/>
  <c r="T76" i="3"/>
  <c r="S76" i="3"/>
  <c r="R76" i="3"/>
  <c r="Q76" i="3"/>
  <c r="Y75" i="3"/>
  <c r="X75" i="3"/>
  <c r="W75" i="3"/>
  <c r="U75" i="3"/>
  <c r="T75" i="3"/>
  <c r="S75" i="3"/>
  <c r="R75" i="3"/>
  <c r="Q75" i="3"/>
  <c r="Y74" i="3"/>
  <c r="X74" i="3"/>
  <c r="W74" i="3"/>
  <c r="U74" i="3"/>
  <c r="T74" i="3"/>
  <c r="S74" i="3"/>
  <c r="R74" i="3"/>
  <c r="Q74" i="3"/>
  <c r="Y73" i="3"/>
  <c r="X73" i="3"/>
  <c r="W73" i="3"/>
  <c r="U73" i="3"/>
  <c r="T73" i="3"/>
  <c r="S73" i="3"/>
  <c r="R73" i="3"/>
  <c r="Q73" i="3"/>
  <c r="Y72" i="3"/>
  <c r="X72" i="3"/>
  <c r="W72" i="3"/>
  <c r="U72" i="3"/>
  <c r="T72" i="3"/>
  <c r="S72" i="3"/>
  <c r="R72" i="3"/>
  <c r="Q72" i="3"/>
  <c r="Y71" i="3"/>
  <c r="X71" i="3"/>
  <c r="W71" i="3"/>
  <c r="U71" i="3"/>
  <c r="T71" i="3"/>
  <c r="S71" i="3"/>
  <c r="R71" i="3"/>
  <c r="Q71" i="3"/>
  <c r="Y70" i="3"/>
  <c r="X70" i="3"/>
  <c r="W70" i="3"/>
  <c r="U70" i="3"/>
  <c r="T70" i="3"/>
  <c r="S70" i="3"/>
  <c r="R70" i="3"/>
  <c r="Q70" i="3"/>
  <c r="Y69" i="3"/>
  <c r="X69" i="3"/>
  <c r="W69" i="3"/>
  <c r="U69" i="3"/>
  <c r="T69" i="3"/>
  <c r="S69" i="3"/>
  <c r="R69" i="3"/>
  <c r="Q69" i="3"/>
  <c r="Y68" i="3"/>
  <c r="X68" i="3"/>
  <c r="W68" i="3"/>
  <c r="U68" i="3"/>
  <c r="T68" i="3"/>
  <c r="S68" i="3"/>
  <c r="R68" i="3"/>
  <c r="Q68" i="3"/>
  <c r="Y67" i="3"/>
  <c r="X67" i="3"/>
  <c r="W67" i="3"/>
  <c r="U67" i="3"/>
  <c r="T67" i="3"/>
  <c r="S67" i="3"/>
  <c r="R67" i="3"/>
  <c r="Q67" i="3"/>
  <c r="Y66" i="3"/>
  <c r="X66" i="3"/>
  <c r="W66" i="3"/>
  <c r="U66" i="3"/>
  <c r="T66" i="3"/>
  <c r="S66" i="3"/>
  <c r="R66" i="3"/>
  <c r="Q66" i="3"/>
  <c r="Y65" i="3"/>
  <c r="X65" i="3"/>
  <c r="W65" i="3"/>
  <c r="U65" i="3"/>
  <c r="T65" i="3"/>
  <c r="S65" i="3"/>
  <c r="R65" i="3"/>
  <c r="Q65" i="3"/>
  <c r="Y64" i="3"/>
  <c r="X64" i="3"/>
  <c r="W64" i="3"/>
  <c r="U64" i="3"/>
  <c r="T64" i="3"/>
  <c r="S64" i="3"/>
  <c r="R64" i="3"/>
  <c r="Q64" i="3"/>
  <c r="Y63" i="3"/>
  <c r="X63" i="3"/>
  <c r="W63" i="3"/>
  <c r="U63" i="3"/>
  <c r="T63" i="3"/>
  <c r="S63" i="3"/>
  <c r="R63" i="3"/>
  <c r="Q63" i="3"/>
  <c r="Y62" i="3"/>
  <c r="X62" i="3"/>
  <c r="W62" i="3"/>
  <c r="U62" i="3"/>
  <c r="T62" i="3"/>
  <c r="S62" i="3"/>
  <c r="R62" i="3"/>
  <c r="Q62" i="3"/>
  <c r="Y61" i="3"/>
  <c r="X61" i="3"/>
  <c r="W61" i="3"/>
  <c r="U61" i="3"/>
  <c r="T61" i="3"/>
  <c r="S61" i="3"/>
  <c r="R61" i="3"/>
  <c r="Q61" i="3"/>
  <c r="Y60" i="3"/>
  <c r="X60" i="3"/>
  <c r="W60" i="3"/>
  <c r="U60" i="3"/>
  <c r="T60" i="3"/>
  <c r="S60" i="3"/>
  <c r="R60" i="3"/>
  <c r="Q60" i="3"/>
  <c r="Y59" i="3"/>
  <c r="X59" i="3"/>
  <c r="W59" i="3"/>
  <c r="U59" i="3"/>
  <c r="T59" i="3"/>
  <c r="S59" i="3"/>
  <c r="R59" i="3"/>
  <c r="Q59" i="3"/>
  <c r="Y58" i="3"/>
  <c r="X58" i="3"/>
  <c r="W58" i="3"/>
  <c r="U58" i="3"/>
  <c r="T58" i="3"/>
  <c r="S58" i="3"/>
  <c r="R58" i="3"/>
  <c r="Q58" i="3"/>
  <c r="Y57" i="3"/>
  <c r="X57" i="3"/>
  <c r="W57" i="3"/>
  <c r="U57" i="3"/>
  <c r="T57" i="3"/>
  <c r="S57" i="3"/>
  <c r="R57" i="3"/>
  <c r="Q57" i="3"/>
  <c r="Y56" i="3"/>
  <c r="X56" i="3"/>
  <c r="W56" i="3"/>
  <c r="U56" i="3"/>
  <c r="T56" i="3"/>
  <c r="S56" i="3"/>
  <c r="R56" i="3"/>
  <c r="Q56" i="3"/>
  <c r="Y55" i="3"/>
  <c r="X55" i="3"/>
  <c r="W55" i="3"/>
  <c r="U55" i="3"/>
  <c r="T55" i="3"/>
  <c r="S55" i="3"/>
  <c r="R55" i="3"/>
  <c r="Q55" i="3"/>
  <c r="Y54" i="3"/>
  <c r="X54" i="3"/>
  <c r="W54" i="3"/>
  <c r="U54" i="3"/>
  <c r="T54" i="3"/>
  <c r="S54" i="3"/>
  <c r="R54" i="3"/>
  <c r="Q54" i="3"/>
  <c r="Y53" i="3"/>
  <c r="X53" i="3"/>
  <c r="W53" i="3"/>
  <c r="U53" i="3"/>
  <c r="T53" i="3"/>
  <c r="S53" i="3"/>
  <c r="R53" i="3"/>
  <c r="Q53" i="3"/>
  <c r="Y52" i="3"/>
  <c r="X52" i="3"/>
  <c r="W52" i="3"/>
  <c r="U52" i="3"/>
  <c r="T52" i="3"/>
  <c r="S52" i="3"/>
  <c r="R52" i="3"/>
  <c r="Q52" i="3"/>
  <c r="Y51" i="3"/>
  <c r="X51" i="3"/>
  <c r="W51" i="3"/>
  <c r="U51" i="3"/>
  <c r="T51" i="3"/>
  <c r="S51" i="3"/>
  <c r="R51" i="3"/>
  <c r="Q51" i="3"/>
  <c r="Y50" i="3"/>
  <c r="X50" i="3"/>
  <c r="W50" i="3"/>
  <c r="U50" i="3"/>
  <c r="T50" i="3"/>
  <c r="S50" i="3"/>
  <c r="R50" i="3"/>
  <c r="Q50" i="3"/>
  <c r="Y49" i="3"/>
  <c r="X49" i="3"/>
  <c r="W49" i="3"/>
  <c r="U49" i="3"/>
  <c r="T49" i="3"/>
  <c r="S49" i="3"/>
  <c r="R49" i="3"/>
  <c r="Q49" i="3"/>
  <c r="Y48" i="3"/>
  <c r="X48" i="3"/>
  <c r="W48" i="3"/>
  <c r="U48" i="3"/>
  <c r="T48" i="3"/>
  <c r="S48" i="3"/>
  <c r="R48" i="3"/>
  <c r="Q48" i="3"/>
  <c r="Y47" i="3"/>
  <c r="X47" i="3"/>
  <c r="W47" i="3"/>
  <c r="U47" i="3"/>
  <c r="T47" i="3"/>
  <c r="S47" i="3"/>
  <c r="R47" i="3"/>
  <c r="Q47" i="3"/>
  <c r="Y46" i="3"/>
  <c r="X46" i="3"/>
  <c r="W46" i="3"/>
  <c r="U46" i="3"/>
  <c r="T46" i="3"/>
  <c r="S46" i="3"/>
  <c r="R46" i="3"/>
  <c r="Q46" i="3"/>
  <c r="Y45" i="3"/>
  <c r="X45" i="3"/>
  <c r="W45" i="3"/>
  <c r="U45" i="3"/>
  <c r="T45" i="3"/>
  <c r="S45" i="3"/>
  <c r="R45" i="3"/>
  <c r="Q45" i="3"/>
  <c r="Y44" i="3"/>
  <c r="X44" i="3"/>
  <c r="W44" i="3"/>
  <c r="U44" i="3"/>
  <c r="T44" i="3"/>
  <c r="S44" i="3"/>
  <c r="R44" i="3"/>
  <c r="Q44" i="3"/>
  <c r="Y43" i="3"/>
  <c r="X43" i="3"/>
  <c r="W43" i="3"/>
  <c r="U43" i="3"/>
  <c r="T43" i="3"/>
  <c r="S43" i="3"/>
  <c r="R43" i="3"/>
  <c r="Q43" i="3"/>
  <c r="Y42" i="3"/>
  <c r="X42" i="3"/>
  <c r="W42" i="3"/>
  <c r="U42" i="3"/>
  <c r="T42" i="3"/>
  <c r="S42" i="3"/>
  <c r="R42" i="3"/>
  <c r="Q42" i="3"/>
  <c r="Y41" i="3"/>
  <c r="X41" i="3"/>
  <c r="W41" i="3"/>
  <c r="U41" i="3"/>
  <c r="T41" i="3"/>
  <c r="S41" i="3"/>
  <c r="R41" i="3"/>
  <c r="Q41" i="3"/>
  <c r="Y40" i="3"/>
  <c r="X40" i="3"/>
  <c r="W40" i="3"/>
  <c r="U40" i="3"/>
  <c r="T40" i="3"/>
  <c r="S40" i="3"/>
  <c r="R40" i="3"/>
  <c r="Q40" i="3"/>
  <c r="Y39" i="3"/>
  <c r="X39" i="3"/>
  <c r="W39" i="3"/>
  <c r="U39" i="3"/>
  <c r="T39" i="3"/>
  <c r="S39" i="3"/>
  <c r="R39" i="3"/>
  <c r="Q39" i="3"/>
  <c r="Y38" i="3"/>
  <c r="X38" i="3"/>
  <c r="W38" i="3"/>
  <c r="U38" i="3"/>
  <c r="T38" i="3"/>
  <c r="S38" i="3"/>
  <c r="R38" i="3"/>
  <c r="Q38" i="3"/>
  <c r="Y37" i="3"/>
  <c r="X37" i="3"/>
  <c r="W37" i="3"/>
  <c r="U37" i="3"/>
  <c r="T37" i="3"/>
  <c r="S37" i="3"/>
  <c r="R37" i="3"/>
  <c r="Q37" i="3"/>
  <c r="Y36" i="3"/>
  <c r="X36" i="3"/>
  <c r="W36" i="3"/>
  <c r="U36" i="3"/>
  <c r="T36" i="3"/>
  <c r="S36" i="3"/>
  <c r="R36" i="3"/>
  <c r="Q36" i="3"/>
  <c r="Y35" i="3"/>
  <c r="X35" i="3"/>
  <c r="W35" i="3"/>
  <c r="U35" i="3"/>
  <c r="T35" i="3"/>
  <c r="S35" i="3"/>
  <c r="R35" i="3"/>
  <c r="Q35" i="3"/>
  <c r="Y34" i="3"/>
  <c r="X34" i="3"/>
  <c r="W34" i="3"/>
  <c r="U34" i="3"/>
  <c r="T34" i="3"/>
  <c r="S34" i="3"/>
  <c r="R34" i="3"/>
  <c r="Q34" i="3"/>
  <c r="Y33" i="3"/>
  <c r="X33" i="3"/>
  <c r="W33" i="3"/>
  <c r="U33" i="3"/>
  <c r="T33" i="3"/>
  <c r="S33" i="3"/>
  <c r="R33" i="3"/>
  <c r="Q33" i="3"/>
  <c r="Y32" i="3"/>
  <c r="X32" i="3"/>
  <c r="W32" i="3"/>
  <c r="U32" i="3"/>
  <c r="T32" i="3"/>
  <c r="S32" i="3"/>
  <c r="R32" i="3"/>
  <c r="Q32" i="3"/>
  <c r="Y31" i="3"/>
  <c r="X31" i="3"/>
  <c r="W31" i="3"/>
  <c r="U31" i="3"/>
  <c r="T31" i="3"/>
  <c r="S31" i="3"/>
  <c r="R31" i="3"/>
  <c r="Q31" i="3"/>
  <c r="Y30" i="3"/>
  <c r="X30" i="3"/>
  <c r="W30" i="3"/>
  <c r="U30" i="3"/>
  <c r="T30" i="3"/>
  <c r="S30" i="3"/>
  <c r="R30" i="3"/>
  <c r="Q30" i="3"/>
  <c r="Y29" i="3"/>
  <c r="X29" i="3"/>
  <c r="W29" i="3"/>
  <c r="U29" i="3"/>
  <c r="T29" i="3"/>
  <c r="S29" i="3"/>
  <c r="R29" i="3"/>
  <c r="Q29" i="3"/>
  <c r="Y28" i="3"/>
  <c r="X28" i="3"/>
  <c r="W28" i="3"/>
  <c r="U28" i="3"/>
  <c r="T28" i="3"/>
  <c r="S28" i="3"/>
  <c r="R28" i="3"/>
  <c r="Q28" i="3"/>
  <c r="Y27" i="3"/>
  <c r="X27" i="3"/>
  <c r="W27" i="3"/>
  <c r="U27" i="3"/>
  <c r="T27" i="3"/>
  <c r="S27" i="3"/>
  <c r="R27" i="3"/>
  <c r="Q27" i="3"/>
  <c r="Y26" i="3"/>
  <c r="X26" i="3"/>
  <c r="W26" i="3"/>
  <c r="U26" i="3"/>
  <c r="T26" i="3"/>
  <c r="S26" i="3"/>
  <c r="R26" i="3"/>
  <c r="Q26" i="3"/>
  <c r="Y25" i="3"/>
  <c r="X25" i="3"/>
  <c r="W25" i="3"/>
  <c r="U25" i="3"/>
  <c r="T25" i="3"/>
  <c r="S25" i="3"/>
  <c r="R25" i="3"/>
  <c r="Q25" i="3"/>
  <c r="Y24" i="3"/>
  <c r="X24" i="3"/>
  <c r="W24" i="3"/>
  <c r="U24" i="3"/>
  <c r="T24" i="3"/>
  <c r="S24" i="3"/>
  <c r="R24" i="3"/>
  <c r="Q24" i="3"/>
  <c r="Y23" i="3"/>
  <c r="X23" i="3"/>
  <c r="W23" i="3"/>
  <c r="U23" i="3"/>
  <c r="T23" i="3"/>
  <c r="S23" i="3"/>
  <c r="R23" i="3"/>
  <c r="Q23" i="3"/>
  <c r="Y22" i="3"/>
  <c r="X22" i="3"/>
  <c r="W22" i="3"/>
  <c r="U22" i="3"/>
  <c r="T22" i="3"/>
  <c r="S22" i="3"/>
  <c r="R22" i="3"/>
  <c r="Q22" i="3"/>
  <c r="Y21" i="3"/>
  <c r="X21" i="3"/>
  <c r="W21" i="3"/>
  <c r="U21" i="3"/>
  <c r="T21" i="3"/>
  <c r="S21" i="3"/>
  <c r="R21" i="3"/>
  <c r="Q21" i="3"/>
  <c r="Y20" i="3"/>
  <c r="X20" i="3"/>
  <c r="W20" i="3"/>
  <c r="U20" i="3"/>
  <c r="T20" i="3"/>
  <c r="S20" i="3"/>
  <c r="R20" i="3"/>
  <c r="Q20" i="3"/>
  <c r="Y19" i="3"/>
  <c r="X19" i="3"/>
  <c r="W19" i="3"/>
  <c r="U19" i="3"/>
  <c r="T19" i="3"/>
  <c r="S19" i="3"/>
  <c r="R19" i="3"/>
  <c r="Q19" i="3"/>
  <c r="Y18" i="3"/>
  <c r="X18" i="3"/>
  <c r="W18" i="3"/>
  <c r="U18" i="3"/>
  <c r="T18" i="3"/>
  <c r="S18" i="3"/>
  <c r="R18" i="3"/>
  <c r="Q18" i="3"/>
  <c r="Y17" i="3"/>
  <c r="X17" i="3"/>
  <c r="W17" i="3"/>
  <c r="U17" i="3"/>
  <c r="T17" i="3"/>
  <c r="S17" i="3"/>
  <c r="R17" i="3"/>
  <c r="Q17" i="3"/>
  <c r="Y16" i="3"/>
  <c r="X16" i="3"/>
  <c r="W16" i="3"/>
  <c r="U16" i="3"/>
  <c r="T16" i="3"/>
  <c r="S16" i="3"/>
  <c r="R16" i="3"/>
  <c r="Q16" i="3"/>
  <c r="Y15" i="3"/>
  <c r="X15" i="3"/>
  <c r="W15" i="3"/>
  <c r="U15" i="3"/>
  <c r="T15" i="3"/>
  <c r="S15" i="3"/>
  <c r="R15" i="3"/>
  <c r="Q15" i="3"/>
  <c r="Y14" i="3"/>
  <c r="X14" i="3"/>
  <c r="W14" i="3"/>
  <c r="U14" i="3"/>
  <c r="T14" i="3"/>
  <c r="S14" i="3"/>
  <c r="R14" i="3"/>
  <c r="Q14" i="3"/>
  <c r="Y13" i="3"/>
  <c r="X13" i="3"/>
  <c r="W13" i="3"/>
  <c r="U13" i="3"/>
  <c r="T13" i="3"/>
  <c r="S13" i="3"/>
  <c r="R13" i="3"/>
  <c r="Q13" i="3"/>
  <c r="Y12" i="3"/>
  <c r="X12" i="3"/>
  <c r="W12" i="3"/>
  <c r="U12" i="3"/>
  <c r="T12" i="3"/>
  <c r="S12" i="3"/>
  <c r="R12" i="3"/>
  <c r="Q12" i="3"/>
  <c r="Y11" i="3"/>
  <c r="X11" i="3"/>
  <c r="W11" i="3"/>
  <c r="U11" i="3"/>
  <c r="T11" i="3"/>
  <c r="S11" i="3"/>
  <c r="R11" i="3"/>
  <c r="Q11" i="3"/>
  <c r="Y10" i="3"/>
  <c r="X10" i="3"/>
  <c r="W10" i="3"/>
  <c r="U10" i="3"/>
  <c r="T10" i="3"/>
  <c r="S10" i="3"/>
  <c r="R10" i="3"/>
  <c r="Q10" i="3"/>
  <c r="Y9" i="3"/>
  <c r="X9" i="3"/>
  <c r="W9" i="3"/>
  <c r="U9" i="3"/>
  <c r="T9" i="3"/>
  <c r="S9" i="3"/>
  <c r="R9" i="3"/>
  <c r="Q9" i="3"/>
  <c r="Y8" i="3"/>
  <c r="X8" i="3"/>
  <c r="W8" i="3"/>
  <c r="U8" i="3"/>
  <c r="T8" i="3"/>
  <c r="S8" i="3"/>
  <c r="R8" i="3"/>
  <c r="Q8" i="3"/>
  <c r="Y7" i="3"/>
  <c r="X7" i="3"/>
  <c r="W7" i="3"/>
  <c r="U7" i="3"/>
  <c r="T7" i="3"/>
  <c r="S7" i="3"/>
  <c r="R7" i="3"/>
  <c r="Q7" i="3"/>
  <c r="Y6" i="3"/>
  <c r="X6" i="3"/>
  <c r="W6" i="3"/>
  <c r="U6" i="3"/>
  <c r="T6" i="3"/>
  <c r="S6" i="3"/>
  <c r="R6" i="3"/>
  <c r="Q6" i="3"/>
  <c r="Y5" i="3"/>
  <c r="X5" i="3"/>
  <c r="W5" i="3"/>
  <c r="U5" i="3"/>
  <c r="T5" i="3"/>
  <c r="S5" i="3"/>
  <c r="R5" i="3"/>
  <c r="Q5" i="3"/>
  <c r="Y4" i="3"/>
  <c r="X4" i="3"/>
  <c r="W4" i="3"/>
  <c r="U4" i="3"/>
  <c r="T4" i="3"/>
  <c r="S4" i="3"/>
  <c r="R4" i="3"/>
  <c r="Q4" i="3"/>
  <c r="Y3" i="3"/>
  <c r="X3" i="3"/>
  <c r="W3" i="3"/>
  <c r="U3" i="3"/>
  <c r="T3" i="3"/>
  <c r="S3" i="3"/>
  <c r="R3" i="3"/>
  <c r="Q3" i="3"/>
  <c r="Y2" i="3"/>
  <c r="X2" i="3"/>
  <c r="W2" i="3"/>
  <c r="U2" i="3"/>
  <c r="T2" i="3"/>
  <c r="S2" i="3"/>
  <c r="R2" i="3"/>
  <c r="Q2" i="3"/>
  <c r="AA215" i="2"/>
  <c r="Z215" i="2"/>
  <c r="Y215" i="2"/>
  <c r="W215" i="2"/>
  <c r="V215" i="2"/>
  <c r="U215" i="2"/>
  <c r="T215" i="2"/>
  <c r="S215" i="2"/>
  <c r="AA214" i="2"/>
  <c r="Z214" i="2"/>
  <c r="Y214" i="2"/>
  <c r="W214" i="2"/>
  <c r="V214" i="2"/>
  <c r="U214" i="2"/>
  <c r="T214" i="2"/>
  <c r="S214" i="2"/>
  <c r="AA213" i="2"/>
  <c r="Z213" i="2"/>
  <c r="Y213" i="2"/>
  <c r="W213" i="2"/>
  <c r="V213" i="2"/>
  <c r="U213" i="2"/>
  <c r="T213" i="2"/>
  <c r="S213" i="2"/>
  <c r="AA212" i="2"/>
  <c r="Z212" i="2"/>
  <c r="Y212" i="2"/>
  <c r="W212" i="2"/>
  <c r="V212" i="2"/>
  <c r="U212" i="2"/>
  <c r="T212" i="2"/>
  <c r="S212" i="2"/>
  <c r="AA211" i="2"/>
  <c r="Z211" i="2"/>
  <c r="Y211" i="2"/>
  <c r="W211" i="2"/>
  <c r="V211" i="2"/>
  <c r="U211" i="2"/>
  <c r="T211" i="2"/>
  <c r="S211" i="2"/>
  <c r="AA210" i="2"/>
  <c r="Z210" i="2"/>
  <c r="Y210" i="2"/>
  <c r="W210" i="2"/>
  <c r="V210" i="2"/>
  <c r="U210" i="2"/>
  <c r="T210" i="2"/>
  <c r="S210" i="2"/>
  <c r="AA209" i="2"/>
  <c r="Z209" i="2"/>
  <c r="Y209" i="2"/>
  <c r="W209" i="2"/>
  <c r="V209" i="2"/>
  <c r="U209" i="2"/>
  <c r="T209" i="2"/>
  <c r="S209" i="2"/>
  <c r="AA208" i="2"/>
  <c r="Z208" i="2"/>
  <c r="Y208" i="2"/>
  <c r="W208" i="2"/>
  <c r="V208" i="2"/>
  <c r="U208" i="2"/>
  <c r="T208" i="2"/>
  <c r="S208" i="2"/>
  <c r="AA207" i="2"/>
  <c r="Z207" i="2"/>
  <c r="Y207" i="2"/>
  <c r="W207" i="2"/>
  <c r="V207" i="2"/>
  <c r="U207" i="2"/>
  <c r="T207" i="2"/>
  <c r="S207" i="2"/>
  <c r="AA206" i="2"/>
  <c r="Z206" i="2"/>
  <c r="Y206" i="2"/>
  <c r="W206" i="2"/>
  <c r="V206" i="2"/>
  <c r="U206" i="2"/>
  <c r="T206" i="2"/>
  <c r="S206" i="2"/>
  <c r="AA205" i="2"/>
  <c r="Z205" i="2"/>
  <c r="Y205" i="2"/>
  <c r="W205" i="2"/>
  <c r="V205" i="2"/>
  <c r="U205" i="2"/>
  <c r="T205" i="2"/>
  <c r="S205" i="2"/>
  <c r="AA204" i="2"/>
  <c r="Z204" i="2"/>
  <c r="Y204" i="2"/>
  <c r="W204" i="2"/>
  <c r="V204" i="2"/>
  <c r="U204" i="2"/>
  <c r="T204" i="2"/>
  <c r="S204" i="2"/>
  <c r="AA203" i="2"/>
  <c r="Z203" i="2"/>
  <c r="Y203" i="2"/>
  <c r="W203" i="2"/>
  <c r="V203" i="2"/>
  <c r="U203" i="2"/>
  <c r="T203" i="2"/>
  <c r="S203" i="2"/>
  <c r="AA202" i="2"/>
  <c r="Z202" i="2"/>
  <c r="Y202" i="2"/>
  <c r="W202" i="2"/>
  <c r="V202" i="2"/>
  <c r="U202" i="2"/>
  <c r="T202" i="2"/>
  <c r="S202" i="2"/>
  <c r="AA201" i="2"/>
  <c r="Z201" i="2"/>
  <c r="Y201" i="2"/>
  <c r="W201" i="2"/>
  <c r="V201" i="2"/>
  <c r="U201" i="2"/>
  <c r="T201" i="2"/>
  <c r="S201" i="2"/>
  <c r="AA200" i="2"/>
  <c r="Z200" i="2"/>
  <c r="Y200" i="2"/>
  <c r="W200" i="2"/>
  <c r="V200" i="2"/>
  <c r="U200" i="2"/>
  <c r="T200" i="2"/>
  <c r="S200" i="2"/>
  <c r="AA199" i="2"/>
  <c r="Z199" i="2"/>
  <c r="Y199" i="2"/>
  <c r="W199" i="2"/>
  <c r="V199" i="2"/>
  <c r="U199" i="2"/>
  <c r="T199" i="2"/>
  <c r="S199" i="2"/>
  <c r="AA198" i="2"/>
  <c r="Z198" i="2"/>
  <c r="Y198" i="2"/>
  <c r="W198" i="2"/>
  <c r="V198" i="2"/>
  <c r="U198" i="2"/>
  <c r="T198" i="2"/>
  <c r="S198" i="2"/>
  <c r="AA197" i="2"/>
  <c r="Z197" i="2"/>
  <c r="Y197" i="2"/>
  <c r="W197" i="2"/>
  <c r="V197" i="2"/>
  <c r="U197" i="2"/>
  <c r="T197" i="2"/>
  <c r="S197" i="2"/>
  <c r="AA196" i="2"/>
  <c r="Z196" i="2"/>
  <c r="Y196" i="2"/>
  <c r="W196" i="2"/>
  <c r="V196" i="2"/>
  <c r="U196" i="2"/>
  <c r="T196" i="2"/>
  <c r="S196" i="2"/>
  <c r="AA195" i="2"/>
  <c r="Z195" i="2"/>
  <c r="Y195" i="2"/>
  <c r="W195" i="2"/>
  <c r="V195" i="2"/>
  <c r="U195" i="2"/>
  <c r="T195" i="2"/>
  <c r="S195" i="2"/>
  <c r="AA194" i="2"/>
  <c r="Z194" i="2"/>
  <c r="Y194" i="2"/>
  <c r="W194" i="2"/>
  <c r="V194" i="2"/>
  <c r="U194" i="2"/>
  <c r="T194" i="2"/>
  <c r="S194" i="2"/>
  <c r="AA193" i="2"/>
  <c r="Z193" i="2"/>
  <c r="Y193" i="2"/>
  <c r="W193" i="2"/>
  <c r="V193" i="2"/>
  <c r="U193" i="2"/>
  <c r="T193" i="2"/>
  <c r="S193" i="2"/>
  <c r="AA192" i="2"/>
  <c r="Z192" i="2"/>
  <c r="Y192" i="2"/>
  <c r="W192" i="2"/>
  <c r="V192" i="2"/>
  <c r="U192" i="2"/>
  <c r="T192" i="2"/>
  <c r="S192" i="2"/>
  <c r="AA191" i="2"/>
  <c r="Z191" i="2"/>
  <c r="Y191" i="2"/>
  <c r="W191" i="2"/>
  <c r="V191" i="2"/>
  <c r="U191" i="2"/>
  <c r="T191" i="2"/>
  <c r="S191" i="2"/>
  <c r="AA190" i="2"/>
  <c r="Z190" i="2"/>
  <c r="Y190" i="2"/>
  <c r="W190" i="2"/>
  <c r="V190" i="2"/>
  <c r="U190" i="2"/>
  <c r="T190" i="2"/>
  <c r="S190" i="2"/>
  <c r="AA189" i="2"/>
  <c r="Z189" i="2"/>
  <c r="Y189" i="2"/>
  <c r="W189" i="2"/>
  <c r="V189" i="2"/>
  <c r="U189" i="2"/>
  <c r="T189" i="2"/>
  <c r="S189" i="2"/>
  <c r="AA188" i="2"/>
  <c r="Z188" i="2"/>
  <c r="Y188" i="2"/>
  <c r="W188" i="2"/>
  <c r="V188" i="2"/>
  <c r="U188" i="2"/>
  <c r="T188" i="2"/>
  <c r="S188" i="2"/>
  <c r="AA187" i="2"/>
  <c r="Z187" i="2"/>
  <c r="Y187" i="2"/>
  <c r="W187" i="2"/>
  <c r="V187" i="2"/>
  <c r="U187" i="2"/>
  <c r="T187" i="2"/>
  <c r="S187" i="2"/>
  <c r="AA186" i="2"/>
  <c r="Z186" i="2"/>
  <c r="Y186" i="2"/>
  <c r="W186" i="2"/>
  <c r="V186" i="2"/>
  <c r="U186" i="2"/>
  <c r="T186" i="2"/>
  <c r="S186" i="2"/>
  <c r="AA185" i="2"/>
  <c r="Z185" i="2"/>
  <c r="Y185" i="2"/>
  <c r="W185" i="2"/>
  <c r="V185" i="2"/>
  <c r="U185" i="2"/>
  <c r="T185" i="2"/>
  <c r="S185" i="2"/>
  <c r="AA184" i="2"/>
  <c r="Z184" i="2"/>
  <c r="Y184" i="2"/>
  <c r="W184" i="2"/>
  <c r="V184" i="2"/>
  <c r="U184" i="2"/>
  <c r="T184" i="2"/>
  <c r="S184" i="2"/>
  <c r="AA183" i="2"/>
  <c r="Z183" i="2"/>
  <c r="Y183" i="2"/>
  <c r="W183" i="2"/>
  <c r="V183" i="2"/>
  <c r="U183" i="2"/>
  <c r="T183" i="2"/>
  <c r="S183" i="2"/>
  <c r="AA182" i="2"/>
  <c r="Z182" i="2"/>
  <c r="Y182" i="2"/>
  <c r="W182" i="2"/>
  <c r="V182" i="2"/>
  <c r="U182" i="2"/>
  <c r="T182" i="2"/>
  <c r="S182" i="2"/>
  <c r="AA181" i="2"/>
  <c r="Z181" i="2"/>
  <c r="Y181" i="2"/>
  <c r="W181" i="2"/>
  <c r="V181" i="2"/>
  <c r="U181" i="2"/>
  <c r="T181" i="2"/>
  <c r="S181" i="2"/>
  <c r="AA180" i="2"/>
  <c r="Z180" i="2"/>
  <c r="Y180" i="2"/>
  <c r="W180" i="2"/>
  <c r="V180" i="2"/>
  <c r="U180" i="2"/>
  <c r="T180" i="2"/>
  <c r="S180" i="2"/>
  <c r="AA179" i="2"/>
  <c r="Z179" i="2"/>
  <c r="Y179" i="2"/>
  <c r="W179" i="2"/>
  <c r="V179" i="2"/>
  <c r="U179" i="2"/>
  <c r="T179" i="2"/>
  <c r="S179" i="2"/>
  <c r="AA178" i="2"/>
  <c r="Z178" i="2"/>
  <c r="Y178" i="2"/>
  <c r="W178" i="2"/>
  <c r="V178" i="2"/>
  <c r="U178" i="2"/>
  <c r="T178" i="2"/>
  <c r="S178" i="2"/>
  <c r="AA177" i="2"/>
  <c r="Z177" i="2"/>
  <c r="Y177" i="2"/>
  <c r="W177" i="2"/>
  <c r="V177" i="2"/>
  <c r="U177" i="2"/>
  <c r="T177" i="2"/>
  <c r="S177" i="2"/>
  <c r="AA176" i="2"/>
  <c r="Z176" i="2"/>
  <c r="Y176" i="2"/>
  <c r="W176" i="2"/>
  <c r="V176" i="2"/>
  <c r="U176" i="2"/>
  <c r="T176" i="2"/>
  <c r="S176" i="2"/>
  <c r="AA175" i="2"/>
  <c r="Z175" i="2"/>
  <c r="Y175" i="2"/>
  <c r="W175" i="2"/>
  <c r="V175" i="2"/>
  <c r="U175" i="2"/>
  <c r="T175" i="2"/>
  <c r="S175" i="2"/>
  <c r="AA174" i="2"/>
  <c r="Z174" i="2"/>
  <c r="Y174" i="2"/>
  <c r="W174" i="2"/>
  <c r="V174" i="2"/>
  <c r="U174" i="2"/>
  <c r="T174" i="2"/>
  <c r="S174" i="2"/>
  <c r="AA173" i="2"/>
  <c r="Z173" i="2"/>
  <c r="Y173" i="2"/>
  <c r="W173" i="2"/>
  <c r="V173" i="2"/>
  <c r="U173" i="2"/>
  <c r="T173" i="2"/>
  <c r="S173" i="2"/>
  <c r="AA172" i="2"/>
  <c r="Z172" i="2"/>
  <c r="Y172" i="2"/>
  <c r="W172" i="2"/>
  <c r="V172" i="2"/>
  <c r="U172" i="2"/>
  <c r="T172" i="2"/>
  <c r="S172" i="2"/>
  <c r="AA171" i="2"/>
  <c r="Z171" i="2"/>
  <c r="Y171" i="2"/>
  <c r="W171" i="2"/>
  <c r="V171" i="2"/>
  <c r="U171" i="2"/>
  <c r="T171" i="2"/>
  <c r="S171" i="2"/>
  <c r="AA170" i="2"/>
  <c r="Z170" i="2"/>
  <c r="Y170" i="2"/>
  <c r="W170" i="2"/>
  <c r="V170" i="2"/>
  <c r="U170" i="2"/>
  <c r="T170" i="2"/>
  <c r="S170" i="2"/>
  <c r="AA169" i="2"/>
  <c r="Z169" i="2"/>
  <c r="Y169" i="2"/>
  <c r="W169" i="2"/>
  <c r="V169" i="2"/>
  <c r="U169" i="2"/>
  <c r="T169" i="2"/>
  <c r="S169" i="2"/>
  <c r="AA168" i="2"/>
  <c r="Z168" i="2"/>
  <c r="Y168" i="2"/>
  <c r="W168" i="2"/>
  <c r="V168" i="2"/>
  <c r="U168" i="2"/>
  <c r="T168" i="2"/>
  <c r="S168" i="2"/>
  <c r="AA167" i="2"/>
  <c r="Z167" i="2"/>
  <c r="Y167" i="2"/>
  <c r="W167" i="2"/>
  <c r="V167" i="2"/>
  <c r="U167" i="2"/>
  <c r="T167" i="2"/>
  <c r="S167" i="2"/>
  <c r="AA166" i="2"/>
  <c r="Z166" i="2"/>
  <c r="Y166" i="2"/>
  <c r="W166" i="2"/>
  <c r="V166" i="2"/>
  <c r="U166" i="2"/>
  <c r="T166" i="2"/>
  <c r="S166" i="2"/>
  <c r="AA165" i="2"/>
  <c r="Z165" i="2"/>
  <c r="Y165" i="2"/>
  <c r="W165" i="2"/>
  <c r="V165" i="2"/>
  <c r="U165" i="2"/>
  <c r="T165" i="2"/>
  <c r="S165" i="2"/>
  <c r="AA164" i="2"/>
  <c r="Z164" i="2"/>
  <c r="Y164" i="2"/>
  <c r="W164" i="2"/>
  <c r="V164" i="2"/>
  <c r="U164" i="2"/>
  <c r="T164" i="2"/>
  <c r="S164" i="2"/>
  <c r="AA163" i="2"/>
  <c r="Z163" i="2"/>
  <c r="Y163" i="2"/>
  <c r="W163" i="2"/>
  <c r="V163" i="2"/>
  <c r="U163" i="2"/>
  <c r="T163" i="2"/>
  <c r="S163" i="2"/>
  <c r="AA162" i="2"/>
  <c r="Z162" i="2"/>
  <c r="Y162" i="2"/>
  <c r="W162" i="2"/>
  <c r="V162" i="2"/>
  <c r="U162" i="2"/>
  <c r="T162" i="2"/>
  <c r="S162" i="2"/>
  <c r="AA161" i="2"/>
  <c r="Z161" i="2"/>
  <c r="Y161" i="2"/>
  <c r="W161" i="2"/>
  <c r="V161" i="2"/>
  <c r="U161" i="2"/>
  <c r="T161" i="2"/>
  <c r="S161" i="2"/>
  <c r="AA160" i="2"/>
  <c r="Z160" i="2"/>
  <c r="Y160" i="2"/>
  <c r="W160" i="2"/>
  <c r="V160" i="2"/>
  <c r="U160" i="2"/>
  <c r="T160" i="2"/>
  <c r="S160" i="2"/>
  <c r="AA159" i="2"/>
  <c r="Z159" i="2"/>
  <c r="Y159" i="2"/>
  <c r="W159" i="2"/>
  <c r="V159" i="2"/>
  <c r="U159" i="2"/>
  <c r="T159" i="2"/>
  <c r="S159" i="2"/>
  <c r="AA158" i="2"/>
  <c r="Z158" i="2"/>
  <c r="Y158" i="2"/>
  <c r="W158" i="2"/>
  <c r="V158" i="2"/>
  <c r="U158" i="2"/>
  <c r="T158" i="2"/>
  <c r="S158" i="2"/>
  <c r="AA157" i="2"/>
  <c r="Z157" i="2"/>
  <c r="Y157" i="2"/>
  <c r="W157" i="2"/>
  <c r="V157" i="2"/>
  <c r="U157" i="2"/>
  <c r="T157" i="2"/>
  <c r="S157" i="2"/>
  <c r="AA156" i="2"/>
  <c r="Z156" i="2"/>
  <c r="Y156" i="2"/>
  <c r="W156" i="2"/>
  <c r="V156" i="2"/>
  <c r="U156" i="2"/>
  <c r="T156" i="2"/>
  <c r="S156" i="2"/>
  <c r="AA155" i="2"/>
  <c r="Z155" i="2"/>
  <c r="Y155" i="2"/>
  <c r="W155" i="2"/>
  <c r="V155" i="2"/>
  <c r="U155" i="2"/>
  <c r="T155" i="2"/>
  <c r="S155" i="2"/>
  <c r="AA154" i="2"/>
  <c r="Z154" i="2"/>
  <c r="Y154" i="2"/>
  <c r="W154" i="2"/>
  <c r="V154" i="2"/>
  <c r="U154" i="2"/>
  <c r="T154" i="2"/>
  <c r="S154" i="2"/>
  <c r="AA153" i="2"/>
  <c r="Z153" i="2"/>
  <c r="Y153" i="2"/>
  <c r="W153" i="2"/>
  <c r="V153" i="2"/>
  <c r="U153" i="2"/>
  <c r="T153" i="2"/>
  <c r="S153" i="2"/>
  <c r="AA152" i="2"/>
  <c r="Z152" i="2"/>
  <c r="Y152" i="2"/>
  <c r="W152" i="2"/>
  <c r="V152" i="2"/>
  <c r="U152" i="2"/>
  <c r="T152" i="2"/>
  <c r="S152" i="2"/>
  <c r="AA151" i="2"/>
  <c r="Z151" i="2"/>
  <c r="Y151" i="2"/>
  <c r="W151" i="2"/>
  <c r="V151" i="2"/>
  <c r="U151" i="2"/>
  <c r="T151" i="2"/>
  <c r="S151" i="2"/>
  <c r="AA150" i="2"/>
  <c r="Z150" i="2"/>
  <c r="Y150" i="2"/>
  <c r="W150" i="2"/>
  <c r="V150" i="2"/>
  <c r="U150" i="2"/>
  <c r="T150" i="2"/>
  <c r="S150" i="2"/>
  <c r="AA149" i="2"/>
  <c r="Z149" i="2"/>
  <c r="Y149" i="2"/>
  <c r="W149" i="2"/>
  <c r="V149" i="2"/>
  <c r="U149" i="2"/>
  <c r="T149" i="2"/>
  <c r="S149" i="2"/>
  <c r="AA148" i="2"/>
  <c r="Z148" i="2"/>
  <c r="Y148" i="2"/>
  <c r="W148" i="2"/>
  <c r="V148" i="2"/>
  <c r="U148" i="2"/>
  <c r="T148" i="2"/>
  <c r="S148" i="2"/>
  <c r="AA147" i="2"/>
  <c r="Z147" i="2"/>
  <c r="Y147" i="2"/>
  <c r="W147" i="2"/>
  <c r="V147" i="2"/>
  <c r="U147" i="2"/>
  <c r="T147" i="2"/>
  <c r="S147" i="2"/>
  <c r="AA146" i="2"/>
  <c r="Z146" i="2"/>
  <c r="Y146" i="2"/>
  <c r="W146" i="2"/>
  <c r="V146" i="2"/>
  <c r="U146" i="2"/>
  <c r="T146" i="2"/>
  <c r="S146" i="2"/>
  <c r="AA145" i="2"/>
  <c r="Z145" i="2"/>
  <c r="Y145" i="2"/>
  <c r="W145" i="2"/>
  <c r="V145" i="2"/>
  <c r="U145" i="2"/>
  <c r="T145" i="2"/>
  <c r="S145" i="2"/>
  <c r="AA144" i="2"/>
  <c r="Z144" i="2"/>
  <c r="Y144" i="2"/>
  <c r="W144" i="2"/>
  <c r="V144" i="2"/>
  <c r="U144" i="2"/>
  <c r="T144" i="2"/>
  <c r="S144" i="2"/>
  <c r="AA143" i="2"/>
  <c r="Z143" i="2"/>
  <c r="Y143" i="2"/>
  <c r="W143" i="2"/>
  <c r="V143" i="2"/>
  <c r="U143" i="2"/>
  <c r="T143" i="2"/>
  <c r="S143" i="2"/>
  <c r="AA142" i="2"/>
  <c r="Z142" i="2"/>
  <c r="Y142" i="2"/>
  <c r="W142" i="2"/>
  <c r="V142" i="2"/>
  <c r="U142" i="2"/>
  <c r="T142" i="2"/>
  <c r="S142" i="2"/>
  <c r="AA141" i="2"/>
  <c r="Z141" i="2"/>
  <c r="Y141" i="2"/>
  <c r="W141" i="2"/>
  <c r="V141" i="2"/>
  <c r="U141" i="2"/>
  <c r="T141" i="2"/>
  <c r="S141" i="2"/>
  <c r="AA140" i="2"/>
  <c r="Z140" i="2"/>
  <c r="Y140" i="2"/>
  <c r="W140" i="2"/>
  <c r="V140" i="2"/>
  <c r="U140" i="2"/>
  <c r="T140" i="2"/>
  <c r="S140" i="2"/>
  <c r="AA139" i="2"/>
  <c r="Z139" i="2"/>
  <c r="Y139" i="2"/>
  <c r="W139" i="2"/>
  <c r="V139" i="2"/>
  <c r="U139" i="2"/>
  <c r="T139" i="2"/>
  <c r="S139" i="2"/>
  <c r="AA138" i="2"/>
  <c r="Z138" i="2"/>
  <c r="Y138" i="2"/>
  <c r="W138" i="2"/>
  <c r="V138" i="2"/>
  <c r="U138" i="2"/>
  <c r="T138" i="2"/>
  <c r="S138" i="2"/>
  <c r="AA137" i="2"/>
  <c r="Z137" i="2"/>
  <c r="Y137" i="2"/>
  <c r="W137" i="2"/>
  <c r="V137" i="2"/>
  <c r="U137" i="2"/>
  <c r="T137" i="2"/>
  <c r="S137" i="2"/>
  <c r="AA136" i="2"/>
  <c r="Z136" i="2"/>
  <c r="Y136" i="2"/>
  <c r="W136" i="2"/>
  <c r="V136" i="2"/>
  <c r="U136" i="2"/>
  <c r="T136" i="2"/>
  <c r="S136" i="2"/>
  <c r="AA135" i="2"/>
  <c r="Z135" i="2"/>
  <c r="Y135" i="2"/>
  <c r="W135" i="2"/>
  <c r="V135" i="2"/>
  <c r="U135" i="2"/>
  <c r="T135" i="2"/>
  <c r="S135" i="2"/>
  <c r="AA134" i="2"/>
  <c r="Z134" i="2"/>
  <c r="Y134" i="2"/>
  <c r="W134" i="2"/>
  <c r="V134" i="2"/>
  <c r="U134" i="2"/>
  <c r="T134" i="2"/>
  <c r="S134" i="2"/>
  <c r="AA133" i="2"/>
  <c r="Z133" i="2"/>
  <c r="Y133" i="2"/>
  <c r="W133" i="2"/>
  <c r="V133" i="2"/>
  <c r="U133" i="2"/>
  <c r="T133" i="2"/>
  <c r="S133" i="2"/>
  <c r="AA132" i="2"/>
  <c r="Z132" i="2"/>
  <c r="Y132" i="2"/>
  <c r="W132" i="2"/>
  <c r="V132" i="2"/>
  <c r="U132" i="2"/>
  <c r="T132" i="2"/>
  <c r="S132" i="2"/>
  <c r="AA131" i="2"/>
  <c r="Z131" i="2"/>
  <c r="Y131" i="2"/>
  <c r="W131" i="2"/>
  <c r="V131" i="2"/>
  <c r="U131" i="2"/>
  <c r="T131" i="2"/>
  <c r="S131" i="2"/>
  <c r="AA130" i="2"/>
  <c r="Z130" i="2"/>
  <c r="Y130" i="2"/>
  <c r="W130" i="2"/>
  <c r="V130" i="2"/>
  <c r="U130" i="2"/>
  <c r="T130" i="2"/>
  <c r="S130" i="2"/>
  <c r="AA129" i="2"/>
  <c r="Z129" i="2"/>
  <c r="Y129" i="2"/>
  <c r="W129" i="2"/>
  <c r="V129" i="2"/>
  <c r="U129" i="2"/>
  <c r="T129" i="2"/>
  <c r="S129" i="2"/>
  <c r="AA128" i="2"/>
  <c r="Z128" i="2"/>
  <c r="Y128" i="2"/>
  <c r="W128" i="2"/>
  <c r="V128" i="2"/>
  <c r="U128" i="2"/>
  <c r="T128" i="2"/>
  <c r="S128" i="2"/>
  <c r="AA127" i="2"/>
  <c r="Z127" i="2"/>
  <c r="Y127" i="2"/>
  <c r="W127" i="2"/>
  <c r="V127" i="2"/>
  <c r="U127" i="2"/>
  <c r="T127" i="2"/>
  <c r="S127" i="2"/>
  <c r="AA126" i="2"/>
  <c r="Z126" i="2"/>
  <c r="Y126" i="2"/>
  <c r="W126" i="2"/>
  <c r="V126" i="2"/>
  <c r="U126" i="2"/>
  <c r="T126" i="2"/>
  <c r="S126" i="2"/>
  <c r="AA125" i="2"/>
  <c r="Z125" i="2"/>
  <c r="Y125" i="2"/>
  <c r="W125" i="2"/>
  <c r="V125" i="2"/>
  <c r="U125" i="2"/>
  <c r="T125" i="2"/>
  <c r="S125" i="2"/>
  <c r="AA124" i="2"/>
  <c r="Z124" i="2"/>
  <c r="Y124" i="2"/>
  <c r="W124" i="2"/>
  <c r="V124" i="2"/>
  <c r="U124" i="2"/>
  <c r="T124" i="2"/>
  <c r="S124" i="2"/>
  <c r="AA123" i="2"/>
  <c r="Z123" i="2"/>
  <c r="Y123" i="2"/>
  <c r="W123" i="2"/>
  <c r="V123" i="2"/>
  <c r="U123" i="2"/>
  <c r="T123" i="2"/>
  <c r="S123" i="2"/>
  <c r="AA122" i="2"/>
  <c r="Z122" i="2"/>
  <c r="Y122" i="2"/>
  <c r="W122" i="2"/>
  <c r="V122" i="2"/>
  <c r="U122" i="2"/>
  <c r="T122" i="2"/>
  <c r="S122" i="2"/>
  <c r="AA121" i="2"/>
  <c r="Z121" i="2"/>
  <c r="Y121" i="2"/>
  <c r="W121" i="2"/>
  <c r="V121" i="2"/>
  <c r="U121" i="2"/>
  <c r="T121" i="2"/>
  <c r="S121" i="2"/>
  <c r="AA120" i="2"/>
  <c r="Z120" i="2"/>
  <c r="Y120" i="2"/>
  <c r="W120" i="2"/>
  <c r="V120" i="2"/>
  <c r="U120" i="2"/>
  <c r="T120" i="2"/>
  <c r="S120" i="2"/>
  <c r="AA119" i="2"/>
  <c r="Z119" i="2"/>
  <c r="Y119" i="2"/>
  <c r="W119" i="2"/>
  <c r="V119" i="2"/>
  <c r="U119" i="2"/>
  <c r="T119" i="2"/>
  <c r="S119" i="2"/>
  <c r="AA118" i="2"/>
  <c r="Z118" i="2"/>
  <c r="Y118" i="2"/>
  <c r="W118" i="2"/>
  <c r="V118" i="2"/>
  <c r="U118" i="2"/>
  <c r="T118" i="2"/>
  <c r="S118" i="2"/>
  <c r="AA117" i="2"/>
  <c r="Z117" i="2"/>
  <c r="Y117" i="2"/>
  <c r="W117" i="2"/>
  <c r="V117" i="2"/>
  <c r="U117" i="2"/>
  <c r="T117" i="2"/>
  <c r="S117" i="2"/>
  <c r="AA116" i="2"/>
  <c r="Z116" i="2"/>
  <c r="Y116" i="2"/>
  <c r="W116" i="2"/>
  <c r="V116" i="2"/>
  <c r="U116" i="2"/>
  <c r="T116" i="2"/>
  <c r="S116" i="2"/>
  <c r="AA115" i="2"/>
  <c r="Z115" i="2"/>
  <c r="Y115" i="2"/>
  <c r="W115" i="2"/>
  <c r="V115" i="2"/>
  <c r="U115" i="2"/>
  <c r="T115" i="2"/>
  <c r="S115" i="2"/>
  <c r="AA114" i="2"/>
  <c r="Z114" i="2"/>
  <c r="Y114" i="2"/>
  <c r="W114" i="2"/>
  <c r="V114" i="2"/>
  <c r="U114" i="2"/>
  <c r="T114" i="2"/>
  <c r="S114" i="2"/>
  <c r="AA113" i="2"/>
  <c r="Z113" i="2"/>
  <c r="Y113" i="2"/>
  <c r="W113" i="2"/>
  <c r="V113" i="2"/>
  <c r="U113" i="2"/>
  <c r="T113" i="2"/>
  <c r="S113" i="2"/>
  <c r="AA112" i="2"/>
  <c r="Z112" i="2"/>
  <c r="Y112" i="2"/>
  <c r="W112" i="2"/>
  <c r="V112" i="2"/>
  <c r="U112" i="2"/>
  <c r="T112" i="2"/>
  <c r="S112" i="2"/>
  <c r="AA111" i="2"/>
  <c r="Z111" i="2"/>
  <c r="Y111" i="2"/>
  <c r="W111" i="2"/>
  <c r="V111" i="2"/>
  <c r="U111" i="2"/>
  <c r="T111" i="2"/>
  <c r="S111" i="2"/>
  <c r="AA110" i="2"/>
  <c r="Z110" i="2"/>
  <c r="Y110" i="2"/>
  <c r="W110" i="2"/>
  <c r="V110" i="2"/>
  <c r="U110" i="2"/>
  <c r="T110" i="2"/>
  <c r="S110" i="2"/>
  <c r="AA109" i="2"/>
  <c r="Z109" i="2"/>
  <c r="Y109" i="2"/>
  <c r="W109" i="2"/>
  <c r="V109" i="2"/>
  <c r="U109" i="2"/>
  <c r="T109" i="2"/>
  <c r="S109" i="2"/>
  <c r="AA108" i="2"/>
  <c r="Z108" i="2"/>
  <c r="Y108" i="2"/>
  <c r="W108" i="2"/>
  <c r="V108" i="2"/>
  <c r="U108" i="2"/>
  <c r="T108" i="2"/>
  <c r="S108" i="2"/>
  <c r="AA107" i="2"/>
  <c r="Z107" i="2"/>
  <c r="Y107" i="2"/>
  <c r="W107" i="2"/>
  <c r="V107" i="2"/>
  <c r="U107" i="2"/>
  <c r="T107" i="2"/>
  <c r="S107" i="2"/>
  <c r="AA106" i="2"/>
  <c r="Z106" i="2"/>
  <c r="Y106" i="2"/>
  <c r="W106" i="2"/>
  <c r="V106" i="2"/>
  <c r="U106" i="2"/>
  <c r="T106" i="2"/>
  <c r="S106" i="2"/>
  <c r="AA105" i="2"/>
  <c r="Z105" i="2"/>
  <c r="Y105" i="2"/>
  <c r="W105" i="2"/>
  <c r="V105" i="2"/>
  <c r="U105" i="2"/>
  <c r="T105" i="2"/>
  <c r="S105" i="2"/>
  <c r="AA104" i="2"/>
  <c r="Z104" i="2"/>
  <c r="Y104" i="2"/>
  <c r="W104" i="2"/>
  <c r="V104" i="2"/>
  <c r="U104" i="2"/>
  <c r="T104" i="2"/>
  <c r="S104" i="2"/>
  <c r="AA103" i="2"/>
  <c r="Z103" i="2"/>
  <c r="Y103" i="2"/>
  <c r="W103" i="2"/>
  <c r="V103" i="2"/>
  <c r="U103" i="2"/>
  <c r="T103" i="2"/>
  <c r="S103" i="2"/>
  <c r="AA102" i="2"/>
  <c r="Z102" i="2"/>
  <c r="Y102" i="2"/>
  <c r="W102" i="2"/>
  <c r="V102" i="2"/>
  <c r="U102" i="2"/>
  <c r="T102" i="2"/>
  <c r="S102" i="2"/>
  <c r="AA101" i="2"/>
  <c r="Z101" i="2"/>
  <c r="Y101" i="2"/>
  <c r="W101" i="2"/>
  <c r="V101" i="2"/>
  <c r="U101" i="2"/>
  <c r="T101" i="2"/>
  <c r="S101" i="2"/>
  <c r="AA100" i="2"/>
  <c r="Z100" i="2"/>
  <c r="Y100" i="2"/>
  <c r="W100" i="2"/>
  <c r="V100" i="2"/>
  <c r="U100" i="2"/>
  <c r="T100" i="2"/>
  <c r="S100" i="2"/>
  <c r="AA99" i="2"/>
  <c r="Z99" i="2"/>
  <c r="Y99" i="2"/>
  <c r="W99" i="2"/>
  <c r="V99" i="2"/>
  <c r="U99" i="2"/>
  <c r="T99" i="2"/>
  <c r="S99" i="2"/>
  <c r="AA98" i="2"/>
  <c r="Z98" i="2"/>
  <c r="Y98" i="2"/>
  <c r="W98" i="2"/>
  <c r="V98" i="2"/>
  <c r="U98" i="2"/>
  <c r="T98" i="2"/>
  <c r="S98" i="2"/>
  <c r="AA97" i="2"/>
  <c r="Z97" i="2"/>
  <c r="Y97" i="2"/>
  <c r="W97" i="2"/>
  <c r="V97" i="2"/>
  <c r="U97" i="2"/>
  <c r="T97" i="2"/>
  <c r="S97" i="2"/>
  <c r="AA96" i="2"/>
  <c r="Z96" i="2"/>
  <c r="Y96" i="2"/>
  <c r="W96" i="2"/>
  <c r="V96" i="2"/>
  <c r="U96" i="2"/>
  <c r="T96" i="2"/>
  <c r="S96" i="2"/>
  <c r="AA95" i="2"/>
  <c r="Z95" i="2"/>
  <c r="Y95" i="2"/>
  <c r="W95" i="2"/>
  <c r="V95" i="2"/>
  <c r="U95" i="2"/>
  <c r="T95" i="2"/>
  <c r="S95" i="2"/>
  <c r="AA94" i="2"/>
  <c r="Z94" i="2"/>
  <c r="Y94" i="2"/>
  <c r="W94" i="2"/>
  <c r="V94" i="2"/>
  <c r="U94" i="2"/>
  <c r="T94" i="2"/>
  <c r="S94" i="2"/>
  <c r="AA93" i="2"/>
  <c r="Z93" i="2"/>
  <c r="Y93" i="2"/>
  <c r="W93" i="2"/>
  <c r="V93" i="2"/>
  <c r="U93" i="2"/>
  <c r="T93" i="2"/>
  <c r="S93" i="2"/>
  <c r="AA92" i="2"/>
  <c r="Z92" i="2"/>
  <c r="Y92" i="2"/>
  <c r="W92" i="2"/>
  <c r="V92" i="2"/>
  <c r="U92" i="2"/>
  <c r="T92" i="2"/>
  <c r="S92" i="2"/>
  <c r="AA91" i="2"/>
  <c r="Z91" i="2"/>
  <c r="Y91" i="2"/>
  <c r="W91" i="2"/>
  <c r="V91" i="2"/>
  <c r="U91" i="2"/>
  <c r="T91" i="2"/>
  <c r="S91" i="2"/>
  <c r="AA90" i="2"/>
  <c r="Z90" i="2"/>
  <c r="Y90" i="2"/>
  <c r="W90" i="2"/>
  <c r="V90" i="2"/>
  <c r="U90" i="2"/>
  <c r="T90" i="2"/>
  <c r="S90" i="2"/>
  <c r="AA89" i="2"/>
  <c r="Z89" i="2"/>
  <c r="Y89" i="2"/>
  <c r="W89" i="2"/>
  <c r="V89" i="2"/>
  <c r="U89" i="2"/>
  <c r="T89" i="2"/>
  <c r="S89" i="2"/>
  <c r="AA88" i="2"/>
  <c r="Z88" i="2"/>
  <c r="Y88" i="2"/>
  <c r="W88" i="2"/>
  <c r="V88" i="2"/>
  <c r="U88" i="2"/>
  <c r="T88" i="2"/>
  <c r="S88" i="2"/>
  <c r="AA87" i="2"/>
  <c r="Z87" i="2"/>
  <c r="Y87" i="2"/>
  <c r="W87" i="2"/>
  <c r="V87" i="2"/>
  <c r="U87" i="2"/>
  <c r="T87" i="2"/>
  <c r="S87" i="2"/>
  <c r="AA86" i="2"/>
  <c r="Z86" i="2"/>
  <c r="Y86" i="2"/>
  <c r="W86" i="2"/>
  <c r="V86" i="2"/>
  <c r="U86" i="2"/>
  <c r="T86" i="2"/>
  <c r="S86" i="2"/>
  <c r="AA85" i="2"/>
  <c r="Z85" i="2"/>
  <c r="Y85" i="2"/>
  <c r="W85" i="2"/>
  <c r="V85" i="2"/>
  <c r="U85" i="2"/>
  <c r="T85" i="2"/>
  <c r="S85" i="2"/>
  <c r="AA84" i="2"/>
  <c r="Z84" i="2"/>
  <c r="Y84" i="2"/>
  <c r="W84" i="2"/>
  <c r="V84" i="2"/>
  <c r="U84" i="2"/>
  <c r="T84" i="2"/>
  <c r="S84" i="2"/>
  <c r="AA83" i="2"/>
  <c r="Z83" i="2"/>
  <c r="Y83" i="2"/>
  <c r="W83" i="2"/>
  <c r="V83" i="2"/>
  <c r="U83" i="2"/>
  <c r="T83" i="2"/>
  <c r="S83" i="2"/>
  <c r="AA82" i="2"/>
  <c r="Z82" i="2"/>
  <c r="Y82" i="2"/>
  <c r="W82" i="2"/>
  <c r="V82" i="2"/>
  <c r="U82" i="2"/>
  <c r="T82" i="2"/>
  <c r="S82" i="2"/>
  <c r="AA81" i="2"/>
  <c r="Z81" i="2"/>
  <c r="Y81" i="2"/>
  <c r="W81" i="2"/>
  <c r="V81" i="2"/>
  <c r="U81" i="2"/>
  <c r="T81" i="2"/>
  <c r="S81" i="2"/>
  <c r="AA80" i="2"/>
  <c r="Z80" i="2"/>
  <c r="Y80" i="2"/>
  <c r="W80" i="2"/>
  <c r="V80" i="2"/>
  <c r="U80" i="2"/>
  <c r="T80" i="2"/>
  <c r="S80" i="2"/>
  <c r="AA79" i="2"/>
  <c r="Z79" i="2"/>
  <c r="Y79" i="2"/>
  <c r="W79" i="2"/>
  <c r="V79" i="2"/>
  <c r="U79" i="2"/>
  <c r="T79" i="2"/>
  <c r="S79" i="2"/>
  <c r="AA78" i="2"/>
  <c r="Z78" i="2"/>
  <c r="Y78" i="2"/>
  <c r="W78" i="2"/>
  <c r="V78" i="2"/>
  <c r="U78" i="2"/>
  <c r="T78" i="2"/>
  <c r="S78" i="2"/>
  <c r="AA77" i="2"/>
  <c r="Z77" i="2"/>
  <c r="Y77" i="2"/>
  <c r="W77" i="2"/>
  <c r="V77" i="2"/>
  <c r="U77" i="2"/>
  <c r="T77" i="2"/>
  <c r="S77" i="2"/>
  <c r="AA76" i="2"/>
  <c r="Z76" i="2"/>
  <c r="Y76" i="2"/>
  <c r="W76" i="2"/>
  <c r="V76" i="2"/>
  <c r="U76" i="2"/>
  <c r="T76" i="2"/>
  <c r="S76" i="2"/>
  <c r="AA75" i="2"/>
  <c r="Z75" i="2"/>
  <c r="Y75" i="2"/>
  <c r="W75" i="2"/>
  <c r="V75" i="2"/>
  <c r="U75" i="2"/>
  <c r="T75" i="2"/>
  <c r="S75" i="2"/>
  <c r="AA74" i="2"/>
  <c r="Z74" i="2"/>
  <c r="Y74" i="2"/>
  <c r="W74" i="2"/>
  <c r="V74" i="2"/>
  <c r="U74" i="2"/>
  <c r="T74" i="2"/>
  <c r="S74" i="2"/>
  <c r="AA73" i="2"/>
  <c r="Z73" i="2"/>
  <c r="Y73" i="2"/>
  <c r="W73" i="2"/>
  <c r="V73" i="2"/>
  <c r="U73" i="2"/>
  <c r="T73" i="2"/>
  <c r="S73" i="2"/>
  <c r="AA72" i="2"/>
  <c r="Z72" i="2"/>
  <c r="Y72" i="2"/>
  <c r="W72" i="2"/>
  <c r="V72" i="2"/>
  <c r="U72" i="2"/>
  <c r="T72" i="2"/>
  <c r="S72" i="2"/>
  <c r="AA71" i="2"/>
  <c r="Z71" i="2"/>
  <c r="Y71" i="2"/>
  <c r="W71" i="2"/>
  <c r="V71" i="2"/>
  <c r="U71" i="2"/>
  <c r="T71" i="2"/>
  <c r="S71" i="2"/>
  <c r="AA70" i="2"/>
  <c r="Z70" i="2"/>
  <c r="Y70" i="2"/>
  <c r="W70" i="2"/>
  <c r="V70" i="2"/>
  <c r="U70" i="2"/>
  <c r="T70" i="2"/>
  <c r="S70" i="2"/>
  <c r="AA69" i="2"/>
  <c r="Z69" i="2"/>
  <c r="Y69" i="2"/>
  <c r="W69" i="2"/>
  <c r="V69" i="2"/>
  <c r="U69" i="2"/>
  <c r="T69" i="2"/>
  <c r="S69" i="2"/>
  <c r="AA68" i="2"/>
  <c r="Z68" i="2"/>
  <c r="Y68" i="2"/>
  <c r="W68" i="2"/>
  <c r="V68" i="2"/>
  <c r="U68" i="2"/>
  <c r="T68" i="2"/>
  <c r="S68" i="2"/>
  <c r="AA67" i="2"/>
  <c r="Z67" i="2"/>
  <c r="Y67" i="2"/>
  <c r="W67" i="2"/>
  <c r="V67" i="2"/>
  <c r="U67" i="2"/>
  <c r="T67" i="2"/>
  <c r="S67" i="2"/>
  <c r="AA66" i="2"/>
  <c r="Z66" i="2"/>
  <c r="Y66" i="2"/>
  <c r="W66" i="2"/>
  <c r="V66" i="2"/>
  <c r="U66" i="2"/>
  <c r="T66" i="2"/>
  <c r="S66" i="2"/>
  <c r="AA65" i="2"/>
  <c r="Z65" i="2"/>
  <c r="Y65" i="2"/>
  <c r="W65" i="2"/>
  <c r="V65" i="2"/>
  <c r="U65" i="2"/>
  <c r="T65" i="2"/>
  <c r="S65" i="2"/>
  <c r="AA64" i="2"/>
  <c r="Z64" i="2"/>
  <c r="Y64" i="2"/>
  <c r="W64" i="2"/>
  <c r="V64" i="2"/>
  <c r="U64" i="2"/>
  <c r="T64" i="2"/>
  <c r="S64" i="2"/>
  <c r="AA63" i="2"/>
  <c r="Z63" i="2"/>
  <c r="Y63" i="2"/>
  <c r="W63" i="2"/>
  <c r="V63" i="2"/>
  <c r="U63" i="2"/>
  <c r="T63" i="2"/>
  <c r="S63" i="2"/>
  <c r="AA62" i="2"/>
  <c r="Z62" i="2"/>
  <c r="Y62" i="2"/>
  <c r="W62" i="2"/>
  <c r="V62" i="2"/>
  <c r="U62" i="2"/>
  <c r="T62" i="2"/>
  <c r="S62" i="2"/>
  <c r="AA61" i="2"/>
  <c r="Z61" i="2"/>
  <c r="Y61" i="2"/>
  <c r="W61" i="2"/>
  <c r="V61" i="2"/>
  <c r="U61" i="2"/>
  <c r="T61" i="2"/>
  <c r="S61" i="2"/>
  <c r="AA60" i="2"/>
  <c r="Z60" i="2"/>
  <c r="Y60" i="2"/>
  <c r="W60" i="2"/>
  <c r="V60" i="2"/>
  <c r="U60" i="2"/>
  <c r="T60" i="2"/>
  <c r="S60" i="2"/>
  <c r="AA59" i="2"/>
  <c r="Z59" i="2"/>
  <c r="Y59" i="2"/>
  <c r="W59" i="2"/>
  <c r="V59" i="2"/>
  <c r="U59" i="2"/>
  <c r="T59" i="2"/>
  <c r="S59" i="2"/>
  <c r="AA58" i="2"/>
  <c r="Z58" i="2"/>
  <c r="Y58" i="2"/>
  <c r="W58" i="2"/>
  <c r="V58" i="2"/>
  <c r="U58" i="2"/>
  <c r="T58" i="2"/>
  <c r="S58" i="2"/>
  <c r="AA57" i="2"/>
  <c r="Z57" i="2"/>
  <c r="Y57" i="2"/>
  <c r="W57" i="2"/>
  <c r="V57" i="2"/>
  <c r="U57" i="2"/>
  <c r="T57" i="2"/>
  <c r="S57" i="2"/>
  <c r="AA56" i="2"/>
  <c r="Z56" i="2"/>
  <c r="Y56" i="2"/>
  <c r="W56" i="2"/>
  <c r="V56" i="2"/>
  <c r="U56" i="2"/>
  <c r="T56" i="2"/>
  <c r="S56" i="2"/>
  <c r="AA55" i="2"/>
  <c r="Z55" i="2"/>
  <c r="Y55" i="2"/>
  <c r="W55" i="2"/>
  <c r="V55" i="2"/>
  <c r="U55" i="2"/>
  <c r="T55" i="2"/>
  <c r="S55" i="2"/>
  <c r="AA54" i="2"/>
  <c r="Z54" i="2"/>
  <c r="Y54" i="2"/>
  <c r="W54" i="2"/>
  <c r="V54" i="2"/>
  <c r="U54" i="2"/>
  <c r="T54" i="2"/>
  <c r="S54" i="2"/>
  <c r="AA53" i="2"/>
  <c r="Z53" i="2"/>
  <c r="Y53" i="2"/>
  <c r="W53" i="2"/>
  <c r="V53" i="2"/>
  <c r="U53" i="2"/>
  <c r="T53" i="2"/>
  <c r="S53" i="2"/>
  <c r="AA52" i="2"/>
  <c r="Z52" i="2"/>
  <c r="Y52" i="2"/>
  <c r="W52" i="2"/>
  <c r="V52" i="2"/>
  <c r="U52" i="2"/>
  <c r="T52" i="2"/>
  <c r="S52" i="2"/>
  <c r="AA51" i="2"/>
  <c r="Z51" i="2"/>
  <c r="Y51" i="2"/>
  <c r="W51" i="2"/>
  <c r="V51" i="2"/>
  <c r="U51" i="2"/>
  <c r="T51" i="2"/>
  <c r="S51" i="2"/>
  <c r="AA50" i="2"/>
  <c r="Z50" i="2"/>
  <c r="Y50" i="2"/>
  <c r="W50" i="2"/>
  <c r="V50" i="2"/>
  <c r="U50" i="2"/>
  <c r="T50" i="2"/>
  <c r="S50" i="2"/>
  <c r="AA49" i="2"/>
  <c r="Z49" i="2"/>
  <c r="Y49" i="2"/>
  <c r="W49" i="2"/>
  <c r="V49" i="2"/>
  <c r="U49" i="2"/>
  <c r="T49" i="2"/>
  <c r="S49" i="2"/>
  <c r="AA48" i="2"/>
  <c r="Z48" i="2"/>
  <c r="Y48" i="2"/>
  <c r="W48" i="2"/>
  <c r="V48" i="2"/>
  <c r="U48" i="2"/>
  <c r="T48" i="2"/>
  <c r="S48" i="2"/>
  <c r="AA47" i="2"/>
  <c r="Z47" i="2"/>
  <c r="Y47" i="2"/>
  <c r="W47" i="2"/>
  <c r="V47" i="2"/>
  <c r="U47" i="2"/>
  <c r="T47" i="2"/>
  <c r="S47" i="2"/>
  <c r="AA46" i="2"/>
  <c r="Z46" i="2"/>
  <c r="Y46" i="2"/>
  <c r="W46" i="2"/>
  <c r="V46" i="2"/>
  <c r="U46" i="2"/>
  <c r="T46" i="2"/>
  <c r="S46" i="2"/>
  <c r="AA45" i="2"/>
  <c r="Z45" i="2"/>
  <c r="Y45" i="2"/>
  <c r="W45" i="2"/>
  <c r="V45" i="2"/>
  <c r="U45" i="2"/>
  <c r="T45" i="2"/>
  <c r="S45" i="2"/>
  <c r="AA44" i="2"/>
  <c r="Z44" i="2"/>
  <c r="Y44" i="2"/>
  <c r="W44" i="2"/>
  <c r="V44" i="2"/>
  <c r="U44" i="2"/>
  <c r="T44" i="2"/>
  <c r="S44" i="2"/>
  <c r="AA43" i="2"/>
  <c r="Z43" i="2"/>
  <c r="Y43" i="2"/>
  <c r="W43" i="2"/>
  <c r="V43" i="2"/>
  <c r="U43" i="2"/>
  <c r="T43" i="2"/>
  <c r="S43" i="2"/>
  <c r="AA42" i="2"/>
  <c r="Z42" i="2"/>
  <c r="Y42" i="2"/>
  <c r="W42" i="2"/>
  <c r="V42" i="2"/>
  <c r="U42" i="2"/>
  <c r="T42" i="2"/>
  <c r="S42" i="2"/>
  <c r="AA41" i="2"/>
  <c r="Z41" i="2"/>
  <c r="Y41" i="2"/>
  <c r="W41" i="2"/>
  <c r="V41" i="2"/>
  <c r="U41" i="2"/>
  <c r="T41" i="2"/>
  <c r="S41" i="2"/>
  <c r="AA40" i="2"/>
  <c r="Z40" i="2"/>
  <c r="Y40" i="2"/>
  <c r="W40" i="2"/>
  <c r="V40" i="2"/>
  <c r="U40" i="2"/>
  <c r="T40" i="2"/>
  <c r="S40" i="2"/>
  <c r="AA39" i="2"/>
  <c r="Z39" i="2"/>
  <c r="Y39" i="2"/>
  <c r="W39" i="2"/>
  <c r="V39" i="2"/>
  <c r="U39" i="2"/>
  <c r="T39" i="2"/>
  <c r="S39" i="2"/>
  <c r="AA38" i="2"/>
  <c r="Z38" i="2"/>
  <c r="Y38" i="2"/>
  <c r="W38" i="2"/>
  <c r="V38" i="2"/>
  <c r="U38" i="2"/>
  <c r="T38" i="2"/>
  <c r="S38" i="2"/>
  <c r="AA37" i="2"/>
  <c r="Z37" i="2"/>
  <c r="Y37" i="2"/>
  <c r="W37" i="2"/>
  <c r="V37" i="2"/>
  <c r="U37" i="2"/>
  <c r="T37" i="2"/>
  <c r="S37" i="2"/>
  <c r="AA36" i="2"/>
  <c r="Z36" i="2"/>
  <c r="Y36" i="2"/>
  <c r="W36" i="2"/>
  <c r="V36" i="2"/>
  <c r="U36" i="2"/>
  <c r="T36" i="2"/>
  <c r="S36" i="2"/>
  <c r="AA35" i="2"/>
  <c r="Z35" i="2"/>
  <c r="Y35" i="2"/>
  <c r="W35" i="2"/>
  <c r="V35" i="2"/>
  <c r="U35" i="2"/>
  <c r="T35" i="2"/>
  <c r="S35" i="2"/>
  <c r="AA34" i="2"/>
  <c r="Z34" i="2"/>
  <c r="Y34" i="2"/>
  <c r="W34" i="2"/>
  <c r="V34" i="2"/>
  <c r="U34" i="2"/>
  <c r="T34" i="2"/>
  <c r="S34" i="2"/>
  <c r="AA33" i="2"/>
  <c r="Z33" i="2"/>
  <c r="Y33" i="2"/>
  <c r="W33" i="2"/>
  <c r="V33" i="2"/>
  <c r="U33" i="2"/>
  <c r="T33" i="2"/>
  <c r="S33" i="2"/>
  <c r="AA32" i="2"/>
  <c r="Z32" i="2"/>
  <c r="Y32" i="2"/>
  <c r="W32" i="2"/>
  <c r="V32" i="2"/>
  <c r="U32" i="2"/>
  <c r="T32" i="2"/>
  <c r="S32" i="2"/>
  <c r="AA31" i="2"/>
  <c r="Z31" i="2"/>
  <c r="Y31" i="2"/>
  <c r="W31" i="2"/>
  <c r="V31" i="2"/>
  <c r="U31" i="2"/>
  <c r="T31" i="2"/>
  <c r="S31" i="2"/>
  <c r="AA30" i="2"/>
  <c r="Z30" i="2"/>
  <c r="Y30" i="2"/>
  <c r="W30" i="2"/>
  <c r="V30" i="2"/>
  <c r="U30" i="2"/>
  <c r="T30" i="2"/>
  <c r="S30" i="2"/>
  <c r="AA29" i="2"/>
  <c r="Z29" i="2"/>
  <c r="Y29" i="2"/>
  <c r="W29" i="2"/>
  <c r="V29" i="2"/>
  <c r="U29" i="2"/>
  <c r="T29" i="2"/>
  <c r="S29" i="2"/>
  <c r="AA28" i="2"/>
  <c r="Z28" i="2"/>
  <c r="Y28" i="2"/>
  <c r="W28" i="2"/>
  <c r="V28" i="2"/>
  <c r="U28" i="2"/>
  <c r="T28" i="2"/>
  <c r="S28" i="2"/>
  <c r="AA27" i="2"/>
  <c r="Z27" i="2"/>
  <c r="Y27" i="2"/>
  <c r="W27" i="2"/>
  <c r="V27" i="2"/>
  <c r="U27" i="2"/>
  <c r="T27" i="2"/>
  <c r="S27" i="2"/>
  <c r="AA26" i="2"/>
  <c r="Z26" i="2"/>
  <c r="Y26" i="2"/>
  <c r="W26" i="2"/>
  <c r="V26" i="2"/>
  <c r="U26" i="2"/>
  <c r="T26" i="2"/>
  <c r="S26" i="2"/>
  <c r="AA25" i="2"/>
  <c r="Z25" i="2"/>
  <c r="Y25" i="2"/>
  <c r="W25" i="2"/>
  <c r="V25" i="2"/>
  <c r="U25" i="2"/>
  <c r="T25" i="2"/>
  <c r="S25" i="2"/>
  <c r="AA24" i="2"/>
  <c r="Z24" i="2"/>
  <c r="Y24" i="2"/>
  <c r="W24" i="2"/>
  <c r="V24" i="2"/>
  <c r="U24" i="2"/>
  <c r="T24" i="2"/>
  <c r="S24" i="2"/>
  <c r="AA23" i="2"/>
  <c r="Z23" i="2"/>
  <c r="Y23" i="2"/>
  <c r="W23" i="2"/>
  <c r="V23" i="2"/>
  <c r="U23" i="2"/>
  <c r="T23" i="2"/>
  <c r="S23" i="2"/>
  <c r="AA22" i="2"/>
  <c r="Z22" i="2"/>
  <c r="Y22" i="2"/>
  <c r="W22" i="2"/>
  <c r="V22" i="2"/>
  <c r="U22" i="2"/>
  <c r="T22" i="2"/>
  <c r="S22" i="2"/>
  <c r="AA21" i="2"/>
  <c r="Z21" i="2"/>
  <c r="Y21" i="2"/>
  <c r="W21" i="2"/>
  <c r="V21" i="2"/>
  <c r="U21" i="2"/>
  <c r="T21" i="2"/>
  <c r="S21" i="2"/>
  <c r="AA20" i="2"/>
  <c r="Z20" i="2"/>
  <c r="Y20" i="2"/>
  <c r="W20" i="2"/>
  <c r="V20" i="2"/>
  <c r="U20" i="2"/>
  <c r="T20" i="2"/>
  <c r="S20" i="2"/>
  <c r="AA19" i="2"/>
  <c r="Z19" i="2"/>
  <c r="Y19" i="2"/>
  <c r="W19" i="2"/>
  <c r="V19" i="2"/>
  <c r="U19" i="2"/>
  <c r="T19" i="2"/>
  <c r="S19" i="2"/>
  <c r="AA18" i="2"/>
  <c r="Z18" i="2"/>
  <c r="Y18" i="2"/>
  <c r="W18" i="2"/>
  <c r="V18" i="2"/>
  <c r="U18" i="2"/>
  <c r="T18" i="2"/>
  <c r="S18" i="2"/>
  <c r="AA17" i="2"/>
  <c r="Z17" i="2"/>
  <c r="Y17" i="2"/>
  <c r="W17" i="2"/>
  <c r="V17" i="2"/>
  <c r="U17" i="2"/>
  <c r="T17" i="2"/>
  <c r="S17" i="2"/>
  <c r="AA16" i="2"/>
  <c r="Z16" i="2"/>
  <c r="Y16" i="2"/>
  <c r="W16" i="2"/>
  <c r="V16" i="2"/>
  <c r="U16" i="2"/>
  <c r="T16" i="2"/>
  <c r="S16" i="2"/>
  <c r="AA15" i="2"/>
  <c r="Z15" i="2"/>
  <c r="Y15" i="2"/>
  <c r="W15" i="2"/>
  <c r="V15" i="2"/>
  <c r="U15" i="2"/>
  <c r="T15" i="2"/>
  <c r="S15" i="2"/>
  <c r="M15" i="2"/>
  <c r="AA14" i="2"/>
  <c r="Z14" i="2"/>
  <c r="Y14" i="2"/>
  <c r="W14" i="2"/>
  <c r="V14" i="2"/>
  <c r="U14" i="2"/>
  <c r="T14" i="2"/>
  <c r="S14" i="2"/>
  <c r="AA13" i="2"/>
  <c r="Z13" i="2"/>
  <c r="Y13" i="2"/>
  <c r="W13" i="2"/>
  <c r="V13" i="2"/>
  <c r="U13" i="2"/>
  <c r="T13" i="2"/>
  <c r="S13" i="2"/>
  <c r="AA12" i="2"/>
  <c r="Z12" i="2"/>
  <c r="Y12" i="2"/>
  <c r="W12" i="2"/>
  <c r="V12" i="2"/>
  <c r="U12" i="2"/>
  <c r="T12" i="2"/>
  <c r="S12" i="2"/>
  <c r="AA11" i="2"/>
  <c r="Z11" i="2"/>
  <c r="Y11" i="2"/>
  <c r="W11" i="2"/>
  <c r="V11" i="2"/>
  <c r="U11" i="2"/>
  <c r="T11" i="2"/>
  <c r="S11" i="2"/>
  <c r="M11" i="2"/>
  <c r="AA10" i="2"/>
  <c r="Z10" i="2"/>
  <c r="Y10" i="2"/>
  <c r="W10" i="2"/>
  <c r="V10" i="2"/>
  <c r="U10" i="2"/>
  <c r="T10" i="2"/>
  <c r="S10" i="2"/>
  <c r="AA9" i="2"/>
  <c r="Z9" i="2"/>
  <c r="Y9" i="2"/>
  <c r="W9" i="2"/>
  <c r="V9" i="2"/>
  <c r="U9" i="2"/>
  <c r="T9" i="2"/>
  <c r="S9" i="2"/>
  <c r="AA8" i="2"/>
  <c r="Z8" i="2"/>
  <c r="Y8" i="2"/>
  <c r="W8" i="2"/>
  <c r="V8" i="2"/>
  <c r="U8" i="2"/>
  <c r="T8" i="2"/>
  <c r="S8" i="2"/>
  <c r="AA7" i="2"/>
  <c r="Z7" i="2"/>
  <c r="Y7" i="2"/>
  <c r="W7" i="2"/>
  <c r="V7" i="2"/>
  <c r="U7" i="2"/>
  <c r="T7" i="2"/>
  <c r="S7" i="2"/>
  <c r="M7" i="2"/>
  <c r="AA6" i="2"/>
  <c r="Z6" i="2"/>
  <c r="Y6" i="2"/>
  <c r="W6" i="2"/>
  <c r="V6" i="2"/>
  <c r="U6" i="2"/>
  <c r="T6" i="2"/>
  <c r="S6" i="2"/>
  <c r="AA5" i="2"/>
  <c r="Z5" i="2"/>
  <c r="Y5" i="2"/>
  <c r="W5" i="2"/>
  <c r="V5" i="2"/>
  <c r="U5" i="2"/>
  <c r="T5" i="2"/>
  <c r="S5" i="2"/>
  <c r="AA4" i="2"/>
  <c r="Z4" i="2"/>
  <c r="Y4" i="2"/>
  <c r="W4" i="2"/>
  <c r="V4" i="2"/>
  <c r="U4" i="2"/>
  <c r="T4" i="2"/>
  <c r="S4" i="2"/>
  <c r="AA3" i="2"/>
  <c r="Z3" i="2"/>
  <c r="Y3" i="2"/>
  <c r="W3" i="2"/>
  <c r="V3" i="2"/>
  <c r="U3" i="2"/>
  <c r="T3" i="2"/>
  <c r="S3" i="2"/>
  <c r="M3" i="2"/>
  <c r="AA2" i="2"/>
  <c r="Z2" i="2"/>
  <c r="Y2" i="2"/>
  <c r="W2" i="2"/>
  <c r="V2" i="2"/>
  <c r="U2" i="2"/>
  <c r="T2" i="2"/>
  <c r="S2" i="2"/>
  <c r="M61" i="2"/>
  <c r="M93" i="2"/>
  <c r="AB212" i="8" l="1"/>
  <c r="AB222" i="8"/>
  <c r="AB226" i="8"/>
  <c r="X209" i="8"/>
  <c r="X215" i="8"/>
  <c r="AB58" i="2"/>
  <c r="AB66" i="2"/>
  <c r="AB70" i="2"/>
  <c r="AB74" i="2"/>
  <c r="AB78" i="2"/>
  <c r="AB82" i="2"/>
  <c r="AB86" i="2"/>
  <c r="AB90" i="2"/>
  <c r="AB94" i="2"/>
  <c r="AB95" i="2"/>
  <c r="AB99" i="2"/>
  <c r="AB103" i="2"/>
  <c r="AB107" i="2"/>
  <c r="AB111" i="2"/>
  <c r="AB117" i="2"/>
  <c r="AB121" i="2"/>
  <c r="AB125" i="2"/>
  <c r="AB129" i="2"/>
  <c r="AB133" i="2"/>
  <c r="AB137" i="2"/>
  <c r="AB141" i="2"/>
  <c r="AB145" i="2"/>
  <c r="AB149" i="2"/>
  <c r="AB153" i="2"/>
  <c r="AB157" i="2"/>
  <c r="AB161" i="2"/>
  <c r="AB165" i="2"/>
  <c r="AB169" i="2"/>
  <c r="AB173" i="2"/>
  <c r="AB177" i="2"/>
  <c r="AB181" i="2"/>
  <c r="AB185" i="2"/>
  <c r="AB189" i="2"/>
  <c r="AB193" i="2"/>
  <c r="AB197" i="2"/>
  <c r="AB201" i="2"/>
  <c r="AB205" i="2"/>
  <c r="AB209" i="2"/>
  <c r="AB213" i="2"/>
  <c r="AB214" i="2"/>
  <c r="X2" i="2"/>
  <c r="AB3" i="2"/>
  <c r="AB5" i="2"/>
  <c r="AB6" i="2"/>
  <c r="X12" i="2"/>
  <c r="X14" i="2"/>
  <c r="AB20" i="2"/>
  <c r="X21" i="2"/>
  <c r="X22" i="2"/>
  <c r="AB24" i="2"/>
  <c r="X25" i="2"/>
  <c r="X26" i="2"/>
  <c r="X35" i="2"/>
  <c r="AB36" i="2"/>
  <c r="X37" i="2"/>
  <c r="X38" i="2"/>
  <c r="X39" i="2"/>
  <c r="AB40" i="2"/>
  <c r="X41" i="2"/>
  <c r="X42" i="2"/>
  <c r="X51" i="2"/>
  <c r="AB52" i="2"/>
  <c r="X53" i="2"/>
  <c r="X54" i="2"/>
  <c r="X58" i="2"/>
  <c r="AB10" i="2"/>
  <c r="AB18" i="2"/>
  <c r="AB34" i="2"/>
  <c r="AB50" i="2"/>
  <c r="AB62" i="2"/>
  <c r="AB63" i="2"/>
  <c r="X18" i="2"/>
  <c r="X34" i="2"/>
  <c r="X50" i="2"/>
  <c r="AB64" i="2"/>
  <c r="AB68" i="2"/>
  <c r="AB72" i="2"/>
  <c r="AB76" i="2"/>
  <c r="AB80" i="2"/>
  <c r="AB84" i="2"/>
  <c r="AB88" i="2"/>
  <c r="AB92" i="2"/>
  <c r="AB97" i="2"/>
  <c r="AB101" i="2"/>
  <c r="AB105" i="2"/>
  <c r="AB109" i="2"/>
  <c r="AB113" i="2"/>
  <c r="AB115" i="2"/>
  <c r="AB135" i="2"/>
  <c r="AB139" i="2"/>
  <c r="AB143" i="2"/>
  <c r="AB147" i="2"/>
  <c r="X148" i="2"/>
  <c r="X149" i="2"/>
  <c r="AB151" i="2"/>
  <c r="AB155" i="2"/>
  <c r="X156" i="2"/>
  <c r="X157" i="2"/>
  <c r="AB159" i="2"/>
  <c r="AB163" i="2"/>
  <c r="X164" i="2"/>
  <c r="X165" i="2"/>
  <c r="AB167" i="2"/>
  <c r="AB171" i="2"/>
  <c r="X172" i="2"/>
  <c r="X173" i="2"/>
  <c r="AB175" i="2"/>
  <c r="AB179" i="2"/>
  <c r="X180" i="2"/>
  <c r="X181" i="2"/>
  <c r="AB187" i="2"/>
  <c r="X188" i="2"/>
  <c r="X189" i="2"/>
  <c r="AB191" i="2"/>
  <c r="AB195" i="2"/>
  <c r="X196" i="2"/>
  <c r="X197" i="2"/>
  <c r="AB199" i="2"/>
  <c r="AB203" i="2"/>
  <c r="X204" i="2"/>
  <c r="X205" i="2"/>
  <c r="X212" i="2"/>
  <c r="X213" i="2"/>
  <c r="AB14" i="2"/>
  <c r="AB15" i="2"/>
  <c r="AB17" i="2"/>
  <c r="AB26" i="2"/>
  <c r="AB30" i="2"/>
  <c r="AB31" i="2"/>
  <c r="AB33" i="2"/>
  <c r="AB42" i="2"/>
  <c r="AB46" i="2"/>
  <c r="AB47" i="2"/>
  <c r="AB49" i="2"/>
  <c r="AB55" i="2"/>
  <c r="AB57" i="2"/>
  <c r="X60" i="2"/>
  <c r="X36" i="2"/>
  <c r="X4" i="2"/>
  <c r="AB8" i="2"/>
  <c r="X9" i="2"/>
  <c r="X10" i="2"/>
  <c r="AB11" i="2"/>
  <c r="AB13" i="2"/>
  <c r="AB16" i="2"/>
  <c r="X17" i="2"/>
  <c r="AB28" i="2"/>
  <c r="X29" i="2"/>
  <c r="X30" i="2"/>
  <c r="X31" i="2"/>
  <c r="AB32" i="2"/>
  <c r="X33" i="2"/>
  <c r="X43" i="2"/>
  <c r="AB44" i="2"/>
  <c r="X45" i="2"/>
  <c r="X46" i="2"/>
  <c r="X59" i="2"/>
  <c r="AB60" i="2"/>
  <c r="X61" i="2"/>
  <c r="X62" i="2"/>
  <c r="X87" i="2"/>
  <c r="X20" i="2"/>
  <c r="X52" i="2"/>
  <c r="AB2" i="2"/>
  <c r="X8" i="2"/>
  <c r="AB22" i="2"/>
  <c r="AB23" i="2"/>
  <c r="AB25" i="2"/>
  <c r="X28" i="2"/>
  <c r="AB38" i="2"/>
  <c r="AB39" i="2"/>
  <c r="AB41" i="2"/>
  <c r="X44" i="2"/>
  <c r="AB54" i="2"/>
  <c r="X47" i="2"/>
  <c r="AB48" i="2"/>
  <c r="X49" i="2"/>
  <c r="X55" i="2"/>
  <c r="AB56" i="2"/>
  <c r="X57" i="2"/>
  <c r="X63" i="2"/>
  <c r="X65" i="2"/>
  <c r="X66" i="2"/>
  <c r="X67" i="2"/>
  <c r="X69" i="2"/>
  <c r="X70" i="2"/>
  <c r="X71" i="2"/>
  <c r="X73" i="2"/>
  <c r="X74" i="2"/>
  <c r="X75" i="2"/>
  <c r="X77" i="2"/>
  <c r="X78" i="2"/>
  <c r="X79" i="2"/>
  <c r="X81" i="2"/>
  <c r="X82" i="2"/>
  <c r="X83" i="2"/>
  <c r="X85" i="2"/>
  <c r="X86" i="2"/>
  <c r="X89" i="2"/>
  <c r="X90" i="2"/>
  <c r="X91" i="2"/>
  <c r="X93" i="2"/>
  <c r="X94" i="2"/>
  <c r="X95" i="2"/>
  <c r="X96" i="2"/>
  <c r="X99" i="2"/>
  <c r="X100" i="2"/>
  <c r="X103" i="2"/>
  <c r="X104" i="2"/>
  <c r="X107" i="2"/>
  <c r="X108" i="2"/>
  <c r="X111" i="2"/>
  <c r="X112" i="2"/>
  <c r="X116" i="2"/>
  <c r="X117" i="2"/>
  <c r="X119" i="2"/>
  <c r="X120" i="2"/>
  <c r="X121" i="2"/>
  <c r="X123" i="2"/>
  <c r="X124" i="2"/>
  <c r="X125" i="2"/>
  <c r="X127" i="2"/>
  <c r="X128" i="2"/>
  <c r="X129" i="2"/>
  <c r="X131" i="2"/>
  <c r="X132" i="2"/>
  <c r="X133" i="2"/>
  <c r="X136" i="2"/>
  <c r="X137" i="2"/>
  <c r="X140" i="2"/>
  <c r="X141" i="2"/>
  <c r="X144" i="2"/>
  <c r="X145" i="2"/>
  <c r="X153" i="2"/>
  <c r="X161" i="2"/>
  <c r="X169" i="2"/>
  <c r="X177" i="2"/>
  <c r="X185" i="2"/>
  <c r="X193" i="2"/>
  <c r="X201" i="2"/>
  <c r="X209" i="2"/>
  <c r="AB4" i="2"/>
  <c r="X5" i="2"/>
  <c r="X6" i="2"/>
  <c r="AB7" i="2"/>
  <c r="AB9" i="2"/>
  <c r="AB12" i="2"/>
  <c r="X13" i="2"/>
  <c r="X16" i="2"/>
  <c r="AB19" i="2"/>
  <c r="AB21" i="2"/>
  <c r="X24" i="2"/>
  <c r="AB27" i="2"/>
  <c r="AB29" i="2"/>
  <c r="X32" i="2"/>
  <c r="AB35" i="2"/>
  <c r="AB37" i="2"/>
  <c r="X40" i="2"/>
  <c r="AB43" i="2"/>
  <c r="AB45" i="2"/>
  <c r="X48" i="2"/>
  <c r="AB51" i="2"/>
  <c r="AB53" i="2"/>
  <c r="X56" i="2"/>
  <c r="AB59" i="2"/>
  <c r="AB61" i="2"/>
  <c r="AB65" i="2"/>
  <c r="X68" i="2"/>
  <c r="AB71" i="2"/>
  <c r="AB73" i="2"/>
  <c r="X76" i="2"/>
  <c r="AB79" i="2"/>
  <c r="AB81" i="2"/>
  <c r="X84" i="2"/>
  <c r="AB87" i="2"/>
  <c r="AB89" i="2"/>
  <c r="X92" i="2"/>
  <c r="X97" i="2"/>
  <c r="AB100" i="2"/>
  <c r="X105" i="2"/>
  <c r="AB108" i="2"/>
  <c r="X113" i="2"/>
  <c r="X115" i="2"/>
  <c r="AB120" i="2"/>
  <c r="AB128" i="2"/>
  <c r="AB134" i="2"/>
  <c r="X139" i="2"/>
  <c r="AB142" i="2"/>
  <c r="AB144" i="2"/>
  <c r="X147" i="2"/>
  <c r="AB150" i="2"/>
  <c r="AB152" i="2"/>
  <c r="X155" i="2"/>
  <c r="AB158" i="2"/>
  <c r="AB160" i="2"/>
  <c r="X163" i="2"/>
  <c r="AB166" i="2"/>
  <c r="AB168" i="2"/>
  <c r="X171" i="2"/>
  <c r="AB174" i="2"/>
  <c r="AB176" i="2"/>
  <c r="AB182" i="2"/>
  <c r="AB184" i="2"/>
  <c r="AB190" i="2"/>
  <c r="AB192" i="2"/>
  <c r="X195" i="2"/>
  <c r="AB198" i="2"/>
  <c r="AB200" i="2"/>
  <c r="X203" i="2"/>
  <c r="AB206" i="2"/>
  <c r="AB208" i="2"/>
  <c r="X152" i="2"/>
  <c r="X160" i="2"/>
  <c r="X168" i="2"/>
  <c r="X176" i="2"/>
  <c r="X184" i="2"/>
  <c r="X192" i="2"/>
  <c r="X200" i="2"/>
  <c r="X208" i="2"/>
  <c r="X64" i="2"/>
  <c r="AB67" i="2"/>
  <c r="AB69" i="2"/>
  <c r="X72" i="2"/>
  <c r="AB75" i="2"/>
  <c r="AB77" i="2"/>
  <c r="X80" i="2"/>
  <c r="AB83" i="2"/>
  <c r="AB85" i="2"/>
  <c r="X88" i="2"/>
  <c r="AB91" i="2"/>
  <c r="AB93" i="2"/>
  <c r="AB96" i="2"/>
  <c r="X101" i="2"/>
  <c r="AB104" i="2"/>
  <c r="X109" i="2"/>
  <c r="AB112" i="2"/>
  <c r="AB116" i="2"/>
  <c r="AB124" i="2"/>
  <c r="X135" i="2"/>
  <c r="AB138" i="2"/>
  <c r="AB140" i="2"/>
  <c r="X143" i="2"/>
  <c r="AB146" i="2"/>
  <c r="AB148" i="2"/>
  <c r="X151" i="2"/>
  <c r="AB154" i="2"/>
  <c r="AB156" i="2"/>
  <c r="X159" i="2"/>
  <c r="AB162" i="2"/>
  <c r="AB164" i="2"/>
  <c r="X167" i="2"/>
  <c r="AB170" i="2"/>
  <c r="AB172" i="2"/>
  <c r="X175" i="2"/>
  <c r="AB178" i="2"/>
  <c r="AB180" i="2"/>
  <c r="AB186" i="2"/>
  <c r="AB188" i="2"/>
  <c r="X191" i="2"/>
  <c r="AB194" i="2"/>
  <c r="AB196" i="2"/>
  <c r="X199" i="2"/>
  <c r="AB202" i="2"/>
  <c r="AB204" i="2"/>
  <c r="AB210" i="2"/>
  <c r="AB212" i="2"/>
  <c r="X164" i="6"/>
  <c r="X166" i="6"/>
  <c r="X176" i="6"/>
  <c r="X212" i="8"/>
  <c r="AB209" i="8"/>
  <c r="AB215" i="8"/>
  <c r="X223" i="8"/>
  <c r="X179" i="6"/>
  <c r="X177" i="6"/>
  <c r="AB176" i="6"/>
  <c r="AB2" i="4"/>
  <c r="AB18" i="4"/>
  <c r="AB34" i="4"/>
  <c r="AB50" i="4"/>
  <c r="AB72" i="4"/>
  <c r="AB72" i="5"/>
  <c r="X11" i="6"/>
  <c r="X15" i="6"/>
  <c r="X19" i="6"/>
  <c r="X27" i="6"/>
  <c r="X210" i="6"/>
  <c r="V138" i="7"/>
  <c r="V141" i="7"/>
  <c r="V149" i="7"/>
  <c r="V153" i="7"/>
  <c r="V158" i="7"/>
  <c r="V160" i="7"/>
  <c r="V161" i="7"/>
  <c r="V166" i="7"/>
  <c r="V169" i="7"/>
  <c r="V177" i="7"/>
  <c r="V181" i="7"/>
  <c r="V182" i="7"/>
  <c r="V186" i="7"/>
  <c r="V189" i="7"/>
  <c r="V194" i="7"/>
  <c r="V197" i="7"/>
  <c r="V201" i="7"/>
  <c r="V202" i="7"/>
  <c r="V203" i="7"/>
  <c r="X89" i="8"/>
  <c r="X97" i="8"/>
  <c r="X129" i="8"/>
  <c r="X133" i="8"/>
  <c r="X135" i="8"/>
  <c r="X139" i="8"/>
  <c r="X149" i="8"/>
  <c r="X155" i="8"/>
  <c r="X2" i="4"/>
  <c r="AB10" i="4"/>
  <c r="X18" i="4"/>
  <c r="AB26" i="4"/>
  <c r="X34" i="4"/>
  <c r="AB42" i="4"/>
  <c r="X50" i="4"/>
  <c r="AB64" i="4"/>
  <c r="X72" i="4"/>
  <c r="AB202" i="4"/>
  <c r="AB124" i="6"/>
  <c r="AB130" i="6"/>
  <c r="AB164" i="6"/>
  <c r="AB166" i="6"/>
  <c r="AB177" i="6"/>
  <c r="X178" i="6"/>
  <c r="AB179" i="6"/>
  <c r="X180" i="6"/>
  <c r="X184" i="6"/>
  <c r="AB13" i="5"/>
  <c r="X17" i="5"/>
  <c r="AB29" i="5"/>
  <c r="X33" i="5"/>
  <c r="AB47" i="5"/>
  <c r="X49" i="5"/>
  <c r="X65" i="5"/>
  <c r="AB71" i="5"/>
  <c r="X73" i="5"/>
  <c r="X185" i="5"/>
  <c r="X189" i="5"/>
  <c r="X193" i="5"/>
  <c r="X197" i="5"/>
  <c r="X201" i="5"/>
  <c r="X205" i="5"/>
  <c r="X209" i="5"/>
  <c r="X40" i="6"/>
  <c r="AB93" i="6"/>
  <c r="AB127" i="6"/>
  <c r="AB196" i="6"/>
  <c r="AB210" i="6"/>
  <c r="AB97" i="8"/>
  <c r="AB103" i="8"/>
  <c r="AB111" i="8"/>
  <c r="AB149" i="8"/>
  <c r="AB155" i="8"/>
  <c r="AB165" i="8"/>
  <c r="AB171" i="8"/>
  <c r="AB179" i="8"/>
  <c r="AB183" i="8"/>
  <c r="AB187" i="8"/>
  <c r="AB193" i="8"/>
  <c r="AB195" i="8"/>
  <c r="AB199" i="8"/>
  <c r="AB210" i="8"/>
  <c r="X217" i="8"/>
  <c r="X225" i="8"/>
  <c r="Z80" i="3"/>
  <c r="Z88" i="3"/>
  <c r="Z116" i="3"/>
  <c r="Z133" i="3"/>
  <c r="Z141" i="3"/>
  <c r="Z169" i="3"/>
  <c r="Z177" i="3"/>
  <c r="Z197" i="3"/>
  <c r="Z205" i="3"/>
  <c r="AB15" i="4"/>
  <c r="AB21" i="4"/>
  <c r="X22" i="4"/>
  <c r="X24" i="4"/>
  <c r="X26" i="4"/>
  <c r="X28" i="4"/>
  <c r="X30" i="4"/>
  <c r="X32" i="4"/>
  <c r="AB47" i="4"/>
  <c r="X52" i="4"/>
  <c r="AB53" i="4"/>
  <c r="X54" i="4"/>
  <c r="X56" i="4"/>
  <c r="X64" i="4"/>
  <c r="X68" i="4"/>
  <c r="AB208" i="4"/>
  <c r="AB212" i="4"/>
  <c r="AB217" i="4"/>
  <c r="AB221" i="4"/>
  <c r="AB225" i="4"/>
  <c r="AB9" i="5"/>
  <c r="AB12" i="5"/>
  <c r="AB25" i="5"/>
  <c r="AB28" i="5"/>
  <c r="AB41" i="5"/>
  <c r="AB42" i="5"/>
  <c r="AB61" i="5"/>
  <c r="AB62" i="5"/>
  <c r="AB64" i="5"/>
  <c r="AB9" i="6"/>
  <c r="AB13" i="6"/>
  <c r="X16" i="6"/>
  <c r="AB17" i="6"/>
  <c r="AB25" i="6"/>
  <c r="AB35" i="6"/>
  <c r="X93" i="6"/>
  <c r="X127" i="6"/>
  <c r="X196" i="6"/>
  <c r="AB218" i="4"/>
  <c r="AB222" i="4"/>
  <c r="AB226" i="4"/>
  <c r="X4" i="5"/>
  <c r="X9" i="5"/>
  <c r="X20" i="5"/>
  <c r="X25" i="5"/>
  <c r="X34" i="5"/>
  <c r="X36" i="5"/>
  <c r="X41" i="5"/>
  <c r="X50" i="5"/>
  <c r="X52" i="5"/>
  <c r="X61" i="5"/>
  <c r="X76" i="5"/>
  <c r="X81" i="5"/>
  <c r="AB48" i="6"/>
  <c r="X4" i="4"/>
  <c r="AB5" i="4"/>
  <c r="X10" i="4"/>
  <c r="X14" i="4"/>
  <c r="AB31" i="4"/>
  <c r="X36" i="4"/>
  <c r="AB37" i="4"/>
  <c r="X38" i="4"/>
  <c r="X40" i="4"/>
  <c r="X42" i="4"/>
  <c r="X44" i="4"/>
  <c r="X46" i="4"/>
  <c r="X48" i="4"/>
  <c r="AB69" i="4"/>
  <c r="AB70" i="4"/>
  <c r="AB75" i="4"/>
  <c r="AB99" i="4"/>
  <c r="AB117" i="4"/>
  <c r="AB133" i="4"/>
  <c r="AB153" i="4"/>
  <c r="AB170" i="4"/>
  <c r="AB189" i="4"/>
  <c r="X190" i="4"/>
  <c r="X202" i="4"/>
  <c r="X204" i="4"/>
  <c r="AB17" i="5"/>
  <c r="AB33" i="5"/>
  <c r="AB49" i="5"/>
  <c r="AB73" i="5"/>
  <c r="X48" i="6"/>
  <c r="X124" i="6"/>
  <c r="X130" i="6"/>
  <c r="AB156" i="6"/>
  <c r="AB202" i="6"/>
  <c r="AB206" i="6"/>
  <c r="Z2" i="7"/>
  <c r="Z10" i="7"/>
  <c r="Z18" i="7"/>
  <c r="Z22" i="7"/>
  <c r="Z26" i="7"/>
  <c r="Z30" i="7"/>
  <c r="Z34" i="7"/>
  <c r="Z42" i="7"/>
  <c r="Z50" i="7"/>
  <c r="Z58" i="7"/>
  <c r="Z66" i="7"/>
  <c r="Z74" i="7"/>
  <c r="Z82" i="7"/>
  <c r="Z90" i="7"/>
  <c r="Z123" i="7"/>
  <c r="Z131" i="7"/>
  <c r="Z151" i="7"/>
  <c r="Z159" i="7"/>
  <c r="Z187" i="7"/>
  <c r="Z195" i="7"/>
  <c r="AB85" i="8"/>
  <c r="AB87" i="8"/>
  <c r="AB91" i="8"/>
  <c r="AB123" i="8"/>
  <c r="X86" i="5"/>
  <c r="X88" i="5"/>
  <c r="X89" i="5"/>
  <c r="X94" i="5"/>
  <c r="X96" i="5"/>
  <c r="X97" i="5"/>
  <c r="X103" i="5"/>
  <c r="X109" i="5"/>
  <c r="X110" i="5"/>
  <c r="X112" i="5"/>
  <c r="X113" i="5"/>
  <c r="X119" i="5"/>
  <c r="X125" i="5"/>
  <c r="X126" i="5"/>
  <c r="X128" i="5"/>
  <c r="X129" i="5"/>
  <c r="X135" i="5"/>
  <c r="X138" i="5"/>
  <c r="X140" i="5"/>
  <c r="X143" i="5"/>
  <c r="X146" i="5"/>
  <c r="X148" i="5"/>
  <c r="X151" i="5"/>
  <c r="X154" i="5"/>
  <c r="X159" i="5"/>
  <c r="X167" i="5"/>
  <c r="X175" i="5"/>
  <c r="AB212" i="5"/>
  <c r="AB8" i="6"/>
  <c r="AB14" i="6"/>
  <c r="AB18" i="6"/>
  <c r="AB24" i="6"/>
  <c r="AB44" i="6"/>
  <c r="X45" i="6"/>
  <c r="AB46" i="6"/>
  <c r="AB51" i="6"/>
  <c r="AB57" i="6"/>
  <c r="X58" i="6"/>
  <c r="AB66" i="6"/>
  <c r="AB69" i="6"/>
  <c r="AB77" i="6"/>
  <c r="AB82" i="6"/>
  <c r="AB85" i="6"/>
  <c r="AB89" i="6"/>
  <c r="AB90" i="6"/>
  <c r="AB96" i="6"/>
  <c r="AB104" i="6"/>
  <c r="AB106" i="6"/>
  <c r="AB114" i="6"/>
  <c r="AB120" i="6"/>
  <c r="AB122" i="6"/>
  <c r="AB125" i="6"/>
  <c r="AB131" i="6"/>
  <c r="X132" i="6"/>
  <c r="AB135" i="6"/>
  <c r="AB139" i="6"/>
  <c r="AB140" i="6"/>
  <c r="AB141" i="6"/>
  <c r="X156" i="6"/>
  <c r="X202" i="6"/>
  <c r="AB2" i="8"/>
  <c r="AB7" i="8"/>
  <c r="AB10" i="8"/>
  <c r="AB44" i="8"/>
  <c r="AB60" i="8"/>
  <c r="AB81" i="8"/>
  <c r="AB82" i="8"/>
  <c r="AB116" i="8"/>
  <c r="AB136" i="8"/>
  <c r="AB146" i="8"/>
  <c r="AB148" i="8"/>
  <c r="AB152" i="8"/>
  <c r="AB227" i="8"/>
  <c r="AB85" i="5"/>
  <c r="AB93" i="5"/>
  <c r="AB101" i="5"/>
  <c r="AB137" i="5"/>
  <c r="AB145" i="5"/>
  <c r="AB153" i="5"/>
  <c r="AB161" i="5"/>
  <c r="AB169" i="5"/>
  <c r="AB177" i="5"/>
  <c r="AB185" i="5"/>
  <c r="AB189" i="5"/>
  <c r="AB193" i="5"/>
  <c r="AB197" i="5"/>
  <c r="AB201" i="5"/>
  <c r="AB205" i="5"/>
  <c r="AB209" i="5"/>
  <c r="X212" i="5"/>
  <c r="AB40" i="6"/>
  <c r="X44" i="6"/>
  <c r="X55" i="6"/>
  <c r="X57" i="6"/>
  <c r="X65" i="6"/>
  <c r="X85" i="6"/>
  <c r="X89" i="6"/>
  <c r="X100" i="6"/>
  <c r="X102" i="6"/>
  <c r="X104" i="6"/>
  <c r="X114" i="6"/>
  <c r="X120" i="6"/>
  <c r="X122" i="6"/>
  <c r="X131" i="6"/>
  <c r="X133" i="6"/>
  <c r="X135" i="6"/>
  <c r="AB184" i="6"/>
  <c r="X18" i="8"/>
  <c r="X26" i="8"/>
  <c r="X34" i="8"/>
  <c r="X42" i="8"/>
  <c r="X44" i="8"/>
  <c r="X58" i="8"/>
  <c r="X60" i="8"/>
  <c r="X100" i="8"/>
  <c r="X102" i="8"/>
  <c r="AB104" i="8"/>
  <c r="X106" i="8"/>
  <c r="X116" i="8"/>
  <c r="X152" i="8"/>
  <c r="X158" i="8"/>
  <c r="X160" i="8"/>
  <c r="X168" i="8"/>
  <c r="X173" i="8"/>
  <c r="X213" i="8"/>
  <c r="X216" i="8"/>
  <c r="X220" i="8"/>
  <c r="AB223" i="8"/>
  <c r="X224" i="8"/>
  <c r="V3" i="7"/>
  <c r="V8" i="7"/>
  <c r="V11" i="7"/>
  <c r="V27" i="7"/>
  <c r="V31" i="7"/>
  <c r="V43" i="7"/>
  <c r="V44" i="7"/>
  <c r="V51" i="7"/>
  <c r="V52" i="7"/>
  <c r="V57" i="7"/>
  <c r="V59" i="7"/>
  <c r="V60" i="7"/>
  <c r="V65" i="7"/>
  <c r="V67" i="7"/>
  <c r="V68" i="7"/>
  <c r="V73" i="7"/>
  <c r="V75" i="7"/>
  <c r="V76" i="7"/>
  <c r="V81" i="7"/>
  <c r="V83" i="7"/>
  <c r="V84" i="7"/>
  <c r="V89" i="7"/>
  <c r="V91" i="7"/>
  <c r="V92" i="7"/>
  <c r="V94" i="7"/>
  <c r="V96" i="7"/>
  <c r="V100" i="7"/>
  <c r="V101" i="7"/>
  <c r="V102" i="7"/>
  <c r="V105" i="7"/>
  <c r="V113" i="7"/>
  <c r="V117" i="7"/>
  <c r="V118" i="7"/>
  <c r="V122" i="7"/>
  <c r="V125" i="7"/>
  <c r="V130" i="7"/>
  <c r="V133" i="7"/>
  <c r="V9" i="7"/>
  <c r="V16" i="7"/>
  <c r="V17" i="7"/>
  <c r="V19" i="7"/>
  <c r="V23" i="7"/>
  <c r="V24" i="7"/>
  <c r="V25" i="7"/>
  <c r="V28" i="7"/>
  <c r="V29" i="7"/>
  <c r="V32" i="7"/>
  <c r="V33" i="7"/>
  <c r="V35" i="7"/>
  <c r="V41" i="7"/>
  <c r="V49" i="7"/>
  <c r="Z96" i="7"/>
  <c r="Z100" i="7"/>
  <c r="Z105" i="7"/>
  <c r="Z113" i="7"/>
  <c r="Z141" i="7"/>
  <c r="Z149" i="7"/>
  <c r="Z169" i="7"/>
  <c r="Z177" i="7"/>
  <c r="Z7" i="7"/>
  <c r="Z15" i="7"/>
  <c r="Z31" i="7"/>
  <c r="Z40" i="7"/>
  <c r="Z48" i="7"/>
  <c r="Z56" i="7"/>
  <c r="Z64" i="7"/>
  <c r="Z72" i="7"/>
  <c r="Z80" i="7"/>
  <c r="Z88" i="7"/>
  <c r="Z110" i="7"/>
  <c r="V115" i="7"/>
  <c r="Z116" i="7"/>
  <c r="Z121" i="7"/>
  <c r="Z129" i="7"/>
  <c r="V135" i="7"/>
  <c r="Z136" i="7"/>
  <c r="Z145" i="7"/>
  <c r="Z146" i="7"/>
  <c r="Z157" i="7"/>
  <c r="Z165" i="7"/>
  <c r="Z173" i="7"/>
  <c r="Z174" i="7"/>
  <c r="V179" i="7"/>
  <c r="Z180" i="7"/>
  <c r="Z185" i="7"/>
  <c r="Z193" i="7"/>
  <c r="V199" i="7"/>
  <c r="Z200" i="7"/>
  <c r="V7" i="7"/>
  <c r="V48" i="7"/>
  <c r="V64" i="7"/>
  <c r="V72" i="7"/>
  <c r="V110" i="7"/>
  <c r="V121" i="7"/>
  <c r="V128" i="7"/>
  <c r="V146" i="7"/>
  <c r="V157" i="7"/>
  <c r="V165" i="7"/>
  <c r="V173" i="7"/>
  <c r="V174" i="7"/>
  <c r="V184" i="7"/>
  <c r="V185" i="7"/>
  <c r="V192" i="7"/>
  <c r="V193" i="7"/>
  <c r="V15" i="7"/>
  <c r="V40" i="7"/>
  <c r="V56" i="7"/>
  <c r="V80" i="7"/>
  <c r="V88" i="7"/>
  <c r="V98" i="7"/>
  <c r="V109" i="7"/>
  <c r="V120" i="7"/>
  <c r="V129" i="7"/>
  <c r="Z3" i="7"/>
  <c r="Z4" i="7"/>
  <c r="Z5" i="7"/>
  <c r="Z11" i="7"/>
  <c r="Z12" i="7"/>
  <c r="Z13" i="7"/>
  <c r="Z19" i="7"/>
  <c r="Z23" i="7"/>
  <c r="Z27" i="7"/>
  <c r="Z36" i="7"/>
  <c r="Z37" i="7"/>
  <c r="Z39" i="7"/>
  <c r="Z44" i="7"/>
  <c r="Z45" i="7"/>
  <c r="Z47" i="7"/>
  <c r="Z53" i="7"/>
  <c r="Z55" i="7"/>
  <c r="Z60" i="7"/>
  <c r="Z61" i="7"/>
  <c r="Z63" i="7"/>
  <c r="Z69" i="7"/>
  <c r="Z71" i="7"/>
  <c r="Z76" i="7"/>
  <c r="Z77" i="7"/>
  <c r="Z79" i="7"/>
  <c r="Z84" i="7"/>
  <c r="Z85" i="7"/>
  <c r="Z87" i="7"/>
  <c r="Z93" i="7"/>
  <c r="Z101" i="7"/>
  <c r="V107" i="7"/>
  <c r="Z108" i="7"/>
  <c r="Z118" i="7"/>
  <c r="Z125" i="7"/>
  <c r="Z126" i="7"/>
  <c r="Z133" i="7"/>
  <c r="Z134" i="7"/>
  <c r="Z137" i="7"/>
  <c r="Z138" i="7"/>
  <c r="V143" i="7"/>
  <c r="Z144" i="7"/>
  <c r="Z153" i="7"/>
  <c r="Z154" i="7"/>
  <c r="Z156" i="7"/>
  <c r="Z161" i="7"/>
  <c r="Z162" i="7"/>
  <c r="V171" i="7"/>
  <c r="Z172" i="7"/>
  <c r="Z181" i="7"/>
  <c r="Z182" i="7"/>
  <c r="Z189" i="7"/>
  <c r="Z190" i="7"/>
  <c r="Z197" i="7"/>
  <c r="Z198" i="7"/>
  <c r="Z201" i="7"/>
  <c r="Z202" i="7"/>
  <c r="V128" i="3"/>
  <c r="V148" i="3"/>
  <c r="V156" i="3"/>
  <c r="V184" i="3"/>
  <c r="V192" i="3"/>
  <c r="V212" i="3"/>
  <c r="V220" i="3"/>
  <c r="V5" i="3"/>
  <c r="V6" i="3"/>
  <c r="V7" i="3"/>
  <c r="V8" i="3"/>
  <c r="V13" i="3"/>
  <c r="V14" i="3"/>
  <c r="V15" i="3"/>
  <c r="V16" i="3"/>
  <c r="V21" i="3"/>
  <c r="V22" i="3"/>
  <c r="V23" i="3"/>
  <c r="V24" i="3"/>
  <c r="V28" i="3"/>
  <c r="V29" i="3"/>
  <c r="V30" i="3"/>
  <c r="V31" i="3"/>
  <c r="V32" i="3"/>
  <c r="V36" i="3"/>
  <c r="V37" i="3"/>
  <c r="V38" i="3"/>
  <c r="V39" i="3"/>
  <c r="V40" i="3"/>
  <c r="V45" i="3"/>
  <c r="V46" i="3"/>
  <c r="V47" i="3"/>
  <c r="V48" i="3"/>
  <c r="V51" i="3"/>
  <c r="V52" i="3"/>
  <c r="Z64" i="3"/>
  <c r="Z66" i="3"/>
  <c r="V68" i="3"/>
  <c r="V69" i="3"/>
  <c r="Z70" i="3"/>
  <c r="V72" i="3"/>
  <c r="V73" i="3"/>
  <c r="Z74" i="3"/>
  <c r="V75" i="3"/>
  <c r="V76" i="3"/>
  <c r="V77" i="3"/>
  <c r="V80" i="3"/>
  <c r="Z84" i="3"/>
  <c r="V88" i="3"/>
  <c r="Z92" i="3"/>
  <c r="Z94" i="3"/>
  <c r="Z98" i="3"/>
  <c r="Z102" i="3"/>
  <c r="Z106" i="3"/>
  <c r="Z112" i="3"/>
  <c r="V116" i="3"/>
  <c r="Z123" i="3"/>
  <c r="Z127" i="3"/>
  <c r="V133" i="3"/>
  <c r="Z137" i="3"/>
  <c r="V141" i="3"/>
  <c r="Z145" i="3"/>
  <c r="Z165" i="3"/>
  <c r="V169" i="3"/>
  <c r="Z173" i="3"/>
  <c r="V177" i="3"/>
  <c r="Z179" i="3"/>
  <c r="Z183" i="3"/>
  <c r="Z187" i="3"/>
  <c r="Z191" i="3"/>
  <c r="V197" i="3"/>
  <c r="Z201" i="3"/>
  <c r="V205" i="3"/>
  <c r="Z208" i="3"/>
  <c r="Z220" i="3"/>
  <c r="Z228" i="3"/>
  <c r="Z4" i="3"/>
  <c r="Z12" i="3"/>
  <c r="Z20" i="3"/>
  <c r="Z44" i="3"/>
  <c r="Z50" i="3"/>
  <c r="V62" i="3"/>
  <c r="V64" i="3"/>
  <c r="V78" i="3"/>
  <c r="Z85" i="3"/>
  <c r="Z87" i="3"/>
  <c r="V90" i="3"/>
  <c r="V92" i="3"/>
  <c r="V110" i="3"/>
  <c r="V112" i="3"/>
  <c r="V114" i="3"/>
  <c r="Z125" i="3"/>
  <c r="Z131" i="3"/>
  <c r="Z136" i="3"/>
  <c r="V137" i="3"/>
  <c r="Z146" i="3"/>
  <c r="Z153" i="3"/>
  <c r="Z161" i="3"/>
  <c r="Z166" i="3"/>
  <c r="Z172" i="3"/>
  <c r="V173" i="3"/>
  <c r="V175" i="3"/>
  <c r="Z181" i="3"/>
  <c r="Z185" i="3"/>
  <c r="Z189" i="3"/>
  <c r="Z193" i="3"/>
  <c r="Z200" i="3"/>
  <c r="V201" i="3"/>
  <c r="Z210" i="3"/>
  <c r="Z213" i="3"/>
  <c r="Z217" i="3"/>
  <c r="Z225" i="3"/>
  <c r="Z229" i="3"/>
  <c r="Z230" i="3"/>
  <c r="V122" i="3"/>
  <c r="V125" i="3"/>
  <c r="V130" i="3"/>
  <c r="V150" i="3"/>
  <c r="V151" i="3"/>
  <c r="V153" i="3"/>
  <c r="V158" i="3"/>
  <c r="V159" i="3"/>
  <c r="V161" i="3"/>
  <c r="V181" i="3"/>
  <c r="V185" i="3"/>
  <c r="V186" i="3"/>
  <c r="V189" i="3"/>
  <c r="V193" i="3"/>
  <c r="V194" i="3"/>
  <c r="Z209" i="3"/>
  <c r="Z211" i="3"/>
  <c r="V213" i="3"/>
  <c r="V214" i="3"/>
  <c r="V215" i="3"/>
  <c r="V217" i="3"/>
  <c r="Z221" i="3"/>
  <c r="V222" i="3"/>
  <c r="Z223" i="3"/>
  <c r="V225" i="3"/>
  <c r="V229" i="3"/>
  <c r="V4" i="3"/>
  <c r="V12" i="3"/>
  <c r="V20" i="3"/>
  <c r="V44" i="3"/>
  <c r="V50" i="3"/>
  <c r="V56" i="3"/>
  <c r="Z2" i="3"/>
  <c r="Z3" i="3"/>
  <c r="Z8" i="3"/>
  <c r="Z9" i="3"/>
  <c r="Z10" i="3"/>
  <c r="Z11" i="3"/>
  <c r="Z16" i="3"/>
  <c r="Z17" i="3"/>
  <c r="Z18" i="3"/>
  <c r="Z19" i="3"/>
  <c r="Z24" i="3"/>
  <c r="Z25" i="3"/>
  <c r="Z26" i="3"/>
  <c r="Z27" i="3"/>
  <c r="Z28" i="3"/>
  <c r="Z32" i="3"/>
  <c r="Z36" i="3"/>
  <c r="Z40" i="3"/>
  <c r="Z41" i="3"/>
  <c r="Z42" i="3"/>
  <c r="Z43" i="3"/>
  <c r="Z48" i="3"/>
  <c r="Z49" i="3"/>
  <c r="Z52" i="3"/>
  <c r="Z53" i="3"/>
  <c r="Z54" i="3"/>
  <c r="Z57" i="3"/>
  <c r="Z60" i="3"/>
  <c r="Z65" i="3"/>
  <c r="Z68" i="3"/>
  <c r="Z72" i="3"/>
  <c r="Z76" i="3"/>
  <c r="V82" i="3"/>
  <c r="V84" i="3"/>
  <c r="V86" i="3"/>
  <c r="Z93" i="3"/>
  <c r="Z96" i="3"/>
  <c r="Z100" i="3"/>
  <c r="Z104" i="3"/>
  <c r="Z108" i="3"/>
  <c r="Z113" i="3"/>
  <c r="V118" i="3"/>
  <c r="Z120" i="3"/>
  <c r="Z138" i="3"/>
  <c r="Z139" i="3"/>
  <c r="Z144" i="3"/>
  <c r="V145" i="3"/>
  <c r="Z164" i="3"/>
  <c r="V165" i="3"/>
  <c r="Z174" i="3"/>
  <c r="Z202" i="3"/>
  <c r="V209" i="3"/>
  <c r="V221" i="3"/>
  <c r="V227" i="3"/>
  <c r="V9" i="3"/>
  <c r="V10" i="3"/>
  <c r="V26" i="3"/>
  <c r="V27" i="3"/>
  <c r="Z5" i="3"/>
  <c r="Z6" i="3"/>
  <c r="Z7" i="3"/>
  <c r="Z13" i="3"/>
  <c r="Z14" i="3"/>
  <c r="Z15" i="3"/>
  <c r="Z21" i="3"/>
  <c r="Z22" i="3"/>
  <c r="Z23" i="3"/>
  <c r="Z29" i="3"/>
  <c r="Z30" i="3"/>
  <c r="Z31" i="3"/>
  <c r="Z37" i="3"/>
  <c r="Z38" i="3"/>
  <c r="Z39" i="3"/>
  <c r="Z45" i="3"/>
  <c r="Z46" i="3"/>
  <c r="Z51" i="3"/>
  <c r="Z81" i="3"/>
  <c r="Z89" i="3"/>
  <c r="Z91" i="3"/>
  <c r="V129" i="3"/>
  <c r="V149" i="3"/>
  <c r="V157" i="3"/>
  <c r="Z33" i="3"/>
  <c r="Z34" i="3"/>
  <c r="Z35" i="3"/>
  <c r="V2" i="3"/>
  <c r="V3" i="3"/>
  <c r="V11" i="3"/>
  <c r="V17" i="3"/>
  <c r="V18" i="3"/>
  <c r="V19" i="3"/>
  <c r="V25" i="3"/>
  <c r="V33" i="3"/>
  <c r="V34" i="3"/>
  <c r="V35" i="3"/>
  <c r="V41" i="3"/>
  <c r="V42" i="3"/>
  <c r="V43" i="3"/>
  <c r="V49" i="3"/>
  <c r="V53" i="3"/>
  <c r="V57" i="3"/>
  <c r="V58" i="3"/>
  <c r="V59" i="3"/>
  <c r="V60" i="3"/>
  <c r="V61" i="3"/>
  <c r="V95" i="3"/>
  <c r="V96" i="3"/>
  <c r="V97" i="3"/>
  <c r="V100" i="3"/>
  <c r="V101" i="3"/>
  <c r="V104" i="3"/>
  <c r="V105" i="3"/>
  <c r="V107" i="3"/>
  <c r="V108" i="3"/>
  <c r="V109" i="3"/>
  <c r="Z117" i="3"/>
  <c r="Z121" i="3"/>
  <c r="Z129" i="3"/>
  <c r="Z149" i="3"/>
  <c r="Z157" i="3"/>
  <c r="Z61" i="3"/>
  <c r="V65" i="3"/>
  <c r="V70" i="3"/>
  <c r="Z73" i="3"/>
  <c r="Z75" i="3"/>
  <c r="Z78" i="3"/>
  <c r="V79" i="3"/>
  <c r="V85" i="3"/>
  <c r="Z86" i="3"/>
  <c r="V93" i="3"/>
  <c r="V98" i="3"/>
  <c r="Z101" i="3"/>
  <c r="Z103" i="3"/>
  <c r="V106" i="3"/>
  <c r="Z109" i="3"/>
  <c r="V113" i="3"/>
  <c r="Z114" i="3"/>
  <c r="V120" i="3"/>
  <c r="Z124" i="3"/>
  <c r="Z126" i="3"/>
  <c r="V136" i="3"/>
  <c r="V138" i="3"/>
  <c r="V144" i="3"/>
  <c r="V146" i="3"/>
  <c r="Z147" i="3"/>
  <c r="Z152" i="3"/>
  <c r="Z154" i="3"/>
  <c r="Z155" i="3"/>
  <c r="Z160" i="3"/>
  <c r="Z162" i="3"/>
  <c r="V164" i="3"/>
  <c r="V166" i="3"/>
  <c r="V167" i="3"/>
  <c r="V172" i="3"/>
  <c r="V174" i="3"/>
  <c r="Z175" i="3"/>
  <c r="V179" i="3"/>
  <c r="Z180" i="3"/>
  <c r="Z182" i="3"/>
  <c r="Z188" i="3"/>
  <c r="Z190" i="3"/>
  <c r="Z195" i="3"/>
  <c r="V200" i="3"/>
  <c r="V202" i="3"/>
  <c r="Z203" i="3"/>
  <c r="V208" i="3"/>
  <c r="V210" i="3"/>
  <c r="Z216" i="3"/>
  <c r="Z218" i="3"/>
  <c r="Z219" i="3"/>
  <c r="V223" i="3"/>
  <c r="Z224" i="3"/>
  <c r="Z226" i="3"/>
  <c r="V228" i="3"/>
  <c r="V230" i="3"/>
  <c r="V231" i="3"/>
  <c r="Z119" i="3"/>
  <c r="V124" i="3"/>
  <c r="V126" i="3"/>
  <c r="Z132" i="3"/>
  <c r="Z134" i="3"/>
  <c r="Z140" i="3"/>
  <c r="Z142" i="3"/>
  <c r="V152" i="3"/>
  <c r="V154" i="3"/>
  <c r="V160" i="3"/>
  <c r="V162" i="3"/>
  <c r="Z163" i="3"/>
  <c r="Z168" i="3"/>
  <c r="Z170" i="3"/>
  <c r="Z176" i="3"/>
  <c r="Z178" i="3"/>
  <c r="V180" i="3"/>
  <c r="V182" i="3"/>
  <c r="V183" i="3"/>
  <c r="V188" i="3"/>
  <c r="V190" i="3"/>
  <c r="V191" i="3"/>
  <c r="Z196" i="3"/>
  <c r="Z198" i="3"/>
  <c r="Z204" i="3"/>
  <c r="Z206" i="3"/>
  <c r="V216" i="3"/>
  <c r="V218" i="3"/>
  <c r="V224" i="3"/>
  <c r="V226" i="3"/>
  <c r="Z56" i="3"/>
  <c r="Z59" i="3"/>
  <c r="Z62" i="3"/>
  <c r="V63" i="3"/>
  <c r="V66" i="3"/>
  <c r="Z69" i="3"/>
  <c r="Z71" i="3"/>
  <c r="V74" i="3"/>
  <c r="Z77" i="3"/>
  <c r="V81" i="3"/>
  <c r="Z82" i="3"/>
  <c r="V89" i="3"/>
  <c r="Z90" i="3"/>
  <c r="V91" i="3"/>
  <c r="V94" i="3"/>
  <c r="Z97" i="3"/>
  <c r="V102" i="3"/>
  <c r="Z105" i="3"/>
  <c r="Z107" i="3"/>
  <c r="Z110" i="3"/>
  <c r="V111" i="3"/>
  <c r="V117" i="3"/>
  <c r="Z118" i="3"/>
  <c r="V121" i="3"/>
  <c r="Z122" i="3"/>
  <c r="V127" i="3"/>
  <c r="Z128" i="3"/>
  <c r="Z130" i="3"/>
  <c r="V132" i="3"/>
  <c r="V134" i="3"/>
  <c r="V135" i="3"/>
  <c r="V140" i="3"/>
  <c r="V142" i="3"/>
  <c r="V143" i="3"/>
  <c r="Z148" i="3"/>
  <c r="Z150" i="3"/>
  <c r="Z156" i="3"/>
  <c r="Z158" i="3"/>
  <c r="V168" i="3"/>
  <c r="V170" i="3"/>
  <c r="Z171" i="3"/>
  <c r="V176" i="3"/>
  <c r="V178" i="3"/>
  <c r="Z184" i="3"/>
  <c r="Z186" i="3"/>
  <c r="Z192" i="3"/>
  <c r="Z194" i="3"/>
  <c r="V196" i="3"/>
  <c r="V198" i="3"/>
  <c r="V199" i="3"/>
  <c r="Z199" i="3"/>
  <c r="V204" i="3"/>
  <c r="V206" i="3"/>
  <c r="V207" i="3"/>
  <c r="Z207" i="3"/>
  <c r="Z212" i="3"/>
  <c r="Z214" i="3"/>
  <c r="Z222" i="3"/>
  <c r="Z227" i="3"/>
  <c r="V6" i="7"/>
  <c r="Z8" i="7"/>
  <c r="Z9" i="7"/>
  <c r="V14" i="7"/>
  <c r="Z16" i="7"/>
  <c r="Z17" i="7"/>
  <c r="V22" i="7"/>
  <c r="Z24" i="7"/>
  <c r="Z25" i="7"/>
  <c r="V30" i="7"/>
  <c r="Z32" i="7"/>
  <c r="Z33" i="7"/>
  <c r="Z35" i="7"/>
  <c r="V42" i="7"/>
  <c r="Z52" i="7"/>
  <c r="V58" i="7"/>
  <c r="Z68" i="7"/>
  <c r="V74" i="7"/>
  <c r="Z97" i="7"/>
  <c r="Z109" i="7"/>
  <c r="V137" i="7"/>
  <c r="V97" i="7"/>
  <c r="V2" i="7"/>
  <c r="V10" i="7"/>
  <c r="V18" i="7"/>
  <c r="Z20" i="7"/>
  <c r="Z21" i="7"/>
  <c r="V26" i="7"/>
  <c r="Z28" i="7"/>
  <c r="Z29" i="7"/>
  <c r="V34" i="7"/>
  <c r="V50" i="7"/>
  <c r="V66" i="7"/>
  <c r="Z117" i="7"/>
  <c r="V145" i="7"/>
  <c r="V4" i="7"/>
  <c r="V5" i="7"/>
  <c r="Z6" i="7"/>
  <c r="V12" i="7"/>
  <c r="V13" i="7"/>
  <c r="Z14" i="7"/>
  <c r="V20" i="7"/>
  <c r="V21" i="7"/>
  <c r="V82" i="7"/>
  <c r="V90" i="7"/>
  <c r="V93" i="7"/>
  <c r="Z103" i="7"/>
  <c r="V108" i="7"/>
  <c r="Z111" i="7"/>
  <c r="V116" i="7"/>
  <c r="V123" i="7"/>
  <c r="Z124" i="7"/>
  <c r="V131" i="7"/>
  <c r="Z132" i="7"/>
  <c r="V136" i="7"/>
  <c r="Z139" i="7"/>
  <c r="V144" i="7"/>
  <c r="Z147" i="7"/>
  <c r="V151" i="7"/>
  <c r="Z152" i="7"/>
  <c r="V159" i="7"/>
  <c r="Z160" i="7"/>
  <c r="Z167" i="7"/>
  <c r="Z175" i="7"/>
  <c r="V180" i="7"/>
  <c r="V187" i="7"/>
  <c r="Z188" i="7"/>
  <c r="V195" i="7"/>
  <c r="Z196" i="7"/>
  <c r="V200" i="7"/>
  <c r="V36" i="7"/>
  <c r="V37" i="7"/>
  <c r="Z38" i="7"/>
  <c r="V39" i="7"/>
  <c r="V45" i="7"/>
  <c r="Z46" i="7"/>
  <c r="V47" i="7"/>
  <c r="V53" i="7"/>
  <c r="Z54" i="7"/>
  <c r="V55" i="7"/>
  <c r="V61" i="7"/>
  <c r="Z62" i="7"/>
  <c r="V63" i="7"/>
  <c r="V69" i="7"/>
  <c r="Z70" i="7"/>
  <c r="V71" i="7"/>
  <c r="V77" i="7"/>
  <c r="Z78" i="7"/>
  <c r="V79" i="7"/>
  <c r="V85" i="7"/>
  <c r="Z86" i="7"/>
  <c r="V87" i="7"/>
  <c r="V95" i="7"/>
  <c r="V99" i="7"/>
  <c r="V103" i="7"/>
  <c r="Z104" i="7"/>
  <c r="Z106" i="7"/>
  <c r="V111" i="7"/>
  <c r="Z112" i="7"/>
  <c r="Z114" i="7"/>
  <c r="Z119" i="7"/>
  <c r="V124" i="7"/>
  <c r="V126" i="7"/>
  <c r="Z127" i="7"/>
  <c r="V132" i="7"/>
  <c r="V134" i="7"/>
  <c r="V139" i="7"/>
  <c r="Z140" i="7"/>
  <c r="Z142" i="7"/>
  <c r="V147" i="7"/>
  <c r="Z148" i="7"/>
  <c r="Z150" i="7"/>
  <c r="V152" i="7"/>
  <c r="V154" i="7"/>
  <c r="Z155" i="7"/>
  <c r="V162" i="7"/>
  <c r="Z163" i="7"/>
  <c r="V164" i="7"/>
  <c r="V167" i="7"/>
  <c r="Z168" i="7"/>
  <c r="Z170" i="7"/>
  <c r="V175" i="7"/>
  <c r="Z176" i="7"/>
  <c r="Z178" i="7"/>
  <c r="Z183" i="7"/>
  <c r="V188" i="7"/>
  <c r="V190" i="7"/>
  <c r="Z191" i="7"/>
  <c r="V196" i="7"/>
  <c r="V198" i="7"/>
  <c r="V38" i="7"/>
  <c r="Z41" i="7"/>
  <c r="Z43" i="7"/>
  <c r="V46" i="7"/>
  <c r="Z49" i="7"/>
  <c r="Z51" i="7"/>
  <c r="V54" i="7"/>
  <c r="Z57" i="7"/>
  <c r="Z59" i="7"/>
  <c r="V62" i="7"/>
  <c r="Z65" i="7"/>
  <c r="Z67" i="7"/>
  <c r="V70" i="7"/>
  <c r="Z73" i="7"/>
  <c r="Z75" i="7"/>
  <c r="V78" i="7"/>
  <c r="Z81" i="7"/>
  <c r="Z83" i="7"/>
  <c r="V86" i="7"/>
  <c r="Z89" i="7"/>
  <c r="Z91" i="7"/>
  <c r="Z92" i="7"/>
  <c r="V104" i="7"/>
  <c r="V106" i="7"/>
  <c r="Z107" i="7"/>
  <c r="V112" i="7"/>
  <c r="V114" i="7"/>
  <c r="Z115" i="7"/>
  <c r="V119" i="7"/>
  <c r="Z120" i="7"/>
  <c r="Z122" i="7"/>
  <c r="V127" i="7"/>
  <c r="Z128" i="7"/>
  <c r="Z130" i="7"/>
  <c r="Z135" i="7"/>
  <c r="V140" i="7"/>
  <c r="V142" i="7"/>
  <c r="Z143" i="7"/>
  <c r="V148" i="7"/>
  <c r="V150" i="7"/>
  <c r="V155" i="7"/>
  <c r="Z158" i="7"/>
  <c r="V163" i="7"/>
  <c r="Z164" i="7"/>
  <c r="Z166" i="7"/>
  <c r="V170" i="7"/>
  <c r="Z171" i="7"/>
  <c r="V176" i="7"/>
  <c r="V178" i="7"/>
  <c r="Z179" i="7"/>
  <c r="V183" i="7"/>
  <c r="Z184" i="7"/>
  <c r="Z186" i="7"/>
  <c r="V191" i="7"/>
  <c r="Z192" i="7"/>
  <c r="Z194" i="7"/>
  <c r="Z199" i="7"/>
  <c r="AB13" i="4"/>
  <c r="AB23" i="4"/>
  <c r="AB29" i="4"/>
  <c r="AB6" i="4"/>
  <c r="AB7" i="4"/>
  <c r="AB14" i="4"/>
  <c r="AB30" i="4"/>
  <c r="AB46" i="4"/>
  <c r="AB68" i="4"/>
  <c r="X79" i="4"/>
  <c r="X87" i="4"/>
  <c r="AB89" i="4"/>
  <c r="AB93" i="4"/>
  <c r="X95" i="4"/>
  <c r="AB97" i="4"/>
  <c r="X99" i="4"/>
  <c r="AB101" i="4"/>
  <c r="X115" i="4"/>
  <c r="X117" i="4"/>
  <c r="X121" i="4"/>
  <c r="X125" i="4"/>
  <c r="X127" i="4"/>
  <c r="X129" i="4"/>
  <c r="X133" i="4"/>
  <c r="X149" i="4"/>
  <c r="X153" i="4"/>
  <c r="X165" i="4"/>
  <c r="X167" i="4"/>
  <c r="X169" i="4"/>
  <c r="X170" i="4"/>
  <c r="X205" i="4"/>
  <c r="AB206" i="4"/>
  <c r="X208" i="4"/>
  <c r="X209" i="4"/>
  <c r="X212" i="4"/>
  <c r="AB6" i="5"/>
  <c r="X11" i="5"/>
  <c r="X13" i="5"/>
  <c r="AB22" i="5"/>
  <c r="X27" i="5"/>
  <c r="X29" i="5"/>
  <c r="X43" i="5"/>
  <c r="X45" i="5"/>
  <c r="X47" i="5"/>
  <c r="X63" i="5"/>
  <c r="AB69" i="5"/>
  <c r="AB108" i="5"/>
  <c r="AB116" i="5"/>
  <c r="AB124" i="5"/>
  <c r="AB132" i="5"/>
  <c r="AB39" i="4"/>
  <c r="AB45" i="4"/>
  <c r="AB55" i="4"/>
  <c r="AB58" i="4"/>
  <c r="AB60" i="4"/>
  <c r="AB61" i="4"/>
  <c r="AB67" i="4"/>
  <c r="AB76" i="4"/>
  <c r="AB80" i="4"/>
  <c r="AB84" i="4"/>
  <c r="AB88" i="4"/>
  <c r="AB92" i="4"/>
  <c r="AB96" i="4"/>
  <c r="AB104" i="4"/>
  <c r="AB114" i="4"/>
  <c r="AB120" i="4"/>
  <c r="AB130" i="4"/>
  <c r="AB136" i="4"/>
  <c r="AB146" i="4"/>
  <c r="AB156" i="4"/>
  <c r="AB160" i="4"/>
  <c r="AB164" i="4"/>
  <c r="AB176" i="4"/>
  <c r="AB186" i="4"/>
  <c r="AB192" i="4"/>
  <c r="AB193" i="4"/>
  <c r="AB200" i="4"/>
  <c r="AB203" i="4"/>
  <c r="X3" i="4"/>
  <c r="X6" i="4"/>
  <c r="AB22" i="4"/>
  <c r="AB38" i="4"/>
  <c r="AB54" i="4"/>
  <c r="X76" i="4"/>
  <c r="X80" i="4"/>
  <c r="X81" i="4"/>
  <c r="X84" i="4"/>
  <c r="X88" i="4"/>
  <c r="X90" i="4"/>
  <c r="X92" i="4"/>
  <c r="X96" i="4"/>
  <c r="X98" i="4"/>
  <c r="X104" i="4"/>
  <c r="AB106" i="4"/>
  <c r="AB108" i="4"/>
  <c r="AB110" i="4"/>
  <c r="AB112" i="4"/>
  <c r="X114" i="4"/>
  <c r="AB118" i="4"/>
  <c r="X120" i="4"/>
  <c r="AB122" i="4"/>
  <c r="AB124" i="4"/>
  <c r="AB126" i="4"/>
  <c r="AB128" i="4"/>
  <c r="X130" i="4"/>
  <c r="X132" i="4"/>
  <c r="AB134" i="4"/>
  <c r="X136" i="4"/>
  <c r="AB138" i="4"/>
  <c r="AB140" i="4"/>
  <c r="AB142" i="4"/>
  <c r="AB144" i="4"/>
  <c r="X146" i="4"/>
  <c r="AB148" i="4"/>
  <c r="AB150" i="4"/>
  <c r="X156" i="4"/>
  <c r="AB158" i="4"/>
  <c r="X160" i="4"/>
  <c r="X161" i="4"/>
  <c r="AB162" i="4"/>
  <c r="X164" i="4"/>
  <c r="AB174" i="4"/>
  <c r="X176" i="4"/>
  <c r="X177" i="4"/>
  <c r="X180" i="4"/>
  <c r="AB182" i="4"/>
  <c r="X186" i="4"/>
  <c r="X192" i="4"/>
  <c r="X216" i="4"/>
  <c r="X224" i="4"/>
  <c r="X228" i="4"/>
  <c r="AB228" i="4"/>
  <c r="X3" i="5"/>
  <c r="AB4" i="5"/>
  <c r="X5" i="5"/>
  <c r="AB14" i="5"/>
  <c r="X19" i="5"/>
  <c r="AB20" i="5"/>
  <c r="X21" i="5"/>
  <c r="AB30" i="5"/>
  <c r="AB34" i="5"/>
  <c r="X35" i="5"/>
  <c r="X37" i="5"/>
  <c r="X39" i="5"/>
  <c r="AB50" i="5"/>
  <c r="X51" i="5"/>
  <c r="X53" i="5"/>
  <c r="X55" i="5"/>
  <c r="AB65" i="5"/>
  <c r="AB74" i="5"/>
  <c r="X75" i="5"/>
  <c r="AB76" i="5"/>
  <c r="X77" i="5"/>
  <c r="AB81" i="5"/>
  <c r="AB82" i="5"/>
  <c r="AB84" i="5"/>
  <c r="AB89" i="5"/>
  <c r="AB90" i="5"/>
  <c r="AB92" i="5"/>
  <c r="AB97" i="5"/>
  <c r="AB5" i="5"/>
  <c r="X12" i="5"/>
  <c r="AB21" i="5"/>
  <c r="X28" i="5"/>
  <c r="AB39" i="5"/>
  <c r="X42" i="5"/>
  <c r="X44" i="5"/>
  <c r="AB55" i="5"/>
  <c r="X62" i="5"/>
  <c r="X64" i="5"/>
  <c r="X66" i="5"/>
  <c r="X68" i="5"/>
  <c r="X69" i="5"/>
  <c r="AB77" i="5"/>
  <c r="AB83" i="5"/>
  <c r="X85" i="5"/>
  <c r="AB91" i="5"/>
  <c r="X93" i="5"/>
  <c r="AB99" i="5"/>
  <c r="X101" i="5"/>
  <c r="AB105" i="5"/>
  <c r="X107" i="5"/>
  <c r="X108" i="5"/>
  <c r="X115" i="5"/>
  <c r="X116" i="5"/>
  <c r="AB121" i="5"/>
  <c r="X123" i="5"/>
  <c r="X124" i="5"/>
  <c r="X131" i="5"/>
  <c r="X132" i="5"/>
  <c r="X137" i="5"/>
  <c r="X145" i="5"/>
  <c r="X153" i="5"/>
  <c r="X161" i="5"/>
  <c r="X169" i="5"/>
  <c r="X177" i="5"/>
  <c r="AB187" i="5"/>
  <c r="AB195" i="5"/>
  <c r="AB207" i="5"/>
  <c r="X36" i="6"/>
  <c r="AB53" i="6"/>
  <c r="X66" i="6"/>
  <c r="X82" i="6"/>
  <c r="AB112" i="6"/>
  <c r="AB160" i="6"/>
  <c r="AB162" i="6"/>
  <c r="AB174" i="6"/>
  <c r="AB190" i="6"/>
  <c r="AB192" i="6"/>
  <c r="X174" i="8"/>
  <c r="X176" i="8"/>
  <c r="X196" i="8"/>
  <c r="X204" i="8"/>
  <c r="X219" i="8"/>
  <c r="AB98" i="5"/>
  <c r="AB100" i="5"/>
  <c r="AB103" i="5"/>
  <c r="AB104" i="5"/>
  <c r="AB113" i="5"/>
  <c r="AB114" i="5"/>
  <c r="AB119" i="5"/>
  <c r="AB120" i="5"/>
  <c r="AB129" i="5"/>
  <c r="AB130" i="5"/>
  <c r="AB135" i="5"/>
  <c r="AB136" i="5"/>
  <c r="AB143" i="5"/>
  <c r="AB144" i="5"/>
  <c r="AB151" i="5"/>
  <c r="AB152" i="5"/>
  <c r="AB159" i="5"/>
  <c r="AB160" i="5"/>
  <c r="AB167" i="5"/>
  <c r="AB168" i="5"/>
  <c r="AB175" i="5"/>
  <c r="AB176" i="5"/>
  <c r="X2" i="6"/>
  <c r="X4" i="6"/>
  <c r="X6" i="6"/>
  <c r="X8" i="6"/>
  <c r="AB20" i="6"/>
  <c r="X22" i="6"/>
  <c r="X24" i="6"/>
  <c r="AB28" i="6"/>
  <c r="X30" i="6"/>
  <c r="X34" i="6"/>
  <c r="X37" i="6"/>
  <c r="AB38" i="6"/>
  <c r="AB43" i="6"/>
  <c r="AB54" i="6"/>
  <c r="AB56" i="6"/>
  <c r="AB70" i="6"/>
  <c r="AB72" i="6"/>
  <c r="AB103" i="6"/>
  <c r="AB108" i="6"/>
  <c r="AB111" i="6"/>
  <c r="AB143" i="6"/>
  <c r="AB146" i="6"/>
  <c r="AB148" i="6"/>
  <c r="AB157" i="6"/>
  <c r="AB172" i="6"/>
  <c r="AB173" i="6"/>
  <c r="AB175" i="6"/>
  <c r="X186" i="6"/>
  <c r="AB187" i="6"/>
  <c r="X192" i="6"/>
  <c r="X194" i="6"/>
  <c r="AB203" i="6"/>
  <c r="X204" i="6"/>
  <c r="AB205" i="6"/>
  <c r="X206" i="6"/>
  <c r="X208" i="6"/>
  <c r="X2" i="8"/>
  <c r="X3" i="8"/>
  <c r="AB4" i="8"/>
  <c r="X6" i="8"/>
  <c r="X7" i="8"/>
  <c r="AB8" i="8"/>
  <c r="X10" i="8"/>
  <c r="X83" i="8"/>
  <c r="X114" i="8"/>
  <c r="X121" i="8"/>
  <c r="X123" i="8"/>
  <c r="X125" i="8"/>
  <c r="X127" i="8"/>
  <c r="AB145" i="8"/>
  <c r="AB231" i="8"/>
  <c r="X156" i="5"/>
  <c r="X162" i="5"/>
  <c r="X164" i="5"/>
  <c r="X170" i="5"/>
  <c r="X172" i="5"/>
  <c r="X178" i="5"/>
  <c r="X180" i="5"/>
  <c r="X184" i="5"/>
  <c r="X190" i="5"/>
  <c r="X192" i="5"/>
  <c r="X200" i="5"/>
  <c r="X210" i="5"/>
  <c r="AB214" i="5"/>
  <c r="AB3" i="6"/>
  <c r="X20" i="6"/>
  <c r="X28" i="6"/>
  <c r="X68" i="6"/>
  <c r="X70" i="6"/>
  <c r="AB74" i="6"/>
  <c r="X76" i="6"/>
  <c r="X80" i="6"/>
  <c r="X88" i="6"/>
  <c r="X94" i="6"/>
  <c r="X108" i="6"/>
  <c r="X111" i="6"/>
  <c r="X115" i="6"/>
  <c r="X119" i="6"/>
  <c r="X138" i="6"/>
  <c r="X143" i="6"/>
  <c r="AB144" i="6"/>
  <c r="X146" i="6"/>
  <c r="X148" i="6"/>
  <c r="X172" i="6"/>
  <c r="AB182" i="6"/>
  <c r="X187" i="6"/>
  <c r="X191" i="6"/>
  <c r="AB198" i="6"/>
  <c r="AB15" i="8"/>
  <c r="AB20" i="8"/>
  <c r="AB23" i="8"/>
  <c r="AB28" i="8"/>
  <c r="AB31" i="8"/>
  <c r="AB36" i="8"/>
  <c r="AB39" i="8"/>
  <c r="AB47" i="8"/>
  <c r="AB52" i="8"/>
  <c r="AB57" i="8"/>
  <c r="AB63" i="8"/>
  <c r="AB68" i="8"/>
  <c r="AB73" i="8"/>
  <c r="X103" i="8"/>
  <c r="X111" i="8"/>
  <c r="AB120" i="8"/>
  <c r="X142" i="8"/>
  <c r="X144" i="8"/>
  <c r="X145" i="8"/>
  <c r="AB161" i="8"/>
  <c r="X165" i="8"/>
  <c r="X171" i="8"/>
  <c r="AB177" i="8"/>
  <c r="X179" i="8"/>
  <c r="AB181" i="8"/>
  <c r="X183" i="8"/>
  <c r="AB191" i="8"/>
  <c r="X193" i="8"/>
  <c r="X199" i="8"/>
  <c r="AB205" i="8"/>
  <c r="AB207" i="8"/>
  <c r="X227" i="8"/>
  <c r="X198" i="6"/>
  <c r="X200" i="6"/>
  <c r="AB211" i="6"/>
  <c r="X12" i="8"/>
  <c r="AB13" i="8"/>
  <c r="X15" i="8"/>
  <c r="AB19" i="8"/>
  <c r="X20" i="8"/>
  <c r="AB21" i="8"/>
  <c r="X23" i="8"/>
  <c r="AB27" i="8"/>
  <c r="X28" i="8"/>
  <c r="AB29" i="8"/>
  <c r="X31" i="8"/>
  <c r="AB35" i="8"/>
  <c r="X36" i="8"/>
  <c r="AB37" i="8"/>
  <c r="X39" i="8"/>
  <c r="X47" i="8"/>
  <c r="AB51" i="8"/>
  <c r="X52" i="8"/>
  <c r="AB53" i="8"/>
  <c r="AB55" i="8"/>
  <c r="X57" i="8"/>
  <c r="X63" i="8"/>
  <c r="X68" i="8"/>
  <c r="AB69" i="8"/>
  <c r="AB71" i="8"/>
  <c r="X73" i="8"/>
  <c r="AB75" i="8"/>
  <c r="AB77" i="8"/>
  <c r="AB79" i="8"/>
  <c r="X81" i="8"/>
  <c r="AB89" i="8"/>
  <c r="AB98" i="8"/>
  <c r="X99" i="8"/>
  <c r="AB100" i="8"/>
  <c r="AB102" i="8"/>
  <c r="AB106" i="8"/>
  <c r="AB110" i="8"/>
  <c r="AB117" i="8"/>
  <c r="AB119" i="8"/>
  <c r="X120" i="8"/>
  <c r="AB124" i="8"/>
  <c r="AB129" i="8"/>
  <c r="AB150" i="8"/>
  <c r="X157" i="8"/>
  <c r="X159" i="8"/>
  <c r="AB160" i="8"/>
  <c r="X161" i="8"/>
  <c r="AB168" i="8"/>
  <c r="AB173" i="8"/>
  <c r="AB192" i="8"/>
  <c r="AB196" i="8"/>
  <c r="AB204" i="8"/>
  <c r="AB219" i="8"/>
  <c r="AB4" i="4"/>
  <c r="X9" i="4"/>
  <c r="X11" i="4"/>
  <c r="X12" i="4"/>
  <c r="AB12" i="4"/>
  <c r="X17" i="4"/>
  <c r="X19" i="4"/>
  <c r="X20" i="4"/>
  <c r="AB20" i="4"/>
  <c r="X25" i="4"/>
  <c r="X27" i="4"/>
  <c r="AB28" i="4"/>
  <c r="X33" i="4"/>
  <c r="X35" i="4"/>
  <c r="AB36" i="4"/>
  <c r="X41" i="4"/>
  <c r="X43" i="4"/>
  <c r="AB44" i="4"/>
  <c r="X49" i="4"/>
  <c r="X51" i="4"/>
  <c r="AB52" i="4"/>
  <c r="X57" i="4"/>
  <c r="X59" i="4"/>
  <c r="X65" i="4"/>
  <c r="X71" i="4"/>
  <c r="X73" i="4"/>
  <c r="X74" i="4"/>
  <c r="AB79" i="4"/>
  <c r="AB81" i="4"/>
  <c r="AB87" i="4"/>
  <c r="X89" i="4"/>
  <c r="AB90" i="4"/>
  <c r="AB95" i="4"/>
  <c r="X97" i="4"/>
  <c r="AB98" i="4"/>
  <c r="AB115" i="4"/>
  <c r="AB121" i="4"/>
  <c r="X122" i="4"/>
  <c r="X124" i="4"/>
  <c r="AB125" i="4"/>
  <c r="X126" i="4"/>
  <c r="X128" i="4"/>
  <c r="AB129" i="4"/>
  <c r="AB132" i="4"/>
  <c r="X134" i="4"/>
  <c r="AB141" i="4"/>
  <c r="X148" i="4"/>
  <c r="AB149" i="4"/>
  <c r="X150" i="4"/>
  <c r="AB151" i="4"/>
  <c r="X158" i="4"/>
  <c r="AB161" i="4"/>
  <c r="AB165" i="4"/>
  <c r="X166" i="4"/>
  <c r="AB169" i="4"/>
  <c r="AB171" i="4"/>
  <c r="AB180" i="4"/>
  <c r="AB184" i="4"/>
  <c r="AB187" i="4"/>
  <c r="AB190" i="4"/>
  <c r="X195" i="4"/>
  <c r="X197" i="4"/>
  <c r="X201" i="4"/>
  <c r="X213" i="4"/>
  <c r="X5" i="4"/>
  <c r="X7" i="4"/>
  <c r="AB8" i="4"/>
  <c r="X13" i="4"/>
  <c r="X15" i="4"/>
  <c r="X16" i="4"/>
  <c r="AB16" i="4"/>
  <c r="X21" i="4"/>
  <c r="X23" i="4"/>
  <c r="AB24" i="4"/>
  <c r="X29" i="4"/>
  <c r="X31" i="4"/>
  <c r="AB32" i="4"/>
  <c r="X37" i="4"/>
  <c r="X39" i="4"/>
  <c r="AB40" i="4"/>
  <c r="X45" i="4"/>
  <c r="X47" i="4"/>
  <c r="AB48" i="4"/>
  <c r="X53" i="4"/>
  <c r="X55" i="4"/>
  <c r="AB56" i="4"/>
  <c r="X58" i="4"/>
  <c r="X60" i="4"/>
  <c r="X61" i="4"/>
  <c r="X62" i="4"/>
  <c r="X67" i="4"/>
  <c r="X69" i="4"/>
  <c r="X70" i="4"/>
  <c r="X75" i="4"/>
  <c r="AB77" i="4"/>
  <c r="AB83" i="4"/>
  <c r="AB85" i="4"/>
  <c r="AB86" i="4"/>
  <c r="AB91" i="4"/>
  <c r="X93" i="4"/>
  <c r="AB94" i="4"/>
  <c r="AB100" i="4"/>
  <c r="X101" i="4"/>
  <c r="AB102" i="4"/>
  <c r="AB105" i="4"/>
  <c r="X106" i="4"/>
  <c r="X108" i="4"/>
  <c r="AB109" i="4"/>
  <c r="X110" i="4"/>
  <c r="X112" i="4"/>
  <c r="AB113" i="4"/>
  <c r="AB116" i="4"/>
  <c r="X118" i="4"/>
  <c r="AB131" i="4"/>
  <c r="AB137" i="4"/>
  <c r="X138" i="4"/>
  <c r="X140" i="4"/>
  <c r="X142" i="4"/>
  <c r="X144" i="4"/>
  <c r="AB145" i="4"/>
  <c r="AB152" i="4"/>
  <c r="AB154" i="4"/>
  <c r="AB155" i="4"/>
  <c r="AB157" i="4"/>
  <c r="X162" i="4"/>
  <c r="AB168" i="4"/>
  <c r="AB172" i="4"/>
  <c r="AB173" i="4"/>
  <c r="X178" i="4"/>
  <c r="AB214" i="4"/>
  <c r="AB3" i="4"/>
  <c r="X8" i="4"/>
  <c r="AB9" i="4"/>
  <c r="AB11" i="4"/>
  <c r="AB17" i="4"/>
  <c r="AB19" i="4"/>
  <c r="AB25" i="4"/>
  <c r="AB27" i="4"/>
  <c r="AB33" i="4"/>
  <c r="AB35" i="4"/>
  <c r="AB41" i="4"/>
  <c r="AB43" i="4"/>
  <c r="AB49" i="4"/>
  <c r="AB51" i="4"/>
  <c r="AB57" i="4"/>
  <c r="AB59" i="4"/>
  <c r="AB63" i="4"/>
  <c r="AB65" i="4"/>
  <c r="AB71" i="4"/>
  <c r="AB73" i="4"/>
  <c r="X77" i="4"/>
  <c r="X83" i="4"/>
  <c r="X85" i="4"/>
  <c r="X86" i="4"/>
  <c r="X91" i="4"/>
  <c r="X94" i="4"/>
  <c r="X100" i="4"/>
  <c r="X102" i="4"/>
  <c r="X105" i="4"/>
  <c r="X109" i="4"/>
  <c r="X111" i="4"/>
  <c r="X113" i="4"/>
  <c r="X116" i="4"/>
  <c r="X131" i="4"/>
  <c r="X137" i="4"/>
  <c r="X141" i="4"/>
  <c r="X143" i="4"/>
  <c r="X145" i="4"/>
  <c r="X154" i="4"/>
  <c r="X157" i="4"/>
  <c r="AB166" i="4"/>
  <c r="X172" i="4"/>
  <c r="X173" i="4"/>
  <c r="X181" i="4"/>
  <c r="X185" i="4"/>
  <c r="X188" i="4"/>
  <c r="X189" i="4"/>
  <c r="X196" i="4"/>
  <c r="X198" i="4"/>
  <c r="AB201" i="4"/>
  <c r="AB204" i="4"/>
  <c r="AB205" i="4"/>
  <c r="X210" i="4"/>
  <c r="X215" i="4"/>
  <c r="AB216" i="4"/>
  <c r="X219" i="4"/>
  <c r="AB220" i="4"/>
  <c r="X223" i="4"/>
  <c r="AB224" i="4"/>
  <c r="X227" i="4"/>
  <c r="X230" i="4"/>
  <c r="X231" i="4"/>
  <c r="X2" i="5"/>
  <c r="AB3" i="5"/>
  <c r="X8" i="5"/>
  <c r="X10" i="5"/>
  <c r="AB11" i="5"/>
  <c r="X16" i="5"/>
  <c r="X18" i="5"/>
  <c r="AB19" i="5"/>
  <c r="X24" i="5"/>
  <c r="X26" i="5"/>
  <c r="AB27" i="5"/>
  <c r="X32" i="5"/>
  <c r="AB35" i="5"/>
  <c r="AB37" i="5"/>
  <c r="AB43" i="5"/>
  <c r="AB45" i="5"/>
  <c r="AB51" i="5"/>
  <c r="AB53" i="5"/>
  <c r="X58" i="5"/>
  <c r="X60" i="5"/>
  <c r="AB63" i="5"/>
  <c r="X67" i="5"/>
  <c r="AB68" i="5"/>
  <c r="AB75" i="5"/>
  <c r="X78" i="5"/>
  <c r="X80" i="5"/>
  <c r="AB86" i="5"/>
  <c r="X87" i="5"/>
  <c r="AB88" i="5"/>
  <c r="AB94" i="5"/>
  <c r="X95" i="5"/>
  <c r="AB96" i="5"/>
  <c r="AB107" i="5"/>
  <c r="AB109" i="5"/>
  <c r="X111" i="5"/>
  <c r="AB112" i="5"/>
  <c r="AB115" i="5"/>
  <c r="X117" i="5"/>
  <c r="AB123" i="5"/>
  <c r="AB125" i="5"/>
  <c r="X127" i="5"/>
  <c r="AB128" i="5"/>
  <c r="AB131" i="5"/>
  <c r="X133" i="5"/>
  <c r="AB138" i="5"/>
  <c r="X139" i="5"/>
  <c r="X141" i="5"/>
  <c r="AB146" i="5"/>
  <c r="X147" i="5"/>
  <c r="X149" i="5"/>
  <c r="AB154" i="5"/>
  <c r="X155" i="5"/>
  <c r="X157" i="5"/>
  <c r="AB162" i="5"/>
  <c r="X163" i="5"/>
  <c r="X165" i="5"/>
  <c r="AB170" i="5"/>
  <c r="X171" i="5"/>
  <c r="X173" i="5"/>
  <c r="AB178" i="5"/>
  <c r="X179" i="5"/>
  <c r="X181" i="5"/>
  <c r="X183" i="5"/>
  <c r="AB184" i="5"/>
  <c r="X188" i="5"/>
  <c r="AB191" i="5"/>
  <c r="X194" i="5"/>
  <c r="X196" i="5"/>
  <c r="AB199" i="5"/>
  <c r="AB202" i="5"/>
  <c r="X203" i="5"/>
  <c r="AB204" i="5"/>
  <c r="X206" i="5"/>
  <c r="X208" i="5"/>
  <c r="AB211" i="5"/>
  <c r="AB213" i="5"/>
  <c r="AB4" i="6"/>
  <c r="X5" i="6"/>
  <c r="AB6" i="6"/>
  <c r="AB11" i="6"/>
  <c r="AB19" i="6"/>
  <c r="X21" i="6"/>
  <c r="AB22" i="6"/>
  <c r="AB27" i="6"/>
  <c r="X29" i="6"/>
  <c r="AB30" i="6"/>
  <c r="AB32" i="6"/>
  <c r="X33" i="6"/>
  <c r="AB34" i="6"/>
  <c r="AB37" i="6"/>
  <c r="X39" i="6"/>
  <c r="X42" i="6"/>
  <c r="AB45" i="6"/>
  <c r="X47" i="6"/>
  <c r="X50" i="6"/>
  <c r="X52" i="6"/>
  <c r="AB58" i="6"/>
  <c r="X60" i="6"/>
  <c r="X73" i="6"/>
  <c r="X81" i="6"/>
  <c r="X97" i="6"/>
  <c r="X105" i="6"/>
  <c r="X107" i="6"/>
  <c r="X136" i="6"/>
  <c r="X142" i="6"/>
  <c r="X158" i="6"/>
  <c r="AB180" i="6"/>
  <c r="AB190" i="5"/>
  <c r="X191" i="5"/>
  <c r="AB192" i="5"/>
  <c r="X199" i="5"/>
  <c r="AB200" i="5"/>
  <c r="X204" i="5"/>
  <c r="AB210" i="5"/>
  <c r="X211" i="5"/>
  <c r="X213" i="5"/>
  <c r="AB229" i="4"/>
  <c r="X6" i="5"/>
  <c r="AB7" i="5"/>
  <c r="X14" i="5"/>
  <c r="AB15" i="5"/>
  <c r="X22" i="5"/>
  <c r="AB23" i="5"/>
  <c r="X30" i="5"/>
  <c r="AB31" i="5"/>
  <c r="AB57" i="5"/>
  <c r="AB59" i="5"/>
  <c r="X71" i="5"/>
  <c r="AB79" i="5"/>
  <c r="X83" i="5"/>
  <c r="X91" i="5"/>
  <c r="X99" i="5"/>
  <c r="X105" i="5"/>
  <c r="X121" i="5"/>
  <c r="AB12" i="6"/>
  <c r="X13" i="6"/>
  <c r="X17" i="6"/>
  <c r="AB23" i="6"/>
  <c r="X25" i="6"/>
  <c r="AB26" i="6"/>
  <c r="AB31" i="6"/>
  <c r="AB128" i="6"/>
  <c r="X139" i="6"/>
  <c r="X140" i="6"/>
  <c r="AB150" i="6"/>
  <c r="AB152" i="6"/>
  <c r="AB154" i="6"/>
  <c r="AB168" i="6"/>
  <c r="AB170" i="6"/>
  <c r="X174" i="6"/>
  <c r="AB6" i="8"/>
  <c r="X174" i="4"/>
  <c r="AB177" i="4"/>
  <c r="AB181" i="4"/>
  <c r="X182" i="4"/>
  <c r="AB185" i="4"/>
  <c r="AB188" i="4"/>
  <c r="X193" i="4"/>
  <c r="AB196" i="4"/>
  <c r="AB198" i="4"/>
  <c r="X200" i="4"/>
  <c r="X203" i="4"/>
  <c r="X206" i="4"/>
  <c r="AB209" i="4"/>
  <c r="AB213" i="4"/>
  <c r="X214" i="4"/>
  <c r="AB230" i="4"/>
  <c r="AB231" i="4"/>
  <c r="AB2" i="5"/>
  <c r="X7" i="5"/>
  <c r="AB8" i="5"/>
  <c r="AB10" i="5"/>
  <c r="X15" i="5"/>
  <c r="AB16" i="5"/>
  <c r="AB18" i="5"/>
  <c r="X23" i="5"/>
  <c r="AB24" i="5"/>
  <c r="AB26" i="5"/>
  <c r="X31" i="5"/>
  <c r="AB32" i="5"/>
  <c r="AB40" i="5"/>
  <c r="AB48" i="5"/>
  <c r="AB56" i="5"/>
  <c r="X57" i="5"/>
  <c r="X59" i="5"/>
  <c r="AB60" i="5"/>
  <c r="AB67" i="5"/>
  <c r="X72" i="5"/>
  <c r="AB78" i="5"/>
  <c r="X79" i="5"/>
  <c r="AB80" i="5"/>
  <c r="X82" i="5"/>
  <c r="X84" i="5"/>
  <c r="AB87" i="5"/>
  <c r="X90" i="5"/>
  <c r="X92" i="5"/>
  <c r="AB95" i="5"/>
  <c r="X98" i="5"/>
  <c r="X100" i="5"/>
  <c r="X104" i="5"/>
  <c r="AB111" i="5"/>
  <c r="AB117" i="5"/>
  <c r="X120" i="5"/>
  <c r="AB127" i="5"/>
  <c r="AB133" i="5"/>
  <c r="AB139" i="5"/>
  <c r="AB141" i="5"/>
  <c r="AB147" i="5"/>
  <c r="AB149" i="5"/>
  <c r="AB155" i="5"/>
  <c r="AB157" i="5"/>
  <c r="AB163" i="5"/>
  <c r="AB165" i="5"/>
  <c r="AB171" i="5"/>
  <c r="AB173" i="5"/>
  <c r="AB179" i="5"/>
  <c r="AB181" i="5"/>
  <c r="AB183" i="5"/>
  <c r="AB186" i="5"/>
  <c r="X187" i="5"/>
  <c r="AB188" i="5"/>
  <c r="X195" i="5"/>
  <c r="AB196" i="5"/>
  <c r="AB203" i="5"/>
  <c r="AB206" i="5"/>
  <c r="X207" i="5"/>
  <c r="AB208" i="5"/>
  <c r="X214" i="5"/>
  <c r="X3" i="6"/>
  <c r="AB5" i="6"/>
  <c r="X7" i="6"/>
  <c r="X10" i="6"/>
  <c r="X12" i="6"/>
  <c r="X14" i="6"/>
  <c r="X18" i="6"/>
  <c r="AB33" i="6"/>
  <c r="X35" i="6"/>
  <c r="AB36" i="6"/>
  <c r="AB39" i="6"/>
  <c r="X41" i="6"/>
  <c r="AB42" i="6"/>
  <c r="AB52" i="6"/>
  <c r="X53" i="6"/>
  <c r="AB60" i="6"/>
  <c r="AB61" i="6"/>
  <c r="AB73" i="6"/>
  <c r="X74" i="6"/>
  <c r="AB78" i="6"/>
  <c r="AB81" i="6"/>
  <c r="AB83" i="6"/>
  <c r="AB88" i="6"/>
  <c r="AB97" i="6"/>
  <c r="AB98" i="6"/>
  <c r="AB107" i="6"/>
  <c r="AB109" i="6"/>
  <c r="AB115" i="6"/>
  <c r="X116" i="6"/>
  <c r="AB119" i="6"/>
  <c r="AB136" i="6"/>
  <c r="AB138" i="6"/>
  <c r="AB142" i="6"/>
  <c r="AB147" i="6"/>
  <c r="AB158" i="6"/>
  <c r="AB165" i="6"/>
  <c r="AB47" i="6"/>
  <c r="X49" i="6"/>
  <c r="AB50" i="6"/>
  <c r="AB55" i="6"/>
  <c r="X62" i="6"/>
  <c r="X64" i="6"/>
  <c r="AB65" i="6"/>
  <c r="AB68" i="6"/>
  <c r="AB71" i="6"/>
  <c r="AB80" i="6"/>
  <c r="X84" i="6"/>
  <c r="X86" i="6"/>
  <c r="X87" i="6"/>
  <c r="AB94" i="6"/>
  <c r="AB100" i="6"/>
  <c r="AB102" i="6"/>
  <c r="X110" i="6"/>
  <c r="AB116" i="6"/>
  <c r="X118" i="6"/>
  <c r="X121" i="6"/>
  <c r="X123" i="6"/>
  <c r="X126" i="6"/>
  <c r="AB132" i="6"/>
  <c r="X134" i="6"/>
  <c r="X137" i="6"/>
  <c r="X149" i="6"/>
  <c r="X151" i="6"/>
  <c r="X159" i="6"/>
  <c r="X161" i="6"/>
  <c r="X167" i="6"/>
  <c r="X169" i="6"/>
  <c r="X188" i="6"/>
  <c r="AB193" i="6"/>
  <c r="AB195" i="6"/>
  <c r="AB199" i="6"/>
  <c r="AB201" i="6"/>
  <c r="AB207" i="6"/>
  <c r="AB209" i="6"/>
  <c r="AB212" i="6"/>
  <c r="X5" i="8"/>
  <c r="X9" i="8"/>
  <c r="X11" i="8"/>
  <c r="X14" i="8"/>
  <c r="AB67" i="8"/>
  <c r="AB83" i="8"/>
  <c r="X108" i="8"/>
  <c r="AB12" i="8"/>
  <c r="X17" i="8"/>
  <c r="AB18" i="8"/>
  <c r="X19" i="8"/>
  <c r="X33" i="8"/>
  <c r="AB34" i="8"/>
  <c r="X35" i="8"/>
  <c r="AB58" i="8"/>
  <c r="X65" i="8"/>
  <c r="X67" i="8"/>
  <c r="AB114" i="8"/>
  <c r="X119" i="8"/>
  <c r="X124" i="8"/>
  <c r="AB125" i="8"/>
  <c r="AB127" i="8"/>
  <c r="AB130" i="8"/>
  <c r="AB132" i="8"/>
  <c r="X137" i="8"/>
  <c r="AB93" i="8"/>
  <c r="AB95" i="8"/>
  <c r="AB112" i="8"/>
  <c r="AB115" i="8"/>
  <c r="AB118" i="8"/>
  <c r="AB128" i="8"/>
  <c r="X130" i="8"/>
  <c r="X132" i="8"/>
  <c r="X136" i="8"/>
  <c r="AB163" i="8"/>
  <c r="AB166" i="8"/>
  <c r="AB2" i="6"/>
  <c r="AB7" i="6"/>
  <c r="X9" i="6"/>
  <c r="AB10" i="6"/>
  <c r="AB15" i="6"/>
  <c r="AB16" i="6"/>
  <c r="AB21" i="6"/>
  <c r="X23" i="6"/>
  <c r="X26" i="6"/>
  <c r="AB29" i="6"/>
  <c r="X31" i="6"/>
  <c r="X32" i="6"/>
  <c r="X38" i="6"/>
  <c r="AB41" i="6"/>
  <c r="X43" i="6"/>
  <c r="X46" i="6"/>
  <c r="AB49" i="6"/>
  <c r="X51" i="6"/>
  <c r="X54" i="6"/>
  <c r="X56" i="6"/>
  <c r="X61" i="6"/>
  <c r="AB62" i="6"/>
  <c r="AB64" i="6"/>
  <c r="X67" i="6"/>
  <c r="X69" i="6"/>
  <c r="X72" i="6"/>
  <c r="X77" i="6"/>
  <c r="X78" i="6"/>
  <c r="X79" i="6"/>
  <c r="AB86" i="6"/>
  <c r="X90" i="6"/>
  <c r="X96" i="6"/>
  <c r="X98" i="6"/>
  <c r="X101" i="6"/>
  <c r="X103" i="6"/>
  <c r="X106" i="6"/>
  <c r="AB110" i="6"/>
  <c r="X112" i="6"/>
  <c r="AB118" i="6"/>
  <c r="AB123" i="6"/>
  <c r="AB126" i="6"/>
  <c r="X128" i="6"/>
  <c r="AB134" i="6"/>
  <c r="AB137" i="6"/>
  <c r="X144" i="6"/>
  <c r="AB149" i="6"/>
  <c r="X150" i="6"/>
  <c r="X152" i="6"/>
  <c r="X154" i="6"/>
  <c r="AB159" i="6"/>
  <c r="X160" i="6"/>
  <c r="X162" i="6"/>
  <c r="AB167" i="6"/>
  <c r="X168" i="6"/>
  <c r="X170" i="6"/>
  <c r="AB171" i="6"/>
  <c r="X175" i="6"/>
  <c r="X182" i="6"/>
  <c r="AB183" i="6"/>
  <c r="AB188" i="6"/>
  <c r="AB194" i="6"/>
  <c r="AB200" i="6"/>
  <c r="X203" i="6"/>
  <c r="X205" i="6"/>
  <c r="AB208" i="6"/>
  <c r="X211" i="6"/>
  <c r="X4" i="8"/>
  <c r="AB5" i="8"/>
  <c r="X25" i="8"/>
  <c r="AB26" i="8"/>
  <c r="X27" i="8"/>
  <c r="X41" i="8"/>
  <c r="AB42" i="8"/>
  <c r="X49" i="8"/>
  <c r="X51" i="8"/>
  <c r="AB74" i="8"/>
  <c r="X75" i="8"/>
  <c r="AB90" i="8"/>
  <c r="X91" i="8"/>
  <c r="X180" i="8"/>
  <c r="X188" i="8"/>
  <c r="AB200" i="8"/>
  <c r="X201" i="8"/>
  <c r="X211" i="8"/>
  <c r="X171" i="6"/>
  <c r="AB178" i="6"/>
  <c r="X181" i="6"/>
  <c r="X183" i="6"/>
  <c r="AB186" i="6"/>
  <c r="AB189" i="6"/>
  <c r="X190" i="6"/>
  <c r="AB191" i="6"/>
  <c r="X193" i="6"/>
  <c r="X195" i="6"/>
  <c r="X199" i="6"/>
  <c r="X201" i="6"/>
  <c r="AB204" i="6"/>
  <c r="X207" i="6"/>
  <c r="X209" i="6"/>
  <c r="X212" i="6"/>
  <c r="AB3" i="8"/>
  <c r="X8" i="8"/>
  <c r="AB9" i="8"/>
  <c r="AB11" i="8"/>
  <c r="X13" i="8"/>
  <c r="AB14" i="8"/>
  <c r="AB16" i="8"/>
  <c r="X21" i="8"/>
  <c r="AB22" i="8"/>
  <c r="AB24" i="8"/>
  <c r="X29" i="8"/>
  <c r="AB30" i="8"/>
  <c r="AB32" i="8"/>
  <c r="X37" i="8"/>
  <c r="AB38" i="8"/>
  <c r="AB40" i="8"/>
  <c r="AB43" i="8"/>
  <c r="AB45" i="8"/>
  <c r="AB46" i="8"/>
  <c r="AB48" i="8"/>
  <c r="X53" i="8"/>
  <c r="X55" i="8"/>
  <c r="AB56" i="8"/>
  <c r="AB59" i="8"/>
  <c r="AB61" i="8"/>
  <c r="AB62" i="8"/>
  <c r="AB64" i="8"/>
  <c r="X69" i="8"/>
  <c r="X71" i="8"/>
  <c r="AB76" i="8"/>
  <c r="X77" i="8"/>
  <c r="X79" i="8"/>
  <c r="AB84" i="8"/>
  <c r="X85" i="8"/>
  <c r="X87" i="8"/>
  <c r="AB92" i="8"/>
  <c r="X93" i="8"/>
  <c r="X95" i="8"/>
  <c r="AB133" i="8"/>
  <c r="AB135" i="8"/>
  <c r="AB139" i="8"/>
  <c r="AB140" i="8"/>
  <c r="X175" i="8"/>
  <c r="AB176" i="8"/>
  <c r="X177" i="8"/>
  <c r="AB180" i="8"/>
  <c r="AB188" i="8"/>
  <c r="AB189" i="8"/>
  <c r="X191" i="8"/>
  <c r="AB217" i="8"/>
  <c r="X222" i="8"/>
  <c r="AB225" i="8"/>
  <c r="X229" i="8"/>
  <c r="AB230" i="8"/>
  <c r="AB220" i="8"/>
  <c r="AB228" i="8"/>
  <c r="X230" i="8"/>
  <c r="X140" i="8"/>
  <c r="AB141" i="8"/>
  <c r="AB143" i="8"/>
  <c r="X146" i="8"/>
  <c r="X148" i="8"/>
  <c r="AB151" i="8"/>
  <c r="X153" i="8"/>
  <c r="AB156" i="8"/>
  <c r="AB162" i="8"/>
  <c r="AB164" i="8"/>
  <c r="AB167" i="8"/>
  <c r="X169" i="8"/>
  <c r="AB172" i="8"/>
  <c r="AB178" i="8"/>
  <c r="AB185" i="8"/>
  <c r="X187" i="8"/>
  <c r="X189" i="8"/>
  <c r="X190" i="8"/>
  <c r="X192" i="8"/>
  <c r="X195" i="8"/>
  <c r="X197" i="8"/>
  <c r="AB197" i="8"/>
  <c r="AB203" i="8"/>
  <c r="X205" i="8"/>
  <c r="X207" i="8"/>
  <c r="AB208" i="8"/>
  <c r="AB221" i="8"/>
  <c r="X226" i="8"/>
  <c r="X231" i="8"/>
  <c r="X16" i="8"/>
  <c r="AB17" i="8"/>
  <c r="X22" i="8"/>
  <c r="X24" i="8"/>
  <c r="AB25" i="8"/>
  <c r="X30" i="8"/>
  <c r="X32" i="8"/>
  <c r="AB33" i="8"/>
  <c r="X38" i="8"/>
  <c r="X40" i="8"/>
  <c r="AB41" i="8"/>
  <c r="X43" i="8"/>
  <c r="X45" i="8"/>
  <c r="X48" i="8"/>
  <c r="AB49" i="8"/>
  <c r="X54" i="8"/>
  <c r="X56" i="8"/>
  <c r="X59" i="8"/>
  <c r="X61" i="8"/>
  <c r="X64" i="8"/>
  <c r="AB65" i="8"/>
  <c r="X70" i="8"/>
  <c r="X76" i="8"/>
  <c r="X78" i="8"/>
  <c r="X84" i="8"/>
  <c r="X86" i="8"/>
  <c r="X92" i="8"/>
  <c r="X94" i="8"/>
  <c r="AB99" i="8"/>
  <c r="AB101" i="8"/>
  <c r="AB108" i="8"/>
  <c r="X110" i="8"/>
  <c r="X112" i="8"/>
  <c r="X113" i="8"/>
  <c r="X115" i="8"/>
  <c r="X118" i="8"/>
  <c r="X126" i="8"/>
  <c r="X128" i="8"/>
  <c r="AB131" i="8"/>
  <c r="AB134" i="8"/>
  <c r="X141" i="8"/>
  <c r="X143" i="8"/>
  <c r="AB144" i="8"/>
  <c r="AB147" i="8"/>
  <c r="X151" i="8"/>
  <c r="X156" i="8"/>
  <c r="AB157" i="8"/>
  <c r="AB159" i="8"/>
  <c r="X162" i="8"/>
  <c r="X164" i="8"/>
  <c r="X167" i="8"/>
  <c r="X172" i="8"/>
  <c r="AB175" i="8"/>
  <c r="X185" i="8"/>
  <c r="AB194" i="8"/>
  <c r="AB201" i="8"/>
  <c r="X203" i="8"/>
  <c r="X206" i="8"/>
  <c r="X208" i="8"/>
  <c r="AB211" i="8"/>
  <c r="AB213" i="8"/>
  <c r="AB216" i="8"/>
  <c r="X221" i="8"/>
  <c r="AB224" i="8"/>
  <c r="AB229" i="8"/>
  <c r="X46" i="8"/>
  <c r="AB50" i="8"/>
  <c r="X62" i="8"/>
  <c r="AB66" i="8"/>
  <c r="AB72" i="8"/>
  <c r="X74" i="8"/>
  <c r="AB80" i="8"/>
  <c r="X82" i="8"/>
  <c r="AB88" i="8"/>
  <c r="X90" i="8"/>
  <c r="AB96" i="8"/>
  <c r="X98" i="8"/>
  <c r="AB107" i="8"/>
  <c r="X50" i="8"/>
  <c r="AB54" i="8"/>
  <c r="X66" i="8"/>
  <c r="AB70" i="8"/>
  <c r="X72" i="8"/>
  <c r="AB78" i="8"/>
  <c r="X80" i="8"/>
  <c r="AB86" i="8"/>
  <c r="X88" i="8"/>
  <c r="AB94" i="8"/>
  <c r="X96" i="8"/>
  <c r="X104" i="8"/>
  <c r="X107" i="8"/>
  <c r="X101" i="8"/>
  <c r="AB105" i="8"/>
  <c r="X117" i="8"/>
  <c r="AB121" i="8"/>
  <c r="X147" i="8"/>
  <c r="AB153" i="8"/>
  <c r="X181" i="8"/>
  <c r="X184" i="8"/>
  <c r="X105" i="8"/>
  <c r="AB109" i="8"/>
  <c r="X109" i="8"/>
  <c r="AB113" i="8"/>
  <c r="X131" i="8"/>
  <c r="AB137" i="8"/>
  <c r="X163" i="8"/>
  <c r="AB169" i="8"/>
  <c r="AB184" i="8"/>
  <c r="X200" i="8"/>
  <c r="X178" i="8"/>
  <c r="AB182" i="8"/>
  <c r="X194" i="8"/>
  <c r="AB198" i="8"/>
  <c r="X210" i="8"/>
  <c r="AB214" i="8"/>
  <c r="AB122" i="8"/>
  <c r="X134" i="8"/>
  <c r="AB138" i="8"/>
  <c r="X150" i="8"/>
  <c r="AB154" i="8"/>
  <c r="X166" i="8"/>
  <c r="AB170" i="8"/>
  <c r="X182" i="8"/>
  <c r="AB186" i="8"/>
  <c r="X198" i="8"/>
  <c r="AB202" i="8"/>
  <c r="X214" i="8"/>
  <c r="AB218" i="8"/>
  <c r="X122" i="8"/>
  <c r="AB126" i="8"/>
  <c r="X138" i="8"/>
  <c r="AB142" i="8"/>
  <c r="X154" i="8"/>
  <c r="AB158" i="8"/>
  <c r="X170" i="8"/>
  <c r="AB174" i="8"/>
  <c r="X186" i="8"/>
  <c r="AB190" i="8"/>
  <c r="X202" i="8"/>
  <c r="AB206" i="8"/>
  <c r="X218" i="8"/>
  <c r="Z94" i="7"/>
  <c r="Z99" i="7"/>
  <c r="Z102" i="7"/>
  <c r="Z203" i="7"/>
  <c r="V156" i="7"/>
  <c r="V172" i="7"/>
  <c r="Z95" i="7"/>
  <c r="Z98" i="7"/>
  <c r="V168" i="7"/>
  <c r="X59" i="6"/>
  <c r="AB63" i="6"/>
  <c r="X75" i="6"/>
  <c r="X83" i="6"/>
  <c r="X91" i="6"/>
  <c r="AB99" i="6"/>
  <c r="X63" i="6"/>
  <c r="AB67" i="6"/>
  <c r="AB76" i="6"/>
  <c r="AB79" i="6"/>
  <c r="AB84" i="6"/>
  <c r="AB87" i="6"/>
  <c r="AB92" i="6"/>
  <c r="AB95" i="6"/>
  <c r="X99" i="6"/>
  <c r="X92" i="6"/>
  <c r="X95" i="6"/>
  <c r="AB59" i="6"/>
  <c r="X71" i="6"/>
  <c r="AB75" i="6"/>
  <c r="AB91" i="6"/>
  <c r="AB105" i="6"/>
  <c r="X117" i="6"/>
  <c r="AB121" i="6"/>
  <c r="X197" i="6"/>
  <c r="AB155" i="6"/>
  <c r="X157" i="6"/>
  <c r="AB163" i="6"/>
  <c r="X165" i="6"/>
  <c r="X109" i="6"/>
  <c r="AB113" i="6"/>
  <c r="X125" i="6"/>
  <c r="AB129" i="6"/>
  <c r="X141" i="6"/>
  <c r="AB145" i="6"/>
  <c r="X147" i="6"/>
  <c r="AB153" i="6"/>
  <c r="X155" i="6"/>
  <c r="AB161" i="6"/>
  <c r="X163" i="6"/>
  <c r="AB169" i="6"/>
  <c r="X173" i="6"/>
  <c r="AB185" i="6"/>
  <c r="X189" i="6"/>
  <c r="AB101" i="6"/>
  <c r="X113" i="6"/>
  <c r="AB117" i="6"/>
  <c r="X129" i="6"/>
  <c r="AB133" i="6"/>
  <c r="X145" i="6"/>
  <c r="AB151" i="6"/>
  <c r="X153" i="6"/>
  <c r="AB181" i="6"/>
  <c r="X185" i="6"/>
  <c r="AB197" i="6"/>
  <c r="AB36" i="5"/>
  <c r="X38" i="5"/>
  <c r="AB44" i="5"/>
  <c r="X46" i="5"/>
  <c r="AB52" i="5"/>
  <c r="X54" i="5"/>
  <c r="AB70" i="5"/>
  <c r="X74" i="5"/>
  <c r="AB58" i="5"/>
  <c r="AB66" i="5"/>
  <c r="X70" i="5"/>
  <c r="AB38" i="5"/>
  <c r="X40" i="5"/>
  <c r="AB46" i="5"/>
  <c r="X48" i="5"/>
  <c r="AB54" i="5"/>
  <c r="X56" i="5"/>
  <c r="X102" i="5"/>
  <c r="AB106" i="5"/>
  <c r="X118" i="5"/>
  <c r="AB122" i="5"/>
  <c r="X134" i="5"/>
  <c r="AB140" i="5"/>
  <c r="X142" i="5"/>
  <c r="AB148" i="5"/>
  <c r="X150" i="5"/>
  <c r="AB156" i="5"/>
  <c r="X158" i="5"/>
  <c r="AB164" i="5"/>
  <c r="X166" i="5"/>
  <c r="AB172" i="5"/>
  <c r="X174" i="5"/>
  <c r="AB180" i="5"/>
  <c r="X182" i="5"/>
  <c r="AB194" i="5"/>
  <c r="X198" i="5"/>
  <c r="X106" i="5"/>
  <c r="AB110" i="5"/>
  <c r="X122" i="5"/>
  <c r="AB126" i="5"/>
  <c r="AB102" i="5"/>
  <c r="X114" i="5"/>
  <c r="AB118" i="5"/>
  <c r="X130" i="5"/>
  <c r="AB134" i="5"/>
  <c r="X136" i="5"/>
  <c r="AB142" i="5"/>
  <c r="X144" i="5"/>
  <c r="AB150" i="5"/>
  <c r="X152" i="5"/>
  <c r="AB158" i="5"/>
  <c r="X160" i="5"/>
  <c r="AB166" i="5"/>
  <c r="X168" i="5"/>
  <c r="AB174" i="5"/>
  <c r="X176" i="5"/>
  <c r="AB182" i="5"/>
  <c r="X186" i="5"/>
  <c r="AB198" i="5"/>
  <c r="X202" i="5"/>
  <c r="AB66" i="4"/>
  <c r="AB82" i="4"/>
  <c r="X63" i="4"/>
  <c r="X66" i="4"/>
  <c r="AB78" i="4"/>
  <c r="X82" i="4"/>
  <c r="AB62" i="4"/>
  <c r="AB74" i="4"/>
  <c r="X78" i="4"/>
  <c r="AB103" i="4"/>
  <c r="AB119" i="4"/>
  <c r="AB135" i="4"/>
  <c r="X147" i="4"/>
  <c r="X152" i="4"/>
  <c r="X155" i="4"/>
  <c r="AB159" i="4"/>
  <c r="AB167" i="4"/>
  <c r="AB178" i="4"/>
  <c r="X183" i="4"/>
  <c r="X194" i="4"/>
  <c r="X211" i="4"/>
  <c r="X103" i="4"/>
  <c r="AB107" i="4"/>
  <c r="X119" i="4"/>
  <c r="AB123" i="4"/>
  <c r="X135" i="4"/>
  <c r="AB139" i="4"/>
  <c r="AB207" i="4"/>
  <c r="AB215" i="4"/>
  <c r="X107" i="4"/>
  <c r="AB111" i="4"/>
  <c r="X123" i="4"/>
  <c r="AB127" i="4"/>
  <c r="X139" i="4"/>
  <c r="AB143" i="4"/>
  <c r="X151" i="4"/>
  <c r="X179" i="4"/>
  <c r="X184" i="4"/>
  <c r="X187" i="4"/>
  <c r="AB191" i="4"/>
  <c r="AB199" i="4"/>
  <c r="AB210" i="4"/>
  <c r="X163" i="4"/>
  <c r="X168" i="4"/>
  <c r="X171" i="4"/>
  <c r="AB175" i="4"/>
  <c r="AB183" i="4"/>
  <c r="AB194" i="4"/>
  <c r="AB197" i="4"/>
  <c r="X199" i="4"/>
  <c r="AB147" i="4"/>
  <c r="X159" i="4"/>
  <c r="AB163" i="4"/>
  <c r="X175" i="4"/>
  <c r="AB179" i="4"/>
  <c r="X191" i="4"/>
  <c r="AB195" i="4"/>
  <c r="X207" i="4"/>
  <c r="AB211" i="4"/>
  <c r="X217" i="4"/>
  <c r="X221" i="4"/>
  <c r="X225" i="4"/>
  <c r="X218" i="4"/>
  <c r="AB219" i="4"/>
  <c r="X222" i="4"/>
  <c r="AB223" i="4"/>
  <c r="X226" i="4"/>
  <c r="AB227" i="4"/>
  <c r="X229" i="4"/>
  <c r="X220" i="4"/>
  <c r="V54" i="3"/>
  <c r="Z55" i="3"/>
  <c r="Z67" i="3"/>
  <c r="V71" i="3"/>
  <c r="Z83" i="3"/>
  <c r="V87" i="3"/>
  <c r="Z99" i="3"/>
  <c r="V103" i="3"/>
  <c r="Z115" i="3"/>
  <c r="V119" i="3"/>
  <c r="Z47" i="3"/>
  <c r="V55" i="3"/>
  <c r="Z58" i="3"/>
  <c r="Z63" i="3"/>
  <c r="V67" i="3"/>
  <c r="Z79" i="3"/>
  <c r="V83" i="3"/>
  <c r="Z95" i="3"/>
  <c r="V99" i="3"/>
  <c r="Z111" i="3"/>
  <c r="V115" i="3"/>
  <c r="V123" i="3"/>
  <c r="Z135" i="3"/>
  <c r="V139" i="3"/>
  <c r="Z151" i="3"/>
  <c r="V155" i="3"/>
  <c r="Z167" i="3"/>
  <c r="V171" i="3"/>
  <c r="V187" i="3"/>
  <c r="V203" i="3"/>
  <c r="Z215" i="3"/>
  <c r="V219" i="3"/>
  <c r="Z231" i="3"/>
  <c r="V131" i="3"/>
  <c r="Z143" i="3"/>
  <c r="V147" i="3"/>
  <c r="Z159" i="3"/>
  <c r="V163" i="3"/>
  <c r="V195" i="3"/>
  <c r="V211" i="3"/>
  <c r="X3" i="2"/>
  <c r="X7" i="2"/>
  <c r="X11" i="2"/>
  <c r="X15" i="2"/>
  <c r="X19" i="2"/>
  <c r="X23" i="2"/>
  <c r="X27" i="2"/>
  <c r="M63" i="2"/>
  <c r="M71" i="2"/>
  <c r="M59" i="2"/>
  <c r="M47" i="2"/>
  <c r="M43" i="2"/>
  <c r="M87" i="2"/>
  <c r="M83" i="2"/>
  <c r="M67" i="2"/>
  <c r="M55" i="2"/>
  <c r="M51" i="2"/>
  <c r="M35" i="2"/>
  <c r="M79" i="2"/>
  <c r="M75" i="2"/>
  <c r="M39" i="2"/>
  <c r="M31" i="2"/>
  <c r="M19" i="2"/>
  <c r="M23" i="2"/>
  <c r="M27" i="2"/>
  <c r="M91" i="2"/>
  <c r="M96" i="2"/>
  <c r="M104" i="2"/>
  <c r="M108" i="2"/>
  <c r="M112" i="2"/>
  <c r="M100" i="2"/>
  <c r="M4" i="2"/>
  <c r="M8" i="2"/>
  <c r="M12" i="2"/>
  <c r="M16" i="2"/>
  <c r="M20" i="2"/>
  <c r="M24" i="2"/>
  <c r="M28" i="2"/>
  <c r="M32" i="2"/>
  <c r="M36" i="2"/>
  <c r="M40" i="2"/>
  <c r="M44" i="2"/>
  <c r="M48" i="2"/>
  <c r="M52" i="2"/>
  <c r="M56" i="2"/>
  <c r="M60" i="2"/>
  <c r="M64" i="2"/>
  <c r="M68" i="2"/>
  <c r="M72" i="2"/>
  <c r="M76" i="2"/>
  <c r="M80" i="2"/>
  <c r="M84" i="2"/>
  <c r="M88" i="2"/>
  <c r="M92" i="2"/>
  <c r="M97" i="2"/>
  <c r="M98" i="2"/>
  <c r="M101" i="2"/>
  <c r="M102" i="2"/>
  <c r="M105" i="2"/>
  <c r="M106" i="2"/>
  <c r="M109" i="2"/>
  <c r="M110" i="2"/>
  <c r="M113" i="2"/>
  <c r="M114" i="2"/>
  <c r="M118" i="2"/>
  <c r="M122" i="2"/>
  <c r="M126" i="2"/>
  <c r="M130" i="2"/>
  <c r="M13" i="2"/>
  <c r="M21" i="2"/>
  <c r="M41" i="2"/>
  <c r="M45" i="2"/>
  <c r="M65" i="2"/>
  <c r="M69" i="2"/>
  <c r="M73" i="2"/>
  <c r="M77" i="2"/>
  <c r="M81" i="2"/>
  <c r="M85" i="2"/>
  <c r="M89" i="2"/>
  <c r="AB98" i="2"/>
  <c r="AB102" i="2"/>
  <c r="AB106" i="2"/>
  <c r="AB110" i="2"/>
  <c r="AB114" i="2"/>
  <c r="AB118" i="2"/>
  <c r="AB122" i="2"/>
  <c r="AB126" i="2"/>
  <c r="AB130" i="2"/>
  <c r="M5" i="2"/>
  <c r="M9" i="2"/>
  <c r="M17" i="2"/>
  <c r="M25" i="2"/>
  <c r="M29" i="2"/>
  <c r="M33" i="2"/>
  <c r="M37" i="2"/>
  <c r="M49" i="2"/>
  <c r="M53" i="2"/>
  <c r="M57" i="2"/>
  <c r="M213" i="2"/>
  <c r="M209" i="2"/>
  <c r="M205" i="2"/>
  <c r="M201" i="2"/>
  <c r="M197" i="2"/>
  <c r="M193" i="2"/>
  <c r="M189" i="2"/>
  <c r="M185" i="2"/>
  <c r="M181" i="2"/>
  <c r="M177" i="2"/>
  <c r="M173" i="2"/>
  <c r="M169" i="2"/>
  <c r="M165" i="2"/>
  <c r="M161" i="2"/>
  <c r="M157" i="2"/>
  <c r="M153" i="2"/>
  <c r="M149" i="2"/>
  <c r="M145" i="2"/>
  <c r="M141" i="2"/>
  <c r="M137" i="2"/>
  <c r="M133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214" i="2"/>
  <c r="M210" i="2"/>
  <c r="M206" i="2"/>
  <c r="M202" i="2"/>
  <c r="M198" i="2"/>
  <c r="M194" i="2"/>
  <c r="M190" i="2"/>
  <c r="M186" i="2"/>
  <c r="M182" i="2"/>
  <c r="M178" i="2"/>
  <c r="M174" i="2"/>
  <c r="M170" i="2"/>
  <c r="M166" i="2"/>
  <c r="M162" i="2"/>
  <c r="M158" i="2"/>
  <c r="M154" i="2"/>
  <c r="M150" i="2"/>
  <c r="M146" i="2"/>
  <c r="M142" i="2"/>
  <c r="M138" i="2"/>
  <c r="M134" i="2"/>
  <c r="M129" i="2"/>
  <c r="M125" i="2"/>
  <c r="M121" i="2"/>
  <c r="M117" i="2"/>
  <c r="M128" i="2"/>
  <c r="M124" i="2"/>
  <c r="M120" i="2"/>
  <c r="M116" i="2"/>
  <c r="M136" i="2"/>
  <c r="M132" i="2"/>
  <c r="M131" i="2"/>
  <c r="M127" i="2"/>
  <c r="M123" i="2"/>
  <c r="M119" i="2"/>
  <c r="M115" i="2"/>
  <c r="M111" i="2"/>
  <c r="M107" i="2"/>
  <c r="M103" i="2"/>
  <c r="M99" i="2"/>
  <c r="M95" i="2"/>
  <c r="M2" i="2"/>
  <c r="M6" i="2"/>
  <c r="M10" i="2"/>
  <c r="M14" i="2"/>
  <c r="M18" i="2"/>
  <c r="M22" i="2"/>
  <c r="M26" i="2"/>
  <c r="M30" i="2"/>
  <c r="M34" i="2"/>
  <c r="M38" i="2"/>
  <c r="M42" i="2"/>
  <c r="M46" i="2"/>
  <c r="M50" i="2"/>
  <c r="M54" i="2"/>
  <c r="M58" i="2"/>
  <c r="M62" i="2"/>
  <c r="M66" i="2"/>
  <c r="M70" i="2"/>
  <c r="M74" i="2"/>
  <c r="M78" i="2"/>
  <c r="M82" i="2"/>
  <c r="M86" i="2"/>
  <c r="M90" i="2"/>
  <c r="M94" i="2"/>
  <c r="X98" i="2"/>
  <c r="X102" i="2"/>
  <c r="X106" i="2"/>
  <c r="X110" i="2"/>
  <c r="X114" i="2"/>
  <c r="X118" i="2"/>
  <c r="AB119" i="2"/>
  <c r="X122" i="2"/>
  <c r="AB123" i="2"/>
  <c r="X126" i="2"/>
  <c r="AB127" i="2"/>
  <c r="X130" i="2"/>
  <c r="AB131" i="2"/>
  <c r="X134" i="2"/>
  <c r="X138" i="2"/>
  <c r="X142" i="2"/>
  <c r="X146" i="2"/>
  <c r="X150" i="2"/>
  <c r="X154" i="2"/>
  <c r="X158" i="2"/>
  <c r="X162" i="2"/>
  <c r="X166" i="2"/>
  <c r="X170" i="2"/>
  <c r="X174" i="2"/>
  <c r="X178" i="2"/>
  <c r="X182" i="2"/>
  <c r="AB183" i="2"/>
  <c r="X186" i="2"/>
  <c r="X190" i="2"/>
  <c r="X194" i="2"/>
  <c r="X198" i="2"/>
  <c r="X202" i="2"/>
  <c r="X206" i="2"/>
  <c r="AB207" i="2"/>
  <c r="X210" i="2"/>
  <c r="AB211" i="2"/>
  <c r="X214" i="2"/>
  <c r="AB215" i="2"/>
  <c r="AB132" i="2"/>
  <c r="AB136" i="2"/>
  <c r="X179" i="2"/>
  <c r="X183" i="2"/>
  <c r="X187" i="2"/>
  <c r="X207" i="2"/>
  <c r="X211" i="2"/>
  <c r="X215" i="2"/>
</calcChain>
</file>

<file path=xl/sharedStrings.xml><?xml version="1.0" encoding="utf-8"?>
<sst xmlns="http://schemas.openxmlformats.org/spreadsheetml/2006/main" count="44701" uniqueCount="1856">
  <si>
    <t>SEN</t>
  </si>
  <si>
    <t>Outstanding</t>
  </si>
  <si>
    <t>Id</t>
  </si>
  <si>
    <t>Name</t>
  </si>
  <si>
    <t>E</t>
  </si>
  <si>
    <t>Good</t>
  </si>
  <si>
    <t>K</t>
  </si>
  <si>
    <t>N2Improve</t>
  </si>
  <si>
    <t>Serious Concer</t>
  </si>
  <si>
    <t>N2Improve fixed</t>
  </si>
  <si>
    <t>N2Improve still</t>
  </si>
  <si>
    <t>Serious Concern fixed</t>
  </si>
  <si>
    <t>M</t>
  </si>
  <si>
    <t>Serious Concern still</t>
  </si>
  <si>
    <t>N</t>
  </si>
  <si>
    <t>Form</t>
  </si>
  <si>
    <t>Gender</t>
  </si>
  <si>
    <t>FSM in last 6 years</t>
  </si>
  <si>
    <t>Ethnicity</t>
  </si>
  <si>
    <t>EAL</t>
  </si>
  <si>
    <t>PP</t>
  </si>
  <si>
    <t>LAC</t>
  </si>
  <si>
    <t>SEN M</t>
  </si>
  <si>
    <t>On track for at end of KS2</t>
  </si>
  <si>
    <t>Prior Attainment</t>
  </si>
  <si>
    <t>Positive</t>
  </si>
  <si>
    <t>Community Concerns</t>
  </si>
  <si>
    <t>Personal Organisation</t>
  </si>
  <si>
    <t>Attendance Form - YTD</t>
  </si>
  <si>
    <t>Number of Days Late</t>
  </si>
  <si>
    <t>N2Improve - Engagement</t>
  </si>
  <si>
    <t>N2Improve - Community Conduct</t>
  </si>
  <si>
    <t>N2Improve - Personal Org.</t>
  </si>
  <si>
    <t>Needs to Improve TOTAL</t>
  </si>
  <si>
    <t>Serious Conc - Engagement</t>
  </si>
  <si>
    <t>Serious Conc - Comm. Concern</t>
  </si>
  <si>
    <t>Serious Conc - Personal Org.</t>
  </si>
  <si>
    <t>Serious Concern TOTAL</t>
  </si>
  <si>
    <t>ART_A2L</t>
  </si>
  <si>
    <t>ART_TEACHER</t>
  </si>
  <si>
    <t>D&amp;T_A2L</t>
  </si>
  <si>
    <t>D&amp;T_TEACHER</t>
  </si>
  <si>
    <t>DRAMA_A2L</t>
  </si>
  <si>
    <t>DRAMA_TEACHER</t>
  </si>
  <si>
    <t>ENGLISH_A2L</t>
  </si>
  <si>
    <t>ENGLISH_TEACHER</t>
  </si>
  <si>
    <t>FORM_A2L</t>
  </si>
  <si>
    <t>FORM_TEACHER</t>
  </si>
  <si>
    <t>FRENCH_A2L</t>
  </si>
  <si>
    <t>FRENCH_TEACHER</t>
  </si>
  <si>
    <t>GEOGRAPHY_A2L</t>
  </si>
  <si>
    <t>GEOGRAPHY_TEACHER</t>
  </si>
  <si>
    <t>HISTORY_A2L</t>
  </si>
  <si>
    <t>HISTORY_TEACHER</t>
  </si>
  <si>
    <t>ICT_A2L</t>
  </si>
  <si>
    <t>ICT_TEACHER</t>
  </si>
  <si>
    <t>MATHS_A2L</t>
  </si>
  <si>
    <t>MATHS_TEACHER</t>
  </si>
  <si>
    <t>MUSIC_A2L</t>
  </si>
  <si>
    <t>MUSIC_TEACHER</t>
  </si>
  <si>
    <t>PHYSED_A2L</t>
  </si>
  <si>
    <t>PHYSED_TEACHER</t>
  </si>
  <si>
    <t>RELIGIOUSED_A2L</t>
  </si>
  <si>
    <t>RELIGIOUSED_TEACHER</t>
  </si>
  <si>
    <t>SCIENCE_A2L</t>
  </si>
  <si>
    <t>SCIENCE_TEACHER</t>
  </si>
  <si>
    <t>SPANISH_A2L</t>
  </si>
  <si>
    <t>SPANISH_TEACHER</t>
  </si>
  <si>
    <t>ABBEY, Sofia</t>
  </si>
  <si>
    <t>7YP</t>
  </si>
  <si>
    <t>F</t>
  </si>
  <si>
    <t>White - British</t>
  </si>
  <si>
    <t>BPE</t>
  </si>
  <si>
    <t>AWR</t>
  </si>
  <si>
    <t>AWH</t>
  </si>
  <si>
    <t>YP</t>
  </si>
  <si>
    <t>ET</t>
  </si>
  <si>
    <t>EB</t>
  </si>
  <si>
    <t>FS</t>
  </si>
  <si>
    <t>MP</t>
  </si>
  <si>
    <t>RF</t>
  </si>
  <si>
    <t>JN</t>
  </si>
  <si>
    <t>GRY</t>
  </si>
  <si>
    <t>GN</t>
  </si>
  <si>
    <t>LMA</t>
  </si>
  <si>
    <t>ABRAHAM, Noah</t>
  </si>
  <si>
    <t>7LM</t>
  </si>
  <si>
    <t>Y</t>
  </si>
  <si>
    <t>Other Black African</t>
  </si>
  <si>
    <t>SGO</t>
  </si>
  <si>
    <t>MO</t>
  </si>
  <si>
    <t>PF</t>
  </si>
  <si>
    <t>JJA</t>
  </si>
  <si>
    <t>MSA</t>
  </si>
  <si>
    <t>AB</t>
  </si>
  <si>
    <t>AW</t>
  </si>
  <si>
    <t>JOS</t>
  </si>
  <si>
    <t>ZA</t>
  </si>
  <si>
    <t>AR</t>
  </si>
  <si>
    <t>ADEDOYIN, Christopher</t>
  </si>
  <si>
    <t>7ET</t>
  </si>
  <si>
    <t>EC</t>
  </si>
  <si>
    <t>FB</t>
  </si>
  <si>
    <t>DCH</t>
  </si>
  <si>
    <t>MCO</t>
  </si>
  <si>
    <t>RNI</t>
  </si>
  <si>
    <t>PHB</t>
  </si>
  <si>
    <t>RDO</t>
  </si>
  <si>
    <t>FG</t>
  </si>
  <si>
    <t>SPI</t>
  </si>
  <si>
    <t>AKELE, Adam</t>
  </si>
  <si>
    <t>EW</t>
  </si>
  <si>
    <t>WD</t>
  </si>
  <si>
    <t>ALI, Hafsa</t>
  </si>
  <si>
    <t>7WD</t>
  </si>
  <si>
    <t>Pakistani</t>
  </si>
  <si>
    <t>PLE</t>
  </si>
  <si>
    <t>RQ</t>
  </si>
  <si>
    <t>IC</t>
  </si>
  <si>
    <t>SWO</t>
  </si>
  <si>
    <t>HST</t>
  </si>
  <si>
    <t>LGI</t>
  </si>
  <si>
    <t>MHA</t>
  </si>
  <si>
    <t>DWA</t>
  </si>
  <si>
    <t>WE</t>
  </si>
  <si>
    <t>ALSAFFAR, Matias</t>
  </si>
  <si>
    <t>Any Other Asian Background</t>
  </si>
  <si>
    <t>KK</t>
  </si>
  <si>
    <t>AQDAS, Meerab</t>
  </si>
  <si>
    <t>7AWH</t>
  </si>
  <si>
    <t>MBA</t>
  </si>
  <si>
    <t>MPI</t>
  </si>
  <si>
    <t>ESH</t>
  </si>
  <si>
    <t>MM</t>
  </si>
  <si>
    <t>ASAD, Armaan</t>
  </si>
  <si>
    <t>KD</t>
  </si>
  <si>
    <t>NBU</t>
  </si>
  <si>
    <t>MW</t>
  </si>
  <si>
    <t>ASHFORTH-BILLARD, Joseph</t>
  </si>
  <si>
    <t>CS</t>
  </si>
  <si>
    <t>TD</t>
  </si>
  <si>
    <t>ASKEW, Freddie</t>
  </si>
  <si>
    <t>KC</t>
  </si>
  <si>
    <t>EGQ</t>
  </si>
  <si>
    <t>NH</t>
  </si>
  <si>
    <t>ASLAM, Aadam</t>
  </si>
  <si>
    <t>White and Any Other Asian Background</t>
  </si>
  <si>
    <t>BAH, Kadija</t>
  </si>
  <si>
    <t>BANCER, Olivia</t>
  </si>
  <si>
    <t>7FS</t>
  </si>
  <si>
    <t>White Eastern European</t>
  </si>
  <si>
    <t>CGO</t>
  </si>
  <si>
    <t>CKA</t>
  </si>
  <si>
    <t>CW</t>
  </si>
  <si>
    <t>KBW</t>
  </si>
  <si>
    <t>BARRATT, Ben</t>
  </si>
  <si>
    <t>BARRATT, Jamie</t>
  </si>
  <si>
    <t>BARTOLOZZI OGBONNA, Rebecca</t>
  </si>
  <si>
    <t>White and Black African</t>
  </si>
  <si>
    <t>BELL, Holly</t>
  </si>
  <si>
    <t>BELLAMY, Daniel</t>
  </si>
  <si>
    <t>BEREKET, Nathan</t>
  </si>
  <si>
    <t>7BPE</t>
  </si>
  <si>
    <t>DCR</t>
  </si>
  <si>
    <t>AGI</t>
  </si>
  <si>
    <t>BIENIEK, Victoria</t>
  </si>
  <si>
    <t>BLYTHEN, Tephi</t>
  </si>
  <si>
    <t>BONNER, Frank</t>
  </si>
  <si>
    <t>7RA</t>
  </si>
  <si>
    <t>SK</t>
  </si>
  <si>
    <t>RA</t>
  </si>
  <si>
    <t>BOSAH, Somkene</t>
  </si>
  <si>
    <t>BOWER, Alex</t>
  </si>
  <si>
    <t>BRANNEY-GRAVELEY, Thomas</t>
  </si>
  <si>
    <t>BRONCEL, Natalie</t>
  </si>
  <si>
    <t>BROWN, Daisy</t>
  </si>
  <si>
    <t>BRUCE, India</t>
  </si>
  <si>
    <t>BUCHANAN, Elspeth</t>
  </si>
  <si>
    <t>BUKENA, Kyla</t>
  </si>
  <si>
    <t>Not Yet Obtained</t>
  </si>
  <si>
    <t>BULLIVANT, Will</t>
  </si>
  <si>
    <t>BURTON, Hebe-rose</t>
  </si>
  <si>
    <t>BUSHELL, Magnus</t>
  </si>
  <si>
    <t>BYZYKA, Soti</t>
  </si>
  <si>
    <t>White Other</t>
  </si>
  <si>
    <t>CASTILLO MONTALVAN, Shayla</t>
  </si>
  <si>
    <t>CHESWORTH, Anyes</t>
  </si>
  <si>
    <t>CHISALA, Taila</t>
  </si>
  <si>
    <t>CHRISTER, Callum</t>
  </si>
  <si>
    <t>Absent/Ill</t>
  </si>
  <si>
    <t>CLAEYSSENS, Tom</t>
  </si>
  <si>
    <t>CLARKE, Oliver</t>
  </si>
  <si>
    <t>COATES, Maisie</t>
  </si>
  <si>
    <t>CONLISK, Caoimhe</t>
  </si>
  <si>
    <t>CMC</t>
  </si>
  <si>
    <t>CORCORAN, William</t>
  </si>
  <si>
    <t>CORDON, Thomas</t>
  </si>
  <si>
    <t>COX, Reuben</t>
  </si>
  <si>
    <t>White and Black Caribbean</t>
  </si>
  <si>
    <t>DALE, Ethan</t>
  </si>
  <si>
    <t>DAVIES, Bethany</t>
  </si>
  <si>
    <t>DENEKA, Emma</t>
  </si>
  <si>
    <t>DI MAIO, Edith</t>
  </si>
  <si>
    <t>DOONAN, Humphrey</t>
  </si>
  <si>
    <t>DOWNING, Sam</t>
  </si>
  <si>
    <t>DRESSLER, Marc</t>
  </si>
  <si>
    <t>ES</t>
  </si>
  <si>
    <t>DUARAH, Anannya</t>
  </si>
  <si>
    <t>DURAND, Dahlia</t>
  </si>
  <si>
    <t>EVANS, Ava</t>
  </si>
  <si>
    <t>FARLEIGH PEREIRA, Alani</t>
  </si>
  <si>
    <t>FITZPATRICK, Qweeva</t>
  </si>
  <si>
    <t>FONTANELLI, Geri</t>
  </si>
  <si>
    <t>White European</t>
  </si>
  <si>
    <t>FORSYTHE, Ruaridh</t>
  </si>
  <si>
    <t>FOSTER, Rian</t>
  </si>
  <si>
    <t>GALLIGAN, Joseph</t>
  </si>
  <si>
    <t>GAO, Ivy</t>
  </si>
  <si>
    <t>Chinese</t>
  </si>
  <si>
    <t>GEORGE, Holly</t>
  </si>
  <si>
    <t>Indian</t>
  </si>
  <si>
    <t>GETAHUN, Ephrata</t>
  </si>
  <si>
    <t>GHEBRETENSA, Heron</t>
  </si>
  <si>
    <t>Any Other Black Background</t>
  </si>
  <si>
    <t>GILBERTHORPE, Freddie</t>
  </si>
  <si>
    <t>GODDARD, Alma</t>
  </si>
  <si>
    <t>GOODMAN, Matthew</t>
  </si>
  <si>
    <t>GOULD, Freya</t>
  </si>
  <si>
    <t>GOULD, Julia</t>
  </si>
  <si>
    <t>GREEN KISSOONDYAL, Cassius</t>
  </si>
  <si>
    <t>Any Other Mixed Background</t>
  </si>
  <si>
    <t>GRIFFIN, Summer</t>
  </si>
  <si>
    <t>GRINDROD, Autumn</t>
  </si>
  <si>
    <t>HADGU, Solyana</t>
  </si>
  <si>
    <t>HALE, Thomas</t>
  </si>
  <si>
    <t>HALL, Jason</t>
  </si>
  <si>
    <t>HALL, Mae</t>
  </si>
  <si>
    <t>HAMBLETON, Isabelle</t>
  </si>
  <si>
    <t>HANSTOCK, Brody</t>
  </si>
  <si>
    <t>HARGREAVES, Elliot</t>
  </si>
  <si>
    <t>HARRISON, James</t>
  </si>
  <si>
    <t>HAWKINS, Ella</t>
  </si>
  <si>
    <t>HAYES, Jack</t>
  </si>
  <si>
    <t>HODGKINSON, Theo</t>
  </si>
  <si>
    <t>HOLLAND, Joe</t>
  </si>
  <si>
    <t>HORRIDGE, Matilda</t>
  </si>
  <si>
    <t>HRISTOVA, Emily</t>
  </si>
  <si>
    <t>HUANG, Amy</t>
  </si>
  <si>
    <t>IBRAHIM, Huda</t>
  </si>
  <si>
    <t>JANKOWSKA, Stefania</t>
  </si>
  <si>
    <t>JAYASUMANA, Seya</t>
  </si>
  <si>
    <t>JHALLI, Nasir</t>
  </si>
  <si>
    <t>JOHNSON-TYLER, Summer</t>
  </si>
  <si>
    <t>JONES, Toby</t>
  </si>
  <si>
    <t>KABEYA NKANKU, Josiane</t>
  </si>
  <si>
    <t>KANDENGWA, Avant</t>
  </si>
  <si>
    <t>KARLOWICZ, Natan</t>
  </si>
  <si>
    <t>KASPRUS, Hanna</t>
  </si>
  <si>
    <t>KASSAYE, Menase</t>
  </si>
  <si>
    <t>KAY, Joshua</t>
  </si>
  <si>
    <t>KENNY, Chloe</t>
  </si>
  <si>
    <t>KHALIL, Lamees</t>
  </si>
  <si>
    <t>KIRKMAN, Poppy</t>
  </si>
  <si>
    <t>KNAPTON, Patrick</t>
  </si>
  <si>
    <t>KOLARCZYK, Sara</t>
  </si>
  <si>
    <t>KOZLOWSKA, Maria</t>
  </si>
  <si>
    <t>KUCHARSKI, Adam</t>
  </si>
  <si>
    <t>LAING, Isabella</t>
  </si>
  <si>
    <t>LAYNE, Rio</t>
  </si>
  <si>
    <t>LEO, Annabelle</t>
  </si>
  <si>
    <t>LI, Adam</t>
  </si>
  <si>
    <t>Hong Kong Chinese</t>
  </si>
  <si>
    <t>LORD, Naomi</t>
  </si>
  <si>
    <t>MAINA, Tyron</t>
  </si>
  <si>
    <t>MAKAVITA, Jayden</t>
  </si>
  <si>
    <t>Other Ethnic Group</t>
  </si>
  <si>
    <t>MAKELE, Ermyas</t>
  </si>
  <si>
    <t>MALTBY, Claudia</t>
  </si>
  <si>
    <t>MANUR, Zakariah</t>
  </si>
  <si>
    <t>Black - Somali</t>
  </si>
  <si>
    <t>MANZOOR, Aiza</t>
  </si>
  <si>
    <t>MAPARA, Talia</t>
  </si>
  <si>
    <t>MARKOVA, Nina</t>
  </si>
  <si>
    <t>MARKS, Lauren</t>
  </si>
  <si>
    <t>MARRISON, Riley</t>
  </si>
  <si>
    <t>MASON, Joe</t>
  </si>
  <si>
    <t>MAURICIO, Annika</t>
  </si>
  <si>
    <t>MEHARI, Simon</t>
  </si>
  <si>
    <t>METHOD, Maria</t>
  </si>
  <si>
    <t>MISGHINA, Naomi</t>
  </si>
  <si>
    <t>MITCHELL, Jasper</t>
  </si>
  <si>
    <t>MOLINARI, Dominic</t>
  </si>
  <si>
    <t>MONAGHAN, Oliver</t>
  </si>
  <si>
    <t>MONDENOU, Adriel ename</t>
  </si>
  <si>
    <t>MONTAGNOLI, Francesco</t>
  </si>
  <si>
    <t>MOORE, Thomas</t>
  </si>
  <si>
    <t>MUHAMAD, Kezy</t>
  </si>
  <si>
    <t>MUKOYI, Ivannah</t>
  </si>
  <si>
    <t>MUNRO-PROUD, Shona</t>
  </si>
  <si>
    <t>MUSIE, Debora</t>
  </si>
  <si>
    <t>MUSSIE, Noah</t>
  </si>
  <si>
    <t>MWITTA, Nina</t>
  </si>
  <si>
    <t>NATHANIEL, Kamsi</t>
  </si>
  <si>
    <t>NWOSU, Benedict</t>
  </si>
  <si>
    <t>NYAMANDE, Courtney</t>
  </si>
  <si>
    <t>NYIRENDA, Wezi</t>
  </si>
  <si>
    <t>OATES, Harry</t>
  </si>
  <si>
    <t>OBINANI, Amanda</t>
  </si>
  <si>
    <t>ODUDU, David</t>
  </si>
  <si>
    <t>OKEY-UMEH, Yorchi</t>
  </si>
  <si>
    <t>OKOLI, Ekene</t>
  </si>
  <si>
    <t>ONWUNEME, Chinomso</t>
  </si>
  <si>
    <t>Black - African</t>
  </si>
  <si>
    <t>ONYE, Victor</t>
  </si>
  <si>
    <t>OSBORNE, Jake</t>
  </si>
  <si>
    <t>PALLO, Amalie</t>
  </si>
  <si>
    <t>PARNELL, Stella</t>
  </si>
  <si>
    <t>PATINDOL, Shaun</t>
  </si>
  <si>
    <t>PAUL, Agnes</t>
  </si>
  <si>
    <t>PEAT, Georgina</t>
  </si>
  <si>
    <t>PENKETHMAN, Lucia</t>
  </si>
  <si>
    <t>PHILIP, Alwyn</t>
  </si>
  <si>
    <t>PICKSTONE, Lilly</t>
  </si>
  <si>
    <t>PILLAY, Marek</t>
  </si>
  <si>
    <t>PITCHFORK, Phoebe</t>
  </si>
  <si>
    <t>RAMSHAW, Abigail</t>
  </si>
  <si>
    <t>RASHIDSSON, Simon</t>
  </si>
  <si>
    <t>REX, Daniel</t>
  </si>
  <si>
    <t>ROBERTS, Georgia</t>
  </si>
  <si>
    <t>ROBERTSON, Ava</t>
  </si>
  <si>
    <t>ROSE, Alice</t>
  </si>
  <si>
    <t>RUNDLE, Joe</t>
  </si>
  <si>
    <t>RUSHTON-SMITH, Maddison</t>
  </si>
  <si>
    <t>RUSSELL, Luca</t>
  </si>
  <si>
    <t>RWEYEMAMU, Chantel</t>
  </si>
  <si>
    <t>SALATA, Matthew</t>
  </si>
  <si>
    <t>SANCHEZ PARISI, Miguel</t>
  </si>
  <si>
    <t>SAVAGE, Faith</t>
  </si>
  <si>
    <t>SEBASTIAN, Ivan</t>
  </si>
  <si>
    <t>SHAHID, Inaaya</t>
  </si>
  <si>
    <t>SHERIN, Anns</t>
  </si>
  <si>
    <t>SHIRTCLIFFE, Lola</t>
  </si>
  <si>
    <t>SIBANDA, Nozwelo</t>
  </si>
  <si>
    <t>SOJAN, Dhiya</t>
  </si>
  <si>
    <t>SOLOMON, Henok</t>
  </si>
  <si>
    <t>SPITERI CORNISH, Amy</t>
  </si>
  <si>
    <t>STANLEY, Dilys</t>
  </si>
  <si>
    <t>STEENSON, Dylan</t>
  </si>
  <si>
    <t>STEVEN, Ruby</t>
  </si>
  <si>
    <t>STEVENSON, Isabella</t>
  </si>
  <si>
    <t>STRAW, Reuben</t>
  </si>
  <si>
    <t>SWEETLAND-CAMPBELL, Harmony</t>
  </si>
  <si>
    <t>TAHEEM, Amelia</t>
  </si>
  <si>
    <t>TEKLE, Brhane</t>
  </si>
  <si>
    <t>TESFAYE, Adona</t>
  </si>
  <si>
    <t>TEWELDE, Silivana</t>
  </si>
  <si>
    <t>THOMPSON, Noah</t>
  </si>
  <si>
    <t>TI, Christina</t>
  </si>
  <si>
    <t>TSIKLAURY, Kate</t>
  </si>
  <si>
    <t>UFONDU, Ifeyinwa</t>
  </si>
  <si>
    <t>VAS, Sylvie</t>
  </si>
  <si>
    <t>WADE, Aidan</t>
  </si>
  <si>
    <t>WALFORD, Kienna</t>
  </si>
  <si>
    <t>WALKER, Kitty</t>
  </si>
  <si>
    <t>WALKER, Stanley</t>
  </si>
  <si>
    <t>WAMI, Robel</t>
  </si>
  <si>
    <t>WANG, Yi ling</t>
  </si>
  <si>
    <t>WHITEMAN, Fontaine</t>
  </si>
  <si>
    <t>White and Indian</t>
  </si>
  <si>
    <t>WHITHAM-LAKIN, Charlie</t>
  </si>
  <si>
    <t>WILDGOOSE, Molly</t>
  </si>
  <si>
    <t>WILSON, Macey</t>
  </si>
  <si>
    <t>WILSON, Vernon</t>
  </si>
  <si>
    <t>WOODS, Jenson</t>
  </si>
  <si>
    <t>WRONA, Rosa</t>
  </si>
  <si>
    <t>WYNTER, Azane</t>
  </si>
  <si>
    <t>YEKALO, Ethan</t>
  </si>
  <si>
    <t>YEMANE, Philemon</t>
  </si>
  <si>
    <t>ZERU, Lidya</t>
  </si>
  <si>
    <t>FSM Last 6 years</t>
  </si>
  <si>
    <t>Prior Attainment - GCSE</t>
  </si>
  <si>
    <t>Community Concern</t>
  </si>
  <si>
    <t>Attendance YTD - AM/PM and Class combined</t>
  </si>
  <si>
    <t>Number of Days Late YTD</t>
  </si>
  <si>
    <t>BIOLOGY_A2L</t>
  </si>
  <si>
    <t>BIOLOGY_TEACHER</t>
  </si>
  <si>
    <t>BUSINESS_A2L</t>
  </si>
  <si>
    <t>BUSINESS_TEACHER</t>
  </si>
  <si>
    <t>CHEMISTRY_A2L</t>
  </si>
  <si>
    <t>CHEMISTRY_TEACHER</t>
  </si>
  <si>
    <t>COMPUTER SCIENCE_A2L</t>
  </si>
  <si>
    <t>COMPUTER SCIENCE_TEACHER</t>
  </si>
  <si>
    <t>DESTECH_A2L</t>
  </si>
  <si>
    <t>DESTECH_TEACHER</t>
  </si>
  <si>
    <t>ECONOMICS_A2L</t>
  </si>
  <si>
    <t>ECONOMICS_TEACHER</t>
  </si>
  <si>
    <t>ENGLANG_A2L</t>
  </si>
  <si>
    <t>ENGLANG_TEACHER</t>
  </si>
  <si>
    <t>ENGLIT_A2L</t>
  </si>
  <si>
    <t>ENGLIT_TEACHER</t>
  </si>
  <si>
    <t>FORM_TEACHING GROUP</t>
  </si>
  <si>
    <t>FURMATHS_A2L</t>
  </si>
  <si>
    <t>FURMATHS_TEACHER</t>
  </si>
  <si>
    <t>HEALTH&amp;SOCIAL_A2L</t>
  </si>
  <si>
    <t>HEALTH&amp;SOCIAL_TEACHER</t>
  </si>
  <si>
    <t>HEALTH&amp;SOCIAL (DOUBLE)_A2L</t>
  </si>
  <si>
    <t>HEALTH&amp;SOCIAL (DOUBLE)_TEACHER</t>
  </si>
  <si>
    <t>PHIL&amp;ETHICS_A2L</t>
  </si>
  <si>
    <t>PHIL&amp;ETHICS_TEACHER</t>
  </si>
  <si>
    <t>PHYSICS_A2L</t>
  </si>
  <si>
    <t>PHYSICS_TEACHER</t>
  </si>
  <si>
    <t>POLITICS_A2L</t>
  </si>
  <si>
    <t>POLITICS_TEACHER</t>
  </si>
  <si>
    <t>PSYCHOLOGY_A2L</t>
  </si>
  <si>
    <t>PSYCHOLOGY_TEACHER</t>
  </si>
  <si>
    <t>SOCIOLOGY_A2L</t>
  </si>
  <si>
    <t>SOCIOLOGY_TEACHER</t>
  </si>
  <si>
    <t>ABBAS, Maryam</t>
  </si>
  <si>
    <t>12ASA</t>
  </si>
  <si>
    <t>KR</t>
  </si>
  <si>
    <t>AS</t>
  </si>
  <si>
    <t>BJM</t>
  </si>
  <si>
    <t>MRO</t>
  </si>
  <si>
    <t>ABDALJAWWAD, Dua'a</t>
  </si>
  <si>
    <t>MB</t>
  </si>
  <si>
    <t>BG</t>
  </si>
  <si>
    <t>ABRAHAM, Simon</t>
  </si>
  <si>
    <t>ASM</t>
  </si>
  <si>
    <t>DHO</t>
  </si>
  <si>
    <t>ACKERNLEY, Archie</t>
  </si>
  <si>
    <t>JQ</t>
  </si>
  <si>
    <t>ADAMS, Jack</t>
  </si>
  <si>
    <t>12JN</t>
  </si>
  <si>
    <t>AWI</t>
  </si>
  <si>
    <t>ADESINA, Karen</t>
  </si>
  <si>
    <t>ADIELE, Angel</t>
  </si>
  <si>
    <t>AWIL</t>
  </si>
  <si>
    <t>AHMADI, Melina</t>
  </si>
  <si>
    <t>RAB</t>
  </si>
  <si>
    <t>AHMED, Jubayil</t>
  </si>
  <si>
    <t>12DHO</t>
  </si>
  <si>
    <t>Bangladeshi</t>
  </si>
  <si>
    <t>ALEXANDER, Lucas</t>
  </si>
  <si>
    <t>ALFONSO, Arianne</t>
  </si>
  <si>
    <t>ALI, Tania</t>
  </si>
  <si>
    <t>Asian and Any Other Ethnic Group</t>
  </si>
  <si>
    <t>AMPON, Christian</t>
  </si>
  <si>
    <t>ATKINSON, Alyssa</t>
  </si>
  <si>
    <t>CSN</t>
  </si>
  <si>
    <t>AWEIMRIN, Olivia</t>
  </si>
  <si>
    <t>Other Mixed Background</t>
  </si>
  <si>
    <t>BAH, Isata</t>
  </si>
  <si>
    <t>12JW</t>
  </si>
  <si>
    <t>JWE</t>
  </si>
  <si>
    <t>BAILEY, Revellino</t>
  </si>
  <si>
    <t>Black Caribbean</t>
  </si>
  <si>
    <t>BAINES, Archie</t>
  </si>
  <si>
    <t>CR</t>
  </si>
  <si>
    <t>BANDA, Lisa</t>
  </si>
  <si>
    <t>BH</t>
  </si>
  <si>
    <t>BASTER, Stephen</t>
  </si>
  <si>
    <t>BATEY, Poppy</t>
  </si>
  <si>
    <t>HSH</t>
  </si>
  <si>
    <t>BAXBY, Maddison</t>
  </si>
  <si>
    <t>12CSN</t>
  </si>
  <si>
    <t>BEATSON, Ana</t>
  </si>
  <si>
    <t>12SG</t>
  </si>
  <si>
    <t>BOBY, Nimisha</t>
  </si>
  <si>
    <t>BOLTON, Max</t>
  </si>
  <si>
    <t>BRADSHAW, Adam</t>
  </si>
  <si>
    <t>BRAITHWAITE, Luke</t>
  </si>
  <si>
    <t>BRIGHT, Thomas</t>
  </si>
  <si>
    <t>BRONCEL, Patryk</t>
  </si>
  <si>
    <t>BROWN, Benjamin</t>
  </si>
  <si>
    <t>BROWN, Fleur</t>
  </si>
  <si>
    <t>BROWN, Grace</t>
  </si>
  <si>
    <t>LSA5</t>
  </si>
  <si>
    <t>BRYAN, Tanaka</t>
  </si>
  <si>
    <t>JK</t>
  </si>
  <si>
    <t>BUCKLEY, Oliver</t>
  </si>
  <si>
    <t>BYRNE, Jacob</t>
  </si>
  <si>
    <t>BYROM, Martha</t>
  </si>
  <si>
    <t>CARR, Olivia</t>
  </si>
  <si>
    <t>CHAPMAN, Ella</t>
  </si>
  <si>
    <t>CHONGDER, Syona</t>
  </si>
  <si>
    <t>CHRISTIE, Sienna</t>
  </si>
  <si>
    <t>CIVICO, Isaac</t>
  </si>
  <si>
    <t>CLAYTON, Adam</t>
  </si>
  <si>
    <t>CLAYTON, Isabelle</t>
  </si>
  <si>
    <t>CONDIE, Dylan</t>
  </si>
  <si>
    <t>12EW</t>
  </si>
  <si>
    <t>CORDON, Harry</t>
  </si>
  <si>
    <t>CORNWELL, Grace</t>
  </si>
  <si>
    <t>CRAMPIN, Alfred</t>
  </si>
  <si>
    <t>CRAWFORD- THOMSON, Rhianna</t>
  </si>
  <si>
    <t>PLO</t>
  </si>
  <si>
    <t>DARTEY, Dorcy</t>
  </si>
  <si>
    <t>12MP</t>
  </si>
  <si>
    <t>DAVIDSON, Callum</t>
  </si>
  <si>
    <t>DAVIES, Benjamin</t>
  </si>
  <si>
    <t>DELANEY, Rohan</t>
  </si>
  <si>
    <t>12KD</t>
  </si>
  <si>
    <t>DEREJE, Kalab</t>
  </si>
  <si>
    <t>Black and Any Other Ethnic Group</t>
  </si>
  <si>
    <t>DESSEY, Segen</t>
  </si>
  <si>
    <t>AMA</t>
  </si>
  <si>
    <t>DINGLE, Nathaniel</t>
  </si>
  <si>
    <t>DOHERTY, Hannah</t>
  </si>
  <si>
    <t>White - Irish</t>
  </si>
  <si>
    <t>DOMINIC, Carmina</t>
  </si>
  <si>
    <t>EDWARDS, Evie</t>
  </si>
  <si>
    <t>EDWARDS, Rowan</t>
  </si>
  <si>
    <t>Meet/CommThis result exceeds the criteria defined in the formula. Manually amend this value or correct the values in the formula</t>
  </si>
  <si>
    <t>EFOBI, Toby</t>
  </si>
  <si>
    <t>EGLESTON, Orla</t>
  </si>
  <si>
    <t>EJIOGU, Chinemerem</t>
  </si>
  <si>
    <t>EVANS, Rebecca</t>
  </si>
  <si>
    <t>EZE, Ruth</t>
  </si>
  <si>
    <t>FARNSWORTH, Grace</t>
  </si>
  <si>
    <t>FAULKNER, Alex</t>
  </si>
  <si>
    <t>FAZEEL, Subhaan</t>
  </si>
  <si>
    <t>FLETCHER, Poppy</t>
  </si>
  <si>
    <t>FORD, Tamsin</t>
  </si>
  <si>
    <t>FORSYTHE, Laurie</t>
  </si>
  <si>
    <t>FRANCIS, Susanna</t>
  </si>
  <si>
    <t>GARNETT, Alexandra</t>
  </si>
  <si>
    <t>GASHI, Nela</t>
  </si>
  <si>
    <t>Albanian</t>
  </si>
  <si>
    <t>GODSIL, Katie</t>
  </si>
  <si>
    <t>GOODCHILD, Alice</t>
  </si>
  <si>
    <t>GOODWIN, Freya</t>
  </si>
  <si>
    <t>GRADY, Lucy</t>
  </si>
  <si>
    <t>GRANT, Alfie</t>
  </si>
  <si>
    <t>GREEN, Hannah</t>
  </si>
  <si>
    <t>HACKETT, Lauren</t>
  </si>
  <si>
    <t>HAGOS, Abel</t>
  </si>
  <si>
    <t>HAGUE, Eden</t>
  </si>
  <si>
    <t>HAGUE, Jorja</t>
  </si>
  <si>
    <t>HAJ MOHAMAD, Sahar</t>
  </si>
  <si>
    <t>Arab Other</t>
  </si>
  <si>
    <t>HANDS, Lowri</t>
  </si>
  <si>
    <t>HAWKINS, Mollie</t>
  </si>
  <si>
    <t>HEAFEY, Emma</t>
  </si>
  <si>
    <t>HOGG, Isabella</t>
  </si>
  <si>
    <t>HORWOOD, Harry</t>
  </si>
  <si>
    <t>HOWDEN, Ella</t>
  </si>
  <si>
    <t>HUGHES, Megan</t>
  </si>
  <si>
    <t>HUNT, Henry</t>
  </si>
  <si>
    <t>HUSSAIN, Falak</t>
  </si>
  <si>
    <t>HUSSAIN, Yahya</t>
  </si>
  <si>
    <t>HUTCHISON, Thomas</t>
  </si>
  <si>
    <t>IBRAHIM, Ibraheem</t>
  </si>
  <si>
    <t>IGOE, Daniel</t>
  </si>
  <si>
    <t>ISON, Jacintha</t>
  </si>
  <si>
    <t>JACOBS, Reem</t>
  </si>
  <si>
    <t>JAMES, Marcus</t>
  </si>
  <si>
    <t>JAYASUMANA, Menula</t>
  </si>
  <si>
    <t>JOKHI, Sam</t>
  </si>
  <si>
    <t>JONES, Connor</t>
  </si>
  <si>
    <t>JONES, Harriet</t>
  </si>
  <si>
    <t>JORDAN-SMALLE, Brandon</t>
  </si>
  <si>
    <t>JURCZAK, Nikodem</t>
  </si>
  <si>
    <t>KANDENGWA, Sanchez</t>
  </si>
  <si>
    <t>KELLETT, Edward</t>
  </si>
  <si>
    <t>KING, Charlotte</t>
  </si>
  <si>
    <t>KLOVAITE, Adrija</t>
  </si>
  <si>
    <t>KOCJAN, Zofia</t>
  </si>
  <si>
    <t>KOK-ROBERTO, Xander</t>
  </si>
  <si>
    <t>KUBICA, Jakub</t>
  </si>
  <si>
    <t>LEAR, Eve</t>
  </si>
  <si>
    <t>LEE, Harry</t>
  </si>
  <si>
    <t>LEE, Robert</t>
  </si>
  <si>
    <t>White and Asian</t>
  </si>
  <si>
    <t>LEHANE, Rose</t>
  </si>
  <si>
    <t>LOADER, Finn</t>
  </si>
  <si>
    <t>LOCKER, Isobel</t>
  </si>
  <si>
    <t>LOWE, Lenny</t>
  </si>
  <si>
    <t>MALLARI, Irah</t>
  </si>
  <si>
    <t>MANFREDI, Siena</t>
  </si>
  <si>
    <t>MANNION, Roisin</t>
  </si>
  <si>
    <t>MANSERGH, Elijah</t>
  </si>
  <si>
    <t>MANZIRA, Tinotenda</t>
  </si>
  <si>
    <t>MARPLES, Dani</t>
  </si>
  <si>
    <t>MARTIN, Alice</t>
  </si>
  <si>
    <t>MARTIN, Eva</t>
  </si>
  <si>
    <t>MARTIN, Maisie</t>
  </si>
  <si>
    <t>MARTIN, Nathan</t>
  </si>
  <si>
    <t>MATHEWS, Isabelle</t>
  </si>
  <si>
    <t>MCCAFFREY, Florence</t>
  </si>
  <si>
    <t>MCCOLE, Charlotte</t>
  </si>
  <si>
    <t>MCDONOUGH, Tim</t>
  </si>
  <si>
    <t>MCGRAIL, Isobelle</t>
  </si>
  <si>
    <t>MCGREGOR, Mirren</t>
  </si>
  <si>
    <t>MCLEAN, Ruby-faith</t>
  </si>
  <si>
    <t>MCNALLY, Mia</t>
  </si>
  <si>
    <t>MENON, Sujit</t>
  </si>
  <si>
    <t>MIDDLETON, Sam</t>
  </si>
  <si>
    <t>MITCHELL, Grace</t>
  </si>
  <si>
    <t>MLISWA, Talitha</t>
  </si>
  <si>
    <t>MOKATI, Seithati</t>
  </si>
  <si>
    <t>MONAGHAN, Hamish</t>
  </si>
  <si>
    <t>MONAGHAN, Thomas</t>
  </si>
  <si>
    <t>JNE</t>
  </si>
  <si>
    <t>MOTTRAM, Eliza</t>
  </si>
  <si>
    <t>MPOVA, Chancelina</t>
  </si>
  <si>
    <t>MURRAY-WRIGHT, Sinead</t>
  </si>
  <si>
    <t>MUSIE, Abel</t>
  </si>
  <si>
    <t>NAVARRO, Monica</t>
  </si>
  <si>
    <t>NDERITU, Seth</t>
  </si>
  <si>
    <t>NEEDHAM, Thalia</t>
  </si>
  <si>
    <t>NELSON, Louie</t>
  </si>
  <si>
    <t>NICOL, Joseph</t>
  </si>
  <si>
    <t>OBINANI, Dubby</t>
  </si>
  <si>
    <t>O'MAHONY, Finn</t>
  </si>
  <si>
    <t>O'NEILL, Dominic</t>
  </si>
  <si>
    <t>OYAADE, David</t>
  </si>
  <si>
    <t>PALMER, James</t>
  </si>
  <si>
    <t>PALMER, Olivia</t>
  </si>
  <si>
    <t>PARKER, James</t>
  </si>
  <si>
    <t>PEARSON, James</t>
  </si>
  <si>
    <t>PENDER, Patrick</t>
  </si>
  <si>
    <t>PHILLIPS, Aurelius</t>
  </si>
  <si>
    <t>PINDER-PACKARD, Eva</t>
  </si>
  <si>
    <t>POIRRIER, Isobel</t>
  </si>
  <si>
    <t>SS</t>
  </si>
  <si>
    <t>PRENTER, Olivia</t>
  </si>
  <si>
    <t>PROUD, Grace</t>
  </si>
  <si>
    <t>PUGH, Joshua</t>
  </si>
  <si>
    <t>QUINN, Isobel</t>
  </si>
  <si>
    <t>RAUT, Apsara</t>
  </si>
  <si>
    <t>REDDIN, Jude</t>
  </si>
  <si>
    <t>REED, Cicely</t>
  </si>
  <si>
    <t>REVILL, Oliver</t>
  </si>
  <si>
    <t>RIAZ, Isaiah</t>
  </si>
  <si>
    <t>RIAZ, Zain</t>
  </si>
  <si>
    <t>RIDGE, Frankie</t>
  </si>
  <si>
    <t>ROBERTS, Ollie</t>
  </si>
  <si>
    <t>ROJAS BURGOA, Alejandro</t>
  </si>
  <si>
    <t>ROSE, Elijah</t>
  </si>
  <si>
    <t>ROSS, Eoghan</t>
  </si>
  <si>
    <t>SALMON, Eleanor</t>
  </si>
  <si>
    <t>SALMON, Georgia</t>
  </si>
  <si>
    <t>SAWICKA, Olivia</t>
  </si>
  <si>
    <t>SCANLON, Ellie</t>
  </si>
  <si>
    <t>SCOTT, Archie</t>
  </si>
  <si>
    <t>SELLERS, Samuel</t>
  </si>
  <si>
    <t>SHAHNAMA, Ashkan</t>
  </si>
  <si>
    <t>Iranian</t>
  </si>
  <si>
    <t>SHAW, Jacob</t>
  </si>
  <si>
    <t>SHAW, Maria</t>
  </si>
  <si>
    <t>SHELLEY, Sophie</t>
  </si>
  <si>
    <t>SINGH, Grace</t>
  </si>
  <si>
    <t>SLACK, Charlie</t>
  </si>
  <si>
    <t>SMITH, Declan</t>
  </si>
  <si>
    <t>SMITH, Harry</t>
  </si>
  <si>
    <t>SMITH, Sophie</t>
  </si>
  <si>
    <t>SNELL, Carys</t>
  </si>
  <si>
    <t>SOLOMMON, Renee</t>
  </si>
  <si>
    <t>SOOKLALL, Jacob</t>
  </si>
  <si>
    <t>SPICER-IRAZUSTA, Joseph</t>
  </si>
  <si>
    <t>STEPHENS-JONES, Cecile</t>
  </si>
  <si>
    <t>STEPHENS-JONES, Lydia</t>
  </si>
  <si>
    <t>STEWART, Patrick</t>
  </si>
  <si>
    <t>STONES, Madeline</t>
  </si>
  <si>
    <t>SUMNER, Keisha</t>
  </si>
  <si>
    <t>SZMIT, Julia</t>
  </si>
  <si>
    <t>TAYLOR, Jack</t>
  </si>
  <si>
    <t>TEDLA, Milkias</t>
  </si>
  <si>
    <t>THISELTON, Lucy</t>
  </si>
  <si>
    <t>THORNHILL, Joseph</t>
  </si>
  <si>
    <t>THORPE, Frank</t>
  </si>
  <si>
    <t>TOE, Winston</t>
  </si>
  <si>
    <t>TWIDDLE, Hannah</t>
  </si>
  <si>
    <t>VERNON, Max</t>
  </si>
  <si>
    <t>VERNON-EDWARDS, Lena</t>
  </si>
  <si>
    <t>WALKER, Honor</t>
  </si>
  <si>
    <t>WALKER, Jamie</t>
  </si>
  <si>
    <t>WALKER, Maisie</t>
  </si>
  <si>
    <t>WALLHEAD, Freya</t>
  </si>
  <si>
    <t>WALTON, Samuel</t>
  </si>
  <si>
    <t>WANJIKU, Alan</t>
  </si>
  <si>
    <t>WATMOUGH, Lily</t>
  </si>
  <si>
    <t>WILD, Ellie</t>
  </si>
  <si>
    <t>WILLIAMS, Ellie</t>
  </si>
  <si>
    <t>WILLIAMS, Zac</t>
  </si>
  <si>
    <t>WILSON-BARRATT, Robyn</t>
  </si>
  <si>
    <t>WOLDEMICHAEL, Suraffel</t>
  </si>
  <si>
    <t>WOODHEAD, Evelyn</t>
  </si>
  <si>
    <t>WRIGHT, Evie</t>
  </si>
  <si>
    <t>XU, Iris</t>
  </si>
  <si>
    <t>FSM</t>
  </si>
  <si>
    <t>SEN - M</t>
  </si>
  <si>
    <t>Attendance Percentage AM/PM</t>
  </si>
  <si>
    <t>CHILDDEV_A2L</t>
  </si>
  <si>
    <t>CHILDDEV_TEACHER</t>
  </si>
  <si>
    <t>COMPUTING_A2L</t>
  </si>
  <si>
    <t>COMPUTING_TEACHER</t>
  </si>
  <si>
    <t>ENGLISH  LIT_A2L</t>
  </si>
  <si>
    <t>ENGLISH LIT_TEACHER</t>
  </si>
  <si>
    <t>FOOD_A2L</t>
  </si>
  <si>
    <t>FOOD_TEACHER</t>
  </si>
  <si>
    <t>H&amp;SC_A2L</t>
  </si>
  <si>
    <t>H&amp;SC_TEACHER</t>
  </si>
  <si>
    <t>PHOTOGRAPHY_A2L</t>
  </si>
  <si>
    <t>PHOTOGRAPHY_TEACHER</t>
  </si>
  <si>
    <t>PHYSEDMS_AL</t>
  </si>
  <si>
    <t>PHYSEDMS_TEACHER</t>
  </si>
  <si>
    <t>PRDDESIGN_A2L</t>
  </si>
  <si>
    <t>PRDDESIGN_TEACHER</t>
  </si>
  <si>
    <t>ADEDAYO-SOGADE, Iteoluwa</t>
  </si>
  <si>
    <t>11ZI</t>
  </si>
  <si>
    <t>ZI</t>
  </si>
  <si>
    <t>AFFOH, Andrew</t>
  </si>
  <si>
    <t>11KKN</t>
  </si>
  <si>
    <t>TR</t>
  </si>
  <si>
    <t>NT</t>
  </si>
  <si>
    <t>AFFOH, Anthony</t>
  </si>
  <si>
    <t>AFOLABI, Jewel</t>
  </si>
  <si>
    <t>11SK</t>
  </si>
  <si>
    <t>AKINBOYEWA, Elizabeth</t>
  </si>
  <si>
    <t>AKUNDA, Shakylla</t>
  </si>
  <si>
    <t>11EGQ</t>
  </si>
  <si>
    <t>EP</t>
  </si>
  <si>
    <t>ALI, Amree</t>
  </si>
  <si>
    <t>ALIMAHMOODI, Aria</t>
  </si>
  <si>
    <t>11SPI</t>
  </si>
  <si>
    <t>ALLEN, Sofia</t>
  </si>
  <si>
    <t>ALYAS, James</t>
  </si>
  <si>
    <t>AMBOE, Brandon</t>
  </si>
  <si>
    <t>AMER, Elijah</t>
  </si>
  <si>
    <t>11SDA</t>
  </si>
  <si>
    <t>ANDERSON, Leo</t>
  </si>
  <si>
    <t>11WE</t>
  </si>
  <si>
    <t>ANWAR, Sara</t>
  </si>
  <si>
    <t>ASLAM, Sana</t>
  </si>
  <si>
    <t>ATKINSON, Declan</t>
  </si>
  <si>
    <t>11JNE</t>
  </si>
  <si>
    <t>ATOYEBI, Anaiah</t>
  </si>
  <si>
    <t>AZAR, Sarah</t>
  </si>
  <si>
    <t>BARNES, Gabriel</t>
  </si>
  <si>
    <t>BARRATT, Beth</t>
  </si>
  <si>
    <t>MAM</t>
  </si>
  <si>
    <t>BARRETT, Edward</t>
  </si>
  <si>
    <t>BATH, Natalie</t>
  </si>
  <si>
    <t>BATY, Mia</t>
  </si>
  <si>
    <t>BEARE, Lucy</t>
  </si>
  <si>
    <t>BEREKET, Rim</t>
  </si>
  <si>
    <t>BEREKET, Samuel</t>
  </si>
  <si>
    <t>BOATENG, Mariella</t>
  </si>
  <si>
    <t>BODELL, Alisha</t>
  </si>
  <si>
    <t>BOLTON, Jacob</t>
  </si>
  <si>
    <t>BRIGGS, Grace</t>
  </si>
  <si>
    <t>BROOMHEAD, Emma</t>
  </si>
  <si>
    <t>BROWN, Noah</t>
  </si>
  <si>
    <t>BURTON, Jessica</t>
  </si>
  <si>
    <t>CATTOLICO, Cristina</t>
  </si>
  <si>
    <t>CHAPMAN, Leonardo</t>
  </si>
  <si>
    <t>CROFTS, Joey</t>
  </si>
  <si>
    <t>CULLEN, Daisy</t>
  </si>
  <si>
    <t>DANES HARTE, Isabella</t>
  </si>
  <si>
    <t>DAVIES, Olivia</t>
  </si>
  <si>
    <t>DAWATAGE, Onesh</t>
  </si>
  <si>
    <t>DAY, Billy</t>
  </si>
  <si>
    <t>DENNIS, Aisling</t>
  </si>
  <si>
    <t>DOHERTY, Phoebe</t>
  </si>
  <si>
    <t>DRANSFIELD, Grace</t>
  </si>
  <si>
    <t>DUFFY, Mia</t>
  </si>
  <si>
    <t>DUNFORD, Joshua</t>
  </si>
  <si>
    <t>EGLESTON, Iris</t>
  </si>
  <si>
    <t>EL JAMMAL, Gabrielle</t>
  </si>
  <si>
    <t>EL-SAADAWY, Ibrahim</t>
  </si>
  <si>
    <t>ELVIE, Madison</t>
  </si>
  <si>
    <t>ESPINOSA, Hazel</t>
  </si>
  <si>
    <t>FENWICK, Luke</t>
  </si>
  <si>
    <t>Refused</t>
  </si>
  <si>
    <t>FIORE, Sofia</t>
  </si>
  <si>
    <t>FITZGERALD, Olivia</t>
  </si>
  <si>
    <t>FOLEY, Eamonn</t>
  </si>
  <si>
    <t>FOX, Kieran</t>
  </si>
  <si>
    <t>FUGANTI, Veronica</t>
  </si>
  <si>
    <t>FYNN, Francis</t>
  </si>
  <si>
    <t>GACHIA, Joel</t>
  </si>
  <si>
    <t>GARNICA-URUCHURTU, Frida</t>
  </si>
  <si>
    <t>GECI, Oliver</t>
  </si>
  <si>
    <t>GORE, Joseph</t>
  </si>
  <si>
    <t>GRANT, Kobe</t>
  </si>
  <si>
    <t>GRAYSON, Freddie</t>
  </si>
  <si>
    <t>GREEN, Michael</t>
  </si>
  <si>
    <t>GRINDROD, Evie</t>
  </si>
  <si>
    <t>HADI, India</t>
  </si>
  <si>
    <t>HANNIFFY - LONGDEN, Kitty</t>
  </si>
  <si>
    <t>HANNIFFY - LONGDEN, Mia</t>
  </si>
  <si>
    <t>HAWKINS, Nathan</t>
  </si>
  <si>
    <t>HAWKINS, Summer</t>
  </si>
  <si>
    <t>HELEY, Ben</t>
  </si>
  <si>
    <t>HINCHCLIFFE, Silvi</t>
  </si>
  <si>
    <t>HINCHLIFFE, Polly</t>
  </si>
  <si>
    <t>HINDMARCH, Madeleine</t>
  </si>
  <si>
    <t>HOPE, Jessica</t>
  </si>
  <si>
    <t>HOPKINS, Tadhg</t>
  </si>
  <si>
    <t>HORSFIELD, Ruby</t>
  </si>
  <si>
    <t>HOWSON, Max</t>
  </si>
  <si>
    <t>HUSSAIN, Zain</t>
  </si>
  <si>
    <t>IGOE, Niamh</t>
  </si>
  <si>
    <t>ILLIEN-MIDDLETON, Eve</t>
  </si>
  <si>
    <t>JOHNSON, Alister</t>
  </si>
  <si>
    <t>JONES, Brandon</t>
  </si>
  <si>
    <t>JONES, Finlay</t>
  </si>
  <si>
    <t>KABUNGA, Fred</t>
  </si>
  <si>
    <t>KAY, Geoffrey</t>
  </si>
  <si>
    <t>KAY, Roseann</t>
  </si>
  <si>
    <t>KING, Ellie</t>
  </si>
  <si>
    <t>KLAMANN, Julita</t>
  </si>
  <si>
    <t>KOM, Caitlin</t>
  </si>
  <si>
    <t>LAFFERTY, Leo</t>
  </si>
  <si>
    <t>LEADLEY, Freya</t>
  </si>
  <si>
    <t>LEADLEY, Harvey</t>
  </si>
  <si>
    <t>LEAR, Imogen</t>
  </si>
  <si>
    <t>LEVESLEY, Adam</t>
  </si>
  <si>
    <t>LEWIS, Olivia</t>
  </si>
  <si>
    <t>LIGHTBODY, Sophie</t>
  </si>
  <si>
    <t>LINSKY, Caleb</t>
  </si>
  <si>
    <t>LIVINGSTON, Maria</t>
  </si>
  <si>
    <t>LOGAN, Nathaniel</t>
  </si>
  <si>
    <t>LOUGHRAN, Joseph</t>
  </si>
  <si>
    <t>MADAFI, Valerie</t>
  </si>
  <si>
    <t>MAGAMBO, Aaron</t>
  </si>
  <si>
    <t>MAHACHI, Dean</t>
  </si>
  <si>
    <t>MAKANJUOLA, Feola</t>
  </si>
  <si>
    <t>MALIK, Hana</t>
  </si>
  <si>
    <t>MARKS, Ethan</t>
  </si>
  <si>
    <t>MARTIN, Tyler</t>
  </si>
  <si>
    <t>MAURICIO, James</t>
  </si>
  <si>
    <t>MCCANN, James</t>
  </si>
  <si>
    <t>MCKINNEY, Esther</t>
  </si>
  <si>
    <t>MCKINNEY, Tess</t>
  </si>
  <si>
    <t>MCLAUGHLIN, Matthew</t>
  </si>
  <si>
    <t>MCQUILLAN-LEONARD, Louis</t>
  </si>
  <si>
    <t>MEAD, Louisa</t>
  </si>
  <si>
    <t>MEHMOOD, Samah</t>
  </si>
  <si>
    <t>MOUNTAIN-FREEMAN, Joshua</t>
  </si>
  <si>
    <t>MUHIRWA, Leeron</t>
  </si>
  <si>
    <t>MUNRO-PROUD, Lewis</t>
  </si>
  <si>
    <t>MUSIE, Christina</t>
  </si>
  <si>
    <t>NAYLOR, Benedict</t>
  </si>
  <si>
    <t>NAYLOR, Ruby</t>
  </si>
  <si>
    <t>NDUKA, Reuben</t>
  </si>
  <si>
    <t>NETTLE, Charlie</t>
  </si>
  <si>
    <t>NEWTON, Grace</t>
  </si>
  <si>
    <t>NICHOLSON, Georgia</t>
  </si>
  <si>
    <t>NURUL SUNAZRY, Hadiff</t>
  </si>
  <si>
    <t>O'BRIEN, Lydia</t>
  </si>
  <si>
    <t>O'MALLEY, Faith</t>
  </si>
  <si>
    <t>O'MALLEY, Hope</t>
  </si>
  <si>
    <t>OSAGIE, Miracle</t>
  </si>
  <si>
    <t>OWEN, Emily</t>
  </si>
  <si>
    <t>OWUSU-SEKYERE, Bethny</t>
  </si>
  <si>
    <t>OXLEY, Finn</t>
  </si>
  <si>
    <t>OXLEY, Lily</t>
  </si>
  <si>
    <t>PAREDES DAVILA, Pablo nicolas</t>
  </si>
  <si>
    <t>PARKIN, Annabelle</t>
  </si>
  <si>
    <t>PENMETSA, Akshaya</t>
  </si>
  <si>
    <t>PEREIRA, Cianah</t>
  </si>
  <si>
    <t>PHELPS, Evie</t>
  </si>
  <si>
    <t>PHOENIX, Luke</t>
  </si>
  <si>
    <t>PRENTER, Millie</t>
  </si>
  <si>
    <t>PRIESTLEY, Antonia</t>
  </si>
  <si>
    <t>PUCKERING-GREEN, Jake</t>
  </si>
  <si>
    <t>READ, Hannah</t>
  </si>
  <si>
    <t>REYNARD, Isla</t>
  </si>
  <si>
    <t>RICHARDS, Lynice</t>
  </si>
  <si>
    <t>RIGBY, Isobel</t>
  </si>
  <si>
    <t>ROSE, Evie</t>
  </si>
  <si>
    <t>ROSS-WESTON, Madeleine</t>
  </si>
  <si>
    <t>SADDIQ, Elayna</t>
  </si>
  <si>
    <t>SADLER, Tierney</t>
  </si>
  <si>
    <t>SAMUELS, Amari</t>
  </si>
  <si>
    <t>SANCHEZ, Nicolas</t>
  </si>
  <si>
    <t>SARGEANT, Joanie</t>
  </si>
  <si>
    <t>SAXTON-CLAYTON, Alfie</t>
  </si>
  <si>
    <t>SCOTT, Trinity</t>
  </si>
  <si>
    <t>SCRIVEN, Emily</t>
  </si>
  <si>
    <t>SELAMYIHUN, Bitania</t>
  </si>
  <si>
    <t>SHAIJU, Shreya</t>
  </si>
  <si>
    <t>SHAW, Larissa</t>
  </si>
  <si>
    <t>SHEPHERD, Jessica</t>
  </si>
  <si>
    <t>SHEPPARD, Jade</t>
  </si>
  <si>
    <t>SHERIDAN, Stanley</t>
  </si>
  <si>
    <t>SHIELDS, Rachel</t>
  </si>
  <si>
    <t>SIBANDA, Sibusisiwe</t>
  </si>
  <si>
    <t>SIGAUKE, Ashleigh</t>
  </si>
  <si>
    <t>SIGGS, Patrick</t>
  </si>
  <si>
    <t>SIMPSON, Charlie</t>
  </si>
  <si>
    <t>SINKAMBA, Louisa</t>
  </si>
  <si>
    <t>SMITH, Jasmine</t>
  </si>
  <si>
    <t>SMITH, Luke</t>
  </si>
  <si>
    <t>SMITH, Nathanael</t>
  </si>
  <si>
    <t>SMITH, Niamh</t>
  </si>
  <si>
    <t>SMITH, Patrick</t>
  </si>
  <si>
    <t>SMITH, Taliah</t>
  </si>
  <si>
    <t>White and Any Other Ethnic Group</t>
  </si>
  <si>
    <t>SMITH, William</t>
  </si>
  <si>
    <t>STAFFORD, James</t>
  </si>
  <si>
    <t>STEPHENSON, Lewis</t>
  </si>
  <si>
    <t>STREICHER ROOTMAN, Mika</t>
  </si>
  <si>
    <t>SWEETING, Olivia</t>
  </si>
  <si>
    <t>TAFT, Alfie</t>
  </si>
  <si>
    <t>TAHIROVA, Maria</t>
  </si>
  <si>
    <t>TANKARD, Erin</t>
  </si>
  <si>
    <t>TATE, Ruby</t>
  </si>
  <si>
    <t>TAYLOR, Ethan</t>
  </si>
  <si>
    <t>TEWODROS, Bezawet</t>
  </si>
  <si>
    <t>THOMAS, Ryan</t>
  </si>
  <si>
    <t>THOMPSON, Zack</t>
  </si>
  <si>
    <t>TOJO, Elwin</t>
  </si>
  <si>
    <t>TSHUMA, Isaac</t>
  </si>
  <si>
    <t>TURNER, Millie</t>
  </si>
  <si>
    <t>TYMINSKA, Maja</t>
  </si>
  <si>
    <t>UDUOISE, Eliana</t>
  </si>
  <si>
    <t>UFONDU, Chinonso</t>
  </si>
  <si>
    <t>UWAGBOE, Eghosa</t>
  </si>
  <si>
    <t>VAS, Camille</t>
  </si>
  <si>
    <t>WALDRON, Sophie</t>
  </si>
  <si>
    <t>WALFORD, Riannon</t>
  </si>
  <si>
    <t>WALSH, Caitlin</t>
  </si>
  <si>
    <t>WALSH, James</t>
  </si>
  <si>
    <t>WALTON-MCBAIN, Evangeline</t>
  </si>
  <si>
    <t>WALTON-RYAN, Gabriel</t>
  </si>
  <si>
    <t>WALTON-RYAN, Lola</t>
  </si>
  <si>
    <t>WARD, Benjamin</t>
  </si>
  <si>
    <t>WHITAKER SMITH, Lily</t>
  </si>
  <si>
    <t>WHITWORTH, Alecia</t>
  </si>
  <si>
    <t>WILLIAMS, Mya</t>
  </si>
  <si>
    <t>WOMERSLEY, Poppy</t>
  </si>
  <si>
    <t>WRIGHT, Sadie</t>
  </si>
  <si>
    <t>YEBOAH, Samuel</t>
  </si>
  <si>
    <t>YEMANE, Harmala</t>
  </si>
  <si>
    <t>CHILD_DEVELOPMENT_A2L</t>
  </si>
  <si>
    <t>CHILD_DEVELOPMENT_TEACHER</t>
  </si>
  <si>
    <t>HEALTHSOCIALCARE_A2L</t>
  </si>
  <si>
    <t>HEALTHSOCIALCARE_TEACHER</t>
  </si>
  <si>
    <t>imedia_A2L</t>
  </si>
  <si>
    <t>imedia_TEACHER</t>
  </si>
  <si>
    <t>PHYSICAL EDUCATION_A2L</t>
  </si>
  <si>
    <t>PHYSICAL EDUCATION_TEACHER</t>
  </si>
  <si>
    <t>PEOPTION_A2L</t>
  </si>
  <si>
    <t>PEOPTION_TEACHER</t>
  </si>
  <si>
    <t>PRODUCT DESIGN_A2L</t>
  </si>
  <si>
    <t>PRODUCT DESIGN_TEACHER</t>
  </si>
  <si>
    <t>ADEWALE, Tunmise</t>
  </si>
  <si>
    <t>10JOS</t>
  </si>
  <si>
    <t>AGUILAR, Deangelo</t>
  </si>
  <si>
    <t>10RQ</t>
  </si>
  <si>
    <t>AKHTAR, Maleeha</t>
  </si>
  <si>
    <t>10ES</t>
  </si>
  <si>
    <t>CM</t>
  </si>
  <si>
    <t>AKRAM, Haiqa</t>
  </si>
  <si>
    <t>10EB</t>
  </si>
  <si>
    <t>ALI, Aimen</t>
  </si>
  <si>
    <t>10CM</t>
  </si>
  <si>
    <t>ALLEN, Archie</t>
  </si>
  <si>
    <t>10CS</t>
  </si>
  <si>
    <t>AMANUEL, Lulyana</t>
  </si>
  <si>
    <t>10PL</t>
  </si>
  <si>
    <t>ATOYEBI, Joshua</t>
  </si>
  <si>
    <t>AZUMAH, Yeukai</t>
  </si>
  <si>
    <t>BAHRE, Rufta</t>
  </si>
  <si>
    <t>BASTER, Anastasia</t>
  </si>
  <si>
    <t>BELL, Heidi</t>
  </si>
  <si>
    <t>BELLAMY, Layla</t>
  </si>
  <si>
    <t>10TD</t>
  </si>
  <si>
    <t>BORCHASHVILI, Ezolda</t>
  </si>
  <si>
    <t>BORLAND, James</t>
  </si>
  <si>
    <t>BOTROS, Tia</t>
  </si>
  <si>
    <t>BOWER, Sophie</t>
  </si>
  <si>
    <t>BOWRING, Penny</t>
  </si>
  <si>
    <t>BRAMHALL, Isaac</t>
  </si>
  <si>
    <t>BRANCO CARMONA, Angel</t>
  </si>
  <si>
    <t>BRATLEY, Charlotte</t>
  </si>
  <si>
    <t>BROWN, Willow</t>
  </si>
  <si>
    <t>BRUCE, Emily</t>
  </si>
  <si>
    <t>BRUMPTON, Joseph</t>
  </si>
  <si>
    <t>BUDURESCU, Rebeca</t>
  </si>
  <si>
    <t>BUKENA, Keith</t>
  </si>
  <si>
    <t>BUSHELL, Gideon</t>
  </si>
  <si>
    <t>CAMPBELL, Sydney</t>
  </si>
  <si>
    <t>CARSON, Ava</t>
  </si>
  <si>
    <t>CHAITA, Takudzwa</t>
  </si>
  <si>
    <t>CHANAKIRA, Mya</t>
  </si>
  <si>
    <t>CHARLES, Lara</t>
  </si>
  <si>
    <t>CLAYTON, Ruby</t>
  </si>
  <si>
    <t>CLEMENTS, Henry</t>
  </si>
  <si>
    <t>COLE, Oliver</t>
  </si>
  <si>
    <t>COLLIER, Millie</t>
  </si>
  <si>
    <t>CONNOLLY, Rowan</t>
  </si>
  <si>
    <t>TSQ</t>
  </si>
  <si>
    <t>CRAWFORD, Trinity</t>
  </si>
  <si>
    <t>CURRAN, James</t>
  </si>
  <si>
    <t>CURTIS, Ellie</t>
  </si>
  <si>
    <t>DANIEL, Eldana</t>
  </si>
  <si>
    <t>DAVIES, Emily</t>
  </si>
  <si>
    <t>DAVIS, Michael</t>
  </si>
  <si>
    <t>DEREJE, Paulos</t>
  </si>
  <si>
    <t>DEREJE, Petros</t>
  </si>
  <si>
    <t>DISHA, Luca</t>
  </si>
  <si>
    <t>DODGSON, Declan</t>
  </si>
  <si>
    <t>DOHERTY, Charlie</t>
  </si>
  <si>
    <t>DUNGWORTH, Sophia</t>
  </si>
  <si>
    <t>DUNSEATH, Maia</t>
  </si>
  <si>
    <t>EHOSIEM, David</t>
  </si>
  <si>
    <t>ELLIS FRENCH, George</t>
  </si>
  <si>
    <t>ENGLISH, Elliot</t>
  </si>
  <si>
    <t>ESLER, Helen</t>
  </si>
  <si>
    <t>EVANS, Aisling</t>
  </si>
  <si>
    <t>EVANS, James</t>
  </si>
  <si>
    <t>EWUSIE-NELSON, Pierre</t>
  </si>
  <si>
    <t>EYASUE, Nathnael</t>
  </si>
  <si>
    <t>FITZGERALD, Austin</t>
  </si>
  <si>
    <t>FITZPATRICK, Finan</t>
  </si>
  <si>
    <t>FOSTER, Ruby</t>
  </si>
  <si>
    <t>FOX, Teigan</t>
  </si>
  <si>
    <t>FRANCIS, Danae</t>
  </si>
  <si>
    <t>FYNN, Anthony</t>
  </si>
  <si>
    <t>GILL, Annabella</t>
  </si>
  <si>
    <t>GIOVE, Luca</t>
  </si>
  <si>
    <t>GODINHO MOREIRA, Gabriel</t>
  </si>
  <si>
    <t>GOODCHILD, Joseph</t>
  </si>
  <si>
    <t>GRADY, Molly</t>
  </si>
  <si>
    <t>GRANT, Charmaine</t>
  </si>
  <si>
    <t>GREEN, Henry</t>
  </si>
  <si>
    <t>GRYSZUN, Vanessa</t>
  </si>
  <si>
    <t>HADDOW, Marnie</t>
  </si>
  <si>
    <t>HADFIELD, Edward</t>
  </si>
  <si>
    <t>HALE, Juno</t>
  </si>
  <si>
    <t>HALL, Amelia</t>
  </si>
  <si>
    <t>HAWKINS, Jack</t>
  </si>
  <si>
    <t>HAYNES, Summer</t>
  </si>
  <si>
    <t>HEAFEY, Michael</t>
  </si>
  <si>
    <t>HEATON, Ben</t>
  </si>
  <si>
    <t>HEGARTY, Matthew</t>
  </si>
  <si>
    <t>HODGKINSON, Leon</t>
  </si>
  <si>
    <t>HODGSON, Margaux</t>
  </si>
  <si>
    <t>HOWARTH, Jack</t>
  </si>
  <si>
    <t>HUSSAIN, Amelia</t>
  </si>
  <si>
    <t>JENNINGS, Dominic</t>
  </si>
  <si>
    <t>JIM, Zeah</t>
  </si>
  <si>
    <t>JONES, Annie</t>
  </si>
  <si>
    <t>JONES, Rebekah</t>
  </si>
  <si>
    <t>KAMARA, Isha</t>
  </si>
  <si>
    <t>KANDENGWA, Ashanti</t>
  </si>
  <si>
    <t>KARGBO, Emmanuel</t>
  </si>
  <si>
    <t>KAYIZA, Letitia</t>
  </si>
  <si>
    <t>KAZADI, Benjamin</t>
  </si>
  <si>
    <t>KEARNEY, Eva</t>
  </si>
  <si>
    <t>KHAN, Alishba</t>
  </si>
  <si>
    <t>KIKET-MAKOUBI, Fimi</t>
  </si>
  <si>
    <t>KING, Jessie</t>
  </si>
  <si>
    <t>KNIGHT, Oscar</t>
  </si>
  <si>
    <t>KOZLOWSKA, Wiktoria</t>
  </si>
  <si>
    <t>KUBICOVA, Lucy</t>
  </si>
  <si>
    <t>LAWS, Harry</t>
  </si>
  <si>
    <t>LEE, Fiona</t>
  </si>
  <si>
    <t>LEE, Mckenzie</t>
  </si>
  <si>
    <t>LEE-POTTER, Matthew</t>
  </si>
  <si>
    <t>LIN, Jeffrey</t>
  </si>
  <si>
    <t>LOADER, Aoife</t>
  </si>
  <si>
    <t>LOUGHRAN SMITH, Olivia</t>
  </si>
  <si>
    <t>LUMB, Jack</t>
  </si>
  <si>
    <t>LUTAKOME, Wesley</t>
  </si>
  <si>
    <t>MABOU-NGUEKOH, Vermon</t>
  </si>
  <si>
    <t>MACKRELL, Grace</t>
  </si>
  <si>
    <t>MAHMOOD, Dean al-haq</t>
  </si>
  <si>
    <t>MAHONEY, Thomas</t>
  </si>
  <si>
    <t>MARSHALL, Rebecca</t>
  </si>
  <si>
    <t>MATE, Isikena</t>
  </si>
  <si>
    <t>MCFADDEN, Daniel</t>
  </si>
  <si>
    <t>MCKINNEY, Vincent</t>
  </si>
  <si>
    <t>MEAGHER, Elizabeth</t>
  </si>
  <si>
    <t>MEIJER, Luc</t>
  </si>
  <si>
    <t>MISIEK, Jan</t>
  </si>
  <si>
    <t>MITCHELL, George</t>
  </si>
  <si>
    <t>MONAGHAN, Christian</t>
  </si>
  <si>
    <t>MONAGHAN, Sophie</t>
  </si>
  <si>
    <t>MORALEE-COOK, Toby</t>
  </si>
  <si>
    <t>MOSS, Freya</t>
  </si>
  <si>
    <t>MOWBRAY, Jack</t>
  </si>
  <si>
    <t>MOWBRAY, Luke</t>
  </si>
  <si>
    <t>MOYO, Vivica</t>
  </si>
  <si>
    <t>MPUNDU, Dwayne</t>
  </si>
  <si>
    <t>MURPHY, Joachim</t>
  </si>
  <si>
    <t>MURPHY, Mary</t>
  </si>
  <si>
    <t>MURRAY, Rhomani</t>
  </si>
  <si>
    <t>NAWAZ, Abu-bakr</t>
  </si>
  <si>
    <t>NAZIR, Zakariya</t>
  </si>
  <si>
    <t>White and Pakistani</t>
  </si>
  <si>
    <t>NISAR, Haseebah</t>
  </si>
  <si>
    <t>NORREK, Grzegorz</t>
  </si>
  <si>
    <t>NWEKE-IFEDIBA, Jason</t>
  </si>
  <si>
    <t>OCHIENG, Oj</t>
  </si>
  <si>
    <t>ODUDU, Amy</t>
  </si>
  <si>
    <t>OGUNDEIN, Jude</t>
  </si>
  <si>
    <t>OSBORNE, Maria</t>
  </si>
  <si>
    <t>OWUSU, Kelvin</t>
  </si>
  <si>
    <t>OWUSU-AGYEMANG, Aaron</t>
  </si>
  <si>
    <t>OYAOLE, Ofure</t>
  </si>
  <si>
    <t>PATINDOL, Shanie</t>
  </si>
  <si>
    <t>PAUL, Joanne</t>
  </si>
  <si>
    <t>PAWSON, Theo</t>
  </si>
  <si>
    <t>PECKETT, Sebastian</t>
  </si>
  <si>
    <t>PHILIP, Alfred</t>
  </si>
  <si>
    <t>PITCHFORK, Jake</t>
  </si>
  <si>
    <t>PLATTS, William</t>
  </si>
  <si>
    <t>POOLEY, Alice</t>
  </si>
  <si>
    <t>PUNT, Charlotte</t>
  </si>
  <si>
    <t>RAFFERTY, Christopher</t>
  </si>
  <si>
    <t>RICE, Alfie</t>
  </si>
  <si>
    <t>RIVAS-AGUILAR, Isabella</t>
  </si>
  <si>
    <t>ROBERTS, Daniel</t>
  </si>
  <si>
    <t>ROBERTS, Lois</t>
  </si>
  <si>
    <t>RUNDLE, Eliza</t>
  </si>
  <si>
    <t>RUVINSKI, Isabel</t>
  </si>
  <si>
    <t>RYS, Jakub</t>
  </si>
  <si>
    <t>SABINA, Viola</t>
  </si>
  <si>
    <t>SAFAWO, Hire</t>
  </si>
  <si>
    <t>SANCHEZ-DIAZ, Yulima</t>
  </si>
  <si>
    <t>SAVVIDOU, Chrisy</t>
  </si>
  <si>
    <t>SCOTT, Abigail</t>
  </si>
  <si>
    <t>SEYMOUR, George</t>
  </si>
  <si>
    <t>SHAHZAD, Fayzaan</t>
  </si>
  <si>
    <t>SHAIF, Zara</t>
  </si>
  <si>
    <t>Yemeni</t>
  </si>
  <si>
    <t>SHAW, Kirsten</t>
  </si>
  <si>
    <t>SHIEL, Zach</t>
  </si>
  <si>
    <t>SHIKABONGA, Ellen</t>
  </si>
  <si>
    <t>SHOULER, Charlie</t>
  </si>
  <si>
    <t>SIBANDA, Liam</t>
  </si>
  <si>
    <t>SIGGS, Ciaran</t>
  </si>
  <si>
    <t>SKOCZYLAS, Barnaba</t>
  </si>
  <si>
    <t>SMITH, Brendan</t>
  </si>
  <si>
    <t>SMITH, Jaedon</t>
  </si>
  <si>
    <t>STACEY, Imogen</t>
  </si>
  <si>
    <t>STEVEN, Charlotte</t>
  </si>
  <si>
    <t>STOCKWELL, Edith</t>
  </si>
  <si>
    <t>STORF, Tilly</t>
  </si>
  <si>
    <t>STOVELL, Ruben</t>
  </si>
  <si>
    <t>SUMNER, Latisha</t>
  </si>
  <si>
    <t>SWIFT, Alex</t>
  </si>
  <si>
    <t>SYKES, Thomas</t>
  </si>
  <si>
    <t>TAYLOR, George</t>
  </si>
  <si>
    <t>TESFAMICAEL, Nyat</t>
  </si>
  <si>
    <t>THOMAS, Aiden</t>
  </si>
  <si>
    <t>THOMAS, Vivian</t>
  </si>
  <si>
    <t>THOMPSON, Jack</t>
  </si>
  <si>
    <t>THRAVES, Meghan</t>
  </si>
  <si>
    <t>TODD, Patrick</t>
  </si>
  <si>
    <t>TOE, Joanna</t>
  </si>
  <si>
    <t>TOMBS, Taela</t>
  </si>
  <si>
    <t>TRAVIS, James</t>
  </si>
  <si>
    <t>TRIGUEIROS, Ana</t>
  </si>
  <si>
    <t>UGONNA, Ifeoma</t>
  </si>
  <si>
    <t>UNARCE, Ashleigh</t>
  </si>
  <si>
    <t>Filipino</t>
  </si>
  <si>
    <t>UWAOMA, Chidimma</t>
  </si>
  <si>
    <t>WALKER, Chloe</t>
  </si>
  <si>
    <t>WALLER, Hollie</t>
  </si>
  <si>
    <t>WANG, Jinfan</t>
  </si>
  <si>
    <t>WHITTINGTON, Rhys</t>
  </si>
  <si>
    <t>WRAGG, Alfie</t>
  </si>
  <si>
    <t>WRIGHT, George</t>
  </si>
  <si>
    <t>WYNTER, Zaniah</t>
  </si>
  <si>
    <t>YANBAK, Zaak</t>
  </si>
  <si>
    <t>YEMANE, Nahom</t>
  </si>
  <si>
    <t>YEWDALL, Benedict</t>
  </si>
  <si>
    <t>ZEKARYS, Delena</t>
  </si>
  <si>
    <t>DANCE_A2L</t>
  </si>
  <si>
    <t>DANCE_TEACHER</t>
  </si>
  <si>
    <t>IT_A2L</t>
  </si>
  <si>
    <t>IT_TEACHER</t>
  </si>
  <si>
    <t>PHYSEDOPTION_A2L</t>
  </si>
  <si>
    <t>PHYSEDOPTION_TEACHER</t>
  </si>
  <si>
    <t>ADESINA, Rapheal</t>
  </si>
  <si>
    <t>9MCO</t>
  </si>
  <si>
    <t>ADIELE, Michael</t>
  </si>
  <si>
    <t>9AWL</t>
  </si>
  <si>
    <t>JHO</t>
  </si>
  <si>
    <t>AINSWORTH, Joshua</t>
  </si>
  <si>
    <t>9GN</t>
  </si>
  <si>
    <t>AJAO, Ayomide</t>
  </si>
  <si>
    <t>9JQ</t>
  </si>
  <si>
    <t>AKELE, Amein</t>
  </si>
  <si>
    <t>AKHTAR, Ibrahim</t>
  </si>
  <si>
    <t>9KB</t>
  </si>
  <si>
    <t>ALSAFFAR, Michael</t>
  </si>
  <si>
    <t>9GR</t>
  </si>
  <si>
    <t>ANDREWS, Poppie</t>
  </si>
  <si>
    <t>ARAYA, Abriham</t>
  </si>
  <si>
    <t>ARMSTRONG, Sarah</t>
  </si>
  <si>
    <t>ASEFA, Emanuel</t>
  </si>
  <si>
    <t>ATKINSON, Dylan</t>
  </si>
  <si>
    <t>AZAR, Mark</t>
  </si>
  <si>
    <t>BAGNOLI, Liliana</t>
  </si>
  <si>
    <t>BAIG, Sumaya</t>
  </si>
  <si>
    <t>BARDEN, Edwin</t>
  </si>
  <si>
    <t>BARINCOVÁ, Denisa</t>
  </si>
  <si>
    <t>BARK, Evie-rose</t>
  </si>
  <si>
    <t>9IC</t>
  </si>
  <si>
    <t>BAUM, Brooke</t>
  </si>
  <si>
    <t>BEARE, Erin</t>
  </si>
  <si>
    <t>BEREKET, Solyana</t>
  </si>
  <si>
    <t>BLAND, Madison</t>
  </si>
  <si>
    <t>BOWER, Grayson</t>
  </si>
  <si>
    <t>9RNI</t>
  </si>
  <si>
    <t>BRANCO CARMONA, Serena</t>
  </si>
  <si>
    <t>BRUCE, Zachary</t>
  </si>
  <si>
    <t>BUKENA, Kerry</t>
  </si>
  <si>
    <t>BYJU, Tania</t>
  </si>
  <si>
    <t>CALVERT, Joshua</t>
  </si>
  <si>
    <t>CAMPBELL, Diego</t>
  </si>
  <si>
    <t>CHAPMAN, Aurora</t>
  </si>
  <si>
    <t>CICCARELLA, Sophia</t>
  </si>
  <si>
    <t>CICCARELLI, Federica</t>
  </si>
  <si>
    <t>CLAEYSSENS, Rose</t>
  </si>
  <si>
    <t>COLEMAN, Joey</t>
  </si>
  <si>
    <t>COLLEY, Antonia</t>
  </si>
  <si>
    <t>CONROY, Maison</t>
  </si>
  <si>
    <t>COORAY, Stephanie</t>
  </si>
  <si>
    <t>COTTON-DILAURENZIO, Alissia</t>
  </si>
  <si>
    <t>COX, Seraphine</t>
  </si>
  <si>
    <t>CROSS, Will</t>
  </si>
  <si>
    <t>CYWINSKA, Sophie</t>
  </si>
  <si>
    <t>DANIEL, Yoaeil</t>
  </si>
  <si>
    <t>DENNIS, Charles</t>
  </si>
  <si>
    <t>DERNIE, Freddie</t>
  </si>
  <si>
    <t>DI MAIO, Joshua</t>
  </si>
  <si>
    <t>DOWTHWAITE, Phoebe</t>
  </si>
  <si>
    <t>D'ROZA, Daniel</t>
  </si>
  <si>
    <t>DRURY, Kavan</t>
  </si>
  <si>
    <t>DUNN, Amalie</t>
  </si>
  <si>
    <t>EDGELEY, Luca</t>
  </si>
  <si>
    <t>EDWARDS, Emma</t>
  </si>
  <si>
    <t>ELIAS, Cristina</t>
  </si>
  <si>
    <t>ENRIQUEZ, Ethan</t>
  </si>
  <si>
    <t>FIORE, Luca</t>
  </si>
  <si>
    <t>FLANNERY, Millie</t>
  </si>
  <si>
    <t>FOLEY, Maeve</t>
  </si>
  <si>
    <t>FORD, Ethan</t>
  </si>
  <si>
    <t>FOSTER, Amy</t>
  </si>
  <si>
    <t>FOWKES, Mina</t>
  </si>
  <si>
    <t>FREBO, Maureen</t>
  </si>
  <si>
    <t>FROST, Owen</t>
  </si>
  <si>
    <t>GAW, Sarah</t>
  </si>
  <si>
    <t>GAYNORD, Edward</t>
  </si>
  <si>
    <t>GEBRHIWOT, Msgna</t>
  </si>
  <si>
    <t>GEORGE, Hannah</t>
  </si>
  <si>
    <t>GETAHUN, Selome</t>
  </si>
  <si>
    <t>GHEORGHE, Alex</t>
  </si>
  <si>
    <t>GILLOTT, Lily rae</t>
  </si>
  <si>
    <t>GOLDBERG, Hannah</t>
  </si>
  <si>
    <t>GORE, Jessica</t>
  </si>
  <si>
    <t>GRANT, Ayo</t>
  </si>
  <si>
    <t>GREGORY, Kaden</t>
  </si>
  <si>
    <t>GRIMALDI, Ashley</t>
  </si>
  <si>
    <t>HALL, Emily</t>
  </si>
  <si>
    <t>HAYES, Catherine</t>
  </si>
  <si>
    <t>HENOK, Elizabeth</t>
  </si>
  <si>
    <t>HIGGINS, Cole</t>
  </si>
  <si>
    <t>HINDMARCH, Louis</t>
  </si>
  <si>
    <t>HOLMES, Aoife</t>
  </si>
  <si>
    <t>HORWOOD, Scarlett</t>
  </si>
  <si>
    <t>HRISTOV, Alexander</t>
  </si>
  <si>
    <t>HUANG, Jimmy</t>
  </si>
  <si>
    <t>HUSSAIN, Abdul kareem</t>
  </si>
  <si>
    <t>HUSSAIN, Muneeb</t>
  </si>
  <si>
    <t>HUSSAIN, Raheem</t>
  </si>
  <si>
    <t>IGGO, Isla</t>
  </si>
  <si>
    <t>IGOE, Grace</t>
  </si>
  <si>
    <t>JABA, Chelsea</t>
  </si>
  <si>
    <t>JACKSON, Eilis</t>
  </si>
  <si>
    <t>JOE, Marissa</t>
  </si>
  <si>
    <t>JONES, Dylan</t>
  </si>
  <si>
    <t>JONES, Kai</t>
  </si>
  <si>
    <t>KEARNEY, Ronan</t>
  </si>
  <si>
    <t>KENNY, Grace</t>
  </si>
  <si>
    <t>KHALIL, Hasnayn</t>
  </si>
  <si>
    <t>KHAN, Daiyan</t>
  </si>
  <si>
    <t>KHAN, Raheem</t>
  </si>
  <si>
    <t>KIDANE, Nohi</t>
  </si>
  <si>
    <t>KILCOYNE, Isaac</t>
  </si>
  <si>
    <t>KLOVAS, Tautvydas</t>
  </si>
  <si>
    <t>LAFFERTY, Nathaniel</t>
  </si>
  <si>
    <t>LAMPERT, Joanna</t>
  </si>
  <si>
    <t>LARDER-LEE, Ophelia</t>
  </si>
  <si>
    <t>LAYNE, Cerys</t>
  </si>
  <si>
    <t>LE VALLOIS, Jemiah</t>
  </si>
  <si>
    <t>LEE, Keira</t>
  </si>
  <si>
    <t>LIDGETT, Erin</t>
  </si>
  <si>
    <t>LIGHTBODY, James</t>
  </si>
  <si>
    <t>LYNCH, Colm</t>
  </si>
  <si>
    <t>MABOU KAMFAING, Tresor</t>
  </si>
  <si>
    <t>MACGREGOR, Joel</t>
  </si>
  <si>
    <t>MADOURIE, Nickeisha</t>
  </si>
  <si>
    <t>MAHMOOD, Daniyal</t>
  </si>
  <si>
    <t>MALLARI, Elisha</t>
  </si>
  <si>
    <t>MARIANO, Inácio</t>
  </si>
  <si>
    <t>MARIANO, Marta</t>
  </si>
  <si>
    <t>MARTIN, Isabelle</t>
  </si>
  <si>
    <t>MARTINEZ-SARMIENTO, Daniel</t>
  </si>
  <si>
    <t>MARTINS, Jose</t>
  </si>
  <si>
    <t>MARTINS, Raul</t>
  </si>
  <si>
    <t>MASON, Dara</t>
  </si>
  <si>
    <t>MCCANN, Alexander</t>
  </si>
  <si>
    <t>MCCORMICK, Robbie</t>
  </si>
  <si>
    <t>MCGOVERN, Patrick</t>
  </si>
  <si>
    <t>MCNALLY, Erin</t>
  </si>
  <si>
    <t>MCVAY, Prosper</t>
  </si>
  <si>
    <t>MEAGHER, James</t>
  </si>
  <si>
    <t>MIDDLETON, Josef</t>
  </si>
  <si>
    <t>MORRIS, Bethany</t>
  </si>
  <si>
    <t>MURENA, Patrick</t>
  </si>
  <si>
    <t>MURPHY DUCKENFIELD, Mae</t>
  </si>
  <si>
    <t>NGANGA, Emily</t>
  </si>
  <si>
    <t>NICHOLSON, Evie</t>
  </si>
  <si>
    <t>NICOL, Millie</t>
  </si>
  <si>
    <t>NWEKE-IFEDIBA, Jeffrey</t>
  </si>
  <si>
    <t>OATES, Jessica</t>
  </si>
  <si>
    <t>ODOBI, Katriel</t>
  </si>
  <si>
    <t>ODOBI, Kayleen</t>
  </si>
  <si>
    <t>O'DONOHUE, Joey</t>
  </si>
  <si>
    <t>OGDEN, Harvey</t>
  </si>
  <si>
    <t>OKEY-UMEH, Nesochi</t>
  </si>
  <si>
    <t>OKOLI, Emma</t>
  </si>
  <si>
    <t>OPENJA, Ethan</t>
  </si>
  <si>
    <t>OWUSU ASUMADU, Calista</t>
  </si>
  <si>
    <t>OWUSU-ANSAH, Frederick</t>
  </si>
  <si>
    <t>OXLEY, Daisy</t>
  </si>
  <si>
    <t>PALCZYNSKI, Justin</t>
  </si>
  <si>
    <t>PAWSON, Imogen</t>
  </si>
  <si>
    <t>PEAT, Charlotte</t>
  </si>
  <si>
    <t>PLOTNIKOVA, Catherine</t>
  </si>
  <si>
    <t>PLUNKETT, Hugh</t>
  </si>
  <si>
    <t>PORTER, Eve</t>
  </si>
  <si>
    <t>PROCTER, Megan</t>
  </si>
  <si>
    <t>QUINN, Faryl</t>
  </si>
  <si>
    <t>RAYNOR-ENGLAND, Destiny</t>
  </si>
  <si>
    <t>READ, Daisy</t>
  </si>
  <si>
    <t>REID, Aoibhin</t>
  </si>
  <si>
    <t>REYNARD, Joe</t>
  </si>
  <si>
    <t>RHODES-BELLHOUSE, James</t>
  </si>
  <si>
    <t>ROBERTS, Finley</t>
  </si>
  <si>
    <t>RODRIGO, Samudu</t>
  </si>
  <si>
    <t>RONALDSON, Josh</t>
  </si>
  <si>
    <t>RONALDSON, Lydia</t>
  </si>
  <si>
    <t>ROWLEY, Isla</t>
  </si>
  <si>
    <t>SAUNBY, Rose</t>
  </si>
  <si>
    <t>SAWICKA, Emilia</t>
  </si>
  <si>
    <t>SAXTON-CLAYTON, Archie</t>
  </si>
  <si>
    <t>SCOTT, Ewan</t>
  </si>
  <si>
    <t>SCOTT, Lucy</t>
  </si>
  <si>
    <t>SELF, Katie</t>
  </si>
  <si>
    <t>SEYMOUR, Benjamin</t>
  </si>
  <si>
    <t>SHAJU, Annmaria</t>
  </si>
  <si>
    <t>SHAW, Esther</t>
  </si>
  <si>
    <t>SHERIDAN, George</t>
  </si>
  <si>
    <t>SIMMONS, Ewan</t>
  </si>
  <si>
    <t>SLADE, Lawrence</t>
  </si>
  <si>
    <t>SMITH, Edward</t>
  </si>
  <si>
    <t>SMITH, Emilia</t>
  </si>
  <si>
    <t>SPEAKMAN, Orla</t>
  </si>
  <si>
    <t>SPEIRS, Jake</t>
  </si>
  <si>
    <t>SPICER, Eli</t>
  </si>
  <si>
    <t>SQUIRES, Thomas</t>
  </si>
  <si>
    <t>STEWART, Daisy-mae</t>
  </si>
  <si>
    <t>STORF, Joseph</t>
  </si>
  <si>
    <t>SWEETING, Jack</t>
  </si>
  <si>
    <t>TANSWELL, Dominic</t>
  </si>
  <si>
    <t>TESFAZGHI, Hosana</t>
  </si>
  <si>
    <t>TESFAZGHI, Siyena</t>
  </si>
  <si>
    <t>TEWODROS, Sefana</t>
  </si>
  <si>
    <t>TINARWO, Alex</t>
  </si>
  <si>
    <t>TOMASZEWSKI, Peter</t>
  </si>
  <si>
    <t>UMOH, Favour</t>
  </si>
  <si>
    <t>VAS, Miriam</t>
  </si>
  <si>
    <t>VERNON-EDWARDS, Cedar</t>
  </si>
  <si>
    <t>VIPOND, Joseph</t>
  </si>
  <si>
    <t>VOISEY, Milly</t>
  </si>
  <si>
    <t>WALDRON, Georgie</t>
  </si>
  <si>
    <t>WALFORD, Emilia</t>
  </si>
  <si>
    <t>WALKER, Erin</t>
  </si>
  <si>
    <t>WALTON, Arabella</t>
  </si>
  <si>
    <t>WANG, Jin chen</t>
  </si>
  <si>
    <t>WARD, Kirsty</t>
  </si>
  <si>
    <t>WATMOUGH, Thomas</t>
  </si>
  <si>
    <t>WATSON, Mary-may</t>
  </si>
  <si>
    <t>WATSON, Roan</t>
  </si>
  <si>
    <t>WENNINGER, Annie</t>
  </si>
  <si>
    <t>WILLEY, Jasmine</t>
  </si>
  <si>
    <t>XU, Chris</t>
  </si>
  <si>
    <t>YATES, Niamh</t>
  </si>
  <si>
    <t>YEKALO, Eben</t>
  </si>
  <si>
    <t>FSM Ever 6</t>
  </si>
  <si>
    <t>Attendance for Form and Class YTD</t>
  </si>
  <si>
    <t>Attendance Form YTD</t>
  </si>
  <si>
    <t>MathsCore_A2L</t>
  </si>
  <si>
    <t>MathsCore_TEACHER</t>
  </si>
  <si>
    <t>ADU, Abel</t>
  </si>
  <si>
    <t>13SDR</t>
  </si>
  <si>
    <t/>
  </si>
  <si>
    <t>AKRAM, Javed</t>
  </si>
  <si>
    <t>13FG</t>
  </si>
  <si>
    <t>ALBAKEERI, Taghreed</t>
  </si>
  <si>
    <t>13SMC</t>
  </si>
  <si>
    <t>ALLEN, Elizabeth</t>
  </si>
  <si>
    <t>ANWAR, Juwayria-iman</t>
  </si>
  <si>
    <t>APEJI, Tere</t>
  </si>
  <si>
    <t>13MPI</t>
  </si>
  <si>
    <t>ARMSTRONG, Hannah</t>
  </si>
  <si>
    <t>ASABA, Aimee</t>
  </si>
  <si>
    <t>13BG</t>
  </si>
  <si>
    <t>ASAD, Ifsah</t>
  </si>
  <si>
    <t>13TS</t>
  </si>
  <si>
    <t>ASAMOAH-BOAMAH, Stanley</t>
  </si>
  <si>
    <t>13LGI</t>
  </si>
  <si>
    <t>ATKIN, William</t>
  </si>
  <si>
    <t>ATULEGWU, Bridget</t>
  </si>
  <si>
    <t>AUGER, Annabel</t>
  </si>
  <si>
    <t>AZUMAH, Yayra</t>
  </si>
  <si>
    <t>BACON, Kieron</t>
  </si>
  <si>
    <t>BAILES, Cameron</t>
  </si>
  <si>
    <t>BAIRD, Evie</t>
  </si>
  <si>
    <t>BALL, James</t>
  </si>
  <si>
    <t>BANDA, Dalitso</t>
  </si>
  <si>
    <t>BANYARD, Jessica</t>
  </si>
  <si>
    <t>BANYARD, Jorja</t>
  </si>
  <si>
    <t>BARNES, Oscar</t>
  </si>
  <si>
    <t>BATTERSBY, Marie-anne</t>
  </si>
  <si>
    <t>13PLE</t>
  </si>
  <si>
    <t>BAYNES, Lucia</t>
  </si>
  <si>
    <t>BEARE, Abi</t>
  </si>
  <si>
    <t>BINDANDA, Joyce</t>
  </si>
  <si>
    <t>BLADES, Thomas</t>
  </si>
  <si>
    <t>13HS</t>
  </si>
  <si>
    <t>BOATENG, Ignatius</t>
  </si>
  <si>
    <t>BORLAND, Helena</t>
  </si>
  <si>
    <t>BORTHWICK, Hattie</t>
  </si>
  <si>
    <t>BRADDOCK, Lucy</t>
  </si>
  <si>
    <t>BRADSHAW, Harry</t>
  </si>
  <si>
    <t>BRENTON, Pearce</t>
  </si>
  <si>
    <t>BROWN, Ella</t>
  </si>
  <si>
    <t>CALVERT, Molly</t>
  </si>
  <si>
    <t>CAUSER, Isabel</t>
  </si>
  <si>
    <t>CHAPMAN, Josh</t>
  </si>
  <si>
    <t>CHARLES, Adah</t>
  </si>
  <si>
    <t>CHILDS, James</t>
  </si>
  <si>
    <t>CHIRAMBOH, Pauline</t>
  </si>
  <si>
    <t>CIVICO, Jemuel</t>
  </si>
  <si>
    <t>CLARK, Tatum</t>
  </si>
  <si>
    <t>CLARK, Willow</t>
  </si>
  <si>
    <t>CLEMENTS, Jack</t>
  </si>
  <si>
    <t>COOPER, Francis</t>
  </si>
  <si>
    <t>CURRY, Henry</t>
  </si>
  <si>
    <t>CURTIS, Amelia</t>
  </si>
  <si>
    <t>DA COSTA, Ines</t>
  </si>
  <si>
    <t>DALPRA, Natalie</t>
  </si>
  <si>
    <t>DAVISON, Alfie</t>
  </si>
  <si>
    <t>DAWATAGE, Osheni</t>
  </si>
  <si>
    <t>DE GUZMAN, Rob zyron</t>
  </si>
  <si>
    <t>DEAKIN, Isabel</t>
  </si>
  <si>
    <t>DOH, Victoria</t>
  </si>
  <si>
    <t>DONLON, Andrew</t>
  </si>
  <si>
    <t>DUALEH, Yasmine</t>
  </si>
  <si>
    <t>DUGDALE, Edward</t>
  </si>
  <si>
    <t>EGEGE, Victoria</t>
  </si>
  <si>
    <t>EMMETT, Frederick</t>
  </si>
  <si>
    <t>EVANS-MUDIE, Esther</t>
  </si>
  <si>
    <t>EYRE, Felicity</t>
  </si>
  <si>
    <t>FAIREY, Madeleine</t>
  </si>
  <si>
    <t>FAIRFAX, Grace</t>
  </si>
  <si>
    <t>FAZEEL, Ahmed</t>
  </si>
  <si>
    <t>FERRARI, Valentino</t>
  </si>
  <si>
    <t>FIDLER, Daniel</t>
  </si>
  <si>
    <t>FLOURIS, Anna</t>
  </si>
  <si>
    <t>FOLLIN, Rory</t>
  </si>
  <si>
    <t>FOX, Jack</t>
  </si>
  <si>
    <t>FREMPONG, Abigail</t>
  </si>
  <si>
    <t>GALARRAGA, Paula</t>
  </si>
  <si>
    <t>GAUDO RODRIGUEZ, Lucia</t>
  </si>
  <si>
    <t>GECI, Jake</t>
  </si>
  <si>
    <t>GLOAG, James</t>
  </si>
  <si>
    <t>GRANT, Dakarai</t>
  </si>
  <si>
    <t>GRANT, Seamus</t>
  </si>
  <si>
    <t>GRASIER, Louis</t>
  </si>
  <si>
    <t>HADFIELD, James</t>
  </si>
  <si>
    <t>HARDIE, Megan</t>
  </si>
  <si>
    <t>HARTLEY, Scarlet</t>
  </si>
  <si>
    <t>HATTON, Mia</t>
  </si>
  <si>
    <t>HAVERON, Niamh</t>
  </si>
  <si>
    <t>HIRA, Henay</t>
  </si>
  <si>
    <t>HORNER, Ben</t>
  </si>
  <si>
    <t>HTOO, Kler</t>
  </si>
  <si>
    <t>HUGHES, Grace</t>
  </si>
  <si>
    <t>HUNT, Martha</t>
  </si>
  <si>
    <t>HUSSAIN, Arissa</t>
  </si>
  <si>
    <t>IMRAN, Rania</t>
  </si>
  <si>
    <t>IYOBOR-ANDREW, Success</t>
  </si>
  <si>
    <t>JABA, Michael</t>
  </si>
  <si>
    <t>JACKSON, Seamus</t>
  </si>
  <si>
    <t>JAMA, Farduus</t>
  </si>
  <si>
    <t>JAMES, Ruby</t>
  </si>
  <si>
    <t>JAMES, Ryan</t>
  </si>
  <si>
    <t>JAN, Hashim</t>
  </si>
  <si>
    <t>JESUS, Miguel</t>
  </si>
  <si>
    <t>JOKONYA, Takudzwa</t>
  </si>
  <si>
    <t>JOKONYA, Tapiwa</t>
  </si>
  <si>
    <t>JONES, Will</t>
  </si>
  <si>
    <t>JONES, Yvonne</t>
  </si>
  <si>
    <t>JOSEPH, Kevin</t>
  </si>
  <si>
    <t>KARIM, Ethan</t>
  </si>
  <si>
    <t>KAY, Alan</t>
  </si>
  <si>
    <t>KHALIL, Larayb</t>
  </si>
  <si>
    <t>KHAN, Makyle</t>
  </si>
  <si>
    <t>KHAN, Mohammed</t>
  </si>
  <si>
    <t>KLAASSEN, Neeko</t>
  </si>
  <si>
    <t>KNIGHT, Hannah</t>
  </si>
  <si>
    <t>KOROMA, Ej</t>
  </si>
  <si>
    <t>KWIZERA, Angel</t>
  </si>
  <si>
    <t>LAJARIGE, William</t>
  </si>
  <si>
    <t>LAKER, Georgina</t>
  </si>
  <si>
    <t>LAMBERT, Sarah</t>
  </si>
  <si>
    <t>LEADLEY, Jake</t>
  </si>
  <si>
    <t>LEAHY, Harvey</t>
  </si>
  <si>
    <t>LEMOS, Joseana</t>
  </si>
  <si>
    <t>LINSKY, Anya</t>
  </si>
  <si>
    <t>LOMAS, Samuel</t>
  </si>
  <si>
    <t>MAZHINDU, Robert</t>
  </si>
  <si>
    <t>MCBRIDE, Joseph</t>
  </si>
  <si>
    <t>MCFADDEN, Niamh</t>
  </si>
  <si>
    <t>M'CHELEKA, Chama</t>
  </si>
  <si>
    <t>MCKINLAY, Aine</t>
  </si>
  <si>
    <t>MCKINLAY, Connor</t>
  </si>
  <si>
    <t>MCKINNEY, Frank</t>
  </si>
  <si>
    <t>MCNERNEY, Isobel</t>
  </si>
  <si>
    <t>MEIJER, Rowan</t>
  </si>
  <si>
    <t>MICHAEL, Stacy</t>
  </si>
  <si>
    <t>MILLEN, Laura</t>
  </si>
  <si>
    <t>MORRIS, Matthew</t>
  </si>
  <si>
    <t>MORTON, Katy</t>
  </si>
  <si>
    <t>MUHAMMAD, Azan</t>
  </si>
  <si>
    <t>MULHALL, Chloe</t>
  </si>
  <si>
    <t>MURRAY-STRINGER, Eilidh</t>
  </si>
  <si>
    <t>MUSINDO, Chantelle</t>
  </si>
  <si>
    <t>NAGI, Reem</t>
  </si>
  <si>
    <t>NEEMA, Grace</t>
  </si>
  <si>
    <t>NHEMACHENA, Keyonte</t>
  </si>
  <si>
    <t>NOICE, Abbie</t>
  </si>
  <si>
    <t>NOLAN, Georgie</t>
  </si>
  <si>
    <t>NORRIS, Beth</t>
  </si>
  <si>
    <t>OJI, Vanessa</t>
  </si>
  <si>
    <t>OKPARA, Enoch</t>
  </si>
  <si>
    <t>OLATUNJI, Aliyah</t>
  </si>
  <si>
    <t>OWUSU-SEKYERE, Brittney</t>
  </si>
  <si>
    <t>PAWSON, Riley</t>
  </si>
  <si>
    <t>PEARSON, Esther</t>
  </si>
  <si>
    <t>PECKETT, Noah</t>
  </si>
  <si>
    <t>PEREIRA, Angela</t>
  </si>
  <si>
    <t>PHOENIX, Carys</t>
  </si>
  <si>
    <t>PLUNKETT, Aine</t>
  </si>
  <si>
    <t>POWELL-PLATTS, Issy</t>
  </si>
  <si>
    <t>PRICE, Samuel</t>
  </si>
  <si>
    <t>PRITCHETT, Steven</t>
  </si>
  <si>
    <t>QUINN, Darcy</t>
  </si>
  <si>
    <t>RADFORD, Harry</t>
  </si>
  <si>
    <t>RAUT, Himal</t>
  </si>
  <si>
    <t>REVITT, Adam</t>
  </si>
  <si>
    <t>ROBERTS, Nye</t>
  </si>
  <si>
    <t>ROBINSON, Ruby</t>
  </si>
  <si>
    <t>RODGERS, Joel</t>
  </si>
  <si>
    <t>ROONEY, Lauren</t>
  </si>
  <si>
    <t>SAJEEV, Blessy</t>
  </si>
  <si>
    <t>SANDERSON, Lydia</t>
  </si>
  <si>
    <t>SCHOFIELD, Jasmine</t>
  </si>
  <si>
    <t>SCOTT, Amy</t>
  </si>
  <si>
    <t>SCOTT, Grace</t>
  </si>
  <si>
    <t>SCRIVEN, Anna</t>
  </si>
  <si>
    <t>SEIDU-KPEBU, Nazia</t>
  </si>
  <si>
    <t>SENIOR, Isaac</t>
  </si>
  <si>
    <t>SEWELL, Elise</t>
  </si>
  <si>
    <t>SHAHID, Amaan</t>
  </si>
  <si>
    <t>SHELDON, Maisie</t>
  </si>
  <si>
    <t>SHEPHERD, Matthew</t>
  </si>
  <si>
    <t>SHIBLI, Mary</t>
  </si>
  <si>
    <t>SHIEL, Alexander</t>
  </si>
  <si>
    <t>SIGGS, Liam</t>
  </si>
  <si>
    <t>SMITH, Oliver</t>
  </si>
  <si>
    <t>SMITH, Thomas</t>
  </si>
  <si>
    <t>ST CLAIR, Ashleigh</t>
  </si>
  <si>
    <t>STEER, Jack</t>
  </si>
  <si>
    <t>STORDY, Aidan</t>
  </si>
  <si>
    <t>TANKARD, Harry</t>
  </si>
  <si>
    <t>TAYLOR, Charlotte</t>
  </si>
  <si>
    <t>TAYLOR, Eleni</t>
  </si>
  <si>
    <t>TAYLOR, Sienna</t>
  </si>
  <si>
    <t>THAYNE-BALL, Louis</t>
  </si>
  <si>
    <t>THRAVES, Dylan</t>
  </si>
  <si>
    <t>TODD, Abigail</t>
  </si>
  <si>
    <t>UMOH, Idara</t>
  </si>
  <si>
    <t>VAUGHAN, Caitlin</t>
  </si>
  <si>
    <t>WAGSTAFF, Jacob</t>
  </si>
  <si>
    <t>WALKER, Melissa</t>
  </si>
  <si>
    <t>WARBURTON, Isaac</t>
  </si>
  <si>
    <t>WEBB, Abigail</t>
  </si>
  <si>
    <t>WEST, Kayelei</t>
  </si>
  <si>
    <t>WILLIAMS, Oliver</t>
  </si>
  <si>
    <t>WOMERSLEY, Dayton</t>
  </si>
  <si>
    <t>WRIGHT, Alfie</t>
  </si>
  <si>
    <t>YEOMANS, Grace</t>
  </si>
  <si>
    <t>YUSUF, Yusra</t>
  </si>
  <si>
    <t>ON TRACK FOR AT END OF KS2</t>
  </si>
  <si>
    <t>PSHE_A2L</t>
  </si>
  <si>
    <t>PSHE_TEACHER</t>
  </si>
  <si>
    <t>ABRAHAM, Olivia</t>
  </si>
  <si>
    <t>8KC</t>
  </si>
  <si>
    <t>AHMADI-SIAHPOUSH, Aryana</t>
  </si>
  <si>
    <t>8AR</t>
  </si>
  <si>
    <t>AKANUWE, Raphael</t>
  </si>
  <si>
    <t>ALLEN, Elyse</t>
  </si>
  <si>
    <t>ALLEN, Emily</t>
  </si>
  <si>
    <t>AMBOE-FROU, Jean</t>
  </si>
  <si>
    <t>AMOAH, Amara</t>
  </si>
  <si>
    <t>8PH</t>
  </si>
  <si>
    <t>AURE, Viggo</t>
  </si>
  <si>
    <t>8AB</t>
  </si>
  <si>
    <t>AZUMAH, Yelorm</t>
  </si>
  <si>
    <t>BAILEY, Jackson</t>
  </si>
  <si>
    <t>8MH</t>
  </si>
  <si>
    <t>BAKER, Zofia</t>
  </si>
  <si>
    <t>BARNETT, Lily</t>
  </si>
  <si>
    <t>BINGHAM, Harry</t>
  </si>
  <si>
    <t>BISHAWU, Tyrone</t>
  </si>
  <si>
    <t>BORTHWICK, Beatrice</t>
  </si>
  <si>
    <t>8KS</t>
  </si>
  <si>
    <t>BRADSHAW, Megan</t>
  </si>
  <si>
    <t>BRANNEY-GRAVELEY, Orla</t>
  </si>
  <si>
    <t>BRENNIN, Noah</t>
  </si>
  <si>
    <t>BROWN, Libby</t>
  </si>
  <si>
    <t>BRUMPTON, Abigail</t>
  </si>
  <si>
    <t>BRUNO, Francesco</t>
  </si>
  <si>
    <t>BURLING, Gavin</t>
  </si>
  <si>
    <t>BYRNE, Joseph</t>
  </si>
  <si>
    <t>8TR</t>
  </si>
  <si>
    <t>CARSON, Benny</t>
  </si>
  <si>
    <t>CHAPMAN, Levi</t>
  </si>
  <si>
    <t>CLARK, Suzie</t>
  </si>
  <si>
    <t>COATES, Harley</t>
  </si>
  <si>
    <t>COEFIELD, Patrick</t>
  </si>
  <si>
    <t>CONNOLLY, Arwen</t>
  </si>
  <si>
    <t>CONNOLLY, Ethan</t>
  </si>
  <si>
    <t>CONNOLLY, Imogen</t>
  </si>
  <si>
    <t>CONNOLLY, India</t>
  </si>
  <si>
    <t>COOLING, Olivia</t>
  </si>
  <si>
    <t>DANIEL, Esey</t>
  </si>
  <si>
    <t>DISHA, Thomas</t>
  </si>
  <si>
    <t>DOWNING, Joe</t>
  </si>
  <si>
    <t>DUFFY, Lana</t>
  </si>
  <si>
    <t>DUMANI, Sandile</t>
  </si>
  <si>
    <t>DUNN, Alice</t>
  </si>
  <si>
    <t>8JJ</t>
  </si>
  <si>
    <t>DYANTYI, Noble</t>
  </si>
  <si>
    <t>EBSWORTH, Ayda-mae</t>
  </si>
  <si>
    <t>ELLIOTT, Lucy</t>
  </si>
  <si>
    <t>ELOM, Melissa</t>
  </si>
  <si>
    <t>EMMETT, Matilda</t>
  </si>
  <si>
    <t>EYASUE, Kalkidan</t>
  </si>
  <si>
    <t>FAGAN, Billy</t>
  </si>
  <si>
    <t>FARRINGTON, Thomas</t>
  </si>
  <si>
    <t>FEKETE, Boro</t>
  </si>
  <si>
    <t>FOX, Lana</t>
  </si>
  <si>
    <t>FRAWLEY, Oscar</t>
  </si>
  <si>
    <t>FREEMAN, Edward</t>
  </si>
  <si>
    <t>FUGANTI, Isaque</t>
  </si>
  <si>
    <t>GACHIA, Amani</t>
  </si>
  <si>
    <t>GECI, Ariana</t>
  </si>
  <si>
    <t>GEE, Sammy</t>
  </si>
  <si>
    <t>GLOAG, Jack</t>
  </si>
  <si>
    <t>GODDARD, Walt</t>
  </si>
  <si>
    <t>GODWILL, Chloe</t>
  </si>
  <si>
    <t>GORDON, Shenai</t>
  </si>
  <si>
    <t>GRADY, Thomas</t>
  </si>
  <si>
    <t>GREEN, Jadore</t>
  </si>
  <si>
    <t>GRZYBOWSKI, Oscar</t>
  </si>
  <si>
    <t>GUDGEON, Rose</t>
  </si>
  <si>
    <t>GULZAR, Zaina</t>
  </si>
  <si>
    <t>HACKWELL, George</t>
  </si>
  <si>
    <t>HADI, Rio</t>
  </si>
  <si>
    <t>HAMBLETON, Grace</t>
  </si>
  <si>
    <t>HARRISON WINKS, Georgia</t>
  </si>
  <si>
    <t>HARTLEY, Mischa</t>
  </si>
  <si>
    <t>HAUTBERGUE, Angelica</t>
  </si>
  <si>
    <t>HAWKINS, Naomi</t>
  </si>
  <si>
    <t>HELM, Mansley</t>
  </si>
  <si>
    <t>HEMMINGFIELD, Mae</t>
  </si>
  <si>
    <t>HENOK, Daniel</t>
  </si>
  <si>
    <t>HOGAN, Archie</t>
  </si>
  <si>
    <t>HOGAN, Dylan</t>
  </si>
  <si>
    <t>HOGGART, Bella</t>
  </si>
  <si>
    <t>HOWDEN, Grace</t>
  </si>
  <si>
    <t>IAMPIETRO, Luca</t>
  </si>
  <si>
    <t>JAKI, Zuzanna</t>
  </si>
  <si>
    <t>JEJE, Foley</t>
  </si>
  <si>
    <t>JOKONYA, Tadiwanashe</t>
  </si>
  <si>
    <t>JONES, Rafael</t>
  </si>
  <si>
    <t>KABBIE, Kaleb</t>
  </si>
  <si>
    <t>KABUNGA, Daniel</t>
  </si>
  <si>
    <t>KAZADI, Oliver</t>
  </si>
  <si>
    <t>KHAN, Inaya</t>
  </si>
  <si>
    <t>KIKET-MAKOUBI, Inke</t>
  </si>
  <si>
    <t>KING, Sarah</t>
  </si>
  <si>
    <t>KING-SMITH, Leo</t>
  </si>
  <si>
    <t>KIRBY, Caleb</t>
  </si>
  <si>
    <t>KIRKMAN, Harry</t>
  </si>
  <si>
    <t>KOWALSKI, Marcel</t>
  </si>
  <si>
    <t>LAGASON, Jakob</t>
  </si>
  <si>
    <t>LAKE, Samuel</t>
  </si>
  <si>
    <t>LEADLEY, Daisy</t>
  </si>
  <si>
    <t>LEDGER, Maisie</t>
  </si>
  <si>
    <t>LIN, Queenie</t>
  </si>
  <si>
    <t>LOH, Caleb</t>
  </si>
  <si>
    <t>Chinese and Any Other Ethnic Group</t>
  </si>
  <si>
    <t>LOXLEY-TEASDALE, Erin</t>
  </si>
  <si>
    <t>LUTAKOME, Whitney</t>
  </si>
  <si>
    <t>MACHON, Charlie</t>
  </si>
  <si>
    <t>MAHESWARA, Nendra</t>
  </si>
  <si>
    <t>MAHONEY, Lewis</t>
  </si>
  <si>
    <t>MAKANJUOLA, Demi</t>
  </si>
  <si>
    <t>MAKELE, Evan</t>
  </si>
  <si>
    <t>MANSERGH, Joshua</t>
  </si>
  <si>
    <t>MARPLES, Shay</t>
  </si>
  <si>
    <t>MARSHALL, Alison</t>
  </si>
  <si>
    <t>MARSHALL, Beatrice</t>
  </si>
  <si>
    <t>MARTIN, Isabel</t>
  </si>
  <si>
    <t>MATISCHEN, Mateo</t>
  </si>
  <si>
    <t>MATTHEWS, Skyler</t>
  </si>
  <si>
    <t>MAZHINDU, Nathaniel</t>
  </si>
  <si>
    <t>MBAH, Joseph</t>
  </si>
  <si>
    <t>MBUKANMA, Christiana</t>
  </si>
  <si>
    <t>MCDONAGH-HUTTON, Daisy</t>
  </si>
  <si>
    <t>MCDONAGH-HUTTON, Matilda</t>
  </si>
  <si>
    <t>MCDONALD-JAFFIER, Amaya</t>
  </si>
  <si>
    <t>MCKINNEY, Ingrid</t>
  </si>
  <si>
    <t>MEDHANIE, Sesen</t>
  </si>
  <si>
    <t>MONAGHAN, Elizabeth</t>
  </si>
  <si>
    <t>MONFREDI, Max</t>
  </si>
  <si>
    <t>MOREIRA CHAVES, Erick</t>
  </si>
  <si>
    <t>MOUNTAIN-FREEMAN, Maria</t>
  </si>
  <si>
    <t>MULCRONE, Liam</t>
  </si>
  <si>
    <t>MULQUEEN, Connell</t>
  </si>
  <si>
    <t>MURRAY, Harmony</t>
  </si>
  <si>
    <t>MUSIE, Yobel</t>
  </si>
  <si>
    <t>MUSUNGA, Kydan</t>
  </si>
  <si>
    <t>NAVARRO, Vincent</t>
  </si>
  <si>
    <t>NAZIR, Inaya</t>
  </si>
  <si>
    <t>NAZIR, Ummihani</t>
  </si>
  <si>
    <t>NETTLE, Jake</t>
  </si>
  <si>
    <t>NEWBOULD, Seth</t>
  </si>
  <si>
    <t>NEWNES, Eric</t>
  </si>
  <si>
    <t>NISAR, Aneesah</t>
  </si>
  <si>
    <t>NJAGI MUTETI, Leo</t>
  </si>
  <si>
    <t>NOLAN, Louis</t>
  </si>
  <si>
    <t>OJIMAH, Isaac</t>
  </si>
  <si>
    <t>O'SHEA, Cian</t>
  </si>
  <si>
    <t>OWEN, Samuel</t>
  </si>
  <si>
    <t>OWUSU-SEKYERE, Benji</t>
  </si>
  <si>
    <t>OXLEY, Eibhear</t>
  </si>
  <si>
    <t>OXSPRING, Jacob</t>
  </si>
  <si>
    <t>OYAOLE, Eghogho</t>
  </si>
  <si>
    <t>PAGE, Emily</t>
  </si>
  <si>
    <t>PICKERING, Caolan</t>
  </si>
  <si>
    <t>PINTO, Lishal</t>
  </si>
  <si>
    <t>PLOTNIKOV, Dmitriy</t>
  </si>
  <si>
    <t>POIRRIER, Lucy</t>
  </si>
  <si>
    <t>POULTON, Eden</t>
  </si>
  <si>
    <t>RAMSHAW, Sophia</t>
  </si>
  <si>
    <t>REID, Evie</t>
  </si>
  <si>
    <t>RESOM, Lulya</t>
  </si>
  <si>
    <t>REVILL, Louis</t>
  </si>
  <si>
    <t>RICHMOND, Hannah</t>
  </si>
  <si>
    <t>ROEBUCK, Bailey</t>
  </si>
  <si>
    <t>ROWE, Fletcher</t>
  </si>
  <si>
    <t>ROXBY, Emily</t>
  </si>
  <si>
    <t>RUSSELL, Sophie</t>
  </si>
  <si>
    <t>RUTTY, Marley</t>
  </si>
  <si>
    <t>SANCHEZ-DIAZ, Amaira</t>
  </si>
  <si>
    <t>SANYIKA, Charles</t>
  </si>
  <si>
    <t>SCHOFIELD, Bella</t>
  </si>
  <si>
    <t>SCOTT, Faye</t>
  </si>
  <si>
    <t>SELAMYIHUN, Biruk</t>
  </si>
  <si>
    <t>SHABERE, Hannah</t>
  </si>
  <si>
    <t>SIAMELI, Valeria</t>
  </si>
  <si>
    <t>SIBANDA, Kirsten</t>
  </si>
  <si>
    <t>SIMPSON, Orlagh</t>
  </si>
  <si>
    <t>SKOCZYLAS, Miriam</t>
  </si>
  <si>
    <t>SMITH, Jacob</t>
  </si>
  <si>
    <t>SOLLAZZO, Gabriella</t>
  </si>
  <si>
    <t>STEVENS, Jessica</t>
  </si>
  <si>
    <t>STONES, Lily</t>
  </si>
  <si>
    <t>SWIFT PEREZ, Isabel</t>
  </si>
  <si>
    <t>SZABRA, Barti</t>
  </si>
  <si>
    <t>SZCZEGIELNIAK, Nikola</t>
  </si>
  <si>
    <t>TEKLU, Dibora</t>
  </si>
  <si>
    <t>TEMELSO, Nahom</t>
  </si>
  <si>
    <t>THOMAS, Joshua</t>
  </si>
  <si>
    <t>THOMAS, Maiya</t>
  </si>
  <si>
    <t>THOMPSON, Harvey</t>
  </si>
  <si>
    <t>THOMPSON, Neriah</t>
  </si>
  <si>
    <t>TIJO, Jayden</t>
  </si>
  <si>
    <t>TODD, Joseph</t>
  </si>
  <si>
    <t>TOMAS-NEGASH, Yosan</t>
  </si>
  <si>
    <t>TOMCZAK, Marta</t>
  </si>
  <si>
    <t>TRIGUEIROS, Barbara</t>
  </si>
  <si>
    <t>TSANG, Bobbie</t>
  </si>
  <si>
    <t>TURNER, Isaac</t>
  </si>
  <si>
    <t>UFONDU, Kenechukwu</t>
  </si>
  <si>
    <t>UGONNA, Toben</t>
  </si>
  <si>
    <t>UKANGA, Semaekediong</t>
  </si>
  <si>
    <t>ULHAQ, Haris</t>
  </si>
  <si>
    <t>UWAOMA, Chidera</t>
  </si>
  <si>
    <t>WADHIO, Bakhtawar</t>
  </si>
  <si>
    <t>WALLER, Lilly</t>
  </si>
  <si>
    <t>WATSON, George</t>
  </si>
  <si>
    <t>WATSON, Thomas</t>
  </si>
  <si>
    <t>WILKINS, Lilly</t>
  </si>
  <si>
    <t>WILLIAMS, Zach</t>
  </si>
  <si>
    <t>WILSON, Jake</t>
  </si>
  <si>
    <t>WOODCOCK, Sam</t>
  </si>
  <si>
    <t>WOOD-WILLOUGHBY, Jack</t>
  </si>
  <si>
    <t>WU, Yuxiang</t>
  </si>
  <si>
    <t>YAQOOB, Yusuf</t>
  </si>
  <si>
    <t>YEBOAH, Quincy</t>
  </si>
  <si>
    <t>YOHANNES, Leah</t>
  </si>
  <si>
    <t>YULE, Ruby-anne</t>
  </si>
  <si>
    <t>ZAHEER, Areeb</t>
  </si>
  <si>
    <t>ZORMPAS, Loukas</t>
  </si>
  <si>
    <t>7-8</t>
  </si>
  <si>
    <t>6-7</t>
  </si>
  <si>
    <t>2-3</t>
  </si>
  <si>
    <t>5-6</t>
  </si>
  <si>
    <t>4-5</t>
  </si>
  <si>
    <t>8-9</t>
  </si>
  <si>
    <t>1-2</t>
  </si>
  <si>
    <t>3-4</t>
  </si>
  <si>
    <t>U-1</t>
  </si>
  <si>
    <t>No</t>
  </si>
  <si>
    <t>Yes</t>
  </si>
  <si>
    <t>L</t>
  </si>
  <si>
    <t>H</t>
  </si>
  <si>
    <t>STILL Needs to Improve and Serious Concern TOTAL</t>
  </si>
  <si>
    <t>ISFJD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</si>
</sst>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9A4E4"/>
        <bgColor auto="1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1" fillId="0" borderId="5" xfId="0" applyNumberFormat="1" applyFont="1" applyBorder="1" applyAlignment="1">
      <alignment horizontal="left" textRotation="90"/>
    </xf>
    <xf numFmtId="0" fontId="1" fillId="0" borderId="6" xfId="0" applyFont="1" applyBorder="1" applyAlignment="1">
      <alignment horizontal="center" textRotation="90"/>
    </xf>
    <xf numFmtId="0" fontId="1" fillId="0" borderId="7" xfId="0" applyFont="1" applyBorder="1" applyAlignment="1">
      <alignment horizontal="left" textRotation="90"/>
    </xf>
    <xf numFmtId="0" fontId="1" fillId="0" borderId="5" xfId="0" applyFont="1" applyBorder="1" applyAlignment="1">
      <alignment horizontal="left" textRotation="90"/>
    </xf>
    <xf numFmtId="0" fontId="1" fillId="0" borderId="6" xfId="0" applyFont="1" applyBorder="1" applyAlignment="1">
      <alignment horizontal="left" textRotation="90"/>
    </xf>
    <xf numFmtId="0" fontId="1" fillId="0" borderId="7" xfId="0" applyNumberFormat="1" applyFont="1" applyBorder="1" applyAlignment="1">
      <alignment horizontal="left" textRotation="90"/>
    </xf>
    <xf numFmtId="0" fontId="1" fillId="0" borderId="7" xfId="0" applyNumberFormat="1" applyFont="1" applyBorder="1" applyAlignment="1">
      <alignment horizontal="left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3" borderId="5" xfId="0" applyFont="1" applyFill="1" applyBorder="1" applyAlignment="1">
      <alignment horizontal="left" textRotation="90"/>
    </xf>
    <xf numFmtId="0" fontId="1" fillId="4" borderId="9" xfId="0" applyFont="1" applyFill="1" applyBorder="1" applyAlignment="1">
      <alignment horizontal="left" textRotation="90"/>
    </xf>
    <xf numFmtId="0" fontId="1" fillId="4" borderId="6" xfId="0" applyFont="1" applyFill="1" applyBorder="1" applyAlignment="1">
      <alignment horizontal="left" textRotation="90"/>
    </xf>
    <xf numFmtId="0" fontId="1" fillId="0" borderId="10" xfId="0" applyFont="1" applyBorder="1" applyAlignment="1">
      <alignment horizontal="left" textRotation="90"/>
    </xf>
    <xf numFmtId="0" fontId="1" fillId="0" borderId="11" xfId="0" applyFont="1" applyBorder="1" applyAlignment="1">
      <alignment horizontal="center" textRotation="90"/>
    </xf>
    <xf numFmtId="0" fontId="1" fillId="3" borderId="12" xfId="0" applyFont="1" applyFill="1" applyBorder="1" applyAlignment="1">
      <alignment horizontal="left" vertical="center" textRotation="90"/>
    </xf>
    <xf numFmtId="0" fontId="1" fillId="5" borderId="12" xfId="0" applyFont="1" applyFill="1" applyBorder="1" applyAlignment="1">
      <alignment horizontal="left" vertical="center" textRotation="90"/>
    </xf>
    <xf numFmtId="0" fontId="2" fillId="4" borderId="12" xfId="0" applyFont="1" applyFill="1" applyBorder="1" applyAlignment="1">
      <alignment horizontal="center" vertical="center" textRotation="90"/>
    </xf>
    <xf numFmtId="0" fontId="2" fillId="4" borderId="1" xfId="0" applyFont="1" applyFill="1" applyBorder="1" applyAlignment="1">
      <alignment horizontal="center" vertical="center" textRotation="90"/>
    </xf>
    <xf numFmtId="0" fontId="2" fillId="6" borderId="1" xfId="0" applyFont="1" applyFill="1" applyBorder="1" applyAlignment="1">
      <alignment horizontal="center" vertical="center" textRotation="90"/>
    </xf>
    <xf numFmtId="0" fontId="2" fillId="6" borderId="12" xfId="0" applyFont="1" applyFill="1" applyBorder="1" applyAlignment="1">
      <alignment horizontal="center" vertical="center" textRotation="90"/>
    </xf>
    <xf numFmtId="0" fontId="1" fillId="0" borderId="5" xfId="0" applyFont="1" applyFill="1" applyBorder="1" applyAlignment="1">
      <alignment horizontal="left" textRotation="90"/>
    </xf>
    <xf numFmtId="0" fontId="1" fillId="0" borderId="8" xfId="0" applyFont="1" applyFill="1" applyBorder="1" applyAlignment="1">
      <alignment horizontal="left" textRotation="90"/>
    </xf>
    <xf numFmtId="0" fontId="0" fillId="0" borderId="0" xfId="0" applyAlignment="1"/>
    <xf numFmtId="0" fontId="0" fillId="0" borderId="0" xfId="0" applyAlignment="1">
      <alignment textRotation="90"/>
    </xf>
    <xf numFmtId="0" fontId="3" fillId="0" borderId="2" xfId="0" applyFont="1" applyFill="1" applyBorder="1" applyAlignment="1"/>
    <xf numFmtId="0" fontId="3" fillId="0" borderId="3" xfId="0" applyFont="1" applyFill="1" applyBorder="1" applyAlignment="1"/>
    <xf numFmtId="0" fontId="3" fillId="0" borderId="13" xfId="0" applyFont="1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4" fillId="0" borderId="13" xfId="0" applyNumberFormat="1" applyFont="1" applyFill="1" applyBorder="1" applyAlignment="1">
      <alignment horizontal="center" vertical="center"/>
    </xf>
    <xf numFmtId="0" fontId="3" fillId="0" borderId="13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left"/>
    </xf>
    <xf numFmtId="0" fontId="5" fillId="0" borderId="18" xfId="0" applyFont="1" applyFill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5" fillId="0" borderId="15" xfId="0" applyFont="1" applyFill="1" applyBorder="1" applyAlignment="1"/>
    <xf numFmtId="0" fontId="6" fillId="0" borderId="22" xfId="0" applyFont="1" applyFill="1" applyBorder="1" applyAlignment="1">
      <alignment horizontal="left" vertical="top" readingOrder="1"/>
    </xf>
    <xf numFmtId="0" fontId="0" fillId="0" borderId="0" xfId="0" applyAlignment="1">
      <alignment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5" fillId="0" borderId="2" xfId="0" applyFont="1" applyFill="1" applyBorder="1" applyAlignment="1"/>
    <xf numFmtId="0" fontId="6" fillId="0" borderId="3" xfId="0" applyFont="1" applyFill="1" applyBorder="1" applyAlignment="1">
      <alignment horizontal="left" vertical="top" readingOrder="1"/>
    </xf>
    <xf numFmtId="0" fontId="0" fillId="0" borderId="2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Fill="1" applyAlignment="1"/>
    <xf numFmtId="0" fontId="0" fillId="0" borderId="0" xfId="0" applyFont="1" applyFill="1" applyAlignment="1"/>
    <xf numFmtId="0" fontId="7" fillId="0" borderId="28" xfId="0" applyFont="1" applyFill="1" applyBorder="1" applyAlignment="1">
      <alignment horizontal="center" vertical="center" textRotation="90"/>
    </xf>
    <xf numFmtId="0" fontId="7" fillId="0" borderId="29" xfId="0" applyFont="1" applyFill="1" applyBorder="1" applyAlignment="1">
      <alignment horizontal="left" vertical="center" textRotation="90"/>
    </xf>
    <xf numFmtId="0" fontId="7" fillId="0" borderId="11" xfId="0" applyFont="1" applyFill="1" applyBorder="1" applyAlignment="1">
      <alignment horizontal="center" vertical="center" textRotation="90"/>
    </xf>
    <xf numFmtId="0" fontId="7" fillId="0" borderId="29" xfId="0" applyFont="1" applyFill="1" applyBorder="1" applyAlignment="1">
      <alignment horizontal="center" vertical="center" textRotation="90"/>
    </xf>
    <xf numFmtId="0" fontId="1" fillId="0" borderId="12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left" vertical="center" textRotation="90"/>
    </xf>
    <xf numFmtId="0" fontId="1" fillId="5" borderId="5" xfId="0" applyFont="1" applyFill="1" applyBorder="1" applyAlignment="1">
      <alignment horizontal="left" vertical="center" textRotation="90"/>
    </xf>
    <xf numFmtId="0" fontId="1" fillId="5" borderId="8" xfId="0" applyFont="1" applyFill="1" applyBorder="1" applyAlignment="1">
      <alignment horizontal="left" vertical="center" textRotation="90"/>
    </xf>
    <xf numFmtId="0" fontId="1" fillId="0" borderId="10" xfId="0" applyFont="1" applyFill="1" applyBorder="1" applyAlignment="1">
      <alignment horizontal="center" vertical="center" textRotation="90" wrapText="1"/>
    </xf>
    <xf numFmtId="0" fontId="0" fillId="0" borderId="0" xfId="0" applyFill="1" applyAlignment="1">
      <alignment textRotation="90"/>
    </xf>
    <xf numFmtId="0" fontId="1" fillId="3" borderId="12" xfId="0" applyFont="1" applyFill="1" applyBorder="1" applyAlignment="1">
      <alignment horizontal="left" vertical="center" textRotation="90" wrapText="1"/>
    </xf>
    <xf numFmtId="0" fontId="1" fillId="5" borderId="12" xfId="0" applyFont="1" applyFill="1" applyBorder="1" applyAlignment="1">
      <alignment horizontal="left" vertical="center" textRotation="90" wrapText="1"/>
    </xf>
    <xf numFmtId="0" fontId="2" fillId="4" borderId="12" xfId="0" applyFont="1" applyFill="1" applyBorder="1" applyAlignment="1">
      <alignment horizontal="center" vertical="center" textRotation="90" wrapText="1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6" borderId="1" xfId="0" applyFont="1" applyFill="1" applyBorder="1" applyAlignment="1">
      <alignment horizontal="center" vertical="center" textRotation="90" wrapText="1"/>
    </xf>
    <xf numFmtId="0" fontId="2" fillId="6" borderId="12" xfId="0" applyFont="1" applyFill="1" applyBorder="1" applyAlignment="1">
      <alignment horizontal="center" vertical="center" textRotation="90" wrapText="1"/>
    </xf>
    <xf numFmtId="0" fontId="0" fillId="0" borderId="2" xfId="0" applyFont="1" applyFill="1" applyBorder="1"/>
    <xf numFmtId="0" fontId="0" fillId="0" borderId="3" xfId="0" applyFont="1" applyFill="1" applyBorder="1" applyAlignment="1">
      <alignment wrapText="1"/>
    </xf>
    <xf numFmtId="0" fontId="0" fillId="0" borderId="13" xfId="0" applyFont="1" applyFill="1" applyBorder="1"/>
    <xf numFmtId="0" fontId="0" fillId="0" borderId="3" xfId="0" applyFont="1" applyFill="1" applyBorder="1"/>
    <xf numFmtId="0" fontId="8" fillId="7" borderId="20" xfId="0" applyFont="1" applyFill="1" applyBorder="1" applyAlignment="1">
      <alignment horizontal="center" vertical="center" wrapText="1"/>
    </xf>
    <xf numFmtId="0" fontId="8" fillId="7" borderId="23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3" xfId="0" applyFont="1" applyFill="1" applyBorder="1"/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22" xfId="0" applyFont="1" applyFill="1" applyBorder="1"/>
    <xf numFmtId="0" fontId="0" fillId="0" borderId="32" xfId="0" applyFont="1" applyFill="1" applyBorder="1"/>
    <xf numFmtId="0" fontId="0" fillId="0" borderId="19" xfId="0" applyFont="1" applyFill="1" applyBorder="1"/>
    <xf numFmtId="0" fontId="0" fillId="0" borderId="24" xfId="0" applyBorder="1"/>
    <xf numFmtId="0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1" fillId="0" borderId="28" xfId="0" applyFont="1" applyFill="1" applyBorder="1" applyAlignment="1">
      <alignment horizontal="left" vertical="center" textRotation="90"/>
    </xf>
    <xf numFmtId="0" fontId="1" fillId="0" borderId="29" xfId="0" applyFont="1" applyFill="1" applyBorder="1" applyAlignment="1">
      <alignment horizontal="center" vertical="center" textRotation="90"/>
    </xf>
    <xf numFmtId="0" fontId="1" fillId="0" borderId="8" xfId="0" applyFont="1" applyFill="1" applyBorder="1" applyAlignment="1">
      <alignment horizontal="left" vertical="center" textRotation="90"/>
    </xf>
    <xf numFmtId="0" fontId="1" fillId="0" borderId="9" xfId="0" applyFont="1" applyFill="1" applyBorder="1" applyAlignment="1">
      <alignment horizontal="center" vertical="center" textRotation="90"/>
    </xf>
    <xf numFmtId="0" fontId="1" fillId="0" borderId="6" xfId="0" applyFont="1" applyFill="1" applyBorder="1" applyAlignment="1">
      <alignment horizontal="center" vertical="center" textRotation="90"/>
    </xf>
    <xf numFmtId="0" fontId="1" fillId="0" borderId="7" xfId="0" applyFont="1" applyFill="1" applyBorder="1" applyAlignment="1">
      <alignment horizontal="center" vertical="center" textRotation="90"/>
    </xf>
    <xf numFmtId="0" fontId="1" fillId="0" borderId="12" xfId="0" applyNumberFormat="1" applyFont="1" applyFill="1" applyBorder="1" applyAlignment="1">
      <alignment horizontal="center" vertical="center" textRotation="90"/>
    </xf>
    <xf numFmtId="0" fontId="0" fillId="0" borderId="16" xfId="0" applyFont="1" applyFill="1" applyBorder="1"/>
    <xf numFmtId="0" fontId="0" fillId="0" borderId="31" xfId="0" applyFont="1" applyFill="1" applyBorder="1"/>
    <xf numFmtId="0" fontId="0" fillId="0" borderId="30" xfId="0" applyFont="1" applyFill="1" applyBorder="1"/>
    <xf numFmtId="0" fontId="10" fillId="7" borderId="30" xfId="0" applyNumberFormat="1" applyFont="1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0" xfId="0" applyFill="1" applyAlignment="1">
      <alignment vertical="center"/>
    </xf>
    <xf numFmtId="0" fontId="0" fillId="0" borderId="20" xfId="0" applyFont="1" applyFill="1" applyBorder="1"/>
    <xf numFmtId="0" fontId="10" fillId="7" borderId="20" xfId="0" applyNumberFormat="1" applyFont="1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1" fillId="0" borderId="5" xfId="0" applyNumberFormat="1" applyFont="1" applyBorder="1" applyAlignment="1">
      <alignment horizontal="left" vertical="center" textRotation="90" wrapText="1"/>
    </xf>
    <xf numFmtId="0" fontId="1" fillId="0" borderId="6" xfId="0" applyFont="1" applyBorder="1" applyAlignment="1">
      <alignment horizontal="left" vertical="center" textRotation="90" wrapText="1"/>
    </xf>
    <xf numFmtId="0" fontId="1" fillId="0" borderId="7" xfId="0" applyFont="1" applyBorder="1" applyAlignment="1">
      <alignment horizontal="left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7" xfId="0" applyFont="1" applyBorder="1" applyAlignment="1">
      <alignment horizontal="center" vertical="center" textRotation="90" wrapText="1"/>
    </xf>
    <xf numFmtId="0" fontId="1" fillId="0" borderId="7" xfId="0" applyNumberFormat="1" applyFont="1" applyBorder="1" applyAlignment="1">
      <alignment horizontal="center" vertical="center" textRotation="90" wrapText="1"/>
    </xf>
    <xf numFmtId="0" fontId="1" fillId="0" borderId="12" xfId="0" applyFont="1" applyBorder="1" applyAlignment="1">
      <alignment horizontal="left" vertical="center" textRotation="90" wrapText="1"/>
    </xf>
    <xf numFmtId="0" fontId="1" fillId="2" borderId="1" xfId="0" applyFont="1" applyFill="1" applyBorder="1" applyAlignment="1">
      <alignment horizontal="center" textRotation="90" wrapText="1"/>
    </xf>
    <xf numFmtId="0" fontId="1" fillId="8" borderId="9" xfId="0" applyFont="1" applyFill="1" applyBorder="1" applyAlignment="1">
      <alignment horizontal="left" textRotation="90" wrapText="1"/>
    </xf>
    <xf numFmtId="0" fontId="1" fillId="5" borderId="9" xfId="0" applyFont="1" applyFill="1" applyBorder="1" applyAlignment="1">
      <alignment horizontal="left" textRotation="90" wrapText="1"/>
    </xf>
    <xf numFmtId="0" fontId="1" fillId="5" borderId="6" xfId="0" applyFont="1" applyFill="1" applyBorder="1" applyAlignment="1">
      <alignment horizontal="left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1" fillId="0" borderId="11" xfId="0" applyFont="1" applyBorder="1" applyAlignment="1">
      <alignment horizontal="center" textRotation="90" wrapText="1"/>
    </xf>
    <xf numFmtId="0" fontId="11" fillId="0" borderId="0" xfId="0" applyFont="1" applyAlignment="1">
      <alignment textRotation="90" wrapText="1"/>
    </xf>
    <xf numFmtId="0" fontId="9" fillId="7" borderId="13" xfId="0" applyNumberFormat="1" applyFont="1" applyFill="1" applyBorder="1" applyAlignment="1">
      <alignment wrapText="1"/>
    </xf>
    <xf numFmtId="0" fontId="0" fillId="0" borderId="30" xfId="0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164" fontId="9" fillId="7" borderId="15" xfId="0" applyNumberFormat="1" applyFont="1" applyFill="1" applyBorder="1" applyAlignment="1">
      <alignment horizontal="center" wrapText="1"/>
    </xf>
    <xf numFmtId="0" fontId="9" fillId="7" borderId="15" xfId="0" applyNumberFormat="1" applyFont="1" applyFill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3" xfId="0" applyFill="1" applyBorder="1"/>
    <xf numFmtId="0" fontId="0" fillId="2" borderId="24" xfId="0" applyFill="1" applyBorder="1"/>
    <xf numFmtId="164" fontId="9" fillId="7" borderId="2" xfId="0" applyNumberFormat="1" applyFont="1" applyFill="1" applyBorder="1" applyAlignment="1">
      <alignment horizontal="center" wrapText="1"/>
    </xf>
    <xf numFmtId="0" fontId="9" fillId="7" borderId="2" xfId="0" applyNumberFormat="1" applyFont="1" applyFill="1" applyBorder="1" applyAlignment="1">
      <alignment horizontal="center" wrapText="1"/>
    </xf>
    <xf numFmtId="0" fontId="0" fillId="0" borderId="25" xfId="0" applyBorder="1"/>
    <xf numFmtId="0" fontId="0" fillId="0" borderId="26" xfId="0" applyBorder="1"/>
    <xf numFmtId="49" fontId="9" fillId="7" borderId="2" xfId="0" applyNumberFormat="1" applyFont="1" applyFill="1" applyBorder="1" applyAlignment="1">
      <alignment wrapText="1"/>
    </xf>
    <xf numFmtId="49" fontId="9" fillId="0" borderId="3" xfId="0" applyNumberFormat="1" applyFont="1" applyFill="1" applyBorder="1" applyAlignment="1">
      <alignment wrapText="1"/>
    </xf>
    <xf numFmtId="49" fontId="9" fillId="7" borderId="13" xfId="0" applyNumberFormat="1" applyFont="1" applyFill="1" applyBorder="1" applyAlignment="1">
      <alignment wrapText="1"/>
    </xf>
    <xf numFmtId="49" fontId="9" fillId="7" borderId="3" xfId="0" applyNumberFormat="1" applyFont="1" applyFill="1" applyBorder="1" applyAlignment="1">
      <alignment wrapText="1"/>
    </xf>
    <xf numFmtId="0" fontId="0" fillId="0" borderId="0" xfId="0" applyNumberFormat="1" applyAlignment="1">
      <alignment horizontal="center" vertical="center"/>
    </xf>
    <xf numFmtId="0" fontId="2" fillId="9" borderId="12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289">
    <dxf>
      <fill>
        <patternFill>
          <bgColor rgb="FFC9A4E4"/>
        </patternFill>
      </fill>
    </dxf>
    <dxf>
      <fill>
        <patternFill>
          <bgColor rgb="FFC7A1E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9A4E4"/>
        </patternFill>
      </fill>
    </dxf>
    <dxf>
      <fill>
        <patternFill>
          <bgColor rgb="FFC7A1E3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9A4E4"/>
      <color rgb="FFC7A1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1320919</xdr:colOff>
      <xdr:row>0</xdr:row>
      <xdr:rowOff>278562</xdr:rowOff>
    </xdr:to>
    <xdr:sp macro="" textlink="">
      <xdr:nvSpPr>
        <xdr:cNvPr id="2" name="Folded Corner 1">
          <a:extLst>
            <a:ext uri="{FF2B5EF4-FFF2-40B4-BE49-F238E27FC236}">
              <a16:creationId xmlns:a16="http://schemas.microsoft.com/office/drawing/2014/main" id="{BE4AD044-C9EF-4EB1-9EB5-D77B8692D75D}"/>
            </a:ext>
          </a:extLst>
        </xdr:cNvPr>
        <xdr:cNvSpPr/>
      </xdr:nvSpPr>
      <xdr:spPr>
        <a:xfrm>
          <a:off x="561975" y="0"/>
          <a:ext cx="1320919" cy="27856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1302948</xdr:colOff>
      <xdr:row>0</xdr:row>
      <xdr:rowOff>296533</xdr:rowOff>
    </xdr:to>
    <xdr:sp macro="" textlink="">
      <xdr:nvSpPr>
        <xdr:cNvPr id="2" name="Folded Corner 1">
          <a:extLst>
            <a:ext uri="{FF2B5EF4-FFF2-40B4-BE49-F238E27FC236}">
              <a16:creationId xmlns:a16="http://schemas.microsoft.com/office/drawing/2014/main" id="{4F87E13C-4031-4190-A701-A32758893FCE}"/>
            </a:ext>
          </a:extLst>
        </xdr:cNvPr>
        <xdr:cNvSpPr/>
      </xdr:nvSpPr>
      <xdr:spPr>
        <a:xfrm>
          <a:off x="714375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1491651</xdr:colOff>
      <xdr:row>0</xdr:row>
      <xdr:rowOff>319715</xdr:rowOff>
    </xdr:to>
    <xdr:sp macro="" textlink="">
      <xdr:nvSpPr>
        <xdr:cNvPr id="2" name="Folded Corner 2">
          <a:extLst>
            <a:ext uri="{FF2B5EF4-FFF2-40B4-BE49-F238E27FC236}">
              <a16:creationId xmlns:a16="http://schemas.microsoft.com/office/drawing/2014/main" id="{D1651D01-2F49-44D5-A8C9-6738CF8DFB6D}"/>
            </a:ext>
          </a:extLst>
        </xdr:cNvPr>
        <xdr:cNvSpPr/>
      </xdr:nvSpPr>
      <xdr:spPr>
        <a:xfrm>
          <a:off x="628650" y="0"/>
          <a:ext cx="13392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1482665</xdr:colOff>
      <xdr:row>0</xdr:row>
      <xdr:rowOff>319715</xdr:rowOff>
    </xdr:to>
    <xdr:sp macro="" textlink="">
      <xdr:nvSpPr>
        <xdr:cNvPr id="2" name="Folded Corner 1">
          <a:extLst>
            <a:ext uri="{FF2B5EF4-FFF2-40B4-BE49-F238E27FC236}">
              <a16:creationId xmlns:a16="http://schemas.microsoft.com/office/drawing/2014/main" id="{9100840B-9474-4544-A2A6-267432F02647}"/>
            </a:ext>
          </a:extLst>
        </xdr:cNvPr>
        <xdr:cNvSpPr/>
      </xdr:nvSpPr>
      <xdr:spPr>
        <a:xfrm>
          <a:off x="485775" y="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1428750</xdr:colOff>
      <xdr:row>0</xdr:row>
      <xdr:rowOff>329242</xdr:rowOff>
    </xdr:to>
    <xdr:sp macro="" textlink="">
      <xdr:nvSpPr>
        <xdr:cNvPr id="3" name="Folded Corner 1">
          <a:extLst>
            <a:ext uri="{FF2B5EF4-FFF2-40B4-BE49-F238E27FC236}">
              <a16:creationId xmlns:a16="http://schemas.microsoft.com/office/drawing/2014/main" id="{8485FD25-AC26-4ECA-BE64-6DC17490338B}"/>
            </a:ext>
          </a:extLst>
        </xdr:cNvPr>
        <xdr:cNvSpPr/>
      </xdr:nvSpPr>
      <xdr:spPr>
        <a:xfrm>
          <a:off x="485775" y="0"/>
          <a:ext cx="1428750" cy="32924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1482665</xdr:colOff>
      <xdr:row>0</xdr:row>
      <xdr:rowOff>319715</xdr:rowOff>
    </xdr:to>
    <xdr:sp macro="" textlink="">
      <xdr:nvSpPr>
        <xdr:cNvPr id="4" name="Folded Corner 1">
          <a:extLst>
            <a:ext uri="{FF2B5EF4-FFF2-40B4-BE49-F238E27FC236}">
              <a16:creationId xmlns:a16="http://schemas.microsoft.com/office/drawing/2014/main" id="{8AA9BEF1-493C-478D-A1FE-C13811F4C31E}"/>
            </a:ext>
          </a:extLst>
        </xdr:cNvPr>
        <xdr:cNvSpPr/>
      </xdr:nvSpPr>
      <xdr:spPr>
        <a:xfrm>
          <a:off x="485775" y="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1491651</xdr:colOff>
      <xdr:row>0</xdr:row>
      <xdr:rowOff>319715</xdr:rowOff>
    </xdr:to>
    <xdr:sp macro="" textlink="">
      <xdr:nvSpPr>
        <xdr:cNvPr id="5" name="Folded Corner 2">
          <a:extLst>
            <a:ext uri="{FF2B5EF4-FFF2-40B4-BE49-F238E27FC236}">
              <a16:creationId xmlns:a16="http://schemas.microsoft.com/office/drawing/2014/main" id="{BCD2990F-B274-4BD1-805A-6E0118DC5072}"/>
            </a:ext>
          </a:extLst>
        </xdr:cNvPr>
        <xdr:cNvSpPr/>
      </xdr:nvSpPr>
      <xdr:spPr>
        <a:xfrm>
          <a:off x="485775" y="0"/>
          <a:ext cx="14916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1428750</xdr:colOff>
      <xdr:row>0</xdr:row>
      <xdr:rowOff>329242</xdr:rowOff>
    </xdr:to>
    <xdr:sp macro="" textlink="">
      <xdr:nvSpPr>
        <xdr:cNvPr id="2" name="Folded Corner 1">
          <a:extLst>
            <a:ext uri="{FF2B5EF4-FFF2-40B4-BE49-F238E27FC236}">
              <a16:creationId xmlns:a16="http://schemas.microsoft.com/office/drawing/2014/main" id="{70595DE5-C685-42D2-9855-B8A5A2AA5D07}"/>
            </a:ext>
          </a:extLst>
        </xdr:cNvPr>
        <xdr:cNvSpPr/>
      </xdr:nvSpPr>
      <xdr:spPr>
        <a:xfrm>
          <a:off x="466725" y="0"/>
          <a:ext cx="1428750" cy="32924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1320919</xdr:colOff>
      <xdr:row>0</xdr:row>
      <xdr:rowOff>287548</xdr:rowOff>
    </xdr:to>
    <xdr:sp macro="" textlink="">
      <xdr:nvSpPr>
        <xdr:cNvPr id="2" name="Folded Corner 1">
          <a:extLst>
            <a:ext uri="{FF2B5EF4-FFF2-40B4-BE49-F238E27FC236}">
              <a16:creationId xmlns:a16="http://schemas.microsoft.com/office/drawing/2014/main" id="{059C04B8-239B-4C72-A1A2-1736E3F3B9EB}"/>
            </a:ext>
          </a:extLst>
        </xdr:cNvPr>
        <xdr:cNvSpPr/>
      </xdr:nvSpPr>
      <xdr:spPr>
        <a:xfrm>
          <a:off x="561975" y="0"/>
          <a:ext cx="1320919" cy="287548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1302948</xdr:colOff>
      <xdr:row>0</xdr:row>
      <xdr:rowOff>301207</xdr:rowOff>
    </xdr:to>
    <xdr:sp macro="" textlink="">
      <xdr:nvSpPr>
        <xdr:cNvPr id="2" name="Folded Corner 1">
          <a:extLst>
            <a:ext uri="{FF2B5EF4-FFF2-40B4-BE49-F238E27FC236}">
              <a16:creationId xmlns:a16="http://schemas.microsoft.com/office/drawing/2014/main" id="{C4174424-85D5-4B59-8E70-18DC99169136}"/>
            </a:ext>
          </a:extLst>
        </xdr:cNvPr>
        <xdr:cNvSpPr/>
      </xdr:nvSpPr>
      <xdr:spPr>
        <a:xfrm>
          <a:off x="466725" y="0"/>
          <a:ext cx="1302948" cy="301207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Y10%20Student%20Progress%20Monitoring%202022-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Y11%20Student%20Progress%20Monitoring%202022-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Y13%20Student%20Progress%20Monitoring%202022-2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Y9%20Student%20Progress%20Monitoring%202022-2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Y7%20Student%20Progress%20Monitoring%202022-2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20-21/Monitoring%20Reports/M4/2nd%20extract/Y10%20Student%20Progress%20Monitoring%202020-2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Y12%20Student%20Progress%20Monitoring%202022-23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Y8%20Student%20Progress%20Monitoring%202022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Chart1"/>
      <sheetName val="GROUPDISTRIBUTION"/>
      <sheetName val="GROUPSUMMARY"/>
      <sheetName val="COHORTBYSUBJECT"/>
      <sheetName val="N2I and SERIOUS CONCERN(TOTALS)"/>
      <sheetName val="A2L FREQ"/>
      <sheetName val="A2L SUMMARY"/>
      <sheetName val="BHVEXPORT"/>
      <sheetName val="COHORT data"/>
      <sheetName val="Lookups"/>
      <sheetName val="Char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>
        <row r="1">
          <cell r="A1" t="str">
            <v>Admission Number</v>
          </cell>
          <cell r="B1" t="str">
            <v>Legal Full name</v>
          </cell>
          <cell r="C1" t="str">
            <v>Tutor Group</v>
          </cell>
          <cell r="D1" t="str">
            <v>Comm Con</v>
          </cell>
          <cell r="E1" t="str">
            <v>Pers Org</v>
          </cell>
          <cell r="F1" t="str">
            <v>Praise</v>
          </cell>
          <cell r="G1" t="str">
            <v>BOL</v>
          </cell>
          <cell r="H1" t="str">
            <v>BIL</v>
          </cell>
          <cell r="I1" t="str">
            <v>HWK</v>
          </cell>
        </row>
        <row r="2">
          <cell r="A2">
            <v>151865</v>
          </cell>
          <cell r="B2" t="str">
            <v>Dominic Jennings</v>
          </cell>
          <cell r="C2" t="str">
            <v>10ES</v>
          </cell>
          <cell r="D2">
            <v>8</v>
          </cell>
          <cell r="E2">
            <v>0</v>
          </cell>
          <cell r="F2">
            <v>21</v>
          </cell>
          <cell r="G2">
            <v>0</v>
          </cell>
          <cell r="H2">
            <v>7</v>
          </cell>
          <cell r="I2">
            <v>0</v>
          </cell>
        </row>
        <row r="3">
          <cell r="A3">
            <v>151754</v>
          </cell>
          <cell r="B3" t="str">
            <v>Isha Kamara</v>
          </cell>
          <cell r="C3" t="str">
            <v>10PL</v>
          </cell>
          <cell r="D3">
            <v>0</v>
          </cell>
          <cell r="E3">
            <v>0</v>
          </cell>
          <cell r="F3">
            <v>25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151756</v>
          </cell>
          <cell r="B4" t="str">
            <v>Luca Disha</v>
          </cell>
          <cell r="C4" t="str">
            <v>10ES</v>
          </cell>
          <cell r="D4">
            <v>0</v>
          </cell>
          <cell r="E4">
            <v>0</v>
          </cell>
          <cell r="F4">
            <v>20</v>
          </cell>
          <cell r="G4">
            <v>0</v>
          </cell>
          <cell r="H4">
            <v>0</v>
          </cell>
          <cell r="I4">
            <v>0</v>
          </cell>
        </row>
        <row r="5">
          <cell r="A5">
            <v>151885</v>
          </cell>
          <cell r="B5" t="str">
            <v>Austin Fitzgerald</v>
          </cell>
          <cell r="C5" t="str">
            <v>10TD</v>
          </cell>
          <cell r="D5">
            <v>1</v>
          </cell>
          <cell r="E5">
            <v>0</v>
          </cell>
          <cell r="F5">
            <v>11</v>
          </cell>
          <cell r="G5">
            <v>0</v>
          </cell>
          <cell r="H5">
            <v>0</v>
          </cell>
          <cell r="I5">
            <v>0</v>
          </cell>
        </row>
        <row r="6">
          <cell r="A6">
            <v>151802</v>
          </cell>
          <cell r="B6" t="str">
            <v>Chloe Walker</v>
          </cell>
          <cell r="C6" t="str">
            <v>10JOS</v>
          </cell>
          <cell r="D6">
            <v>0</v>
          </cell>
          <cell r="E6">
            <v>1</v>
          </cell>
          <cell r="F6">
            <v>12</v>
          </cell>
          <cell r="G6">
            <v>0</v>
          </cell>
          <cell r="H6">
            <v>0</v>
          </cell>
          <cell r="I6">
            <v>0</v>
          </cell>
        </row>
        <row r="7">
          <cell r="A7">
            <v>151964</v>
          </cell>
          <cell r="B7" t="str">
            <v>McKenzie Lee</v>
          </cell>
          <cell r="C7" t="str">
            <v>10JOS</v>
          </cell>
          <cell r="D7">
            <v>0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>
            <v>0</v>
          </cell>
        </row>
        <row r="8">
          <cell r="A8">
            <v>151856</v>
          </cell>
          <cell r="B8" t="str">
            <v>Thomas Mahoney</v>
          </cell>
          <cell r="C8" t="str">
            <v>10CM</v>
          </cell>
          <cell r="D8">
            <v>8</v>
          </cell>
          <cell r="E8">
            <v>1</v>
          </cell>
          <cell r="F8">
            <v>17</v>
          </cell>
          <cell r="G8">
            <v>3</v>
          </cell>
          <cell r="H8">
            <v>5</v>
          </cell>
          <cell r="I8">
            <v>1</v>
          </cell>
        </row>
        <row r="9">
          <cell r="A9">
            <v>151954</v>
          </cell>
          <cell r="B9" t="str">
            <v>Willow Brown</v>
          </cell>
          <cell r="C9" t="str">
            <v>10TD</v>
          </cell>
          <cell r="D9">
            <v>0</v>
          </cell>
          <cell r="E9">
            <v>0</v>
          </cell>
          <cell r="F9">
            <v>10</v>
          </cell>
          <cell r="G9">
            <v>0</v>
          </cell>
          <cell r="H9">
            <v>0</v>
          </cell>
          <cell r="I9">
            <v>0</v>
          </cell>
        </row>
        <row r="10">
          <cell r="A10">
            <v>151817</v>
          </cell>
          <cell r="B10" t="str">
            <v>Jude Ogundein</v>
          </cell>
          <cell r="C10" t="str">
            <v>10CS</v>
          </cell>
          <cell r="D10">
            <v>5</v>
          </cell>
          <cell r="E10">
            <v>1</v>
          </cell>
          <cell r="F10">
            <v>9</v>
          </cell>
          <cell r="G10">
            <v>0</v>
          </cell>
          <cell r="H10">
            <v>5</v>
          </cell>
          <cell r="I10">
            <v>0</v>
          </cell>
        </row>
        <row r="11">
          <cell r="A11">
            <v>151913</v>
          </cell>
          <cell r="B11" t="str">
            <v>Wesley Lutakome</v>
          </cell>
          <cell r="C11" t="str">
            <v>10JOS</v>
          </cell>
          <cell r="D11">
            <v>0</v>
          </cell>
          <cell r="E11">
            <v>1</v>
          </cell>
          <cell r="F11">
            <v>22</v>
          </cell>
          <cell r="G11">
            <v>0</v>
          </cell>
          <cell r="H11">
            <v>0</v>
          </cell>
          <cell r="I11">
            <v>0</v>
          </cell>
        </row>
        <row r="12">
          <cell r="A12">
            <v>151876</v>
          </cell>
          <cell r="B12" t="str">
            <v>Jack Mowbray</v>
          </cell>
          <cell r="C12" t="str">
            <v>10EB</v>
          </cell>
          <cell r="D12">
            <v>0</v>
          </cell>
          <cell r="E12">
            <v>1</v>
          </cell>
          <cell r="F12">
            <v>18</v>
          </cell>
          <cell r="G12">
            <v>0</v>
          </cell>
          <cell r="H12">
            <v>0</v>
          </cell>
          <cell r="I12">
            <v>1</v>
          </cell>
        </row>
        <row r="13">
          <cell r="A13">
            <v>151807</v>
          </cell>
          <cell r="B13" t="str">
            <v>Layla Bellamy</v>
          </cell>
          <cell r="C13" t="str">
            <v>10TD</v>
          </cell>
          <cell r="D13">
            <v>0</v>
          </cell>
          <cell r="E13">
            <v>0</v>
          </cell>
          <cell r="F13">
            <v>14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151828</v>
          </cell>
          <cell r="B14" t="str">
            <v>Annabella Gill</v>
          </cell>
          <cell r="C14" t="str">
            <v>10TD</v>
          </cell>
          <cell r="D14">
            <v>1</v>
          </cell>
          <cell r="E14">
            <v>2</v>
          </cell>
          <cell r="F14">
            <v>5</v>
          </cell>
          <cell r="G14">
            <v>0</v>
          </cell>
          <cell r="H14">
            <v>0</v>
          </cell>
          <cell r="I14">
            <v>2</v>
          </cell>
        </row>
        <row r="15">
          <cell r="A15">
            <v>151798</v>
          </cell>
          <cell r="B15" t="str">
            <v>Nyat Tesfamicael</v>
          </cell>
          <cell r="C15" t="str">
            <v>10PL</v>
          </cell>
          <cell r="D15">
            <v>0</v>
          </cell>
          <cell r="E15">
            <v>1</v>
          </cell>
          <cell r="F15">
            <v>16</v>
          </cell>
          <cell r="G15">
            <v>0</v>
          </cell>
          <cell r="H15">
            <v>0</v>
          </cell>
          <cell r="I15">
            <v>1</v>
          </cell>
        </row>
        <row r="16">
          <cell r="A16">
            <v>151796</v>
          </cell>
          <cell r="B16" t="str">
            <v>Ashleigh Unarce</v>
          </cell>
          <cell r="C16" t="str">
            <v>10CS</v>
          </cell>
          <cell r="D16">
            <v>0</v>
          </cell>
          <cell r="E16">
            <v>0</v>
          </cell>
          <cell r="F16">
            <v>11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151927</v>
          </cell>
          <cell r="B17" t="str">
            <v>George Mitchell</v>
          </cell>
          <cell r="C17" t="str">
            <v>10CS</v>
          </cell>
          <cell r="D17">
            <v>0</v>
          </cell>
          <cell r="E17">
            <v>2</v>
          </cell>
          <cell r="F17">
            <v>23</v>
          </cell>
          <cell r="G17">
            <v>0</v>
          </cell>
          <cell r="H17">
            <v>0</v>
          </cell>
          <cell r="I17">
            <v>1</v>
          </cell>
        </row>
        <row r="18">
          <cell r="A18">
            <v>151840</v>
          </cell>
          <cell r="B18" t="str">
            <v>Rebecca Marshall</v>
          </cell>
          <cell r="C18" t="str">
            <v>10PL</v>
          </cell>
          <cell r="D18">
            <v>0</v>
          </cell>
          <cell r="E18">
            <v>0</v>
          </cell>
          <cell r="F18">
            <v>17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151916</v>
          </cell>
          <cell r="B19" t="str">
            <v>Vincent McKinney</v>
          </cell>
          <cell r="C19" t="str">
            <v>10RQ</v>
          </cell>
          <cell r="D19">
            <v>3</v>
          </cell>
          <cell r="E19">
            <v>0</v>
          </cell>
          <cell r="F19">
            <v>7</v>
          </cell>
          <cell r="G19">
            <v>0</v>
          </cell>
          <cell r="H19">
            <v>3</v>
          </cell>
          <cell r="I19">
            <v>0</v>
          </cell>
        </row>
        <row r="20">
          <cell r="A20">
            <v>151940</v>
          </cell>
          <cell r="B20" t="str">
            <v>Jack Hawkins</v>
          </cell>
          <cell r="C20" t="str">
            <v>10JOS</v>
          </cell>
          <cell r="D20">
            <v>4</v>
          </cell>
          <cell r="E20">
            <v>1</v>
          </cell>
          <cell r="F20">
            <v>15</v>
          </cell>
          <cell r="G20">
            <v>1</v>
          </cell>
          <cell r="H20">
            <v>2</v>
          </cell>
          <cell r="I20">
            <v>0</v>
          </cell>
        </row>
        <row r="21">
          <cell r="A21">
            <v>151838</v>
          </cell>
          <cell r="B21" t="str">
            <v>Michael Davis</v>
          </cell>
          <cell r="C21" t="str">
            <v>10ES</v>
          </cell>
          <cell r="D21">
            <v>0</v>
          </cell>
          <cell r="E21">
            <v>0</v>
          </cell>
          <cell r="F21">
            <v>15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151900</v>
          </cell>
          <cell r="B22" t="str">
            <v>Sophie Monaghan</v>
          </cell>
          <cell r="C22" t="str">
            <v>10PL</v>
          </cell>
          <cell r="D22">
            <v>0</v>
          </cell>
          <cell r="E22">
            <v>0</v>
          </cell>
          <cell r="F22">
            <v>20</v>
          </cell>
          <cell r="G22">
            <v>0</v>
          </cell>
          <cell r="H22">
            <v>0</v>
          </cell>
          <cell r="I22">
            <v>0</v>
          </cell>
        </row>
        <row r="23">
          <cell r="A23">
            <v>151915</v>
          </cell>
          <cell r="B23" t="str">
            <v>Dean Al-Haq Mahmood</v>
          </cell>
          <cell r="C23" t="str">
            <v>10EB</v>
          </cell>
          <cell r="D23">
            <v>7</v>
          </cell>
          <cell r="E23">
            <v>3</v>
          </cell>
          <cell r="F23">
            <v>17</v>
          </cell>
          <cell r="G23">
            <v>1</v>
          </cell>
          <cell r="H23">
            <v>5</v>
          </cell>
          <cell r="I23">
            <v>1</v>
          </cell>
        </row>
        <row r="24">
          <cell r="A24">
            <v>151847</v>
          </cell>
          <cell r="B24" t="str">
            <v>Dwayne Mpundu</v>
          </cell>
          <cell r="C24" t="str">
            <v>10TD</v>
          </cell>
          <cell r="D24">
            <v>17</v>
          </cell>
          <cell r="E24">
            <v>2</v>
          </cell>
          <cell r="F24">
            <v>10</v>
          </cell>
          <cell r="G24">
            <v>2</v>
          </cell>
          <cell r="H24">
            <v>7</v>
          </cell>
          <cell r="I24">
            <v>0</v>
          </cell>
        </row>
        <row r="25">
          <cell r="A25">
            <v>151784</v>
          </cell>
          <cell r="B25" t="str">
            <v>Henry Clements</v>
          </cell>
          <cell r="C25" t="str">
            <v>10TD</v>
          </cell>
          <cell r="D25">
            <v>1</v>
          </cell>
          <cell r="E25">
            <v>1</v>
          </cell>
          <cell r="F25">
            <v>8</v>
          </cell>
          <cell r="G25">
            <v>0</v>
          </cell>
          <cell r="H25">
            <v>1</v>
          </cell>
          <cell r="I25">
            <v>1</v>
          </cell>
        </row>
        <row r="26">
          <cell r="A26">
            <v>151821</v>
          </cell>
          <cell r="B26" t="str">
            <v>Isaac Bramhall</v>
          </cell>
          <cell r="C26" t="str">
            <v>10JOS</v>
          </cell>
          <cell r="D26">
            <v>10</v>
          </cell>
          <cell r="E26">
            <v>1</v>
          </cell>
          <cell r="F26">
            <v>10</v>
          </cell>
          <cell r="G26">
            <v>1</v>
          </cell>
          <cell r="H26">
            <v>9</v>
          </cell>
          <cell r="I26">
            <v>1</v>
          </cell>
        </row>
        <row r="27">
          <cell r="A27">
            <v>151934</v>
          </cell>
          <cell r="B27" t="str">
            <v>Maia Dunseath</v>
          </cell>
          <cell r="C27" t="str">
            <v>10CS</v>
          </cell>
          <cell r="D27">
            <v>8</v>
          </cell>
          <cell r="E27">
            <v>2</v>
          </cell>
          <cell r="F27">
            <v>13</v>
          </cell>
          <cell r="G27">
            <v>2</v>
          </cell>
          <cell r="H27">
            <v>3</v>
          </cell>
          <cell r="I27">
            <v>2</v>
          </cell>
        </row>
        <row r="28">
          <cell r="A28">
            <v>151793</v>
          </cell>
          <cell r="B28" t="str">
            <v>George Taylor</v>
          </cell>
          <cell r="C28" t="str">
            <v>10EB</v>
          </cell>
          <cell r="D28">
            <v>0</v>
          </cell>
          <cell r="E28">
            <v>0</v>
          </cell>
          <cell r="F28">
            <v>15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151803</v>
          </cell>
          <cell r="B29" t="str">
            <v>Lois Roberts</v>
          </cell>
          <cell r="C29" t="str">
            <v>10CM</v>
          </cell>
          <cell r="D29">
            <v>0</v>
          </cell>
          <cell r="E29">
            <v>0</v>
          </cell>
          <cell r="F29">
            <v>11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151907</v>
          </cell>
          <cell r="B30" t="str">
            <v>Summer Haynes</v>
          </cell>
          <cell r="C30" t="str">
            <v>10CM</v>
          </cell>
          <cell r="D30">
            <v>0</v>
          </cell>
          <cell r="E30">
            <v>0</v>
          </cell>
          <cell r="F30">
            <v>18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151813</v>
          </cell>
          <cell r="B31" t="str">
            <v>Hollie Waller</v>
          </cell>
          <cell r="C31" t="str">
            <v>10RQ</v>
          </cell>
          <cell r="D31">
            <v>0</v>
          </cell>
          <cell r="E31">
            <v>0</v>
          </cell>
          <cell r="F31">
            <v>18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151775</v>
          </cell>
          <cell r="B32" t="str">
            <v>Delena Zekarys</v>
          </cell>
          <cell r="C32" t="str">
            <v>10JOS</v>
          </cell>
          <cell r="D32">
            <v>1</v>
          </cell>
          <cell r="E32">
            <v>0</v>
          </cell>
          <cell r="F32">
            <v>24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151922</v>
          </cell>
          <cell r="B33" t="str">
            <v>Letitia Kayiza</v>
          </cell>
          <cell r="C33" t="str">
            <v>10CM</v>
          </cell>
          <cell r="D33">
            <v>3</v>
          </cell>
          <cell r="E33">
            <v>0</v>
          </cell>
          <cell r="F33">
            <v>28</v>
          </cell>
          <cell r="G33">
            <v>1</v>
          </cell>
          <cell r="H33">
            <v>2</v>
          </cell>
          <cell r="I33">
            <v>0</v>
          </cell>
        </row>
        <row r="34">
          <cell r="A34">
            <v>151812</v>
          </cell>
          <cell r="B34" t="str">
            <v>Fiona Lee</v>
          </cell>
          <cell r="C34" t="str">
            <v>10CS</v>
          </cell>
          <cell r="D34">
            <v>0</v>
          </cell>
          <cell r="E34">
            <v>0</v>
          </cell>
          <cell r="F34">
            <v>14</v>
          </cell>
          <cell r="G34">
            <v>0</v>
          </cell>
          <cell r="H34">
            <v>0</v>
          </cell>
          <cell r="I34">
            <v>0</v>
          </cell>
        </row>
        <row r="35">
          <cell r="A35">
            <v>151890</v>
          </cell>
          <cell r="B35" t="str">
            <v>Helen Esler</v>
          </cell>
          <cell r="C35" t="str">
            <v>10CM</v>
          </cell>
          <cell r="D35">
            <v>0</v>
          </cell>
          <cell r="E35">
            <v>0</v>
          </cell>
          <cell r="F35">
            <v>14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151794</v>
          </cell>
          <cell r="B36" t="str">
            <v>James Borland</v>
          </cell>
          <cell r="C36" t="str">
            <v>10EB</v>
          </cell>
          <cell r="D36">
            <v>0</v>
          </cell>
          <cell r="E36">
            <v>0</v>
          </cell>
          <cell r="F36">
            <v>20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151941</v>
          </cell>
          <cell r="B37" t="str">
            <v>Molly Grady</v>
          </cell>
          <cell r="C37" t="str">
            <v>10EB</v>
          </cell>
          <cell r="D37">
            <v>1</v>
          </cell>
          <cell r="E37">
            <v>1</v>
          </cell>
          <cell r="F37">
            <v>19</v>
          </cell>
          <cell r="G37">
            <v>0</v>
          </cell>
          <cell r="H37">
            <v>0</v>
          </cell>
          <cell r="I37">
            <v>1</v>
          </cell>
        </row>
        <row r="38">
          <cell r="A38">
            <v>151767</v>
          </cell>
          <cell r="B38" t="str">
            <v>Vanessa Gryszun</v>
          </cell>
          <cell r="C38" t="str">
            <v>10TD</v>
          </cell>
          <cell r="D38">
            <v>1</v>
          </cell>
          <cell r="E38">
            <v>1</v>
          </cell>
          <cell r="F38">
            <v>10</v>
          </cell>
          <cell r="G38">
            <v>0</v>
          </cell>
          <cell r="H38">
            <v>0</v>
          </cell>
          <cell r="I38">
            <v>1</v>
          </cell>
        </row>
        <row r="39">
          <cell r="A39">
            <v>151806</v>
          </cell>
          <cell r="B39" t="str">
            <v>Haseebah Nisar</v>
          </cell>
          <cell r="C39" t="str">
            <v>10EB</v>
          </cell>
          <cell r="D39">
            <v>4</v>
          </cell>
          <cell r="E39">
            <v>3</v>
          </cell>
          <cell r="F39">
            <v>13</v>
          </cell>
          <cell r="G39">
            <v>1</v>
          </cell>
          <cell r="H39">
            <v>3</v>
          </cell>
          <cell r="I39">
            <v>1</v>
          </cell>
        </row>
        <row r="40">
          <cell r="A40">
            <v>151797</v>
          </cell>
          <cell r="B40" t="str">
            <v>Jan Misiek</v>
          </cell>
          <cell r="C40" t="str">
            <v>10PL</v>
          </cell>
          <cell r="D40">
            <v>0</v>
          </cell>
          <cell r="E40">
            <v>2</v>
          </cell>
          <cell r="F40">
            <v>14</v>
          </cell>
          <cell r="G40">
            <v>0</v>
          </cell>
          <cell r="H40">
            <v>0</v>
          </cell>
          <cell r="I40">
            <v>2</v>
          </cell>
        </row>
        <row r="41">
          <cell r="A41">
            <v>151834</v>
          </cell>
          <cell r="B41" t="str">
            <v>Nahom Yemane</v>
          </cell>
          <cell r="C41" t="str">
            <v>10PL</v>
          </cell>
          <cell r="D41">
            <v>0</v>
          </cell>
          <cell r="E41">
            <v>0</v>
          </cell>
          <cell r="F41">
            <v>24</v>
          </cell>
          <cell r="G41">
            <v>0</v>
          </cell>
          <cell r="H41">
            <v>0</v>
          </cell>
          <cell r="I41">
            <v>0</v>
          </cell>
        </row>
        <row r="42">
          <cell r="A42">
            <v>151901</v>
          </cell>
          <cell r="B42" t="str">
            <v>Vivian Thomas</v>
          </cell>
          <cell r="C42" t="str">
            <v>10TD</v>
          </cell>
          <cell r="D42">
            <v>0</v>
          </cell>
          <cell r="E42">
            <v>0</v>
          </cell>
          <cell r="F42">
            <v>16</v>
          </cell>
          <cell r="G42">
            <v>0</v>
          </cell>
          <cell r="H42">
            <v>0</v>
          </cell>
          <cell r="I42">
            <v>0</v>
          </cell>
        </row>
        <row r="43">
          <cell r="A43">
            <v>151908</v>
          </cell>
          <cell r="B43" t="str">
            <v>Charlotte Punt</v>
          </cell>
          <cell r="C43" t="str">
            <v>10PL</v>
          </cell>
          <cell r="D43">
            <v>0</v>
          </cell>
          <cell r="E43">
            <v>0</v>
          </cell>
          <cell r="F43">
            <v>19</v>
          </cell>
          <cell r="G43">
            <v>0</v>
          </cell>
          <cell r="H43">
            <v>0</v>
          </cell>
          <cell r="I43">
            <v>0</v>
          </cell>
        </row>
        <row r="44">
          <cell r="A44">
            <v>151842</v>
          </cell>
          <cell r="B44" t="str">
            <v>Rowan Connolly</v>
          </cell>
          <cell r="C44" t="str">
            <v>10ES</v>
          </cell>
          <cell r="D44">
            <v>13</v>
          </cell>
          <cell r="E44">
            <v>5</v>
          </cell>
          <cell r="F44">
            <v>11</v>
          </cell>
          <cell r="G44">
            <v>1</v>
          </cell>
          <cell r="H44">
            <v>8</v>
          </cell>
          <cell r="I44">
            <v>2</v>
          </cell>
        </row>
        <row r="45">
          <cell r="A45">
            <v>151832</v>
          </cell>
          <cell r="B45" t="str">
            <v>Eldana Daniel</v>
          </cell>
          <cell r="C45" t="str">
            <v>10JOS</v>
          </cell>
          <cell r="D45">
            <v>0</v>
          </cell>
          <cell r="E45">
            <v>0</v>
          </cell>
          <cell r="F45">
            <v>23</v>
          </cell>
          <cell r="G45">
            <v>0</v>
          </cell>
          <cell r="H45">
            <v>0</v>
          </cell>
          <cell r="I45">
            <v>0</v>
          </cell>
        </row>
        <row r="46">
          <cell r="A46">
            <v>151820</v>
          </cell>
          <cell r="B46" t="str">
            <v>Rhomani Murray</v>
          </cell>
          <cell r="C46" t="str">
            <v>10ES</v>
          </cell>
          <cell r="D46">
            <v>25</v>
          </cell>
          <cell r="E46">
            <v>3</v>
          </cell>
          <cell r="F46">
            <v>15</v>
          </cell>
          <cell r="G46">
            <v>0</v>
          </cell>
          <cell r="H46">
            <v>19</v>
          </cell>
          <cell r="I46">
            <v>0</v>
          </cell>
        </row>
        <row r="47">
          <cell r="A47">
            <v>151830</v>
          </cell>
          <cell r="B47" t="str">
            <v>Ellen-Mary Shikabonga</v>
          </cell>
          <cell r="C47" t="str">
            <v>10JOS</v>
          </cell>
          <cell r="D47">
            <v>4</v>
          </cell>
          <cell r="E47">
            <v>1</v>
          </cell>
          <cell r="F47">
            <v>11</v>
          </cell>
          <cell r="G47">
            <v>1</v>
          </cell>
          <cell r="H47">
            <v>3</v>
          </cell>
          <cell r="I47">
            <v>0</v>
          </cell>
        </row>
        <row r="48">
          <cell r="A48">
            <v>151884</v>
          </cell>
          <cell r="B48" t="str">
            <v>Jack Thompson</v>
          </cell>
          <cell r="C48" t="str">
            <v>10CS</v>
          </cell>
          <cell r="D48">
            <v>0</v>
          </cell>
          <cell r="E48">
            <v>0</v>
          </cell>
          <cell r="F48">
            <v>16</v>
          </cell>
          <cell r="G48">
            <v>0</v>
          </cell>
          <cell r="H48">
            <v>0</v>
          </cell>
          <cell r="I48">
            <v>0</v>
          </cell>
        </row>
        <row r="49">
          <cell r="A49">
            <v>151953</v>
          </cell>
          <cell r="B49" t="str">
            <v>Deangelo Aguilar</v>
          </cell>
          <cell r="C49" t="str">
            <v>10RQ</v>
          </cell>
          <cell r="D49">
            <v>1</v>
          </cell>
          <cell r="E49">
            <v>1</v>
          </cell>
          <cell r="F49">
            <v>8</v>
          </cell>
          <cell r="G49">
            <v>0</v>
          </cell>
          <cell r="H49">
            <v>1</v>
          </cell>
          <cell r="I49">
            <v>1</v>
          </cell>
        </row>
        <row r="50">
          <cell r="A50">
            <v>151955</v>
          </cell>
          <cell r="B50" t="str">
            <v>Theo Pawson</v>
          </cell>
          <cell r="C50" t="str">
            <v>10JOS</v>
          </cell>
          <cell r="D50">
            <v>5</v>
          </cell>
          <cell r="E50">
            <v>0</v>
          </cell>
          <cell r="F50">
            <v>7</v>
          </cell>
          <cell r="G50">
            <v>0</v>
          </cell>
          <cell r="H50">
            <v>5</v>
          </cell>
          <cell r="I50">
            <v>0</v>
          </cell>
        </row>
        <row r="51">
          <cell r="A51">
            <v>151894</v>
          </cell>
          <cell r="B51" t="str">
            <v>Barnaba Skoczylas</v>
          </cell>
          <cell r="C51" t="str">
            <v>10RQ</v>
          </cell>
          <cell r="D51">
            <v>2</v>
          </cell>
          <cell r="E51">
            <v>1</v>
          </cell>
          <cell r="F51">
            <v>15</v>
          </cell>
          <cell r="G51">
            <v>0</v>
          </cell>
          <cell r="H51">
            <v>1</v>
          </cell>
          <cell r="I51">
            <v>1</v>
          </cell>
        </row>
        <row r="52">
          <cell r="A52">
            <v>151774</v>
          </cell>
          <cell r="B52" t="str">
            <v>Joanne Paul</v>
          </cell>
          <cell r="C52" t="str">
            <v>10CM</v>
          </cell>
          <cell r="D52">
            <v>0</v>
          </cell>
          <cell r="E52">
            <v>0</v>
          </cell>
          <cell r="F52">
            <v>18</v>
          </cell>
          <cell r="G52">
            <v>0</v>
          </cell>
          <cell r="H52">
            <v>0</v>
          </cell>
          <cell r="I52">
            <v>0</v>
          </cell>
        </row>
        <row r="53">
          <cell r="A53">
            <v>151801</v>
          </cell>
          <cell r="B53" t="str">
            <v>Michael Heafey</v>
          </cell>
          <cell r="C53" t="str">
            <v>10RQ</v>
          </cell>
          <cell r="D53">
            <v>0</v>
          </cell>
          <cell r="E53">
            <v>1</v>
          </cell>
          <cell r="F53">
            <v>7</v>
          </cell>
          <cell r="G53">
            <v>0</v>
          </cell>
          <cell r="H53">
            <v>0</v>
          </cell>
          <cell r="I53">
            <v>0</v>
          </cell>
        </row>
        <row r="54">
          <cell r="A54">
            <v>151867</v>
          </cell>
          <cell r="B54" t="str">
            <v>Ashanti Kandengwa</v>
          </cell>
          <cell r="C54" t="str">
            <v>10RQ</v>
          </cell>
          <cell r="D54">
            <v>0</v>
          </cell>
          <cell r="E54">
            <v>0</v>
          </cell>
          <cell r="F54">
            <v>12</v>
          </cell>
          <cell r="G54">
            <v>0</v>
          </cell>
          <cell r="H54">
            <v>0</v>
          </cell>
          <cell r="I54">
            <v>0</v>
          </cell>
        </row>
        <row r="55">
          <cell r="A55">
            <v>151772</v>
          </cell>
          <cell r="B55" t="str">
            <v>Jack Lumb</v>
          </cell>
          <cell r="C55" t="str">
            <v>10JOS</v>
          </cell>
          <cell r="D55">
            <v>0</v>
          </cell>
          <cell r="E55">
            <v>1</v>
          </cell>
          <cell r="F55">
            <v>12</v>
          </cell>
          <cell r="G55">
            <v>0</v>
          </cell>
          <cell r="H55">
            <v>0</v>
          </cell>
          <cell r="I55">
            <v>1</v>
          </cell>
        </row>
        <row r="56">
          <cell r="A56">
            <v>151873</v>
          </cell>
          <cell r="B56" t="str">
            <v>Ethan Ochieng</v>
          </cell>
          <cell r="C56" t="str">
            <v>10CS</v>
          </cell>
          <cell r="D56">
            <v>10</v>
          </cell>
          <cell r="E56">
            <v>1</v>
          </cell>
          <cell r="F56">
            <v>14</v>
          </cell>
          <cell r="G56">
            <v>0</v>
          </cell>
          <cell r="H56">
            <v>8</v>
          </cell>
          <cell r="I56">
            <v>0</v>
          </cell>
        </row>
        <row r="57">
          <cell r="A57">
            <v>151845</v>
          </cell>
          <cell r="B57" t="str">
            <v>James Evans</v>
          </cell>
          <cell r="C57" t="str">
            <v>10TD</v>
          </cell>
          <cell r="D57">
            <v>1</v>
          </cell>
          <cell r="E57">
            <v>2</v>
          </cell>
          <cell r="F57">
            <v>8</v>
          </cell>
          <cell r="G57">
            <v>0</v>
          </cell>
          <cell r="H57">
            <v>0</v>
          </cell>
          <cell r="I57">
            <v>2</v>
          </cell>
        </row>
        <row r="58">
          <cell r="A58">
            <v>151931</v>
          </cell>
          <cell r="B58" t="str">
            <v>Alfred Philip</v>
          </cell>
          <cell r="C58" t="str">
            <v>10EB</v>
          </cell>
          <cell r="D58">
            <v>0</v>
          </cell>
          <cell r="E58">
            <v>0</v>
          </cell>
          <cell r="F58">
            <v>11</v>
          </cell>
          <cell r="G58">
            <v>0</v>
          </cell>
          <cell r="H58">
            <v>0</v>
          </cell>
          <cell r="I58">
            <v>0</v>
          </cell>
        </row>
        <row r="59">
          <cell r="A59">
            <v>151917</v>
          </cell>
          <cell r="B59" t="str">
            <v>Eliza Rundle</v>
          </cell>
          <cell r="C59" t="str">
            <v>10CM</v>
          </cell>
          <cell r="D59">
            <v>0</v>
          </cell>
          <cell r="E59">
            <v>0</v>
          </cell>
          <cell r="F59">
            <v>12</v>
          </cell>
          <cell r="G59">
            <v>0</v>
          </cell>
          <cell r="H59">
            <v>0</v>
          </cell>
          <cell r="I59">
            <v>0</v>
          </cell>
        </row>
        <row r="60">
          <cell r="A60">
            <v>151771</v>
          </cell>
          <cell r="B60" t="str">
            <v>Fayzaan Shahzad</v>
          </cell>
          <cell r="C60" t="str">
            <v>10CS</v>
          </cell>
          <cell r="D60">
            <v>2</v>
          </cell>
          <cell r="E60">
            <v>0</v>
          </cell>
          <cell r="F60">
            <v>18</v>
          </cell>
          <cell r="G60">
            <v>0</v>
          </cell>
          <cell r="H60">
            <v>2</v>
          </cell>
          <cell r="I60">
            <v>0</v>
          </cell>
        </row>
        <row r="61">
          <cell r="A61">
            <v>151912</v>
          </cell>
          <cell r="B61" t="str">
            <v>Maria Osborne</v>
          </cell>
          <cell r="C61" t="str">
            <v>10ES</v>
          </cell>
          <cell r="D61">
            <v>14</v>
          </cell>
          <cell r="E61">
            <v>2</v>
          </cell>
          <cell r="F61">
            <v>24</v>
          </cell>
          <cell r="G61">
            <v>1</v>
          </cell>
          <cell r="H61">
            <v>7</v>
          </cell>
          <cell r="I61">
            <v>2</v>
          </cell>
        </row>
        <row r="62">
          <cell r="A62">
            <v>151888</v>
          </cell>
          <cell r="B62" t="str">
            <v>Jinfan Wang</v>
          </cell>
          <cell r="C62" t="str">
            <v>10TD</v>
          </cell>
          <cell r="D62">
            <v>0</v>
          </cell>
          <cell r="E62">
            <v>0</v>
          </cell>
          <cell r="F62">
            <v>13</v>
          </cell>
          <cell r="G62">
            <v>0</v>
          </cell>
          <cell r="H62">
            <v>0</v>
          </cell>
          <cell r="I62">
            <v>0</v>
          </cell>
        </row>
        <row r="63">
          <cell r="A63">
            <v>151948</v>
          </cell>
          <cell r="B63" t="str">
            <v>Jason Nweke-Ifediba</v>
          </cell>
          <cell r="C63" t="str">
            <v>10ES</v>
          </cell>
          <cell r="D63">
            <v>6</v>
          </cell>
          <cell r="E63">
            <v>1</v>
          </cell>
          <cell r="F63">
            <v>10</v>
          </cell>
          <cell r="G63">
            <v>0</v>
          </cell>
          <cell r="H63">
            <v>4</v>
          </cell>
          <cell r="I63">
            <v>0</v>
          </cell>
        </row>
        <row r="64">
          <cell r="A64">
            <v>151818</v>
          </cell>
          <cell r="B64" t="str">
            <v>Benedict Yewdall</v>
          </cell>
          <cell r="C64" t="str">
            <v>10TD</v>
          </cell>
          <cell r="D64">
            <v>0</v>
          </cell>
          <cell r="E64">
            <v>0</v>
          </cell>
          <cell r="F64">
            <v>16</v>
          </cell>
          <cell r="G64">
            <v>0</v>
          </cell>
          <cell r="H64">
            <v>0</v>
          </cell>
          <cell r="I64">
            <v>0</v>
          </cell>
        </row>
        <row r="65">
          <cell r="A65">
            <v>151752</v>
          </cell>
          <cell r="B65" t="str">
            <v>George Ellis French</v>
          </cell>
          <cell r="C65" t="str">
            <v>10RQ</v>
          </cell>
          <cell r="D65">
            <v>1</v>
          </cell>
          <cell r="E65">
            <v>2</v>
          </cell>
          <cell r="F65">
            <v>12</v>
          </cell>
          <cell r="G65">
            <v>0</v>
          </cell>
          <cell r="H65">
            <v>1</v>
          </cell>
          <cell r="I65">
            <v>1</v>
          </cell>
        </row>
        <row r="66">
          <cell r="A66">
            <v>151783</v>
          </cell>
          <cell r="B66" t="str">
            <v>Keith Mukiisa Bukena</v>
          </cell>
          <cell r="C66" t="str">
            <v>10RQ</v>
          </cell>
          <cell r="D66">
            <v>1</v>
          </cell>
          <cell r="E66">
            <v>0</v>
          </cell>
          <cell r="F66">
            <v>12</v>
          </cell>
          <cell r="G66">
            <v>1</v>
          </cell>
          <cell r="H66">
            <v>0</v>
          </cell>
          <cell r="I66">
            <v>0</v>
          </cell>
        </row>
        <row r="67">
          <cell r="A67">
            <v>151961</v>
          </cell>
          <cell r="B67" t="str">
            <v>Angel Branco Carmona</v>
          </cell>
          <cell r="C67" t="str">
            <v>10CS</v>
          </cell>
          <cell r="D67">
            <v>0</v>
          </cell>
          <cell r="E67">
            <v>0</v>
          </cell>
          <cell r="F67">
            <v>4</v>
          </cell>
          <cell r="G67">
            <v>0</v>
          </cell>
          <cell r="H67">
            <v>0</v>
          </cell>
          <cell r="I67">
            <v>0</v>
          </cell>
        </row>
        <row r="68">
          <cell r="A68">
            <v>151951</v>
          </cell>
          <cell r="B68" t="str">
            <v>Gideon Bushell</v>
          </cell>
          <cell r="C68" t="str">
            <v>10TD</v>
          </cell>
          <cell r="D68">
            <v>0</v>
          </cell>
          <cell r="E68">
            <v>0</v>
          </cell>
          <cell r="F68">
            <v>13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151826</v>
          </cell>
          <cell r="B69" t="str">
            <v>Takudzwa Chaita</v>
          </cell>
          <cell r="C69" t="str">
            <v>10EB</v>
          </cell>
          <cell r="D69">
            <v>0</v>
          </cell>
          <cell r="E69">
            <v>0</v>
          </cell>
          <cell r="F69">
            <v>15</v>
          </cell>
          <cell r="G69">
            <v>0</v>
          </cell>
          <cell r="H69">
            <v>0</v>
          </cell>
          <cell r="I69">
            <v>0</v>
          </cell>
        </row>
        <row r="70">
          <cell r="A70">
            <v>151777</v>
          </cell>
          <cell r="B70" t="str">
            <v>Toby Moralee-Cook</v>
          </cell>
          <cell r="C70" t="str">
            <v>10CS</v>
          </cell>
          <cell r="D70">
            <v>0</v>
          </cell>
          <cell r="E70">
            <v>0</v>
          </cell>
          <cell r="F70">
            <v>4</v>
          </cell>
          <cell r="G70">
            <v>0</v>
          </cell>
          <cell r="H70">
            <v>0</v>
          </cell>
          <cell r="I70">
            <v>0</v>
          </cell>
        </row>
        <row r="71">
          <cell r="A71">
            <v>151822</v>
          </cell>
          <cell r="B71" t="str">
            <v>Zaak Yanbak</v>
          </cell>
          <cell r="C71" t="str">
            <v>10RQ</v>
          </cell>
          <cell r="D71">
            <v>4</v>
          </cell>
          <cell r="E71">
            <v>1</v>
          </cell>
          <cell r="F71">
            <v>11</v>
          </cell>
          <cell r="G71">
            <v>0</v>
          </cell>
          <cell r="H71">
            <v>3</v>
          </cell>
          <cell r="I71">
            <v>1</v>
          </cell>
        </row>
        <row r="72">
          <cell r="A72">
            <v>151839</v>
          </cell>
          <cell r="B72" t="str">
            <v>Haiqa Akram</v>
          </cell>
          <cell r="C72" t="str">
            <v>10EB</v>
          </cell>
          <cell r="D72">
            <v>0</v>
          </cell>
          <cell r="E72">
            <v>0</v>
          </cell>
          <cell r="F72">
            <v>12</v>
          </cell>
          <cell r="G72">
            <v>0</v>
          </cell>
          <cell r="H72">
            <v>0</v>
          </cell>
          <cell r="I72">
            <v>0</v>
          </cell>
        </row>
        <row r="73">
          <cell r="A73">
            <v>151824</v>
          </cell>
          <cell r="B73" t="str">
            <v>Kirsten Shaw</v>
          </cell>
          <cell r="C73" t="str">
            <v>10EB</v>
          </cell>
          <cell r="D73">
            <v>1</v>
          </cell>
          <cell r="E73">
            <v>3</v>
          </cell>
          <cell r="F73">
            <v>9</v>
          </cell>
          <cell r="G73">
            <v>0</v>
          </cell>
          <cell r="H73">
            <v>0</v>
          </cell>
          <cell r="I73">
            <v>2</v>
          </cell>
        </row>
        <row r="74">
          <cell r="A74">
            <v>151785</v>
          </cell>
          <cell r="B74" t="str">
            <v>Joanna Toe</v>
          </cell>
          <cell r="C74" t="str">
            <v>10RQ</v>
          </cell>
          <cell r="D74">
            <v>0</v>
          </cell>
          <cell r="E74">
            <v>1</v>
          </cell>
          <cell r="F74">
            <v>19</v>
          </cell>
          <cell r="G74">
            <v>0</v>
          </cell>
          <cell r="H74">
            <v>0</v>
          </cell>
          <cell r="I74">
            <v>1</v>
          </cell>
        </row>
        <row r="75">
          <cell r="A75">
            <v>151887</v>
          </cell>
          <cell r="B75" t="str">
            <v>Matthew Hegarty</v>
          </cell>
          <cell r="C75" t="str">
            <v>10JOS</v>
          </cell>
          <cell r="D75">
            <v>0</v>
          </cell>
          <cell r="E75">
            <v>0</v>
          </cell>
          <cell r="F75">
            <v>15</v>
          </cell>
          <cell r="G75">
            <v>0</v>
          </cell>
          <cell r="H75">
            <v>0</v>
          </cell>
          <cell r="I75">
            <v>0</v>
          </cell>
        </row>
        <row r="76">
          <cell r="A76">
            <v>151903</v>
          </cell>
          <cell r="B76" t="str">
            <v>Shanie Patindol</v>
          </cell>
          <cell r="C76" t="str">
            <v>10TD</v>
          </cell>
          <cell r="D76">
            <v>0</v>
          </cell>
          <cell r="E76">
            <v>1</v>
          </cell>
          <cell r="F76">
            <v>16</v>
          </cell>
          <cell r="G76">
            <v>0</v>
          </cell>
          <cell r="H76">
            <v>0</v>
          </cell>
          <cell r="I76">
            <v>0</v>
          </cell>
        </row>
        <row r="77">
          <cell r="A77">
            <v>151962</v>
          </cell>
          <cell r="B77" t="str">
            <v>Declan Dodgson</v>
          </cell>
          <cell r="C77" t="str">
            <v>10CM</v>
          </cell>
          <cell r="D77">
            <v>4</v>
          </cell>
          <cell r="E77">
            <v>1</v>
          </cell>
          <cell r="F77">
            <v>9</v>
          </cell>
          <cell r="G77">
            <v>1</v>
          </cell>
          <cell r="H77">
            <v>3</v>
          </cell>
          <cell r="I77">
            <v>0</v>
          </cell>
        </row>
        <row r="78">
          <cell r="A78">
            <v>151952</v>
          </cell>
          <cell r="B78" t="str">
            <v>Tia Botros</v>
          </cell>
          <cell r="C78" t="str">
            <v>10TD</v>
          </cell>
          <cell r="D78">
            <v>0</v>
          </cell>
          <cell r="E78">
            <v>0</v>
          </cell>
          <cell r="F78">
            <v>7</v>
          </cell>
          <cell r="G78">
            <v>0</v>
          </cell>
          <cell r="H78">
            <v>0</v>
          </cell>
          <cell r="I78">
            <v>0</v>
          </cell>
        </row>
        <row r="79">
          <cell r="A79">
            <v>151835</v>
          </cell>
          <cell r="B79" t="str">
            <v>Jake Pitchfork</v>
          </cell>
          <cell r="C79" t="str">
            <v>10PL</v>
          </cell>
          <cell r="D79">
            <v>1</v>
          </cell>
          <cell r="E79">
            <v>1</v>
          </cell>
          <cell r="F79">
            <v>9</v>
          </cell>
          <cell r="G79">
            <v>0</v>
          </cell>
          <cell r="H79">
            <v>1</v>
          </cell>
          <cell r="I79">
            <v>0</v>
          </cell>
        </row>
        <row r="80">
          <cell r="A80">
            <v>151849</v>
          </cell>
          <cell r="B80" t="str">
            <v>Matthew Lee-Potter</v>
          </cell>
          <cell r="C80" t="str">
            <v>10PL</v>
          </cell>
          <cell r="D80">
            <v>1</v>
          </cell>
          <cell r="E80">
            <v>0</v>
          </cell>
          <cell r="F80">
            <v>21</v>
          </cell>
          <cell r="G80">
            <v>1</v>
          </cell>
          <cell r="H80">
            <v>0</v>
          </cell>
          <cell r="I80">
            <v>0</v>
          </cell>
        </row>
        <row r="81">
          <cell r="A81">
            <v>151755</v>
          </cell>
          <cell r="B81" t="str">
            <v>Anastasia Baster</v>
          </cell>
          <cell r="C81" t="str">
            <v>10EB</v>
          </cell>
          <cell r="D81">
            <v>0</v>
          </cell>
          <cell r="E81">
            <v>0</v>
          </cell>
          <cell r="F81">
            <v>8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151875</v>
          </cell>
          <cell r="B82" t="str">
            <v>Luke Mowbray</v>
          </cell>
          <cell r="C82" t="str">
            <v>10CS</v>
          </cell>
          <cell r="D82">
            <v>0</v>
          </cell>
          <cell r="E82">
            <v>0</v>
          </cell>
          <cell r="F82">
            <v>14</v>
          </cell>
          <cell r="G82">
            <v>0</v>
          </cell>
          <cell r="H82">
            <v>0</v>
          </cell>
          <cell r="I82">
            <v>0</v>
          </cell>
        </row>
        <row r="83">
          <cell r="A83">
            <v>151911</v>
          </cell>
          <cell r="B83" t="str">
            <v>Ofure Oyaole</v>
          </cell>
          <cell r="C83" t="str">
            <v>10CM</v>
          </cell>
          <cell r="D83">
            <v>0</v>
          </cell>
          <cell r="E83">
            <v>0</v>
          </cell>
          <cell r="F83">
            <v>13</v>
          </cell>
          <cell r="G83">
            <v>0</v>
          </cell>
          <cell r="H83">
            <v>0</v>
          </cell>
          <cell r="I83">
            <v>0</v>
          </cell>
        </row>
        <row r="84">
          <cell r="A84">
            <v>100340</v>
          </cell>
          <cell r="B84" t="str">
            <v>Maleeha Akhtar</v>
          </cell>
          <cell r="C84" t="str">
            <v>10ES</v>
          </cell>
          <cell r="D84">
            <v>2</v>
          </cell>
          <cell r="E84">
            <v>1</v>
          </cell>
          <cell r="F84">
            <v>14</v>
          </cell>
          <cell r="G84">
            <v>0</v>
          </cell>
          <cell r="H84">
            <v>2</v>
          </cell>
          <cell r="I84">
            <v>1</v>
          </cell>
        </row>
        <row r="85">
          <cell r="A85">
            <v>151924</v>
          </cell>
          <cell r="B85" t="str">
            <v>Amelia Hussain</v>
          </cell>
          <cell r="C85" t="str">
            <v>10RQ</v>
          </cell>
          <cell r="D85">
            <v>0</v>
          </cell>
          <cell r="E85">
            <v>3</v>
          </cell>
          <cell r="F85">
            <v>19</v>
          </cell>
          <cell r="G85">
            <v>0</v>
          </cell>
          <cell r="H85">
            <v>0</v>
          </cell>
          <cell r="I85">
            <v>3</v>
          </cell>
        </row>
        <row r="86">
          <cell r="A86">
            <v>151829</v>
          </cell>
          <cell r="B86" t="str">
            <v>Freya Moss</v>
          </cell>
          <cell r="C86" t="str">
            <v>10CS</v>
          </cell>
          <cell r="D86">
            <v>1</v>
          </cell>
          <cell r="E86">
            <v>2</v>
          </cell>
          <cell r="F86">
            <v>10</v>
          </cell>
          <cell r="G86">
            <v>0</v>
          </cell>
          <cell r="H86">
            <v>1</v>
          </cell>
          <cell r="I86">
            <v>1</v>
          </cell>
        </row>
        <row r="87">
          <cell r="A87">
            <v>160352</v>
          </cell>
          <cell r="B87" t="str">
            <v>Ruben Stovell</v>
          </cell>
          <cell r="C87"/>
          <cell r="D87">
            <v>0</v>
          </cell>
          <cell r="E87">
            <v>0</v>
          </cell>
          <cell r="F87">
            <v>2</v>
          </cell>
          <cell r="G87">
            <v>0</v>
          </cell>
          <cell r="H87">
            <v>0</v>
          </cell>
          <cell r="I87">
            <v>0</v>
          </cell>
        </row>
        <row r="88">
          <cell r="A88">
            <v>151795</v>
          </cell>
          <cell r="B88" t="str">
            <v>Charlotte Bratley</v>
          </cell>
          <cell r="C88" t="str">
            <v>10TD</v>
          </cell>
          <cell r="D88">
            <v>0</v>
          </cell>
          <cell r="E88">
            <v>0</v>
          </cell>
          <cell r="F88">
            <v>14</v>
          </cell>
          <cell r="G88">
            <v>0</v>
          </cell>
          <cell r="H88">
            <v>0</v>
          </cell>
          <cell r="I88">
            <v>0</v>
          </cell>
        </row>
        <row r="89">
          <cell r="A89">
            <v>151854</v>
          </cell>
          <cell r="B89" t="str">
            <v>Rufta Bahre</v>
          </cell>
          <cell r="C89" t="str">
            <v>10RQ</v>
          </cell>
          <cell r="D89">
            <v>0</v>
          </cell>
          <cell r="E89">
            <v>3</v>
          </cell>
          <cell r="F89">
            <v>5</v>
          </cell>
          <cell r="G89">
            <v>0</v>
          </cell>
          <cell r="H89">
            <v>0</v>
          </cell>
          <cell r="I89">
            <v>1</v>
          </cell>
        </row>
        <row r="90">
          <cell r="A90">
            <v>151805</v>
          </cell>
          <cell r="B90" t="str">
            <v>Eva Kearney</v>
          </cell>
          <cell r="C90" t="str">
            <v>10JOS</v>
          </cell>
          <cell r="D90">
            <v>0</v>
          </cell>
          <cell r="E90">
            <v>0</v>
          </cell>
          <cell r="F90">
            <v>10</v>
          </cell>
          <cell r="G90">
            <v>0</v>
          </cell>
          <cell r="H90">
            <v>0</v>
          </cell>
          <cell r="I90">
            <v>0</v>
          </cell>
        </row>
        <row r="91">
          <cell r="A91">
            <v>151886</v>
          </cell>
          <cell r="B91" t="str">
            <v>Luca Giove</v>
          </cell>
          <cell r="C91" t="str">
            <v>10ES</v>
          </cell>
          <cell r="D91">
            <v>0</v>
          </cell>
          <cell r="E91">
            <v>0</v>
          </cell>
          <cell r="F91">
            <v>24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151919</v>
          </cell>
          <cell r="B92" t="str">
            <v>Emily Davies</v>
          </cell>
          <cell r="C92" t="str">
            <v>10PL</v>
          </cell>
          <cell r="D92">
            <v>1</v>
          </cell>
          <cell r="E92">
            <v>0</v>
          </cell>
          <cell r="F92">
            <v>18</v>
          </cell>
          <cell r="G92">
            <v>1</v>
          </cell>
          <cell r="H92">
            <v>0</v>
          </cell>
          <cell r="I92">
            <v>0</v>
          </cell>
        </row>
        <row r="93">
          <cell r="A93">
            <v>151860</v>
          </cell>
          <cell r="B93" t="str">
            <v>Ciaran Siggs</v>
          </cell>
          <cell r="C93" t="str">
            <v>10RQ</v>
          </cell>
          <cell r="D93">
            <v>0</v>
          </cell>
          <cell r="E93">
            <v>0</v>
          </cell>
          <cell r="F93">
            <v>24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151766</v>
          </cell>
          <cell r="B94" t="str">
            <v>Jaedon Smith</v>
          </cell>
          <cell r="C94" t="str">
            <v>10JOS</v>
          </cell>
          <cell r="D94">
            <v>0</v>
          </cell>
          <cell r="E94">
            <v>1</v>
          </cell>
          <cell r="F94">
            <v>26</v>
          </cell>
          <cell r="G94">
            <v>0</v>
          </cell>
          <cell r="H94">
            <v>0</v>
          </cell>
          <cell r="I94">
            <v>0</v>
          </cell>
        </row>
        <row r="95">
          <cell r="A95">
            <v>151902</v>
          </cell>
          <cell r="B95" t="str">
            <v>Oliver Cole</v>
          </cell>
          <cell r="C95" t="str">
            <v>10RQ</v>
          </cell>
          <cell r="D95">
            <v>6</v>
          </cell>
          <cell r="E95">
            <v>2</v>
          </cell>
          <cell r="F95">
            <v>25</v>
          </cell>
          <cell r="G95">
            <v>0</v>
          </cell>
          <cell r="H95">
            <v>4</v>
          </cell>
          <cell r="I95">
            <v>2</v>
          </cell>
        </row>
        <row r="96">
          <cell r="A96">
            <v>160034</v>
          </cell>
          <cell r="B96" t="str">
            <v>Iziku Sabina</v>
          </cell>
          <cell r="C96" t="str">
            <v>10CS</v>
          </cell>
          <cell r="D96">
            <v>1</v>
          </cell>
          <cell r="E96">
            <v>0</v>
          </cell>
          <cell r="F96">
            <v>11</v>
          </cell>
          <cell r="G96">
            <v>0</v>
          </cell>
          <cell r="H96">
            <v>1</v>
          </cell>
          <cell r="I96">
            <v>0</v>
          </cell>
        </row>
        <row r="97">
          <cell r="A97">
            <v>151866</v>
          </cell>
          <cell r="B97" t="str">
            <v>Kelvin Owusu</v>
          </cell>
          <cell r="C97" t="str">
            <v>10CS</v>
          </cell>
          <cell r="D97">
            <v>0</v>
          </cell>
          <cell r="E97">
            <v>0</v>
          </cell>
          <cell r="F97">
            <v>22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160363</v>
          </cell>
          <cell r="B98" t="str">
            <v>Ewan How</v>
          </cell>
          <cell r="C98" t="str">
            <v>10RQ</v>
          </cell>
          <cell r="D98">
            <v>0</v>
          </cell>
          <cell r="E98">
            <v>0</v>
          </cell>
          <cell r="F98">
            <v>4</v>
          </cell>
          <cell r="G98">
            <v>0</v>
          </cell>
          <cell r="H98">
            <v>0</v>
          </cell>
          <cell r="I98">
            <v>0</v>
          </cell>
        </row>
        <row r="99">
          <cell r="A99">
            <v>151841</v>
          </cell>
          <cell r="B99" t="str">
            <v>Oluwatunmise Adewale</v>
          </cell>
          <cell r="C99" t="str">
            <v>10JOS</v>
          </cell>
          <cell r="D99">
            <v>0</v>
          </cell>
          <cell r="E99">
            <v>0</v>
          </cell>
          <cell r="F99">
            <v>12</v>
          </cell>
          <cell r="G99">
            <v>0</v>
          </cell>
          <cell r="H99">
            <v>0</v>
          </cell>
          <cell r="I99">
            <v>0</v>
          </cell>
        </row>
        <row r="100">
          <cell r="A100">
            <v>151868</v>
          </cell>
          <cell r="B100" t="str">
            <v>Abigail Scott</v>
          </cell>
          <cell r="C100" t="str">
            <v>10RQ</v>
          </cell>
          <cell r="D100">
            <v>0</v>
          </cell>
          <cell r="E100">
            <v>0</v>
          </cell>
          <cell r="F100">
            <v>21</v>
          </cell>
          <cell r="G100">
            <v>0</v>
          </cell>
          <cell r="H100">
            <v>0</v>
          </cell>
          <cell r="I100">
            <v>0</v>
          </cell>
        </row>
        <row r="101">
          <cell r="A101">
            <v>151776</v>
          </cell>
          <cell r="B101" t="str">
            <v>Paulos Dereje</v>
          </cell>
          <cell r="C101" t="str">
            <v>10CS</v>
          </cell>
          <cell r="D101">
            <v>6</v>
          </cell>
          <cell r="E101">
            <v>3</v>
          </cell>
          <cell r="F101">
            <v>17</v>
          </cell>
          <cell r="G101">
            <v>0</v>
          </cell>
          <cell r="H101">
            <v>6</v>
          </cell>
          <cell r="I101">
            <v>1</v>
          </cell>
        </row>
        <row r="102">
          <cell r="A102">
            <v>151816</v>
          </cell>
          <cell r="B102" t="str">
            <v>Pierre Ewusie-Nelson</v>
          </cell>
          <cell r="C102" t="str">
            <v>10RQ</v>
          </cell>
          <cell r="D102">
            <v>5</v>
          </cell>
          <cell r="E102">
            <v>0</v>
          </cell>
          <cell r="F102">
            <v>12</v>
          </cell>
          <cell r="G102">
            <v>1</v>
          </cell>
          <cell r="H102">
            <v>3</v>
          </cell>
          <cell r="I102">
            <v>0</v>
          </cell>
        </row>
        <row r="103">
          <cell r="A103">
            <v>151944</v>
          </cell>
          <cell r="B103" t="str">
            <v>Teigan Fox</v>
          </cell>
          <cell r="C103" t="str">
            <v>10TD</v>
          </cell>
          <cell r="D103">
            <v>2</v>
          </cell>
          <cell r="E103">
            <v>1</v>
          </cell>
          <cell r="F103">
            <v>13</v>
          </cell>
          <cell r="G103">
            <v>0</v>
          </cell>
          <cell r="H103">
            <v>0</v>
          </cell>
          <cell r="I103">
            <v>1</v>
          </cell>
        </row>
        <row r="104">
          <cell r="A104">
            <v>151751</v>
          </cell>
          <cell r="B104" t="str">
            <v>Heidi Bell</v>
          </cell>
          <cell r="C104" t="str">
            <v>10EB</v>
          </cell>
          <cell r="D104">
            <v>0</v>
          </cell>
          <cell r="E104">
            <v>0</v>
          </cell>
          <cell r="F104">
            <v>20</v>
          </cell>
          <cell r="G104">
            <v>0</v>
          </cell>
          <cell r="H104">
            <v>0</v>
          </cell>
          <cell r="I104">
            <v>0</v>
          </cell>
        </row>
        <row r="105">
          <cell r="A105">
            <v>151768</v>
          </cell>
          <cell r="B105" t="str">
            <v>Charlie Shouler</v>
          </cell>
          <cell r="C105" t="str">
            <v>10JOS</v>
          </cell>
          <cell r="D105">
            <v>5</v>
          </cell>
          <cell r="E105">
            <v>0</v>
          </cell>
          <cell r="F105">
            <v>10</v>
          </cell>
          <cell r="G105">
            <v>1</v>
          </cell>
          <cell r="H105">
            <v>3</v>
          </cell>
          <cell r="I105">
            <v>0</v>
          </cell>
        </row>
        <row r="106">
          <cell r="A106">
            <v>151936</v>
          </cell>
          <cell r="B106" t="str">
            <v>Ava Carson</v>
          </cell>
          <cell r="C106" t="str">
            <v>10PL</v>
          </cell>
          <cell r="D106">
            <v>0</v>
          </cell>
          <cell r="E106">
            <v>0</v>
          </cell>
          <cell r="F106">
            <v>24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151935</v>
          </cell>
          <cell r="B107" t="str">
            <v>Uchizi Odudu</v>
          </cell>
          <cell r="C107" t="str">
            <v>10ES</v>
          </cell>
          <cell r="D107">
            <v>5</v>
          </cell>
          <cell r="E107">
            <v>1</v>
          </cell>
          <cell r="F107">
            <v>20</v>
          </cell>
          <cell r="G107">
            <v>1</v>
          </cell>
          <cell r="H107">
            <v>3</v>
          </cell>
          <cell r="I107">
            <v>0</v>
          </cell>
        </row>
        <row r="108">
          <cell r="A108">
            <v>151963</v>
          </cell>
          <cell r="B108" t="str">
            <v>Juno Hale</v>
          </cell>
          <cell r="C108" t="str">
            <v>10CS</v>
          </cell>
          <cell r="D108">
            <v>0</v>
          </cell>
          <cell r="E108">
            <v>0</v>
          </cell>
          <cell r="F108">
            <v>12</v>
          </cell>
          <cell r="G108">
            <v>0</v>
          </cell>
          <cell r="H108">
            <v>0</v>
          </cell>
          <cell r="I108">
            <v>0</v>
          </cell>
        </row>
        <row r="109">
          <cell r="A109">
            <v>151957</v>
          </cell>
          <cell r="B109" t="str">
            <v>Oscar Knight</v>
          </cell>
          <cell r="C109" t="str">
            <v>10CM</v>
          </cell>
          <cell r="D109">
            <v>0</v>
          </cell>
          <cell r="E109">
            <v>0</v>
          </cell>
          <cell r="F109">
            <v>21</v>
          </cell>
          <cell r="G109">
            <v>0</v>
          </cell>
          <cell r="H109">
            <v>0</v>
          </cell>
          <cell r="I109">
            <v>0</v>
          </cell>
        </row>
        <row r="110">
          <cell r="A110">
            <v>151851</v>
          </cell>
          <cell r="B110" t="str">
            <v>Petros Dereje</v>
          </cell>
          <cell r="C110" t="str">
            <v>10CM</v>
          </cell>
          <cell r="D110">
            <v>1</v>
          </cell>
          <cell r="E110">
            <v>2</v>
          </cell>
          <cell r="F110">
            <v>16</v>
          </cell>
          <cell r="G110">
            <v>0</v>
          </cell>
          <cell r="H110">
            <v>1</v>
          </cell>
          <cell r="I110">
            <v>2</v>
          </cell>
        </row>
        <row r="111">
          <cell r="A111">
            <v>151928</v>
          </cell>
          <cell r="B111" t="str">
            <v>Aaron Owusu-Agyemang</v>
          </cell>
          <cell r="C111" t="str">
            <v>10PL</v>
          </cell>
          <cell r="D111">
            <v>1</v>
          </cell>
          <cell r="E111">
            <v>2</v>
          </cell>
          <cell r="F111">
            <v>15</v>
          </cell>
          <cell r="G111">
            <v>0</v>
          </cell>
          <cell r="H111">
            <v>1</v>
          </cell>
          <cell r="I111">
            <v>0</v>
          </cell>
        </row>
        <row r="112">
          <cell r="A112">
            <v>151792</v>
          </cell>
          <cell r="B112" t="str">
            <v>Lulyana Amanuel</v>
          </cell>
          <cell r="C112" t="str">
            <v>10PL</v>
          </cell>
          <cell r="D112">
            <v>0</v>
          </cell>
          <cell r="E112">
            <v>1</v>
          </cell>
          <cell r="F112">
            <v>24</v>
          </cell>
          <cell r="G112">
            <v>0</v>
          </cell>
          <cell r="H112">
            <v>0</v>
          </cell>
          <cell r="I112">
            <v>1</v>
          </cell>
        </row>
        <row r="113">
          <cell r="A113">
            <v>151862</v>
          </cell>
          <cell r="B113" t="str">
            <v>Yeukai Azumah</v>
          </cell>
          <cell r="C113" t="str">
            <v>10CS</v>
          </cell>
          <cell r="D113">
            <v>2</v>
          </cell>
          <cell r="E113">
            <v>1</v>
          </cell>
          <cell r="F113">
            <v>21</v>
          </cell>
          <cell r="G113">
            <v>1</v>
          </cell>
          <cell r="H113">
            <v>1</v>
          </cell>
          <cell r="I113">
            <v>1</v>
          </cell>
        </row>
        <row r="114">
          <cell r="A114">
            <v>151882</v>
          </cell>
          <cell r="B114" t="str">
            <v>Aiden Thomas</v>
          </cell>
          <cell r="C114" t="str">
            <v>10CS</v>
          </cell>
          <cell r="D114">
            <v>0</v>
          </cell>
          <cell r="E114">
            <v>0</v>
          </cell>
          <cell r="F114">
            <v>17</v>
          </cell>
          <cell r="G114">
            <v>0</v>
          </cell>
          <cell r="H114">
            <v>0</v>
          </cell>
          <cell r="I114">
            <v>0</v>
          </cell>
        </row>
        <row r="115">
          <cell r="A115">
            <v>151811</v>
          </cell>
          <cell r="B115" t="str">
            <v>Ruby Clayton</v>
          </cell>
          <cell r="C115" t="str">
            <v>10TD</v>
          </cell>
          <cell r="D115">
            <v>2</v>
          </cell>
          <cell r="E115">
            <v>0</v>
          </cell>
          <cell r="F115">
            <v>24</v>
          </cell>
          <cell r="G115">
            <v>0</v>
          </cell>
          <cell r="H115">
            <v>2</v>
          </cell>
          <cell r="I115">
            <v>0</v>
          </cell>
        </row>
        <row r="116">
          <cell r="A116">
            <v>151769</v>
          </cell>
          <cell r="B116" t="str">
            <v>Zara Shaif</v>
          </cell>
          <cell r="C116" t="str">
            <v>10EB</v>
          </cell>
          <cell r="D116">
            <v>1</v>
          </cell>
          <cell r="E116">
            <v>3</v>
          </cell>
          <cell r="F116">
            <v>17</v>
          </cell>
          <cell r="G116">
            <v>0</v>
          </cell>
          <cell r="H116">
            <v>1</v>
          </cell>
          <cell r="I116">
            <v>1</v>
          </cell>
        </row>
        <row r="117">
          <cell r="A117">
            <v>151910</v>
          </cell>
          <cell r="B117" t="str">
            <v>Lucia Kubicova</v>
          </cell>
          <cell r="C117" t="str">
            <v>10CM</v>
          </cell>
          <cell r="D117">
            <v>0</v>
          </cell>
          <cell r="E117">
            <v>1</v>
          </cell>
          <cell r="F117">
            <v>13</v>
          </cell>
          <cell r="G117">
            <v>0</v>
          </cell>
          <cell r="H117">
            <v>0</v>
          </cell>
          <cell r="I117">
            <v>1</v>
          </cell>
        </row>
        <row r="118">
          <cell r="A118">
            <v>151809</v>
          </cell>
          <cell r="B118" t="str">
            <v>George Wright</v>
          </cell>
          <cell r="C118" t="str">
            <v>10CM</v>
          </cell>
          <cell r="D118">
            <v>6</v>
          </cell>
          <cell r="E118">
            <v>0</v>
          </cell>
          <cell r="F118">
            <v>15</v>
          </cell>
          <cell r="G118">
            <v>0</v>
          </cell>
          <cell r="H118">
            <v>5</v>
          </cell>
          <cell r="I118">
            <v>0</v>
          </cell>
        </row>
        <row r="119">
          <cell r="A119">
            <v>151855</v>
          </cell>
          <cell r="B119" t="str">
            <v>Marnie Haddow</v>
          </cell>
          <cell r="C119" t="str">
            <v>10ES</v>
          </cell>
          <cell r="D119">
            <v>0</v>
          </cell>
          <cell r="E119">
            <v>0</v>
          </cell>
          <cell r="F119">
            <v>15</v>
          </cell>
          <cell r="G119">
            <v>0</v>
          </cell>
          <cell r="H119">
            <v>0</v>
          </cell>
          <cell r="I119">
            <v>0</v>
          </cell>
        </row>
        <row r="120">
          <cell r="A120">
            <v>151850</v>
          </cell>
          <cell r="B120" t="str">
            <v>Adekalie Kargbo</v>
          </cell>
          <cell r="C120" t="str">
            <v>10EB</v>
          </cell>
          <cell r="D120">
            <v>6</v>
          </cell>
          <cell r="E120">
            <v>5</v>
          </cell>
          <cell r="F120">
            <v>9</v>
          </cell>
          <cell r="G120">
            <v>0</v>
          </cell>
          <cell r="H120">
            <v>6</v>
          </cell>
          <cell r="I120">
            <v>3</v>
          </cell>
        </row>
        <row r="121">
          <cell r="A121">
            <v>151918</v>
          </cell>
          <cell r="B121" t="str">
            <v>Sophie Bower</v>
          </cell>
          <cell r="C121" t="str">
            <v>10TD</v>
          </cell>
          <cell r="D121">
            <v>0</v>
          </cell>
          <cell r="E121">
            <v>0</v>
          </cell>
          <cell r="F121">
            <v>11</v>
          </cell>
          <cell r="G121">
            <v>0</v>
          </cell>
          <cell r="H121">
            <v>0</v>
          </cell>
          <cell r="I121">
            <v>0</v>
          </cell>
        </row>
        <row r="122">
          <cell r="A122">
            <v>151891</v>
          </cell>
          <cell r="B122" t="str">
            <v>Aisling Evans</v>
          </cell>
          <cell r="C122" t="str">
            <v>10RQ</v>
          </cell>
          <cell r="D122">
            <v>0</v>
          </cell>
          <cell r="E122">
            <v>0</v>
          </cell>
          <cell r="F122">
            <v>12</v>
          </cell>
          <cell r="G122">
            <v>0</v>
          </cell>
          <cell r="H122">
            <v>0</v>
          </cell>
          <cell r="I122">
            <v>0</v>
          </cell>
        </row>
        <row r="123">
          <cell r="A123">
            <v>151788</v>
          </cell>
          <cell r="B123" t="str">
            <v>Joachim Murphy</v>
          </cell>
          <cell r="C123" t="str">
            <v>10PL</v>
          </cell>
          <cell r="D123">
            <v>0</v>
          </cell>
          <cell r="E123">
            <v>0</v>
          </cell>
          <cell r="F123">
            <v>10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151937</v>
          </cell>
          <cell r="B124" t="str">
            <v>Yulima Sanchez-Diaz</v>
          </cell>
          <cell r="C124" t="str">
            <v>10JOS</v>
          </cell>
          <cell r="D124">
            <v>0</v>
          </cell>
          <cell r="E124">
            <v>0</v>
          </cell>
          <cell r="F124">
            <v>11</v>
          </cell>
          <cell r="G124">
            <v>0</v>
          </cell>
          <cell r="H124">
            <v>0</v>
          </cell>
          <cell r="I124">
            <v>0</v>
          </cell>
        </row>
        <row r="125">
          <cell r="A125">
            <v>151869</v>
          </cell>
          <cell r="B125" t="str">
            <v>Zachary Shiel</v>
          </cell>
          <cell r="C125" t="str">
            <v>10EB</v>
          </cell>
          <cell r="D125">
            <v>0</v>
          </cell>
          <cell r="E125">
            <v>0</v>
          </cell>
          <cell r="F125">
            <v>8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151956</v>
          </cell>
          <cell r="B126" t="str">
            <v>Patrick Todd</v>
          </cell>
          <cell r="C126" t="str">
            <v>10EB</v>
          </cell>
          <cell r="D126">
            <v>0</v>
          </cell>
          <cell r="E126">
            <v>0</v>
          </cell>
          <cell r="F126">
            <v>19</v>
          </cell>
          <cell r="G126">
            <v>0</v>
          </cell>
          <cell r="H126">
            <v>0</v>
          </cell>
          <cell r="I126">
            <v>0</v>
          </cell>
        </row>
        <row r="127">
          <cell r="A127">
            <v>151815</v>
          </cell>
          <cell r="B127" t="str">
            <v>Olivia Loughran Smith</v>
          </cell>
          <cell r="C127" t="str">
            <v>10TD</v>
          </cell>
          <cell r="D127">
            <v>1</v>
          </cell>
          <cell r="E127">
            <v>1</v>
          </cell>
          <cell r="F127">
            <v>19</v>
          </cell>
          <cell r="G127">
            <v>0</v>
          </cell>
          <cell r="H127">
            <v>0</v>
          </cell>
          <cell r="I127">
            <v>1</v>
          </cell>
        </row>
        <row r="128">
          <cell r="A128">
            <v>151871</v>
          </cell>
          <cell r="B128" t="str">
            <v>Brendan Smith</v>
          </cell>
          <cell r="C128" t="str">
            <v>10TD</v>
          </cell>
          <cell r="D128">
            <v>0</v>
          </cell>
          <cell r="E128">
            <v>1</v>
          </cell>
          <cell r="F128">
            <v>9</v>
          </cell>
          <cell r="G128">
            <v>0</v>
          </cell>
          <cell r="H128">
            <v>0</v>
          </cell>
          <cell r="I128">
            <v>0</v>
          </cell>
        </row>
        <row r="129">
          <cell r="A129">
            <v>151852</v>
          </cell>
          <cell r="B129" t="str">
            <v>Mya Chanakira</v>
          </cell>
          <cell r="C129" t="str">
            <v>10CS</v>
          </cell>
          <cell r="D129">
            <v>6</v>
          </cell>
          <cell r="E129">
            <v>1</v>
          </cell>
          <cell r="F129">
            <v>10</v>
          </cell>
          <cell r="G129">
            <v>0</v>
          </cell>
          <cell r="H129">
            <v>3</v>
          </cell>
          <cell r="I129">
            <v>1</v>
          </cell>
        </row>
        <row r="130">
          <cell r="A130">
            <v>151780</v>
          </cell>
          <cell r="B130" t="str">
            <v>Alishba Khan</v>
          </cell>
          <cell r="C130" t="str">
            <v>10CS</v>
          </cell>
          <cell r="D130">
            <v>0</v>
          </cell>
          <cell r="E130">
            <v>0</v>
          </cell>
          <cell r="F130">
            <v>11</v>
          </cell>
          <cell r="G130">
            <v>0</v>
          </cell>
          <cell r="H130">
            <v>0</v>
          </cell>
          <cell r="I130">
            <v>0</v>
          </cell>
        </row>
        <row r="131">
          <cell r="A131">
            <v>151789</v>
          </cell>
          <cell r="B131" t="str">
            <v>Elliot English</v>
          </cell>
          <cell r="C131" t="str">
            <v>10PL</v>
          </cell>
          <cell r="D131">
            <v>0</v>
          </cell>
          <cell r="E131">
            <v>0</v>
          </cell>
          <cell r="F131">
            <v>21</v>
          </cell>
          <cell r="G131">
            <v>0</v>
          </cell>
          <cell r="H131">
            <v>0</v>
          </cell>
          <cell r="I131">
            <v>0</v>
          </cell>
        </row>
        <row r="132">
          <cell r="A132">
            <v>151967</v>
          </cell>
          <cell r="B132" t="str">
            <v>David Ehosiem</v>
          </cell>
          <cell r="C132" t="str">
            <v>10PL</v>
          </cell>
          <cell r="D132">
            <v>2</v>
          </cell>
          <cell r="E132">
            <v>0</v>
          </cell>
          <cell r="F132">
            <v>14</v>
          </cell>
          <cell r="G132">
            <v>0</v>
          </cell>
          <cell r="H132">
            <v>2</v>
          </cell>
          <cell r="I132">
            <v>0</v>
          </cell>
        </row>
        <row r="133">
          <cell r="A133">
            <v>151786</v>
          </cell>
          <cell r="B133" t="str">
            <v>Jack Howarth</v>
          </cell>
          <cell r="C133" t="str">
            <v>10TD</v>
          </cell>
          <cell r="D133">
            <v>0</v>
          </cell>
          <cell r="E133">
            <v>0</v>
          </cell>
          <cell r="F133">
            <v>9</v>
          </cell>
          <cell r="G133">
            <v>0</v>
          </cell>
          <cell r="H133">
            <v>0</v>
          </cell>
          <cell r="I133">
            <v>0</v>
          </cell>
        </row>
        <row r="134">
          <cell r="A134">
            <v>151960</v>
          </cell>
          <cell r="B134" t="str">
            <v>Joshua Atoyebi</v>
          </cell>
          <cell r="C134" t="str">
            <v>10EB</v>
          </cell>
          <cell r="D134">
            <v>10</v>
          </cell>
          <cell r="E134">
            <v>1</v>
          </cell>
          <cell r="F134">
            <v>7</v>
          </cell>
          <cell r="G134">
            <v>2</v>
          </cell>
          <cell r="H134">
            <v>4</v>
          </cell>
          <cell r="I134">
            <v>1</v>
          </cell>
        </row>
        <row r="135">
          <cell r="A135">
            <v>151819</v>
          </cell>
          <cell r="B135" t="str">
            <v>Chidimma Uwaoma</v>
          </cell>
          <cell r="C135" t="str">
            <v>10CS</v>
          </cell>
          <cell r="D135">
            <v>0</v>
          </cell>
          <cell r="E135">
            <v>1</v>
          </cell>
          <cell r="F135">
            <v>9</v>
          </cell>
          <cell r="G135">
            <v>0</v>
          </cell>
          <cell r="H135">
            <v>0</v>
          </cell>
          <cell r="I135">
            <v>1</v>
          </cell>
        </row>
        <row r="136">
          <cell r="A136">
            <v>151853</v>
          </cell>
          <cell r="B136" t="str">
            <v>Ifeoma Ugonna</v>
          </cell>
          <cell r="C136" t="str">
            <v>10JOS</v>
          </cell>
          <cell r="D136">
            <v>0</v>
          </cell>
          <cell r="E136">
            <v>0</v>
          </cell>
          <cell r="F136">
            <v>14</v>
          </cell>
          <cell r="G136">
            <v>0</v>
          </cell>
          <cell r="H136">
            <v>0</v>
          </cell>
          <cell r="I136">
            <v>0</v>
          </cell>
        </row>
        <row r="137">
          <cell r="A137">
            <v>151870</v>
          </cell>
          <cell r="B137" t="str">
            <v>Penny Bowring</v>
          </cell>
          <cell r="C137" t="str">
            <v>10ES</v>
          </cell>
          <cell r="D137">
            <v>5</v>
          </cell>
          <cell r="E137">
            <v>0</v>
          </cell>
          <cell r="F137">
            <v>10</v>
          </cell>
          <cell r="G137">
            <v>0</v>
          </cell>
          <cell r="H137">
            <v>0</v>
          </cell>
          <cell r="I137">
            <v>0</v>
          </cell>
        </row>
        <row r="138">
          <cell r="A138">
            <v>151843</v>
          </cell>
          <cell r="B138" t="str">
            <v>Charlie Doherty</v>
          </cell>
          <cell r="C138" t="str">
            <v>10TD</v>
          </cell>
          <cell r="D138">
            <v>3</v>
          </cell>
          <cell r="E138">
            <v>3</v>
          </cell>
          <cell r="F138">
            <v>14</v>
          </cell>
          <cell r="G138">
            <v>0</v>
          </cell>
          <cell r="H138">
            <v>3</v>
          </cell>
          <cell r="I138">
            <v>1</v>
          </cell>
        </row>
        <row r="139">
          <cell r="A139">
            <v>151761</v>
          </cell>
          <cell r="B139" t="str">
            <v>Isabel Ruvinski</v>
          </cell>
          <cell r="C139" t="str">
            <v>10CM</v>
          </cell>
          <cell r="D139">
            <v>0</v>
          </cell>
          <cell r="E139">
            <v>0</v>
          </cell>
          <cell r="F139">
            <v>12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151926</v>
          </cell>
          <cell r="B140" t="str">
            <v>Margaux Hodgson</v>
          </cell>
          <cell r="C140" t="str">
            <v>10PL</v>
          </cell>
          <cell r="D140">
            <v>0</v>
          </cell>
          <cell r="E140">
            <v>1</v>
          </cell>
          <cell r="F140">
            <v>13</v>
          </cell>
          <cell r="G140">
            <v>0</v>
          </cell>
          <cell r="H140">
            <v>0</v>
          </cell>
          <cell r="I140">
            <v>1</v>
          </cell>
        </row>
        <row r="141">
          <cell r="A141">
            <v>151779</v>
          </cell>
          <cell r="B141" t="str">
            <v>Gabriel Godinho Moreira</v>
          </cell>
          <cell r="C141" t="str">
            <v>10ES</v>
          </cell>
          <cell r="D141">
            <v>0</v>
          </cell>
          <cell r="E141">
            <v>0</v>
          </cell>
          <cell r="F141">
            <v>13</v>
          </cell>
          <cell r="G141">
            <v>0</v>
          </cell>
          <cell r="H141">
            <v>0</v>
          </cell>
          <cell r="I141">
            <v>0</v>
          </cell>
        </row>
        <row r="142">
          <cell r="A142">
            <v>151959</v>
          </cell>
          <cell r="B142" t="str">
            <v>Ruby Foster</v>
          </cell>
          <cell r="C142" t="str">
            <v>10CM</v>
          </cell>
          <cell r="D142">
            <v>0</v>
          </cell>
          <cell r="E142">
            <v>0</v>
          </cell>
          <cell r="F142">
            <v>26</v>
          </cell>
          <cell r="G142">
            <v>0</v>
          </cell>
          <cell r="H142">
            <v>0</v>
          </cell>
          <cell r="I142">
            <v>0</v>
          </cell>
        </row>
        <row r="143">
          <cell r="A143">
            <v>151791</v>
          </cell>
          <cell r="B143" t="str">
            <v>Charmaine Grant</v>
          </cell>
          <cell r="C143" t="str">
            <v>10ES</v>
          </cell>
          <cell r="D143">
            <v>2</v>
          </cell>
          <cell r="E143">
            <v>3</v>
          </cell>
          <cell r="F143">
            <v>14</v>
          </cell>
          <cell r="G143">
            <v>0</v>
          </cell>
          <cell r="H143">
            <v>2</v>
          </cell>
          <cell r="I143">
            <v>0</v>
          </cell>
        </row>
        <row r="144">
          <cell r="A144">
            <v>151764</v>
          </cell>
          <cell r="B144" t="str">
            <v>Emily Bruce</v>
          </cell>
          <cell r="C144" t="str">
            <v>10PL</v>
          </cell>
          <cell r="D144">
            <v>0</v>
          </cell>
          <cell r="E144">
            <v>0</v>
          </cell>
          <cell r="F144">
            <v>28</v>
          </cell>
          <cell r="G144">
            <v>0</v>
          </cell>
          <cell r="H144">
            <v>0</v>
          </cell>
          <cell r="I144">
            <v>0</v>
          </cell>
        </row>
        <row r="145">
          <cell r="A145">
            <v>151765</v>
          </cell>
          <cell r="B145" t="str">
            <v>Danae Francis</v>
          </cell>
          <cell r="C145" t="str">
            <v>10CM</v>
          </cell>
          <cell r="D145">
            <v>0</v>
          </cell>
          <cell r="E145">
            <v>0</v>
          </cell>
          <cell r="F145">
            <v>12</v>
          </cell>
          <cell r="G145">
            <v>0</v>
          </cell>
          <cell r="H145">
            <v>0</v>
          </cell>
          <cell r="I145">
            <v>0</v>
          </cell>
        </row>
        <row r="146">
          <cell r="A146">
            <v>100343</v>
          </cell>
          <cell r="B146" t="str">
            <v>Zakariya Nazir</v>
          </cell>
          <cell r="C146" t="str">
            <v>10TD</v>
          </cell>
          <cell r="D146">
            <v>4</v>
          </cell>
          <cell r="E146">
            <v>2</v>
          </cell>
          <cell r="F146">
            <v>30</v>
          </cell>
          <cell r="G146">
            <v>1</v>
          </cell>
          <cell r="H146">
            <v>2</v>
          </cell>
          <cell r="I146">
            <v>1</v>
          </cell>
        </row>
        <row r="147">
          <cell r="A147">
            <v>151897</v>
          </cell>
          <cell r="B147" t="str">
            <v>Jakub Rys</v>
          </cell>
          <cell r="C147" t="str">
            <v>10PL</v>
          </cell>
          <cell r="D147">
            <v>0</v>
          </cell>
          <cell r="E147">
            <v>0</v>
          </cell>
          <cell r="F147">
            <v>25</v>
          </cell>
          <cell r="G147">
            <v>0</v>
          </cell>
          <cell r="H147">
            <v>0</v>
          </cell>
          <cell r="I147">
            <v>0</v>
          </cell>
        </row>
        <row r="148">
          <cell r="A148">
            <v>151896</v>
          </cell>
          <cell r="B148" t="str">
            <v>Lucas Meijer</v>
          </cell>
          <cell r="C148" t="str">
            <v>10PL</v>
          </cell>
          <cell r="D148">
            <v>0</v>
          </cell>
          <cell r="E148">
            <v>0</v>
          </cell>
          <cell r="F148">
            <v>14</v>
          </cell>
          <cell r="G148">
            <v>0</v>
          </cell>
          <cell r="H148">
            <v>0</v>
          </cell>
          <cell r="I148">
            <v>0</v>
          </cell>
        </row>
        <row r="149">
          <cell r="A149">
            <v>151787</v>
          </cell>
          <cell r="B149" t="str">
            <v>Joseph Brumpton</v>
          </cell>
          <cell r="C149" t="str">
            <v>10TD</v>
          </cell>
          <cell r="D149">
            <v>0</v>
          </cell>
          <cell r="E149">
            <v>0</v>
          </cell>
          <cell r="F149">
            <v>12</v>
          </cell>
          <cell r="G149">
            <v>0</v>
          </cell>
          <cell r="H149">
            <v>0</v>
          </cell>
          <cell r="I149">
            <v>0</v>
          </cell>
        </row>
        <row r="150">
          <cell r="A150">
            <v>151844</v>
          </cell>
          <cell r="B150" t="str">
            <v>Daniel Roberts</v>
          </cell>
          <cell r="C150" t="str">
            <v>10CS</v>
          </cell>
          <cell r="D150">
            <v>1</v>
          </cell>
          <cell r="E150">
            <v>3</v>
          </cell>
          <cell r="F150">
            <v>20</v>
          </cell>
          <cell r="G150">
            <v>0</v>
          </cell>
          <cell r="H150">
            <v>1</v>
          </cell>
          <cell r="I150">
            <v>3</v>
          </cell>
        </row>
        <row r="151">
          <cell r="A151">
            <v>151878</v>
          </cell>
          <cell r="B151" t="str">
            <v>Jeffrey Lin</v>
          </cell>
          <cell r="C151" t="str">
            <v>10CM</v>
          </cell>
          <cell r="D151">
            <v>0</v>
          </cell>
          <cell r="E151">
            <v>0</v>
          </cell>
          <cell r="F151">
            <v>26</v>
          </cell>
          <cell r="G151">
            <v>0</v>
          </cell>
          <cell r="H151">
            <v>0</v>
          </cell>
          <cell r="I151">
            <v>0</v>
          </cell>
        </row>
        <row r="152">
          <cell r="A152">
            <v>151947</v>
          </cell>
          <cell r="B152" t="str">
            <v>Fimisinuoluwa Kiket-Makoubi</v>
          </cell>
          <cell r="C152" t="str">
            <v>10JOS</v>
          </cell>
          <cell r="D152">
            <v>0</v>
          </cell>
          <cell r="E152">
            <v>0</v>
          </cell>
          <cell r="F152">
            <v>11</v>
          </cell>
          <cell r="G152">
            <v>0</v>
          </cell>
          <cell r="H152">
            <v>0</v>
          </cell>
          <cell r="I152">
            <v>0</v>
          </cell>
        </row>
        <row r="153">
          <cell r="A153">
            <v>151914</v>
          </cell>
          <cell r="B153" t="str">
            <v>Tilly Storf</v>
          </cell>
          <cell r="C153" t="str">
            <v>10EB</v>
          </cell>
          <cell r="D153">
            <v>0</v>
          </cell>
          <cell r="E153">
            <v>0</v>
          </cell>
          <cell r="F153">
            <v>7</v>
          </cell>
          <cell r="G153">
            <v>0</v>
          </cell>
          <cell r="H153">
            <v>0</v>
          </cell>
          <cell r="I153">
            <v>0</v>
          </cell>
        </row>
        <row r="154">
          <cell r="A154">
            <v>151965</v>
          </cell>
          <cell r="B154" t="str">
            <v>Abu-Bakr Nawaz</v>
          </cell>
          <cell r="C154" t="str">
            <v>10CM</v>
          </cell>
          <cell r="D154">
            <v>14</v>
          </cell>
          <cell r="E154">
            <v>0</v>
          </cell>
          <cell r="F154">
            <v>28</v>
          </cell>
          <cell r="G154">
            <v>2</v>
          </cell>
          <cell r="H154">
            <v>9</v>
          </cell>
          <cell r="I154">
            <v>0</v>
          </cell>
        </row>
        <row r="155">
          <cell r="A155">
            <v>151881</v>
          </cell>
          <cell r="B155" t="str">
            <v>Isabella Rivas-Aguilar</v>
          </cell>
          <cell r="C155" t="str">
            <v>10CM</v>
          </cell>
          <cell r="D155">
            <v>2</v>
          </cell>
          <cell r="E155">
            <v>2</v>
          </cell>
          <cell r="F155">
            <v>15</v>
          </cell>
          <cell r="G155">
            <v>1</v>
          </cell>
          <cell r="H155">
            <v>1</v>
          </cell>
          <cell r="I155">
            <v>0</v>
          </cell>
        </row>
        <row r="156">
          <cell r="A156">
            <v>151950</v>
          </cell>
          <cell r="B156" t="str">
            <v>Alfie Wragg</v>
          </cell>
          <cell r="C156" t="str">
            <v>10EB</v>
          </cell>
          <cell r="D156">
            <v>14</v>
          </cell>
          <cell r="E156">
            <v>7</v>
          </cell>
          <cell r="F156">
            <v>10</v>
          </cell>
          <cell r="G156">
            <v>1</v>
          </cell>
          <cell r="H156">
            <v>7</v>
          </cell>
          <cell r="I156">
            <v>2</v>
          </cell>
        </row>
        <row r="157">
          <cell r="A157">
            <v>152714</v>
          </cell>
          <cell r="B157" t="str">
            <v>Ben Heaton</v>
          </cell>
          <cell r="C157" t="str">
            <v>10CM</v>
          </cell>
          <cell r="D157">
            <v>5</v>
          </cell>
          <cell r="E157">
            <v>0</v>
          </cell>
          <cell r="F157">
            <v>6</v>
          </cell>
          <cell r="G157">
            <v>0</v>
          </cell>
          <cell r="H157">
            <v>4</v>
          </cell>
          <cell r="I157">
            <v>0</v>
          </cell>
        </row>
        <row r="158">
          <cell r="A158">
            <v>151930</v>
          </cell>
          <cell r="B158" t="str">
            <v>Aimen Ali</v>
          </cell>
          <cell r="C158" t="str">
            <v>10CM</v>
          </cell>
          <cell r="D158">
            <v>7</v>
          </cell>
          <cell r="E158">
            <v>2</v>
          </cell>
          <cell r="F158">
            <v>11</v>
          </cell>
          <cell r="G158">
            <v>0</v>
          </cell>
          <cell r="H158">
            <v>6</v>
          </cell>
          <cell r="I158">
            <v>1</v>
          </cell>
        </row>
        <row r="159">
          <cell r="A159">
            <v>151939</v>
          </cell>
          <cell r="B159" t="str">
            <v>Alice Pooley</v>
          </cell>
          <cell r="C159" t="str">
            <v>10RQ</v>
          </cell>
          <cell r="D159">
            <v>0</v>
          </cell>
          <cell r="E159">
            <v>0</v>
          </cell>
          <cell r="F159">
            <v>11</v>
          </cell>
          <cell r="G159">
            <v>0</v>
          </cell>
          <cell r="H159">
            <v>0</v>
          </cell>
          <cell r="I159">
            <v>0</v>
          </cell>
        </row>
        <row r="160">
          <cell r="A160">
            <v>151773</v>
          </cell>
          <cell r="B160" t="str">
            <v>Archie Allen</v>
          </cell>
          <cell r="C160" t="str">
            <v>10CS</v>
          </cell>
          <cell r="D160">
            <v>0</v>
          </cell>
          <cell r="E160">
            <v>0</v>
          </cell>
          <cell r="F160">
            <v>7</v>
          </cell>
          <cell r="G160">
            <v>0</v>
          </cell>
          <cell r="H160">
            <v>0</v>
          </cell>
          <cell r="I160">
            <v>0</v>
          </cell>
        </row>
        <row r="161">
          <cell r="A161">
            <v>151874</v>
          </cell>
          <cell r="B161" t="str">
            <v>Zeah Jim</v>
          </cell>
          <cell r="C161" t="str">
            <v>10CS</v>
          </cell>
          <cell r="D161">
            <v>1</v>
          </cell>
          <cell r="E161">
            <v>0</v>
          </cell>
          <cell r="F161">
            <v>12</v>
          </cell>
          <cell r="G161">
            <v>0</v>
          </cell>
          <cell r="H161">
            <v>1</v>
          </cell>
          <cell r="I161">
            <v>0</v>
          </cell>
        </row>
        <row r="162">
          <cell r="A162">
            <v>151864</v>
          </cell>
          <cell r="B162" t="str">
            <v>Latisha Sumner</v>
          </cell>
          <cell r="C162" t="str">
            <v>10ES</v>
          </cell>
          <cell r="D162">
            <v>5</v>
          </cell>
          <cell r="E162">
            <v>1</v>
          </cell>
          <cell r="F162">
            <v>13</v>
          </cell>
          <cell r="G162">
            <v>0</v>
          </cell>
          <cell r="H162">
            <v>3</v>
          </cell>
          <cell r="I162">
            <v>1</v>
          </cell>
        </row>
        <row r="163">
          <cell r="A163">
            <v>151778</v>
          </cell>
          <cell r="B163" t="str">
            <v>Alejandro Swift Perez</v>
          </cell>
          <cell r="C163" t="str">
            <v>10JOS</v>
          </cell>
          <cell r="D163">
            <v>0</v>
          </cell>
          <cell r="E163">
            <v>0</v>
          </cell>
          <cell r="F163">
            <v>13</v>
          </cell>
          <cell r="G163">
            <v>0</v>
          </cell>
          <cell r="H163">
            <v>0</v>
          </cell>
          <cell r="I163">
            <v>0</v>
          </cell>
        </row>
        <row r="164">
          <cell r="A164">
            <v>151889</v>
          </cell>
          <cell r="B164" t="str">
            <v>Edward Hadfield</v>
          </cell>
          <cell r="C164" t="str">
            <v>10CM</v>
          </cell>
          <cell r="D164">
            <v>0</v>
          </cell>
          <cell r="E164">
            <v>0</v>
          </cell>
          <cell r="F164">
            <v>22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151943</v>
          </cell>
          <cell r="B165" t="str">
            <v>Isikena Mate</v>
          </cell>
          <cell r="C165" t="str">
            <v>10JOS</v>
          </cell>
          <cell r="D165">
            <v>0</v>
          </cell>
          <cell r="E165">
            <v>1</v>
          </cell>
          <cell r="F165">
            <v>21</v>
          </cell>
          <cell r="G165">
            <v>0</v>
          </cell>
          <cell r="H165">
            <v>0</v>
          </cell>
          <cell r="I165">
            <v>0</v>
          </cell>
        </row>
        <row r="166">
          <cell r="A166">
            <v>151880</v>
          </cell>
          <cell r="B166" t="str">
            <v>Nathnael Eyasue</v>
          </cell>
          <cell r="C166" t="str">
            <v>10JOS</v>
          </cell>
          <cell r="D166">
            <v>16</v>
          </cell>
          <cell r="E166">
            <v>0</v>
          </cell>
          <cell r="F166">
            <v>14</v>
          </cell>
          <cell r="G166">
            <v>2</v>
          </cell>
          <cell r="H166">
            <v>9</v>
          </cell>
          <cell r="I166">
            <v>0</v>
          </cell>
        </row>
        <row r="167">
          <cell r="A167">
            <v>151804</v>
          </cell>
          <cell r="B167" t="str">
            <v>Rhys Whittington</v>
          </cell>
          <cell r="C167" t="str">
            <v>10ES</v>
          </cell>
          <cell r="D167">
            <v>16</v>
          </cell>
          <cell r="E167">
            <v>3</v>
          </cell>
          <cell r="F167">
            <v>6</v>
          </cell>
          <cell r="G167">
            <v>2</v>
          </cell>
          <cell r="H167">
            <v>12</v>
          </cell>
          <cell r="I167">
            <v>0</v>
          </cell>
        </row>
        <row r="168">
          <cell r="A168">
            <v>151942</v>
          </cell>
          <cell r="B168" t="str">
            <v>Grzegorz Norrek</v>
          </cell>
          <cell r="C168" t="str">
            <v>10PL</v>
          </cell>
          <cell r="D168">
            <v>0</v>
          </cell>
          <cell r="E168">
            <v>0</v>
          </cell>
          <cell r="F168">
            <v>11</v>
          </cell>
          <cell r="G168">
            <v>0</v>
          </cell>
          <cell r="H168">
            <v>0</v>
          </cell>
          <cell r="I168">
            <v>0</v>
          </cell>
        </row>
        <row r="169">
          <cell r="A169">
            <v>151905</v>
          </cell>
          <cell r="B169" t="str">
            <v>Wiktoria Kozlowska</v>
          </cell>
          <cell r="C169" t="str">
            <v>10ES</v>
          </cell>
          <cell r="D169">
            <v>0</v>
          </cell>
          <cell r="E169">
            <v>1</v>
          </cell>
          <cell r="F169">
            <v>16</v>
          </cell>
          <cell r="G169">
            <v>0</v>
          </cell>
          <cell r="H169">
            <v>0</v>
          </cell>
          <cell r="I169">
            <v>1</v>
          </cell>
        </row>
        <row r="170">
          <cell r="A170">
            <v>151782</v>
          </cell>
          <cell r="B170" t="str">
            <v>Ana Trigueiros</v>
          </cell>
          <cell r="C170" t="str">
            <v>10PL</v>
          </cell>
          <cell r="D170">
            <v>0</v>
          </cell>
          <cell r="E170">
            <v>1</v>
          </cell>
          <cell r="F170">
            <v>14</v>
          </cell>
          <cell r="G170">
            <v>0</v>
          </cell>
          <cell r="H170">
            <v>0</v>
          </cell>
          <cell r="I170">
            <v>1</v>
          </cell>
        </row>
        <row r="171">
          <cell r="A171">
            <v>151750</v>
          </cell>
          <cell r="B171" t="str">
            <v>Ezolda Borchashvili</v>
          </cell>
          <cell r="C171" t="str">
            <v>10TD</v>
          </cell>
          <cell r="D171">
            <v>0</v>
          </cell>
          <cell r="E171">
            <v>0</v>
          </cell>
          <cell r="F171">
            <v>15</v>
          </cell>
          <cell r="G171">
            <v>0</v>
          </cell>
          <cell r="H171">
            <v>0</v>
          </cell>
          <cell r="I171">
            <v>0</v>
          </cell>
        </row>
        <row r="172">
          <cell r="A172">
            <v>151892</v>
          </cell>
          <cell r="B172" t="str">
            <v>George Seymour</v>
          </cell>
          <cell r="C172" t="str">
            <v>10CS</v>
          </cell>
          <cell r="D172">
            <v>1</v>
          </cell>
          <cell r="E172">
            <v>2</v>
          </cell>
          <cell r="F172">
            <v>12</v>
          </cell>
          <cell r="G172">
            <v>0</v>
          </cell>
          <cell r="H172">
            <v>1</v>
          </cell>
          <cell r="I172">
            <v>1</v>
          </cell>
        </row>
        <row r="173">
          <cell r="A173">
            <v>151920</v>
          </cell>
          <cell r="B173" t="str">
            <v>Elinor Curtis</v>
          </cell>
          <cell r="C173" t="str">
            <v>10EB</v>
          </cell>
          <cell r="D173">
            <v>0</v>
          </cell>
          <cell r="E173">
            <v>1</v>
          </cell>
          <cell r="F173">
            <v>10</v>
          </cell>
          <cell r="G173">
            <v>0</v>
          </cell>
          <cell r="H173">
            <v>0</v>
          </cell>
          <cell r="I173">
            <v>0</v>
          </cell>
        </row>
        <row r="174">
          <cell r="A174">
            <v>151921</v>
          </cell>
          <cell r="B174" t="str">
            <v>Zaniah Wynter</v>
          </cell>
          <cell r="C174" t="str">
            <v>10TD</v>
          </cell>
          <cell r="D174">
            <v>0</v>
          </cell>
          <cell r="E174">
            <v>2</v>
          </cell>
          <cell r="F174">
            <v>12</v>
          </cell>
          <cell r="G174">
            <v>0</v>
          </cell>
          <cell r="H174">
            <v>0</v>
          </cell>
          <cell r="I174">
            <v>2</v>
          </cell>
        </row>
        <row r="175">
          <cell r="A175">
            <v>151757</v>
          </cell>
          <cell r="B175" t="str">
            <v>Hire Badasso Tibesso</v>
          </cell>
          <cell r="C175" t="str">
            <v>10CS</v>
          </cell>
          <cell r="D175">
            <v>0</v>
          </cell>
          <cell r="E175">
            <v>1</v>
          </cell>
          <cell r="F175">
            <v>7</v>
          </cell>
          <cell r="G175">
            <v>0</v>
          </cell>
          <cell r="H175">
            <v>0</v>
          </cell>
          <cell r="I175">
            <v>1</v>
          </cell>
        </row>
        <row r="176">
          <cell r="A176">
            <v>151781</v>
          </cell>
          <cell r="B176" t="str">
            <v>Anthony Fynn</v>
          </cell>
          <cell r="C176" t="str">
            <v>10ES</v>
          </cell>
          <cell r="D176">
            <v>6</v>
          </cell>
          <cell r="E176">
            <v>2</v>
          </cell>
          <cell r="F176">
            <v>15</v>
          </cell>
          <cell r="G176">
            <v>0</v>
          </cell>
          <cell r="H176">
            <v>6</v>
          </cell>
          <cell r="I176">
            <v>2</v>
          </cell>
        </row>
        <row r="177">
          <cell r="A177">
            <v>151899</v>
          </cell>
          <cell r="B177" t="str">
            <v>Anne Jones</v>
          </cell>
          <cell r="C177" t="str">
            <v>10RQ</v>
          </cell>
          <cell r="D177">
            <v>1</v>
          </cell>
          <cell r="E177">
            <v>0</v>
          </cell>
          <cell r="F177">
            <v>7</v>
          </cell>
          <cell r="G177">
            <v>0</v>
          </cell>
          <cell r="H177">
            <v>1</v>
          </cell>
          <cell r="I177">
            <v>0</v>
          </cell>
        </row>
        <row r="178">
          <cell r="A178">
            <v>151790</v>
          </cell>
          <cell r="B178" t="str">
            <v>Mary Murphy</v>
          </cell>
          <cell r="C178" t="str">
            <v>10RQ</v>
          </cell>
          <cell r="D178">
            <v>0</v>
          </cell>
          <cell r="E178">
            <v>0</v>
          </cell>
          <cell r="F178">
            <v>20</v>
          </cell>
          <cell r="G178">
            <v>0</v>
          </cell>
          <cell r="H178">
            <v>0</v>
          </cell>
          <cell r="I178">
            <v>0</v>
          </cell>
        </row>
        <row r="179">
          <cell r="A179">
            <v>151848</v>
          </cell>
          <cell r="B179" t="str">
            <v>Rebeca-Antonia Budurescu</v>
          </cell>
          <cell r="C179" t="str">
            <v>10JOS</v>
          </cell>
          <cell r="D179">
            <v>0</v>
          </cell>
          <cell r="E179">
            <v>0</v>
          </cell>
          <cell r="F179">
            <v>1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151946</v>
          </cell>
          <cell r="B180" t="str">
            <v>Edith Stockwell</v>
          </cell>
          <cell r="C180" t="str">
            <v>10EB</v>
          </cell>
          <cell r="D180">
            <v>0</v>
          </cell>
          <cell r="E180">
            <v>2</v>
          </cell>
          <cell r="F180">
            <v>8</v>
          </cell>
          <cell r="G180">
            <v>0</v>
          </cell>
          <cell r="H180">
            <v>0</v>
          </cell>
          <cell r="I180">
            <v>0</v>
          </cell>
        </row>
        <row r="181">
          <cell r="A181">
            <v>151827</v>
          </cell>
          <cell r="B181" t="str">
            <v>William Platts</v>
          </cell>
          <cell r="C181" t="str">
            <v>10PL</v>
          </cell>
          <cell r="D181">
            <v>0</v>
          </cell>
          <cell r="E181">
            <v>0</v>
          </cell>
          <cell r="F181">
            <v>12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151879</v>
          </cell>
          <cell r="B182" t="str">
            <v>Vivica Moyo</v>
          </cell>
          <cell r="C182" t="str">
            <v>10ES</v>
          </cell>
          <cell r="D182">
            <v>1</v>
          </cell>
          <cell r="E182">
            <v>0</v>
          </cell>
          <cell r="F182">
            <v>9</v>
          </cell>
          <cell r="G182">
            <v>0</v>
          </cell>
          <cell r="H182">
            <v>1</v>
          </cell>
          <cell r="I182">
            <v>0</v>
          </cell>
        </row>
        <row r="183">
          <cell r="A183">
            <v>151825</v>
          </cell>
          <cell r="B183" t="str">
            <v>Sebastian Peckett</v>
          </cell>
          <cell r="C183" t="str">
            <v>10JOS</v>
          </cell>
          <cell r="D183">
            <v>0</v>
          </cell>
          <cell r="E183">
            <v>0</v>
          </cell>
          <cell r="F183">
            <v>17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151837</v>
          </cell>
          <cell r="B184" t="str">
            <v>Benjamin Kazadi</v>
          </cell>
          <cell r="C184" t="str">
            <v>10TD</v>
          </cell>
          <cell r="D184">
            <v>1</v>
          </cell>
          <cell r="E184">
            <v>1</v>
          </cell>
          <cell r="F184">
            <v>10</v>
          </cell>
          <cell r="G184">
            <v>1</v>
          </cell>
          <cell r="H184">
            <v>0</v>
          </cell>
          <cell r="I184">
            <v>0</v>
          </cell>
        </row>
        <row r="185">
          <cell r="A185">
            <v>151857</v>
          </cell>
          <cell r="B185" t="str">
            <v>Christian Monaghan</v>
          </cell>
          <cell r="C185" t="str">
            <v>10PL</v>
          </cell>
          <cell r="D185">
            <v>0</v>
          </cell>
          <cell r="E185">
            <v>0</v>
          </cell>
          <cell r="F185">
            <v>9</v>
          </cell>
          <cell r="G185">
            <v>0</v>
          </cell>
          <cell r="H185">
            <v>0</v>
          </cell>
          <cell r="I185">
            <v>0</v>
          </cell>
        </row>
        <row r="186">
          <cell r="A186">
            <v>151823</v>
          </cell>
          <cell r="B186" t="str">
            <v>Sydney Campbell</v>
          </cell>
          <cell r="C186" t="str">
            <v>10EB</v>
          </cell>
          <cell r="D186">
            <v>3</v>
          </cell>
          <cell r="E186">
            <v>5</v>
          </cell>
          <cell r="F186">
            <v>14</v>
          </cell>
          <cell r="G186">
            <v>1</v>
          </cell>
          <cell r="H186">
            <v>2</v>
          </cell>
          <cell r="I186">
            <v>2</v>
          </cell>
        </row>
        <row r="187">
          <cell r="A187">
            <v>151814</v>
          </cell>
          <cell r="B187" t="str">
            <v>Trinity Crawford</v>
          </cell>
          <cell r="C187" t="str">
            <v>10EB</v>
          </cell>
          <cell r="D187">
            <v>21</v>
          </cell>
          <cell r="E187">
            <v>8</v>
          </cell>
          <cell r="F187">
            <v>6</v>
          </cell>
          <cell r="G187">
            <v>1</v>
          </cell>
          <cell r="H187">
            <v>11</v>
          </cell>
          <cell r="I187">
            <v>2</v>
          </cell>
        </row>
        <row r="188">
          <cell r="A188">
            <v>151808</v>
          </cell>
          <cell r="B188" t="str">
            <v>Charlotte Steven</v>
          </cell>
          <cell r="C188" t="str">
            <v>10CS</v>
          </cell>
          <cell r="D188">
            <v>0</v>
          </cell>
          <cell r="E188">
            <v>0</v>
          </cell>
          <cell r="F188">
            <v>11</v>
          </cell>
          <cell r="G188">
            <v>0</v>
          </cell>
          <cell r="H188">
            <v>0</v>
          </cell>
          <cell r="I188">
            <v>0</v>
          </cell>
        </row>
        <row r="189">
          <cell r="A189">
            <v>151810</v>
          </cell>
          <cell r="B189" t="str">
            <v>Rebekah Jones</v>
          </cell>
          <cell r="C189" t="str">
            <v>10ES</v>
          </cell>
          <cell r="D189">
            <v>0</v>
          </cell>
          <cell r="E189">
            <v>0</v>
          </cell>
          <cell r="F189">
            <v>12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151883</v>
          </cell>
          <cell r="B190" t="str">
            <v>Harry Laws</v>
          </cell>
          <cell r="C190" t="str">
            <v>10JOS</v>
          </cell>
          <cell r="D190">
            <v>7</v>
          </cell>
          <cell r="E190">
            <v>1</v>
          </cell>
          <cell r="F190">
            <v>18</v>
          </cell>
          <cell r="G190">
            <v>1</v>
          </cell>
          <cell r="H190">
            <v>6</v>
          </cell>
          <cell r="I190">
            <v>0</v>
          </cell>
        </row>
        <row r="191">
          <cell r="A191">
            <v>151762</v>
          </cell>
          <cell r="B191" t="str">
            <v>Jessie King</v>
          </cell>
          <cell r="C191" t="str">
            <v>10PL</v>
          </cell>
          <cell r="D191">
            <v>0</v>
          </cell>
          <cell r="E191">
            <v>0</v>
          </cell>
          <cell r="F191">
            <v>19</v>
          </cell>
          <cell r="G191">
            <v>0</v>
          </cell>
          <cell r="H191">
            <v>0</v>
          </cell>
          <cell r="I191">
            <v>0</v>
          </cell>
        </row>
        <row r="192">
          <cell r="A192">
            <v>151859</v>
          </cell>
          <cell r="B192" t="str">
            <v>Elizabeth Meagher</v>
          </cell>
          <cell r="C192" t="str">
            <v>10TD</v>
          </cell>
          <cell r="D192">
            <v>1</v>
          </cell>
          <cell r="E192">
            <v>0</v>
          </cell>
          <cell r="F192">
            <v>11</v>
          </cell>
          <cell r="G192">
            <v>0</v>
          </cell>
          <cell r="H192">
            <v>0</v>
          </cell>
          <cell r="I192">
            <v>0</v>
          </cell>
        </row>
        <row r="193">
          <cell r="A193">
            <v>151904</v>
          </cell>
          <cell r="B193" t="str">
            <v>Henry Green</v>
          </cell>
          <cell r="C193" t="str">
            <v>10CM</v>
          </cell>
          <cell r="D193">
            <v>6</v>
          </cell>
          <cell r="E193">
            <v>1</v>
          </cell>
          <cell r="F193">
            <v>12</v>
          </cell>
          <cell r="G193">
            <v>0</v>
          </cell>
          <cell r="H193">
            <v>6</v>
          </cell>
          <cell r="I193">
            <v>0</v>
          </cell>
        </row>
        <row r="194">
          <cell r="A194">
            <v>151949</v>
          </cell>
          <cell r="B194" t="str">
            <v>Grace Mackrell</v>
          </cell>
          <cell r="C194" t="str">
            <v>10EB</v>
          </cell>
          <cell r="D194">
            <v>0</v>
          </cell>
          <cell r="E194">
            <v>2</v>
          </cell>
          <cell r="F194">
            <v>18</v>
          </cell>
          <cell r="G194">
            <v>0</v>
          </cell>
          <cell r="H194">
            <v>0</v>
          </cell>
          <cell r="I194">
            <v>1</v>
          </cell>
        </row>
        <row r="195">
          <cell r="A195">
            <v>151895</v>
          </cell>
          <cell r="B195" t="str">
            <v>Joseph Goodchild</v>
          </cell>
          <cell r="C195" t="str">
            <v>10ES</v>
          </cell>
          <cell r="D195">
            <v>3</v>
          </cell>
          <cell r="E195">
            <v>1</v>
          </cell>
          <cell r="F195">
            <v>17</v>
          </cell>
          <cell r="G195">
            <v>1</v>
          </cell>
          <cell r="H195">
            <v>2</v>
          </cell>
          <cell r="I195">
            <v>1</v>
          </cell>
        </row>
        <row r="196">
          <cell r="A196">
            <v>151932</v>
          </cell>
          <cell r="B196" t="str">
            <v>Chrysi Savvidou</v>
          </cell>
          <cell r="C196" t="str">
            <v>10PL</v>
          </cell>
          <cell r="D196">
            <v>0</v>
          </cell>
          <cell r="E196">
            <v>0</v>
          </cell>
          <cell r="F196">
            <v>15</v>
          </cell>
          <cell r="G196">
            <v>0</v>
          </cell>
          <cell r="H196">
            <v>0</v>
          </cell>
          <cell r="I196">
            <v>0</v>
          </cell>
        </row>
        <row r="197">
          <cell r="A197">
            <v>151758</v>
          </cell>
          <cell r="B197" t="str">
            <v>Sophia Dungworth</v>
          </cell>
          <cell r="C197" t="str">
            <v>10CS</v>
          </cell>
          <cell r="D197">
            <v>0</v>
          </cell>
          <cell r="E197">
            <v>0</v>
          </cell>
          <cell r="F197">
            <v>14</v>
          </cell>
          <cell r="G197">
            <v>0</v>
          </cell>
          <cell r="H197">
            <v>0</v>
          </cell>
          <cell r="I197">
            <v>0</v>
          </cell>
        </row>
        <row r="198">
          <cell r="A198">
            <v>151898</v>
          </cell>
          <cell r="B198" t="str">
            <v>Leon Hodgkinson</v>
          </cell>
          <cell r="C198" t="str">
            <v>10PL</v>
          </cell>
          <cell r="D198">
            <v>9</v>
          </cell>
          <cell r="E198">
            <v>1</v>
          </cell>
          <cell r="F198">
            <v>12</v>
          </cell>
          <cell r="G198">
            <v>1</v>
          </cell>
          <cell r="H198">
            <v>2</v>
          </cell>
          <cell r="I198">
            <v>0</v>
          </cell>
        </row>
        <row r="199">
          <cell r="A199">
            <v>151966</v>
          </cell>
          <cell r="B199" t="str">
            <v>Imogen Stacey</v>
          </cell>
          <cell r="C199" t="str">
            <v>10ES</v>
          </cell>
          <cell r="D199">
            <v>1</v>
          </cell>
          <cell r="E199">
            <v>1</v>
          </cell>
          <cell r="F199">
            <v>6</v>
          </cell>
          <cell r="G199">
            <v>0</v>
          </cell>
          <cell r="H199">
            <v>0</v>
          </cell>
          <cell r="I199">
            <v>0</v>
          </cell>
        </row>
        <row r="200">
          <cell r="A200">
            <v>100336</v>
          </cell>
          <cell r="B200" t="str">
            <v>Liam Sibanda</v>
          </cell>
          <cell r="C200" t="str">
            <v>10CM</v>
          </cell>
          <cell r="D200">
            <v>4</v>
          </cell>
          <cell r="E200">
            <v>1</v>
          </cell>
          <cell r="F200">
            <v>23</v>
          </cell>
          <cell r="G200">
            <v>2</v>
          </cell>
          <cell r="H200">
            <v>1</v>
          </cell>
          <cell r="I200">
            <v>0</v>
          </cell>
        </row>
        <row r="201">
          <cell r="A201">
            <v>151861</v>
          </cell>
          <cell r="B201" t="str">
            <v>Christopher Rafferty</v>
          </cell>
          <cell r="C201" t="str">
            <v>10CM</v>
          </cell>
          <cell r="D201">
            <v>0</v>
          </cell>
          <cell r="E201">
            <v>0</v>
          </cell>
          <cell r="F201">
            <v>19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151925</v>
          </cell>
          <cell r="B202" t="str">
            <v>Millie Collier</v>
          </cell>
          <cell r="C202" t="str">
            <v>10ES</v>
          </cell>
          <cell r="D202">
            <v>6</v>
          </cell>
          <cell r="E202">
            <v>0</v>
          </cell>
          <cell r="F202">
            <v>17</v>
          </cell>
          <cell r="G202">
            <v>1</v>
          </cell>
          <cell r="H202">
            <v>3</v>
          </cell>
          <cell r="I202">
            <v>0</v>
          </cell>
        </row>
        <row r="203">
          <cell r="A203">
            <v>151858</v>
          </cell>
          <cell r="B203" t="str">
            <v>Lara Charles</v>
          </cell>
          <cell r="C203" t="str">
            <v>10EB</v>
          </cell>
          <cell r="D203">
            <v>1</v>
          </cell>
          <cell r="E203">
            <v>3</v>
          </cell>
          <cell r="F203">
            <v>13</v>
          </cell>
          <cell r="G203">
            <v>0</v>
          </cell>
          <cell r="H203">
            <v>1</v>
          </cell>
          <cell r="I203">
            <v>2</v>
          </cell>
        </row>
        <row r="204">
          <cell r="A204">
            <v>151836</v>
          </cell>
          <cell r="B204" t="str">
            <v>James Curran</v>
          </cell>
          <cell r="C204" t="str">
            <v>10ES</v>
          </cell>
          <cell r="D204">
            <v>1</v>
          </cell>
          <cell r="E204">
            <v>3</v>
          </cell>
          <cell r="F204">
            <v>12</v>
          </cell>
          <cell r="G204">
            <v>0</v>
          </cell>
          <cell r="H204">
            <v>1</v>
          </cell>
          <cell r="I204">
            <v>2</v>
          </cell>
        </row>
        <row r="205">
          <cell r="A205">
            <v>151893</v>
          </cell>
          <cell r="B205" t="str">
            <v>Taela Tombs</v>
          </cell>
          <cell r="C205" t="str">
            <v>10JOS</v>
          </cell>
          <cell r="D205">
            <v>0</v>
          </cell>
          <cell r="E205">
            <v>0</v>
          </cell>
          <cell r="F205">
            <v>13</v>
          </cell>
          <cell r="G205">
            <v>0</v>
          </cell>
          <cell r="H205">
            <v>0</v>
          </cell>
          <cell r="I205">
            <v>0</v>
          </cell>
        </row>
        <row r="206">
          <cell r="A206">
            <v>151753</v>
          </cell>
          <cell r="B206" t="str">
            <v>Meghan Thraves</v>
          </cell>
          <cell r="C206" t="str">
            <v>10TD</v>
          </cell>
          <cell r="D206">
            <v>5</v>
          </cell>
          <cell r="E206">
            <v>2</v>
          </cell>
          <cell r="F206">
            <v>15</v>
          </cell>
          <cell r="G206">
            <v>0</v>
          </cell>
          <cell r="H206">
            <v>2</v>
          </cell>
          <cell r="I206">
            <v>2</v>
          </cell>
        </row>
        <row r="207">
          <cell r="A207">
            <v>151800</v>
          </cell>
          <cell r="B207" t="str">
            <v>Amelia Hall</v>
          </cell>
          <cell r="C207" t="str">
            <v>10JOS</v>
          </cell>
          <cell r="D207">
            <v>0</v>
          </cell>
          <cell r="E207">
            <v>0</v>
          </cell>
          <cell r="F207">
            <v>3</v>
          </cell>
          <cell r="G207">
            <v>0</v>
          </cell>
          <cell r="H207">
            <v>0</v>
          </cell>
          <cell r="I207">
            <v>0</v>
          </cell>
        </row>
        <row r="208">
          <cell r="A208">
            <v>151863</v>
          </cell>
          <cell r="B208" t="str">
            <v>Finan Fitzpatrick</v>
          </cell>
          <cell r="C208" t="str">
            <v>10CM</v>
          </cell>
          <cell r="D208">
            <v>0</v>
          </cell>
          <cell r="E208">
            <v>0</v>
          </cell>
          <cell r="F208">
            <v>23</v>
          </cell>
          <cell r="G208">
            <v>0</v>
          </cell>
          <cell r="H208">
            <v>0</v>
          </cell>
          <cell r="I208">
            <v>0</v>
          </cell>
        </row>
        <row r="209">
          <cell r="A209">
            <v>151846</v>
          </cell>
          <cell r="B209" t="str">
            <v>Aoife Loader</v>
          </cell>
          <cell r="C209" t="str">
            <v>10JOS</v>
          </cell>
          <cell r="D209">
            <v>1</v>
          </cell>
          <cell r="E209">
            <v>0</v>
          </cell>
          <cell r="F209">
            <v>27</v>
          </cell>
          <cell r="G209">
            <v>0</v>
          </cell>
          <cell r="H209">
            <v>0</v>
          </cell>
          <cell r="I209">
            <v>0</v>
          </cell>
        </row>
        <row r="210">
          <cell r="A210">
            <v>151799</v>
          </cell>
          <cell r="B210" t="str">
            <v>Daniel McFadden</v>
          </cell>
          <cell r="C210" t="str">
            <v>10JOS</v>
          </cell>
          <cell r="D210">
            <v>0</v>
          </cell>
          <cell r="E210">
            <v>1</v>
          </cell>
          <cell r="F210">
            <v>23</v>
          </cell>
          <cell r="G210">
            <v>0</v>
          </cell>
          <cell r="H210">
            <v>0</v>
          </cell>
          <cell r="I210">
            <v>0</v>
          </cell>
        </row>
        <row r="211">
          <cell r="A211">
            <v>151958</v>
          </cell>
          <cell r="B211" t="str">
            <v>Thomas Sykes</v>
          </cell>
          <cell r="C211" t="str">
            <v>10ES</v>
          </cell>
          <cell r="D211">
            <v>0</v>
          </cell>
          <cell r="E211">
            <v>0</v>
          </cell>
          <cell r="F211">
            <v>22</v>
          </cell>
          <cell r="G211">
            <v>0</v>
          </cell>
          <cell r="H211">
            <v>0</v>
          </cell>
          <cell r="I211">
            <v>0</v>
          </cell>
        </row>
        <row r="212">
          <cell r="A212">
            <v>151906</v>
          </cell>
          <cell r="B212" t="str">
            <v>Alfie Rice</v>
          </cell>
          <cell r="C212" t="str">
            <v>10RQ</v>
          </cell>
          <cell r="D212">
            <v>5</v>
          </cell>
          <cell r="E212">
            <v>0</v>
          </cell>
          <cell r="F212">
            <v>24</v>
          </cell>
          <cell r="G212">
            <v>2</v>
          </cell>
          <cell r="H212">
            <v>2</v>
          </cell>
          <cell r="I212">
            <v>0</v>
          </cell>
        </row>
        <row r="213">
          <cell r="A213">
            <v>151872</v>
          </cell>
          <cell r="B213" t="str">
            <v>Vermon Nguekoh Mabou</v>
          </cell>
          <cell r="C213" t="str">
            <v>10ES</v>
          </cell>
          <cell r="D213">
            <v>4</v>
          </cell>
          <cell r="E213">
            <v>7</v>
          </cell>
          <cell r="F213">
            <v>15</v>
          </cell>
          <cell r="G213">
            <v>0</v>
          </cell>
          <cell r="H213">
            <v>3</v>
          </cell>
          <cell r="I213">
            <v>5</v>
          </cell>
        </row>
        <row r="214">
          <cell r="A214">
            <v>151909</v>
          </cell>
          <cell r="B214" t="str">
            <v>James Travis</v>
          </cell>
          <cell r="C214" t="str">
            <v>10ES</v>
          </cell>
          <cell r="D214">
            <v>3</v>
          </cell>
          <cell r="E214">
            <v>0</v>
          </cell>
          <cell r="F214">
            <v>30</v>
          </cell>
          <cell r="G214">
            <v>0</v>
          </cell>
          <cell r="H214">
            <v>1</v>
          </cell>
          <cell r="I214">
            <v>0</v>
          </cell>
        </row>
      </sheetData>
      <sheetData sheetId="15"/>
      <sheetData sheetId="16">
        <row r="1">
          <cell r="I1" t="str">
            <v>PRIOR ATTAINMENT &amp; SHORTFAT</v>
          </cell>
        </row>
        <row r="2">
          <cell r="A2" t="str">
            <v>8a</v>
          </cell>
          <cell r="B2">
            <v>53</v>
          </cell>
        </row>
        <row r="3">
          <cell r="A3" t="str">
            <v>8b</v>
          </cell>
          <cell r="B3">
            <v>51</v>
          </cell>
        </row>
        <row r="4">
          <cell r="A4" t="str">
            <v>8c</v>
          </cell>
          <cell r="B4">
            <v>49</v>
          </cell>
        </row>
        <row r="5">
          <cell r="A5" t="str">
            <v>7a</v>
          </cell>
          <cell r="B5">
            <v>47</v>
          </cell>
        </row>
        <row r="6">
          <cell r="A6" t="str">
            <v>7b</v>
          </cell>
          <cell r="B6">
            <v>45</v>
          </cell>
        </row>
        <row r="7">
          <cell r="A7" t="str">
            <v>7c</v>
          </cell>
          <cell r="B7">
            <v>43</v>
          </cell>
        </row>
        <row r="8">
          <cell r="A8" t="str">
            <v>6a</v>
          </cell>
          <cell r="B8">
            <v>41</v>
          </cell>
        </row>
        <row r="9">
          <cell r="A9" t="str">
            <v>6b</v>
          </cell>
          <cell r="B9">
            <v>39</v>
          </cell>
        </row>
        <row r="10">
          <cell r="A10" t="str">
            <v>6c</v>
          </cell>
          <cell r="B10">
            <v>37</v>
          </cell>
        </row>
        <row r="11">
          <cell r="A11" t="str">
            <v>5a</v>
          </cell>
          <cell r="B11">
            <v>35</v>
          </cell>
        </row>
        <row r="12">
          <cell r="A12" t="str">
            <v>5b</v>
          </cell>
          <cell r="B12">
            <v>33</v>
          </cell>
        </row>
        <row r="13">
          <cell r="A13" t="str">
            <v>5c</v>
          </cell>
          <cell r="B13">
            <v>31</v>
          </cell>
        </row>
        <row r="14">
          <cell r="A14" t="str">
            <v>4a</v>
          </cell>
          <cell r="B14">
            <v>29</v>
          </cell>
        </row>
        <row r="15">
          <cell r="A15" t="str">
            <v>4b</v>
          </cell>
          <cell r="B15">
            <v>27</v>
          </cell>
        </row>
        <row r="16">
          <cell r="A16" t="str">
            <v>4c</v>
          </cell>
          <cell r="B16">
            <v>25</v>
          </cell>
        </row>
        <row r="17">
          <cell r="A17" t="str">
            <v>3a</v>
          </cell>
          <cell r="B17">
            <v>23</v>
          </cell>
        </row>
        <row r="18">
          <cell r="A18" t="str">
            <v>3b</v>
          </cell>
          <cell r="B18">
            <v>21</v>
          </cell>
        </row>
        <row r="19">
          <cell r="A19" t="str">
            <v>3c</v>
          </cell>
          <cell r="B19">
            <v>19</v>
          </cell>
        </row>
        <row r="20">
          <cell r="A20" t="str">
            <v>2a</v>
          </cell>
          <cell r="B20">
            <v>17</v>
          </cell>
        </row>
        <row r="21">
          <cell r="A21" t="str">
            <v>2b</v>
          </cell>
          <cell r="B21">
            <v>15</v>
          </cell>
        </row>
        <row r="22">
          <cell r="A22" t="str">
            <v>2c</v>
          </cell>
          <cell r="B22">
            <v>13</v>
          </cell>
        </row>
        <row r="23">
          <cell r="A23" t="str">
            <v>1a</v>
          </cell>
          <cell r="B23">
            <v>11</v>
          </cell>
        </row>
        <row r="24">
          <cell r="A24" t="str">
            <v>1b</v>
          </cell>
          <cell r="B24">
            <v>9</v>
          </cell>
        </row>
        <row r="25">
          <cell r="A25" t="str">
            <v>1c</v>
          </cell>
          <cell r="B25">
            <v>7</v>
          </cell>
        </row>
        <row r="26">
          <cell r="A26" t="str">
            <v>A*</v>
          </cell>
          <cell r="B26">
            <v>8.5</v>
          </cell>
        </row>
        <row r="27">
          <cell r="A27" t="str">
            <v>A/A*</v>
          </cell>
          <cell r="B27">
            <v>7.75</v>
          </cell>
        </row>
        <row r="28">
          <cell r="A28" t="str">
            <v>A</v>
          </cell>
          <cell r="B28">
            <v>7</v>
          </cell>
        </row>
        <row r="29">
          <cell r="A29" t="str">
            <v>B/A</v>
          </cell>
          <cell r="B29">
            <v>6.25</v>
          </cell>
        </row>
        <row r="30">
          <cell r="A30" t="str">
            <v>B</v>
          </cell>
          <cell r="B30">
            <v>5.5</v>
          </cell>
        </row>
        <row r="31">
          <cell r="A31" t="str">
            <v>C/B</v>
          </cell>
          <cell r="B31">
            <v>4.5</v>
          </cell>
        </row>
        <row r="32">
          <cell r="A32" t="str">
            <v>C</v>
          </cell>
          <cell r="B32">
            <v>4</v>
          </cell>
        </row>
        <row r="33">
          <cell r="A33" t="str">
            <v>D/C</v>
          </cell>
          <cell r="B33">
            <v>3.5</v>
          </cell>
        </row>
        <row r="34">
          <cell r="A34" t="str">
            <v>D</v>
          </cell>
          <cell r="B34">
            <v>3</v>
          </cell>
        </row>
        <row r="35">
          <cell r="A35" t="str">
            <v>E/D</v>
          </cell>
          <cell r="B35">
            <v>2.5</v>
          </cell>
        </row>
        <row r="36">
          <cell r="A36" t="str">
            <v>E</v>
          </cell>
          <cell r="B36">
            <v>2</v>
          </cell>
        </row>
        <row r="37">
          <cell r="A37" t="str">
            <v>F/E</v>
          </cell>
          <cell r="B37">
            <v>1.75</v>
          </cell>
        </row>
        <row r="38">
          <cell r="A38" t="str">
            <v>F</v>
          </cell>
          <cell r="B38">
            <v>1.5</v>
          </cell>
        </row>
        <row r="39">
          <cell r="A39" t="str">
            <v>G/F</v>
          </cell>
          <cell r="B39">
            <v>1.25</v>
          </cell>
        </row>
        <row r="40">
          <cell r="A40" t="str">
            <v>G</v>
          </cell>
          <cell r="B40">
            <v>1</v>
          </cell>
        </row>
        <row r="41">
          <cell r="A41" t="str">
            <v>U/G</v>
          </cell>
          <cell r="B41">
            <v>0.5</v>
          </cell>
        </row>
        <row r="42">
          <cell r="A42" t="str">
            <v>U</v>
          </cell>
          <cell r="B42">
            <v>0</v>
          </cell>
        </row>
        <row r="43">
          <cell r="A43" t="str">
            <v>D2</v>
          </cell>
          <cell r="B43">
            <v>8.5</v>
          </cell>
        </row>
        <row r="44">
          <cell r="A44" t="str">
            <v>D1</v>
          </cell>
          <cell r="B44">
            <v>7</v>
          </cell>
        </row>
        <row r="45">
          <cell r="A45" t="str">
            <v>M</v>
          </cell>
          <cell r="B45">
            <v>5.5</v>
          </cell>
        </row>
        <row r="46">
          <cell r="A46" t="str">
            <v>P</v>
          </cell>
          <cell r="B46">
            <v>4</v>
          </cell>
        </row>
        <row r="47">
          <cell r="A47" t="str">
            <v>L1</v>
          </cell>
          <cell r="B47">
            <v>3</v>
          </cell>
        </row>
        <row r="48">
          <cell r="A48" t="str">
            <v>9</v>
          </cell>
          <cell r="B48">
            <v>9</v>
          </cell>
        </row>
        <row r="49">
          <cell r="A49" t="str">
            <v>8</v>
          </cell>
          <cell r="B49">
            <v>8</v>
          </cell>
        </row>
        <row r="50">
          <cell r="A50" t="str">
            <v>7</v>
          </cell>
          <cell r="B50">
            <v>7</v>
          </cell>
        </row>
        <row r="51">
          <cell r="A51" t="str">
            <v>6</v>
          </cell>
          <cell r="B51">
            <v>6</v>
          </cell>
        </row>
        <row r="52">
          <cell r="A52" t="str">
            <v>5</v>
          </cell>
          <cell r="B52">
            <v>5</v>
          </cell>
        </row>
        <row r="53">
          <cell r="A53" t="str">
            <v>4</v>
          </cell>
          <cell r="B53">
            <v>4</v>
          </cell>
        </row>
        <row r="54">
          <cell r="A54" t="str">
            <v>3</v>
          </cell>
          <cell r="B54">
            <v>3</v>
          </cell>
        </row>
        <row r="55">
          <cell r="A55" t="str">
            <v>2</v>
          </cell>
          <cell r="B55">
            <v>2</v>
          </cell>
        </row>
        <row r="56">
          <cell r="A56" t="str">
            <v>1</v>
          </cell>
          <cell r="B56">
            <v>1</v>
          </cell>
        </row>
        <row r="57">
          <cell r="A57" t="str">
            <v>8 - 9</v>
          </cell>
          <cell r="B57">
            <v>8.5</v>
          </cell>
        </row>
        <row r="58">
          <cell r="A58" t="str">
            <v>7 - 8</v>
          </cell>
          <cell r="B58">
            <v>7.5</v>
          </cell>
        </row>
        <row r="59">
          <cell r="A59" t="str">
            <v>6 - 7</v>
          </cell>
          <cell r="B59">
            <v>6.5</v>
          </cell>
        </row>
        <row r="60">
          <cell r="A60" t="str">
            <v>5 - 6</v>
          </cell>
          <cell r="B60">
            <v>5.5</v>
          </cell>
        </row>
        <row r="61">
          <cell r="A61" t="str">
            <v>4 - 5</v>
          </cell>
          <cell r="B61">
            <v>4.5</v>
          </cell>
        </row>
        <row r="62">
          <cell r="A62" t="str">
            <v>3 - 4</v>
          </cell>
          <cell r="B62">
            <v>3.5</v>
          </cell>
        </row>
        <row r="63">
          <cell r="A63" t="str">
            <v>2 - 3</v>
          </cell>
          <cell r="B63">
            <v>2.5</v>
          </cell>
        </row>
        <row r="64">
          <cell r="A64" t="str">
            <v>1 - 2</v>
          </cell>
          <cell r="B64">
            <v>1.5</v>
          </cell>
        </row>
        <row r="65">
          <cell r="A65" t="str">
            <v>F - E</v>
          </cell>
          <cell r="B65">
            <v>1.75</v>
          </cell>
        </row>
        <row r="66">
          <cell r="A66" t="str">
            <v>E - D</v>
          </cell>
          <cell r="B66">
            <v>2.5</v>
          </cell>
        </row>
        <row r="67">
          <cell r="A67" t="str">
            <v>D - C</v>
          </cell>
          <cell r="B67">
            <v>3.5</v>
          </cell>
        </row>
        <row r="68">
          <cell r="A68" t="str">
            <v>C - B</v>
          </cell>
          <cell r="B68">
            <v>4.75</v>
          </cell>
        </row>
        <row r="69">
          <cell r="A69" t="str">
            <v>B - A</v>
          </cell>
          <cell r="B69">
            <v>6.25</v>
          </cell>
        </row>
        <row r="70">
          <cell r="A70" t="str">
            <v>A - A*</v>
          </cell>
          <cell r="B70">
            <v>7.75</v>
          </cell>
        </row>
        <row r="71">
          <cell r="A71">
            <v>9</v>
          </cell>
          <cell r="B71">
            <v>9</v>
          </cell>
        </row>
        <row r="72">
          <cell r="A72">
            <v>8</v>
          </cell>
          <cell r="B72">
            <v>8</v>
          </cell>
        </row>
        <row r="73">
          <cell r="A73">
            <v>7</v>
          </cell>
          <cell r="B73">
            <v>7</v>
          </cell>
        </row>
        <row r="74">
          <cell r="A74">
            <v>6</v>
          </cell>
          <cell r="B74">
            <v>6</v>
          </cell>
        </row>
        <row r="75">
          <cell r="A75">
            <v>5</v>
          </cell>
          <cell r="B75">
            <v>5</v>
          </cell>
        </row>
        <row r="76">
          <cell r="A76">
            <v>4</v>
          </cell>
          <cell r="B76">
            <v>4</v>
          </cell>
        </row>
        <row r="77">
          <cell r="A77">
            <v>3</v>
          </cell>
          <cell r="B77">
            <v>3</v>
          </cell>
        </row>
        <row r="78">
          <cell r="A78">
            <v>2</v>
          </cell>
          <cell r="B78">
            <v>2</v>
          </cell>
        </row>
        <row r="79">
          <cell r="A79">
            <v>1</v>
          </cell>
          <cell r="B79">
            <v>1</v>
          </cell>
        </row>
        <row r="80">
          <cell r="A80" t="str">
            <v>5 - 7</v>
          </cell>
          <cell r="B80" t="str">
            <v>6</v>
          </cell>
        </row>
        <row r="81">
          <cell r="A81" t="str">
            <v>7 - 9</v>
          </cell>
          <cell r="B81" t="str">
            <v>8</v>
          </cell>
        </row>
        <row r="82">
          <cell r="A82" t="str">
            <v>1 - 4</v>
          </cell>
          <cell r="B82" t="str">
            <v>2.5</v>
          </cell>
        </row>
        <row r="83">
          <cell r="A83" t="str">
            <v>L2 Dist*</v>
          </cell>
          <cell r="B83" t="str">
            <v>8.5</v>
          </cell>
        </row>
        <row r="84">
          <cell r="A84" t="str">
            <v>L2 Dist</v>
          </cell>
          <cell r="B84" t="str">
            <v>7</v>
          </cell>
        </row>
        <row r="85">
          <cell r="A85" t="str">
            <v>L2 Merit</v>
          </cell>
          <cell r="B85" t="str">
            <v>5.5</v>
          </cell>
        </row>
        <row r="86">
          <cell r="A86" t="str">
            <v>L2 Pass</v>
          </cell>
          <cell r="B86" t="str">
            <v>4</v>
          </cell>
        </row>
        <row r="87">
          <cell r="A87" t="str">
            <v>L1 Dist</v>
          </cell>
          <cell r="B87" t="str">
            <v>3</v>
          </cell>
        </row>
        <row r="88">
          <cell r="A88" t="str">
            <v>L1 Merit</v>
          </cell>
          <cell r="B88" t="str">
            <v>2</v>
          </cell>
        </row>
        <row r="89">
          <cell r="A89" t="str">
            <v>L1 Pass</v>
          </cell>
          <cell r="B89">
            <v>1.25</v>
          </cell>
        </row>
        <row r="90">
          <cell r="A90" t="str">
            <v>L2D - L2D*</v>
          </cell>
          <cell r="B90">
            <v>7.75</v>
          </cell>
        </row>
        <row r="91">
          <cell r="A91" t="str">
            <v>L2M - L2D</v>
          </cell>
          <cell r="B91">
            <v>6.25</v>
          </cell>
        </row>
        <row r="92">
          <cell r="A92" t="str">
            <v>L2P - L2M</v>
          </cell>
          <cell r="B92">
            <v>4.75</v>
          </cell>
        </row>
        <row r="93">
          <cell r="A93" t="str">
            <v>L1D - L2P</v>
          </cell>
          <cell r="B93">
            <v>3.5</v>
          </cell>
        </row>
        <row r="94">
          <cell r="A94" t="str">
            <v>L1M - L1D</v>
          </cell>
          <cell r="B94">
            <v>2.5</v>
          </cell>
        </row>
        <row r="95">
          <cell r="A95" t="str">
            <v>L1P - L1M</v>
          </cell>
          <cell r="B95">
            <v>1.625</v>
          </cell>
        </row>
        <row r="96">
          <cell r="A96" t="str">
            <v>U - L1P</v>
          </cell>
          <cell r="B96">
            <v>0.625</v>
          </cell>
        </row>
        <row r="97">
          <cell r="A97" t="str">
            <v>U - P</v>
          </cell>
          <cell r="B97">
            <v>2</v>
          </cell>
        </row>
        <row r="98">
          <cell r="A98" t="str">
            <v>P - M</v>
          </cell>
          <cell r="B98">
            <v>5.125</v>
          </cell>
        </row>
        <row r="99">
          <cell r="A99" t="str">
            <v>M - D</v>
          </cell>
          <cell r="B99">
            <v>7</v>
          </cell>
        </row>
        <row r="100">
          <cell r="A100" t="str">
            <v>9 - 9</v>
          </cell>
          <cell r="B100">
            <v>9</v>
          </cell>
        </row>
        <row r="101">
          <cell r="A101" t="str">
            <v>9 - 8</v>
          </cell>
          <cell r="B101">
            <v>8.5</v>
          </cell>
        </row>
        <row r="102">
          <cell r="A102" t="str">
            <v>8 - 8</v>
          </cell>
          <cell r="B102">
            <v>8</v>
          </cell>
        </row>
        <row r="103">
          <cell r="A103" t="str">
            <v>8 - 7</v>
          </cell>
          <cell r="B103">
            <v>7.5</v>
          </cell>
        </row>
        <row r="104">
          <cell r="A104" t="str">
            <v>7 - 7</v>
          </cell>
          <cell r="B104">
            <v>7</v>
          </cell>
        </row>
        <row r="105">
          <cell r="A105" t="str">
            <v>7 - 6</v>
          </cell>
          <cell r="B105">
            <v>6.5</v>
          </cell>
        </row>
        <row r="106">
          <cell r="A106" t="str">
            <v>6 - 6</v>
          </cell>
          <cell r="B106">
            <v>6</v>
          </cell>
        </row>
        <row r="107">
          <cell r="A107" t="str">
            <v>6 - 5</v>
          </cell>
          <cell r="B107">
            <v>5.5</v>
          </cell>
        </row>
        <row r="108">
          <cell r="A108" t="str">
            <v>5 - 5</v>
          </cell>
          <cell r="B108">
            <v>5</v>
          </cell>
        </row>
        <row r="109">
          <cell r="A109" t="str">
            <v>5 - 4</v>
          </cell>
          <cell r="B109">
            <v>4.5</v>
          </cell>
        </row>
        <row r="110">
          <cell r="A110" t="str">
            <v>4 - 4</v>
          </cell>
          <cell r="B110">
            <v>4</v>
          </cell>
        </row>
        <row r="111">
          <cell r="A111" t="str">
            <v>4 - 3</v>
          </cell>
          <cell r="B111">
            <v>3.5</v>
          </cell>
        </row>
        <row r="112">
          <cell r="A112" t="str">
            <v>3 - 3</v>
          </cell>
          <cell r="B112">
            <v>3</v>
          </cell>
        </row>
        <row r="113">
          <cell r="A113" t="str">
            <v>3 - 2</v>
          </cell>
          <cell r="B113">
            <v>2.5</v>
          </cell>
        </row>
        <row r="114">
          <cell r="A114" t="str">
            <v>2 - 2</v>
          </cell>
          <cell r="B114">
            <v>2</v>
          </cell>
        </row>
        <row r="115">
          <cell r="A115" t="str">
            <v>2 - 1</v>
          </cell>
          <cell r="B115">
            <v>1.5</v>
          </cell>
        </row>
        <row r="116">
          <cell r="A116" t="str">
            <v>1 - 1</v>
          </cell>
          <cell r="B116">
            <v>1</v>
          </cell>
        </row>
        <row r="117">
          <cell r="A117" t="str">
            <v>8-9</v>
          </cell>
          <cell r="B117">
            <v>8.5</v>
          </cell>
        </row>
        <row r="118">
          <cell r="A118" t="str">
            <v>7-8</v>
          </cell>
          <cell r="B118">
            <v>7.5</v>
          </cell>
        </row>
        <row r="119">
          <cell r="A119" t="str">
            <v>6-7</v>
          </cell>
          <cell r="B119">
            <v>6.5</v>
          </cell>
        </row>
        <row r="120">
          <cell r="A120" t="str">
            <v>5-6</v>
          </cell>
          <cell r="B120">
            <v>5.5</v>
          </cell>
        </row>
        <row r="121">
          <cell r="A121" t="str">
            <v>4-5</v>
          </cell>
          <cell r="B121">
            <v>4.5</v>
          </cell>
        </row>
        <row r="122">
          <cell r="A122" t="str">
            <v>3-4</v>
          </cell>
          <cell r="B122">
            <v>3.5</v>
          </cell>
        </row>
        <row r="123">
          <cell r="A123" t="str">
            <v>2-3</v>
          </cell>
          <cell r="B123">
            <v>2.5</v>
          </cell>
        </row>
        <row r="124">
          <cell r="A124" t="str">
            <v>1-2</v>
          </cell>
          <cell r="B124">
            <v>1.5</v>
          </cell>
        </row>
        <row r="125">
          <cell r="A125" t="str">
            <v>F-E</v>
          </cell>
          <cell r="B125">
            <v>1.75</v>
          </cell>
        </row>
        <row r="126">
          <cell r="A126" t="str">
            <v>E-D</v>
          </cell>
          <cell r="B126">
            <v>2.5</v>
          </cell>
        </row>
        <row r="127">
          <cell r="A127" t="str">
            <v>D-C</v>
          </cell>
          <cell r="B127">
            <v>3.5</v>
          </cell>
        </row>
        <row r="128">
          <cell r="A128" t="str">
            <v>C-B</v>
          </cell>
          <cell r="B128">
            <v>4.75</v>
          </cell>
        </row>
        <row r="129">
          <cell r="A129" t="str">
            <v>B-A</v>
          </cell>
          <cell r="B129">
            <v>6.25</v>
          </cell>
        </row>
        <row r="130">
          <cell r="A130" t="str">
            <v>A-A*</v>
          </cell>
          <cell r="B130">
            <v>7.75</v>
          </cell>
        </row>
        <row r="131">
          <cell r="A131" t="str">
            <v>5-7</v>
          </cell>
          <cell r="B131" t="str">
            <v>6</v>
          </cell>
        </row>
        <row r="132">
          <cell r="A132" t="str">
            <v>7-9</v>
          </cell>
          <cell r="B132" t="str">
            <v>8</v>
          </cell>
        </row>
        <row r="133">
          <cell r="A133" t="str">
            <v>1-4</v>
          </cell>
          <cell r="B133" t="str">
            <v>2.5</v>
          </cell>
        </row>
        <row r="134">
          <cell r="A134" t="str">
            <v>L2D-L2D*</v>
          </cell>
          <cell r="B134">
            <v>7.75</v>
          </cell>
        </row>
        <row r="135">
          <cell r="A135" t="str">
            <v>L2M-L2D</v>
          </cell>
          <cell r="B135">
            <v>6.25</v>
          </cell>
        </row>
        <row r="136">
          <cell r="A136" t="str">
            <v>L2P-L2M</v>
          </cell>
          <cell r="B136">
            <v>4.75</v>
          </cell>
        </row>
        <row r="137">
          <cell r="A137" t="str">
            <v>L1D-L2P</v>
          </cell>
          <cell r="B137">
            <v>3.5</v>
          </cell>
        </row>
        <row r="138">
          <cell r="A138" t="str">
            <v>L1M-L1D</v>
          </cell>
          <cell r="B138">
            <v>2.5</v>
          </cell>
        </row>
        <row r="139">
          <cell r="A139" t="str">
            <v>L1P-L1M</v>
          </cell>
          <cell r="B139">
            <v>1.625</v>
          </cell>
        </row>
        <row r="140">
          <cell r="A140" t="str">
            <v>U-L1P</v>
          </cell>
          <cell r="B140">
            <v>0.625</v>
          </cell>
        </row>
        <row r="141">
          <cell r="A141" t="str">
            <v>U-P</v>
          </cell>
          <cell r="B141">
            <v>2</v>
          </cell>
        </row>
        <row r="142">
          <cell r="A142" t="str">
            <v>P-M</v>
          </cell>
          <cell r="B142">
            <v>5.125</v>
          </cell>
        </row>
        <row r="143">
          <cell r="A143" t="str">
            <v>M-D</v>
          </cell>
          <cell r="B143">
            <v>7</v>
          </cell>
        </row>
        <row r="144">
          <cell r="A144" t="str">
            <v>9-9</v>
          </cell>
          <cell r="B144">
            <v>9</v>
          </cell>
        </row>
        <row r="145">
          <cell r="A145" t="str">
            <v>9-8</v>
          </cell>
          <cell r="B145">
            <v>8.5</v>
          </cell>
        </row>
        <row r="146">
          <cell r="A146" t="str">
            <v>8-8</v>
          </cell>
          <cell r="B146">
            <v>8</v>
          </cell>
        </row>
        <row r="147">
          <cell r="A147" t="str">
            <v>8-7</v>
          </cell>
          <cell r="B147">
            <v>7.5</v>
          </cell>
        </row>
        <row r="148">
          <cell r="A148" t="str">
            <v>7-7</v>
          </cell>
          <cell r="B148">
            <v>7</v>
          </cell>
        </row>
        <row r="149">
          <cell r="A149" t="str">
            <v>7-6</v>
          </cell>
          <cell r="B149">
            <v>6.5</v>
          </cell>
        </row>
        <row r="150">
          <cell r="A150" t="str">
            <v>6-6</v>
          </cell>
          <cell r="B150">
            <v>6</v>
          </cell>
        </row>
        <row r="151">
          <cell r="A151" t="str">
            <v>6-5</v>
          </cell>
          <cell r="B151">
            <v>5.5</v>
          </cell>
        </row>
        <row r="152">
          <cell r="A152" t="str">
            <v>5-5</v>
          </cell>
          <cell r="B152">
            <v>5</v>
          </cell>
        </row>
        <row r="153">
          <cell r="A153" t="str">
            <v>5-4</v>
          </cell>
          <cell r="B153">
            <v>4.5</v>
          </cell>
        </row>
        <row r="154">
          <cell r="A154" t="str">
            <v>4-4</v>
          </cell>
          <cell r="B154">
            <v>4</v>
          </cell>
        </row>
        <row r="155">
          <cell r="A155" t="str">
            <v>4-3</v>
          </cell>
          <cell r="B155">
            <v>3.5</v>
          </cell>
        </row>
        <row r="156">
          <cell r="A156" t="str">
            <v>3-3</v>
          </cell>
          <cell r="B156">
            <v>3</v>
          </cell>
        </row>
        <row r="157">
          <cell r="A157" t="str">
            <v>3-2</v>
          </cell>
          <cell r="B157">
            <v>2.5</v>
          </cell>
        </row>
        <row r="158">
          <cell r="A158" t="str">
            <v>2-2</v>
          </cell>
          <cell r="B158">
            <v>2</v>
          </cell>
        </row>
        <row r="159">
          <cell r="A159" t="str">
            <v>2-1</v>
          </cell>
          <cell r="B159">
            <v>1.5</v>
          </cell>
        </row>
        <row r="160">
          <cell r="A160" t="str">
            <v>1-1</v>
          </cell>
          <cell r="B160">
            <v>1</v>
          </cell>
        </row>
        <row r="161">
          <cell r="A161"/>
          <cell r="B161"/>
        </row>
        <row r="162">
          <cell r="A162"/>
          <cell r="B162"/>
        </row>
        <row r="163">
          <cell r="A163"/>
          <cell r="B163"/>
        </row>
        <row r="164">
          <cell r="A164"/>
          <cell r="B164"/>
        </row>
        <row r="165">
          <cell r="A165"/>
          <cell r="B165"/>
        </row>
        <row r="166">
          <cell r="A166"/>
          <cell r="B166"/>
        </row>
        <row r="167">
          <cell r="A167"/>
          <cell r="B167"/>
        </row>
        <row r="168">
          <cell r="A168"/>
          <cell r="B168"/>
        </row>
        <row r="169">
          <cell r="A169"/>
          <cell r="B169"/>
        </row>
        <row r="170">
          <cell r="A170"/>
          <cell r="B170"/>
        </row>
        <row r="171">
          <cell r="A171"/>
          <cell r="B171"/>
        </row>
        <row r="172">
          <cell r="A172"/>
          <cell r="B172"/>
        </row>
        <row r="173">
          <cell r="A173"/>
          <cell r="B173"/>
        </row>
        <row r="174">
          <cell r="A174"/>
          <cell r="B174"/>
        </row>
        <row r="175">
          <cell r="A175"/>
          <cell r="B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</sheetData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RIORVALUES"/>
      <sheetName val="PRIORRESULTS"/>
      <sheetName val="P8 BREAKDOWN"/>
      <sheetName val="SUBJECT PROGRESS"/>
      <sheetName val="GROUPDISTRIBUTION"/>
      <sheetName val="Chart1"/>
      <sheetName val="GROUPSUMMARY"/>
      <sheetName val="GROUPS BY SUBJECT"/>
      <sheetName val="N2I and SERIOUS CONCERN(TOTALS)"/>
      <sheetName val="A2L FREQ"/>
      <sheetName val="A2L SUMMARY"/>
      <sheetName val="BHVEXPORT"/>
      <sheetName val="COHORT data"/>
      <sheetName val="Lookups"/>
      <sheetName val="Y11 Student Progress Monitor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 refreshError="1"/>
      <sheetData sheetId="15"/>
      <sheetData sheetId="16">
        <row r="1">
          <cell r="A1" t="str">
            <v>Admission Number</v>
          </cell>
          <cell r="B1" t="str">
            <v>Legal Full name</v>
          </cell>
          <cell r="C1" t="str">
            <v>Tutor Group</v>
          </cell>
          <cell r="D1" t="str">
            <v>Comm Con</v>
          </cell>
          <cell r="E1" t="str">
            <v>Pers Org</v>
          </cell>
          <cell r="F1" t="str">
            <v>Praise</v>
          </cell>
          <cell r="G1" t="str">
            <v>BOL</v>
          </cell>
          <cell r="H1" t="str">
            <v>BIL</v>
          </cell>
          <cell r="I1" t="str">
            <v>HWK</v>
          </cell>
        </row>
        <row r="2">
          <cell r="A2">
            <v>151724</v>
          </cell>
          <cell r="B2" t="str">
            <v>Georgia Nicholson</v>
          </cell>
          <cell r="C2" t="str">
            <v>11WE</v>
          </cell>
          <cell r="D2">
            <v>1</v>
          </cell>
          <cell r="E2">
            <v>0</v>
          </cell>
          <cell r="F2">
            <v>12</v>
          </cell>
          <cell r="G2">
            <v>0</v>
          </cell>
          <cell r="H2">
            <v>0</v>
          </cell>
          <cell r="I2">
            <v>0</v>
          </cell>
        </row>
        <row r="3">
          <cell r="A3">
            <v>151609</v>
          </cell>
          <cell r="B3" t="str">
            <v>Leonardo Chapman</v>
          </cell>
          <cell r="C3" t="str">
            <v>11WE</v>
          </cell>
          <cell r="D3">
            <v>0</v>
          </cell>
          <cell r="E3">
            <v>0</v>
          </cell>
          <cell r="F3">
            <v>13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151535</v>
          </cell>
          <cell r="B4" t="str">
            <v>Eghosa Uwagboe</v>
          </cell>
          <cell r="C4" t="str">
            <v>11SDA</v>
          </cell>
          <cell r="D4">
            <v>0</v>
          </cell>
          <cell r="E4">
            <v>4</v>
          </cell>
          <cell r="F4">
            <v>18</v>
          </cell>
          <cell r="G4">
            <v>0</v>
          </cell>
          <cell r="H4">
            <v>0</v>
          </cell>
          <cell r="I4">
            <v>3</v>
          </cell>
        </row>
        <row r="5">
          <cell r="A5">
            <v>151632</v>
          </cell>
          <cell r="B5" t="str">
            <v>Ethan Taylor</v>
          </cell>
          <cell r="C5" t="str">
            <v>11JNE</v>
          </cell>
          <cell r="D5">
            <v>10</v>
          </cell>
          <cell r="E5">
            <v>7</v>
          </cell>
          <cell r="F5">
            <v>15</v>
          </cell>
          <cell r="G5">
            <v>3</v>
          </cell>
          <cell r="H5">
            <v>3</v>
          </cell>
          <cell r="I5">
            <v>6</v>
          </cell>
        </row>
        <row r="6">
          <cell r="A6">
            <v>151598</v>
          </cell>
          <cell r="B6" t="str">
            <v>Nathan Hawkins</v>
          </cell>
          <cell r="C6" t="str">
            <v>11ZI</v>
          </cell>
          <cell r="D6">
            <v>0</v>
          </cell>
          <cell r="E6">
            <v>1</v>
          </cell>
          <cell r="F6">
            <v>8</v>
          </cell>
          <cell r="G6">
            <v>0</v>
          </cell>
          <cell r="H6">
            <v>0</v>
          </cell>
          <cell r="I6">
            <v>1</v>
          </cell>
        </row>
        <row r="7">
          <cell r="A7">
            <v>151561</v>
          </cell>
          <cell r="B7" t="str">
            <v>Sofia Fiore</v>
          </cell>
          <cell r="C7" t="str">
            <v>11WE</v>
          </cell>
          <cell r="D7">
            <v>0</v>
          </cell>
          <cell r="E7">
            <v>1</v>
          </cell>
          <cell r="F7">
            <v>18</v>
          </cell>
          <cell r="G7">
            <v>0</v>
          </cell>
          <cell r="H7">
            <v>0</v>
          </cell>
          <cell r="I7">
            <v>1</v>
          </cell>
        </row>
        <row r="8">
          <cell r="A8">
            <v>151578</v>
          </cell>
          <cell r="B8" t="str">
            <v>Larissa Shaw</v>
          </cell>
          <cell r="C8" t="str">
            <v>11JNE</v>
          </cell>
          <cell r="D8">
            <v>2</v>
          </cell>
          <cell r="E8">
            <v>0</v>
          </cell>
          <cell r="F8">
            <v>8</v>
          </cell>
          <cell r="G8">
            <v>1</v>
          </cell>
          <cell r="H8">
            <v>0</v>
          </cell>
          <cell r="I8">
            <v>0</v>
          </cell>
        </row>
        <row r="9">
          <cell r="A9">
            <v>151624</v>
          </cell>
          <cell r="B9" t="str">
            <v>Isabella Danes Harte</v>
          </cell>
          <cell r="C9" t="str">
            <v>11SPI</v>
          </cell>
          <cell r="D9">
            <v>0</v>
          </cell>
          <cell r="E9">
            <v>0</v>
          </cell>
          <cell r="F9">
            <v>9</v>
          </cell>
          <cell r="G9">
            <v>0</v>
          </cell>
          <cell r="H9">
            <v>0</v>
          </cell>
          <cell r="I9">
            <v>0</v>
          </cell>
        </row>
        <row r="10">
          <cell r="A10">
            <v>151710</v>
          </cell>
          <cell r="B10" t="str">
            <v>Alfie Saxton-Clayton</v>
          </cell>
          <cell r="C10" t="str">
            <v>11KKN</v>
          </cell>
          <cell r="D10">
            <v>3</v>
          </cell>
          <cell r="E10">
            <v>3</v>
          </cell>
          <cell r="F10">
            <v>8</v>
          </cell>
          <cell r="G10">
            <v>1</v>
          </cell>
          <cell r="H10">
            <v>2</v>
          </cell>
          <cell r="I10">
            <v>2</v>
          </cell>
        </row>
        <row r="11">
          <cell r="A11">
            <v>151586</v>
          </cell>
          <cell r="B11" t="str">
            <v>Dean Mahachi</v>
          </cell>
          <cell r="C11" t="str">
            <v>11EGQ</v>
          </cell>
          <cell r="D11">
            <v>4</v>
          </cell>
          <cell r="E11">
            <v>4</v>
          </cell>
          <cell r="F11">
            <v>16</v>
          </cell>
          <cell r="G11">
            <v>2</v>
          </cell>
          <cell r="H11">
            <v>1</v>
          </cell>
          <cell r="I11">
            <v>3</v>
          </cell>
        </row>
        <row r="12">
          <cell r="A12">
            <v>151662</v>
          </cell>
          <cell r="B12" t="str">
            <v>Taliah Smith</v>
          </cell>
          <cell r="C12" t="str">
            <v>11SPI</v>
          </cell>
          <cell r="D12">
            <v>0</v>
          </cell>
          <cell r="E12">
            <v>0</v>
          </cell>
          <cell r="F12">
            <v>12</v>
          </cell>
          <cell r="G12">
            <v>0</v>
          </cell>
          <cell r="H12">
            <v>0</v>
          </cell>
          <cell r="I12">
            <v>0</v>
          </cell>
        </row>
        <row r="13">
          <cell r="A13">
            <v>151742</v>
          </cell>
          <cell r="B13" t="str">
            <v>Anaiah Atoyebi</v>
          </cell>
          <cell r="C13" t="str">
            <v>11EGQ</v>
          </cell>
          <cell r="D13">
            <v>2</v>
          </cell>
          <cell r="E13">
            <v>4</v>
          </cell>
          <cell r="F13">
            <v>18</v>
          </cell>
          <cell r="G13">
            <v>0</v>
          </cell>
          <cell r="H13">
            <v>0</v>
          </cell>
          <cell r="I13">
            <v>4</v>
          </cell>
        </row>
        <row r="14">
          <cell r="A14">
            <v>151618</v>
          </cell>
          <cell r="B14" t="str">
            <v>Mariella Boateng</v>
          </cell>
          <cell r="C14" t="str">
            <v>11SPI</v>
          </cell>
          <cell r="D14">
            <v>0</v>
          </cell>
          <cell r="E14">
            <v>0</v>
          </cell>
          <cell r="F14">
            <v>12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151707</v>
          </cell>
          <cell r="B15" t="str">
            <v>Gabriel Walton-Ryan</v>
          </cell>
          <cell r="C15" t="str">
            <v>11KKN</v>
          </cell>
          <cell r="D15">
            <v>0</v>
          </cell>
          <cell r="E15">
            <v>4</v>
          </cell>
          <cell r="F15">
            <v>8</v>
          </cell>
          <cell r="G15">
            <v>0</v>
          </cell>
          <cell r="H15">
            <v>0</v>
          </cell>
          <cell r="I15">
            <v>3</v>
          </cell>
        </row>
        <row r="16">
          <cell r="A16">
            <v>151714</v>
          </cell>
          <cell r="B16" t="str">
            <v>Millie Turner</v>
          </cell>
          <cell r="C16" t="str">
            <v>11EGQ</v>
          </cell>
          <cell r="D16">
            <v>0</v>
          </cell>
          <cell r="E16">
            <v>1</v>
          </cell>
          <cell r="F16">
            <v>20</v>
          </cell>
          <cell r="G16">
            <v>0</v>
          </cell>
          <cell r="H16">
            <v>0</v>
          </cell>
          <cell r="I16">
            <v>1</v>
          </cell>
        </row>
        <row r="17">
          <cell r="A17">
            <v>151627</v>
          </cell>
          <cell r="B17" t="str">
            <v>Leeron Muhirwa</v>
          </cell>
          <cell r="C17" t="str">
            <v>11KKN</v>
          </cell>
          <cell r="D17">
            <v>0</v>
          </cell>
          <cell r="E17">
            <v>1</v>
          </cell>
          <cell r="F17">
            <v>23</v>
          </cell>
          <cell r="G17">
            <v>0</v>
          </cell>
          <cell r="H17">
            <v>0</v>
          </cell>
          <cell r="I17">
            <v>1</v>
          </cell>
        </row>
        <row r="18">
          <cell r="A18">
            <v>151591</v>
          </cell>
          <cell r="B18" t="str">
            <v>Brandon Amboe-Frou</v>
          </cell>
          <cell r="C18" t="str">
            <v>11ZI</v>
          </cell>
          <cell r="D18">
            <v>1</v>
          </cell>
          <cell r="E18">
            <v>0</v>
          </cell>
          <cell r="F18">
            <v>18</v>
          </cell>
          <cell r="G18">
            <v>0</v>
          </cell>
          <cell r="H18">
            <v>1</v>
          </cell>
          <cell r="I18">
            <v>0</v>
          </cell>
        </row>
        <row r="19">
          <cell r="A19">
            <v>151588</v>
          </cell>
          <cell r="B19" t="str">
            <v>Joanie Sargeant</v>
          </cell>
          <cell r="C19" t="str">
            <v>11JNE</v>
          </cell>
          <cell r="D19">
            <v>0</v>
          </cell>
          <cell r="E19">
            <v>1</v>
          </cell>
          <cell r="F19">
            <v>12</v>
          </cell>
          <cell r="G19">
            <v>0</v>
          </cell>
          <cell r="H19">
            <v>0</v>
          </cell>
          <cell r="I19">
            <v>1</v>
          </cell>
        </row>
        <row r="20">
          <cell r="A20">
            <v>151685</v>
          </cell>
          <cell r="B20" t="str">
            <v>James McCann</v>
          </cell>
          <cell r="C20" t="str">
            <v>11SPI</v>
          </cell>
          <cell r="D20">
            <v>7</v>
          </cell>
          <cell r="E20">
            <v>2</v>
          </cell>
          <cell r="F20">
            <v>12</v>
          </cell>
          <cell r="G20">
            <v>1</v>
          </cell>
          <cell r="H20">
            <v>4</v>
          </cell>
          <cell r="I20">
            <v>2</v>
          </cell>
        </row>
        <row r="21">
          <cell r="A21">
            <v>151649</v>
          </cell>
          <cell r="B21" t="str">
            <v>Lily Whitaker Smith</v>
          </cell>
          <cell r="C21" t="str">
            <v>11JNE</v>
          </cell>
          <cell r="D21">
            <v>0</v>
          </cell>
          <cell r="E21">
            <v>0</v>
          </cell>
          <cell r="F21">
            <v>7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151636</v>
          </cell>
          <cell r="B22" t="str">
            <v>Annabelle Parkin</v>
          </cell>
          <cell r="C22" t="str">
            <v>11JNE</v>
          </cell>
          <cell r="D22">
            <v>0</v>
          </cell>
          <cell r="E22">
            <v>0</v>
          </cell>
          <cell r="F22">
            <v>17</v>
          </cell>
          <cell r="G22">
            <v>0</v>
          </cell>
          <cell r="H22">
            <v>0</v>
          </cell>
          <cell r="I22">
            <v>0</v>
          </cell>
        </row>
        <row r="23">
          <cell r="A23">
            <v>151664</v>
          </cell>
          <cell r="B23" t="str">
            <v>Madeleine Ross-Weston</v>
          </cell>
          <cell r="C23" t="str">
            <v>11WE</v>
          </cell>
          <cell r="D23">
            <v>0</v>
          </cell>
          <cell r="E23">
            <v>2</v>
          </cell>
          <cell r="F23">
            <v>10</v>
          </cell>
          <cell r="G23">
            <v>0</v>
          </cell>
          <cell r="H23">
            <v>0</v>
          </cell>
          <cell r="I23">
            <v>2</v>
          </cell>
        </row>
        <row r="24">
          <cell r="A24">
            <v>151653</v>
          </cell>
          <cell r="B24" t="str">
            <v>Shreya Shaiju</v>
          </cell>
          <cell r="C24" t="str">
            <v>11SDA</v>
          </cell>
          <cell r="D24">
            <v>0</v>
          </cell>
          <cell r="E24">
            <v>0</v>
          </cell>
          <cell r="F24">
            <v>17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151694</v>
          </cell>
          <cell r="B25" t="str">
            <v>Freya Leadley</v>
          </cell>
          <cell r="C25" t="str">
            <v>11JNE</v>
          </cell>
          <cell r="D25">
            <v>0</v>
          </cell>
          <cell r="E25">
            <v>0</v>
          </cell>
          <cell r="F25">
            <v>9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151538</v>
          </cell>
          <cell r="B26" t="str">
            <v>Tadhg Hopkins</v>
          </cell>
          <cell r="C26" t="str">
            <v>11EGQ</v>
          </cell>
          <cell r="D26">
            <v>3</v>
          </cell>
          <cell r="E26">
            <v>5</v>
          </cell>
          <cell r="F26">
            <v>10</v>
          </cell>
          <cell r="G26">
            <v>3</v>
          </cell>
          <cell r="H26">
            <v>0</v>
          </cell>
          <cell r="I26">
            <v>4</v>
          </cell>
        </row>
        <row r="27">
          <cell r="A27">
            <v>151663</v>
          </cell>
          <cell r="B27" t="str">
            <v>Lewis Stephenson</v>
          </cell>
          <cell r="C27" t="str">
            <v>11SPI</v>
          </cell>
          <cell r="D27">
            <v>13</v>
          </cell>
          <cell r="E27">
            <v>7</v>
          </cell>
          <cell r="F27">
            <v>17</v>
          </cell>
          <cell r="G27">
            <v>2</v>
          </cell>
          <cell r="H27">
            <v>7</v>
          </cell>
          <cell r="I27">
            <v>5</v>
          </cell>
        </row>
        <row r="28">
          <cell r="A28">
            <v>151545</v>
          </cell>
          <cell r="B28" t="str">
            <v>Samuel Bereket</v>
          </cell>
          <cell r="C28" t="str">
            <v>11EGQ</v>
          </cell>
          <cell r="D28">
            <v>3</v>
          </cell>
          <cell r="E28">
            <v>1</v>
          </cell>
          <cell r="F28">
            <v>8</v>
          </cell>
          <cell r="G28">
            <v>1</v>
          </cell>
          <cell r="H28">
            <v>2</v>
          </cell>
          <cell r="I28">
            <v>0</v>
          </cell>
        </row>
        <row r="29">
          <cell r="A29">
            <v>151678</v>
          </cell>
          <cell r="B29" t="str">
            <v>Emma Broomhead</v>
          </cell>
          <cell r="C29" t="str">
            <v>11SK</v>
          </cell>
          <cell r="D29">
            <v>0</v>
          </cell>
          <cell r="E29">
            <v>1</v>
          </cell>
          <cell r="F29">
            <v>24</v>
          </cell>
          <cell r="G29">
            <v>0</v>
          </cell>
          <cell r="H29">
            <v>0</v>
          </cell>
          <cell r="I29">
            <v>1</v>
          </cell>
        </row>
        <row r="30">
          <cell r="A30">
            <v>151536</v>
          </cell>
          <cell r="B30" t="str">
            <v>Ruby Tate</v>
          </cell>
          <cell r="C30" t="str">
            <v>11SPI</v>
          </cell>
          <cell r="D30">
            <v>0</v>
          </cell>
          <cell r="E30">
            <v>1</v>
          </cell>
          <cell r="F30">
            <v>18</v>
          </cell>
          <cell r="G30">
            <v>0</v>
          </cell>
          <cell r="H30">
            <v>0</v>
          </cell>
          <cell r="I30">
            <v>1</v>
          </cell>
        </row>
        <row r="31">
          <cell r="A31">
            <v>151702</v>
          </cell>
          <cell r="B31" t="str">
            <v>Samuel Yeboah</v>
          </cell>
          <cell r="C31" t="str">
            <v>11EGQ</v>
          </cell>
          <cell r="D31">
            <v>0</v>
          </cell>
          <cell r="E31">
            <v>2</v>
          </cell>
          <cell r="F31">
            <v>12</v>
          </cell>
          <cell r="G31">
            <v>0</v>
          </cell>
          <cell r="H31">
            <v>0</v>
          </cell>
          <cell r="I31">
            <v>2</v>
          </cell>
        </row>
        <row r="32">
          <cell r="A32">
            <v>151554</v>
          </cell>
          <cell r="B32" t="str">
            <v>Iris Egleston</v>
          </cell>
          <cell r="C32" t="str">
            <v>11KKN</v>
          </cell>
          <cell r="D32">
            <v>0</v>
          </cell>
          <cell r="E32">
            <v>0</v>
          </cell>
          <cell r="F32">
            <v>9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151543</v>
          </cell>
          <cell r="B33" t="str">
            <v>Maria Livingston</v>
          </cell>
          <cell r="C33" t="str">
            <v>11KKN</v>
          </cell>
          <cell r="D33">
            <v>0</v>
          </cell>
          <cell r="E33">
            <v>0</v>
          </cell>
          <cell r="F33">
            <v>16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151551</v>
          </cell>
          <cell r="B34" t="str">
            <v>Oliver Geci</v>
          </cell>
          <cell r="C34" t="str">
            <v>11WE</v>
          </cell>
          <cell r="D34">
            <v>6</v>
          </cell>
          <cell r="E34">
            <v>4</v>
          </cell>
          <cell r="F34">
            <v>5</v>
          </cell>
          <cell r="G34">
            <v>0</v>
          </cell>
          <cell r="H34">
            <v>4</v>
          </cell>
          <cell r="I34">
            <v>4</v>
          </cell>
        </row>
        <row r="35">
          <cell r="A35">
            <v>151541</v>
          </cell>
          <cell r="B35" t="str">
            <v>Joshua Dunford</v>
          </cell>
          <cell r="C35" t="str">
            <v>11WE</v>
          </cell>
          <cell r="D35">
            <v>0</v>
          </cell>
          <cell r="E35">
            <v>0</v>
          </cell>
          <cell r="F35">
            <v>16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151669</v>
          </cell>
          <cell r="B36" t="str">
            <v>Declan Atkinson</v>
          </cell>
          <cell r="C36" t="str">
            <v>11JNE</v>
          </cell>
          <cell r="D36">
            <v>4</v>
          </cell>
          <cell r="E36">
            <v>4</v>
          </cell>
          <cell r="F36">
            <v>5</v>
          </cell>
          <cell r="G36">
            <v>3</v>
          </cell>
          <cell r="H36">
            <v>1</v>
          </cell>
          <cell r="I36">
            <v>4</v>
          </cell>
        </row>
        <row r="37">
          <cell r="A37">
            <v>151711</v>
          </cell>
          <cell r="B37" t="str">
            <v>Lewis Munro-Proud</v>
          </cell>
          <cell r="C37" t="str">
            <v>11SPI</v>
          </cell>
          <cell r="D37">
            <v>1</v>
          </cell>
          <cell r="E37">
            <v>1</v>
          </cell>
          <cell r="F37">
            <v>21</v>
          </cell>
          <cell r="G37">
            <v>0</v>
          </cell>
          <cell r="H37">
            <v>1</v>
          </cell>
          <cell r="I37">
            <v>1</v>
          </cell>
        </row>
        <row r="38">
          <cell r="A38">
            <v>151585</v>
          </cell>
          <cell r="B38" t="str">
            <v>Nicolas Sanchez</v>
          </cell>
          <cell r="C38" t="str">
            <v>11JNE</v>
          </cell>
          <cell r="D38">
            <v>5</v>
          </cell>
          <cell r="E38">
            <v>2</v>
          </cell>
          <cell r="F38">
            <v>10</v>
          </cell>
          <cell r="G38">
            <v>0</v>
          </cell>
          <cell r="H38">
            <v>3</v>
          </cell>
          <cell r="I38">
            <v>1</v>
          </cell>
        </row>
        <row r="39">
          <cell r="A39">
            <v>151727</v>
          </cell>
          <cell r="B39" t="str">
            <v>Ryan Thomas</v>
          </cell>
          <cell r="C39" t="str">
            <v>11SPI</v>
          </cell>
          <cell r="D39">
            <v>0</v>
          </cell>
          <cell r="E39">
            <v>0</v>
          </cell>
          <cell r="F39">
            <v>14</v>
          </cell>
          <cell r="G39">
            <v>0</v>
          </cell>
          <cell r="H39">
            <v>0</v>
          </cell>
          <cell r="I39">
            <v>0</v>
          </cell>
        </row>
        <row r="40">
          <cell r="A40">
            <v>151625</v>
          </cell>
          <cell r="B40" t="str">
            <v>Amari Samuels</v>
          </cell>
          <cell r="C40" t="str">
            <v>11SK</v>
          </cell>
          <cell r="D40">
            <v>7</v>
          </cell>
          <cell r="E40">
            <v>6</v>
          </cell>
          <cell r="F40">
            <v>13</v>
          </cell>
          <cell r="G40">
            <v>1</v>
          </cell>
          <cell r="H40">
            <v>5</v>
          </cell>
          <cell r="I40">
            <v>4</v>
          </cell>
        </row>
        <row r="41">
          <cell r="A41">
            <v>151594</v>
          </cell>
          <cell r="B41" t="str">
            <v>Noah Brown</v>
          </cell>
          <cell r="C41" t="str">
            <v>11SPI</v>
          </cell>
          <cell r="D41">
            <v>0</v>
          </cell>
          <cell r="E41">
            <v>0</v>
          </cell>
          <cell r="F41">
            <v>20</v>
          </cell>
          <cell r="G41">
            <v>0</v>
          </cell>
          <cell r="H41">
            <v>0</v>
          </cell>
          <cell r="I41">
            <v>0</v>
          </cell>
        </row>
        <row r="42">
          <cell r="A42">
            <v>151661</v>
          </cell>
          <cell r="B42" t="str">
            <v>Elayna Saddiq</v>
          </cell>
          <cell r="C42" t="str">
            <v>11SPI</v>
          </cell>
          <cell r="D42">
            <v>1</v>
          </cell>
          <cell r="E42">
            <v>2</v>
          </cell>
          <cell r="F42">
            <v>12</v>
          </cell>
          <cell r="G42">
            <v>0</v>
          </cell>
          <cell r="H42">
            <v>0</v>
          </cell>
          <cell r="I42">
            <v>2</v>
          </cell>
        </row>
        <row r="43">
          <cell r="A43">
            <v>151667</v>
          </cell>
          <cell r="B43" t="str">
            <v>Joseph Gore</v>
          </cell>
          <cell r="C43" t="str">
            <v>11WE</v>
          </cell>
          <cell r="D43">
            <v>2</v>
          </cell>
          <cell r="E43">
            <v>1</v>
          </cell>
          <cell r="F43">
            <v>15</v>
          </cell>
          <cell r="G43">
            <v>0</v>
          </cell>
          <cell r="H43">
            <v>2</v>
          </cell>
          <cell r="I43">
            <v>1</v>
          </cell>
        </row>
        <row r="44">
          <cell r="A44">
            <v>160122</v>
          </cell>
          <cell r="B44" t="str">
            <v>Ireoluwa Afolabi</v>
          </cell>
          <cell r="C44" t="str">
            <v>11SK</v>
          </cell>
          <cell r="D44">
            <v>0</v>
          </cell>
          <cell r="E44">
            <v>0</v>
          </cell>
          <cell r="F44">
            <v>12</v>
          </cell>
          <cell r="G44">
            <v>0</v>
          </cell>
          <cell r="H44">
            <v>0</v>
          </cell>
          <cell r="I44">
            <v>0</v>
          </cell>
        </row>
        <row r="45">
          <cell r="A45">
            <v>151736</v>
          </cell>
          <cell r="B45" t="str">
            <v>Rim Bereket</v>
          </cell>
          <cell r="C45" t="str">
            <v>11ZI</v>
          </cell>
          <cell r="D45">
            <v>0</v>
          </cell>
          <cell r="E45">
            <v>0</v>
          </cell>
          <cell r="F45">
            <v>15</v>
          </cell>
          <cell r="G45">
            <v>0</v>
          </cell>
          <cell r="H45">
            <v>0</v>
          </cell>
          <cell r="I45">
            <v>0</v>
          </cell>
        </row>
        <row r="46">
          <cell r="A46">
            <v>151688</v>
          </cell>
          <cell r="B46" t="str">
            <v>Samah Mehmood</v>
          </cell>
          <cell r="C46" t="str">
            <v>11SK</v>
          </cell>
          <cell r="D46">
            <v>0</v>
          </cell>
          <cell r="E46">
            <v>0</v>
          </cell>
          <cell r="F46">
            <v>9</v>
          </cell>
          <cell r="G46">
            <v>0</v>
          </cell>
          <cell r="H46">
            <v>0</v>
          </cell>
          <cell r="I46">
            <v>0</v>
          </cell>
        </row>
        <row r="47">
          <cell r="A47">
            <v>151705</v>
          </cell>
          <cell r="B47" t="str">
            <v>Sophie Lightbody</v>
          </cell>
          <cell r="C47" t="str">
            <v>11SPI</v>
          </cell>
          <cell r="D47">
            <v>1</v>
          </cell>
          <cell r="E47">
            <v>1</v>
          </cell>
          <cell r="F47">
            <v>16</v>
          </cell>
          <cell r="G47">
            <v>0</v>
          </cell>
          <cell r="H47">
            <v>0</v>
          </cell>
          <cell r="I47">
            <v>1</v>
          </cell>
        </row>
        <row r="48">
          <cell r="A48">
            <v>151723</v>
          </cell>
          <cell r="B48" t="str">
            <v>Julita Klamann</v>
          </cell>
          <cell r="C48" t="str">
            <v>11KKN</v>
          </cell>
          <cell r="D48">
            <v>1</v>
          </cell>
          <cell r="E48">
            <v>3</v>
          </cell>
          <cell r="F48">
            <v>7</v>
          </cell>
          <cell r="G48">
            <v>0</v>
          </cell>
          <cell r="H48">
            <v>1</v>
          </cell>
          <cell r="I48">
            <v>3</v>
          </cell>
        </row>
        <row r="49">
          <cell r="A49">
            <v>151526</v>
          </cell>
          <cell r="B49" t="str">
            <v>Luke Fenwick</v>
          </cell>
          <cell r="C49" t="str">
            <v>11WE</v>
          </cell>
          <cell r="D49">
            <v>0</v>
          </cell>
          <cell r="E49">
            <v>0</v>
          </cell>
          <cell r="F49">
            <v>16</v>
          </cell>
          <cell r="G49">
            <v>0</v>
          </cell>
          <cell r="H49">
            <v>0</v>
          </cell>
          <cell r="I49">
            <v>0</v>
          </cell>
        </row>
        <row r="50">
          <cell r="A50">
            <v>151673</v>
          </cell>
          <cell r="B50" t="str">
            <v>Mia Baty</v>
          </cell>
          <cell r="C50" t="str">
            <v>11ZI</v>
          </cell>
          <cell r="D50">
            <v>2</v>
          </cell>
          <cell r="E50">
            <v>1</v>
          </cell>
          <cell r="F50">
            <v>13</v>
          </cell>
          <cell r="G50">
            <v>0</v>
          </cell>
          <cell r="H50">
            <v>2</v>
          </cell>
          <cell r="I50">
            <v>1</v>
          </cell>
        </row>
        <row r="51">
          <cell r="A51">
            <v>151621</v>
          </cell>
          <cell r="B51" t="str">
            <v>Edward Barrett</v>
          </cell>
          <cell r="C51" t="str">
            <v>11SPI</v>
          </cell>
          <cell r="D51">
            <v>0</v>
          </cell>
          <cell r="E51">
            <v>2</v>
          </cell>
          <cell r="F51">
            <v>14</v>
          </cell>
          <cell r="G51">
            <v>0</v>
          </cell>
          <cell r="H51">
            <v>0</v>
          </cell>
          <cell r="I51">
            <v>2</v>
          </cell>
        </row>
        <row r="52">
          <cell r="A52">
            <v>151573</v>
          </cell>
          <cell r="B52" t="str">
            <v>Grace Dransfield</v>
          </cell>
          <cell r="C52" t="str">
            <v>11SPI</v>
          </cell>
          <cell r="D52">
            <v>0</v>
          </cell>
          <cell r="E52">
            <v>0</v>
          </cell>
          <cell r="F52">
            <v>14</v>
          </cell>
          <cell r="G52">
            <v>0</v>
          </cell>
          <cell r="H52">
            <v>0</v>
          </cell>
          <cell r="I52">
            <v>0</v>
          </cell>
        </row>
        <row r="53">
          <cell r="A53">
            <v>151522</v>
          </cell>
          <cell r="B53" t="str">
            <v>Adam Levesley</v>
          </cell>
          <cell r="C53" t="str">
            <v>11JNE</v>
          </cell>
          <cell r="D53">
            <v>0</v>
          </cell>
          <cell r="E53">
            <v>0</v>
          </cell>
          <cell r="F53">
            <v>9</v>
          </cell>
          <cell r="G53">
            <v>0</v>
          </cell>
          <cell r="H53">
            <v>0</v>
          </cell>
          <cell r="I53">
            <v>0</v>
          </cell>
        </row>
        <row r="54">
          <cell r="A54">
            <v>151533</v>
          </cell>
          <cell r="B54" t="str">
            <v>Benedict Naylor</v>
          </cell>
          <cell r="C54" t="str">
            <v>11ZI</v>
          </cell>
          <cell r="D54">
            <v>0</v>
          </cell>
          <cell r="E54">
            <v>0</v>
          </cell>
          <cell r="F54">
            <v>9</v>
          </cell>
          <cell r="G54">
            <v>0</v>
          </cell>
          <cell r="H54">
            <v>0</v>
          </cell>
          <cell r="I54">
            <v>0</v>
          </cell>
        </row>
        <row r="55">
          <cell r="A55">
            <v>151675</v>
          </cell>
          <cell r="B55" t="str">
            <v>Matthew McLaughlin</v>
          </cell>
          <cell r="C55" t="str">
            <v>11KKN</v>
          </cell>
          <cell r="D55">
            <v>0</v>
          </cell>
          <cell r="E55">
            <v>1</v>
          </cell>
          <cell r="F55">
            <v>17</v>
          </cell>
          <cell r="G55">
            <v>0</v>
          </cell>
          <cell r="H55">
            <v>0</v>
          </cell>
          <cell r="I55">
            <v>1</v>
          </cell>
        </row>
        <row r="56">
          <cell r="A56">
            <v>151539</v>
          </cell>
          <cell r="B56" t="str">
            <v>Imogen Lear</v>
          </cell>
          <cell r="C56" t="str">
            <v>11ZI</v>
          </cell>
          <cell r="D56">
            <v>0</v>
          </cell>
          <cell r="E56">
            <v>2</v>
          </cell>
          <cell r="F56">
            <v>11</v>
          </cell>
          <cell r="G56">
            <v>0</v>
          </cell>
          <cell r="H56">
            <v>0</v>
          </cell>
          <cell r="I56">
            <v>2</v>
          </cell>
        </row>
        <row r="57">
          <cell r="A57">
            <v>151553</v>
          </cell>
          <cell r="B57" t="str">
            <v>Joseph Loughran</v>
          </cell>
          <cell r="C57" t="str">
            <v>11KKN</v>
          </cell>
          <cell r="D57">
            <v>0</v>
          </cell>
          <cell r="E57">
            <v>1</v>
          </cell>
          <cell r="F57">
            <v>10</v>
          </cell>
          <cell r="G57">
            <v>0</v>
          </cell>
          <cell r="H57">
            <v>0</v>
          </cell>
          <cell r="I57">
            <v>1</v>
          </cell>
        </row>
        <row r="58">
          <cell r="A58">
            <v>151665</v>
          </cell>
          <cell r="B58" t="str">
            <v>Geoffrey Kay</v>
          </cell>
          <cell r="C58" t="str">
            <v>11WE</v>
          </cell>
          <cell r="D58">
            <v>2</v>
          </cell>
          <cell r="E58">
            <v>1</v>
          </cell>
          <cell r="F58">
            <v>12</v>
          </cell>
          <cell r="G58">
            <v>1</v>
          </cell>
          <cell r="H58">
            <v>0</v>
          </cell>
          <cell r="I58">
            <v>1</v>
          </cell>
        </row>
        <row r="59">
          <cell r="A59">
            <v>151620</v>
          </cell>
          <cell r="B59" t="str">
            <v>Lola Walton-Ryan</v>
          </cell>
          <cell r="C59" t="str">
            <v>11JNE</v>
          </cell>
          <cell r="D59">
            <v>0</v>
          </cell>
          <cell r="E59">
            <v>0</v>
          </cell>
          <cell r="F59">
            <v>8</v>
          </cell>
          <cell r="G59">
            <v>0</v>
          </cell>
          <cell r="H59">
            <v>0</v>
          </cell>
          <cell r="I59">
            <v>0</v>
          </cell>
        </row>
        <row r="60">
          <cell r="A60">
            <v>151717</v>
          </cell>
          <cell r="B60" t="str">
            <v>Pablo Nicolas Paredes Davila</v>
          </cell>
          <cell r="C60" t="str">
            <v>11EGQ</v>
          </cell>
          <cell r="D60">
            <v>0</v>
          </cell>
          <cell r="E60">
            <v>2</v>
          </cell>
          <cell r="F60">
            <v>13</v>
          </cell>
          <cell r="G60">
            <v>0</v>
          </cell>
          <cell r="H60">
            <v>0</v>
          </cell>
          <cell r="I60">
            <v>2</v>
          </cell>
        </row>
        <row r="61">
          <cell r="A61">
            <v>152721</v>
          </cell>
          <cell r="B61" t="str">
            <v>Alisha Bodell</v>
          </cell>
          <cell r="C61" t="str">
            <v>11EGQ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A62">
            <v>151650</v>
          </cell>
          <cell r="B62" t="str">
            <v>Fred Kabunga</v>
          </cell>
          <cell r="C62" t="str">
            <v>11WE</v>
          </cell>
          <cell r="D62">
            <v>0</v>
          </cell>
          <cell r="E62">
            <v>0</v>
          </cell>
          <cell r="F62">
            <v>13</v>
          </cell>
          <cell r="G62">
            <v>0</v>
          </cell>
          <cell r="H62">
            <v>0</v>
          </cell>
          <cell r="I62">
            <v>0</v>
          </cell>
        </row>
        <row r="63">
          <cell r="A63">
            <v>151559</v>
          </cell>
          <cell r="B63" t="str">
            <v>Bethny Owusu-Sekyere</v>
          </cell>
          <cell r="C63" t="str">
            <v>11ZI</v>
          </cell>
          <cell r="D63">
            <v>0</v>
          </cell>
          <cell r="E63">
            <v>1</v>
          </cell>
          <cell r="F63">
            <v>14</v>
          </cell>
          <cell r="G63">
            <v>0</v>
          </cell>
          <cell r="H63">
            <v>0</v>
          </cell>
          <cell r="I63">
            <v>1</v>
          </cell>
        </row>
        <row r="64">
          <cell r="A64">
            <v>151619</v>
          </cell>
          <cell r="B64" t="str">
            <v>Charlie Simpson</v>
          </cell>
          <cell r="C64" t="str">
            <v>11SPI</v>
          </cell>
          <cell r="D64">
            <v>0</v>
          </cell>
          <cell r="E64">
            <v>1</v>
          </cell>
          <cell r="F64">
            <v>9</v>
          </cell>
          <cell r="G64">
            <v>0</v>
          </cell>
          <cell r="H64">
            <v>0</v>
          </cell>
          <cell r="I64">
            <v>0</v>
          </cell>
        </row>
        <row r="65">
          <cell r="A65">
            <v>151552</v>
          </cell>
          <cell r="B65" t="str">
            <v>Erin Tankard</v>
          </cell>
          <cell r="C65" t="str">
            <v>11WE</v>
          </cell>
          <cell r="D65">
            <v>3</v>
          </cell>
          <cell r="E65">
            <v>0</v>
          </cell>
          <cell r="F65">
            <v>9</v>
          </cell>
          <cell r="G65">
            <v>0</v>
          </cell>
          <cell r="H65">
            <v>0</v>
          </cell>
          <cell r="I65">
            <v>0</v>
          </cell>
        </row>
        <row r="66">
          <cell r="A66">
            <v>151544</v>
          </cell>
          <cell r="B66" t="str">
            <v>Valerie Madafi</v>
          </cell>
          <cell r="C66" t="str">
            <v>11EGQ</v>
          </cell>
          <cell r="D66">
            <v>2</v>
          </cell>
          <cell r="E66">
            <v>1</v>
          </cell>
          <cell r="F66">
            <v>13</v>
          </cell>
          <cell r="G66">
            <v>0</v>
          </cell>
          <cell r="H66">
            <v>1</v>
          </cell>
          <cell r="I66">
            <v>1</v>
          </cell>
        </row>
        <row r="67">
          <cell r="A67">
            <v>152719</v>
          </cell>
          <cell r="B67" t="str">
            <v>Amree Ali</v>
          </cell>
          <cell r="C67" t="str">
            <v>11KKN</v>
          </cell>
          <cell r="D67">
            <v>0</v>
          </cell>
          <cell r="E67">
            <v>2</v>
          </cell>
          <cell r="F67">
            <v>13</v>
          </cell>
          <cell r="G67">
            <v>0</v>
          </cell>
          <cell r="H67">
            <v>0</v>
          </cell>
          <cell r="I67">
            <v>2</v>
          </cell>
        </row>
        <row r="68">
          <cell r="A68">
            <v>151679</v>
          </cell>
          <cell r="B68" t="str">
            <v>Millie Prenter</v>
          </cell>
          <cell r="C68" t="str">
            <v>11WE</v>
          </cell>
          <cell r="D68">
            <v>0</v>
          </cell>
          <cell r="E68">
            <v>0</v>
          </cell>
          <cell r="F68">
            <v>10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151687</v>
          </cell>
          <cell r="B69" t="str">
            <v>India Hadi</v>
          </cell>
          <cell r="C69" t="str">
            <v>11WE</v>
          </cell>
          <cell r="D69">
            <v>0</v>
          </cell>
          <cell r="E69">
            <v>0</v>
          </cell>
          <cell r="F69">
            <v>9</v>
          </cell>
          <cell r="G69">
            <v>0</v>
          </cell>
          <cell r="H69">
            <v>0</v>
          </cell>
          <cell r="I69">
            <v>0</v>
          </cell>
        </row>
        <row r="70">
          <cell r="A70">
            <v>151672</v>
          </cell>
          <cell r="B70" t="str">
            <v>James Walsh</v>
          </cell>
          <cell r="C70" t="str">
            <v>11EGQ</v>
          </cell>
          <cell r="D70">
            <v>5</v>
          </cell>
          <cell r="E70">
            <v>4</v>
          </cell>
          <cell r="F70">
            <v>19</v>
          </cell>
          <cell r="G70">
            <v>2</v>
          </cell>
          <cell r="H70">
            <v>1</v>
          </cell>
          <cell r="I70">
            <v>2</v>
          </cell>
        </row>
        <row r="71">
          <cell r="A71">
            <v>151729</v>
          </cell>
          <cell r="B71" t="str">
            <v>Nathanael Smith</v>
          </cell>
          <cell r="C71" t="str">
            <v>11SPI</v>
          </cell>
          <cell r="D71">
            <v>0</v>
          </cell>
          <cell r="E71">
            <v>1</v>
          </cell>
          <cell r="F71">
            <v>19</v>
          </cell>
          <cell r="G71">
            <v>0</v>
          </cell>
          <cell r="H71">
            <v>0</v>
          </cell>
          <cell r="I71">
            <v>1</v>
          </cell>
        </row>
        <row r="72">
          <cell r="A72">
            <v>151654</v>
          </cell>
          <cell r="B72" t="str">
            <v>Kobe Grant</v>
          </cell>
          <cell r="C72" t="str">
            <v>11SK</v>
          </cell>
          <cell r="D72">
            <v>1</v>
          </cell>
          <cell r="E72">
            <v>1</v>
          </cell>
          <cell r="F72">
            <v>14</v>
          </cell>
          <cell r="G72">
            <v>0</v>
          </cell>
          <cell r="H72">
            <v>1</v>
          </cell>
          <cell r="I72">
            <v>0</v>
          </cell>
        </row>
        <row r="73">
          <cell r="A73">
            <v>151623</v>
          </cell>
          <cell r="B73" t="str">
            <v>Francis Sasu-Fynn</v>
          </cell>
          <cell r="C73" t="str">
            <v>11SK</v>
          </cell>
          <cell r="D73">
            <v>5</v>
          </cell>
          <cell r="E73">
            <v>2</v>
          </cell>
          <cell r="F73">
            <v>10</v>
          </cell>
          <cell r="G73">
            <v>0</v>
          </cell>
          <cell r="H73">
            <v>5</v>
          </cell>
          <cell r="I73">
            <v>2</v>
          </cell>
        </row>
        <row r="74">
          <cell r="A74">
            <v>151633</v>
          </cell>
          <cell r="B74" t="str">
            <v>Sarah Azar</v>
          </cell>
          <cell r="C74" t="str">
            <v>11SK</v>
          </cell>
          <cell r="D74">
            <v>0</v>
          </cell>
          <cell r="E74">
            <v>0</v>
          </cell>
          <cell r="F74">
            <v>18</v>
          </cell>
          <cell r="G74">
            <v>0</v>
          </cell>
          <cell r="H74">
            <v>0</v>
          </cell>
          <cell r="I74">
            <v>0</v>
          </cell>
        </row>
        <row r="75">
          <cell r="A75">
            <v>151579</v>
          </cell>
          <cell r="B75" t="str">
            <v>Patrick Siggs</v>
          </cell>
          <cell r="C75" t="str">
            <v>11ZI</v>
          </cell>
          <cell r="D75">
            <v>1</v>
          </cell>
          <cell r="E75">
            <v>0</v>
          </cell>
          <cell r="F75">
            <v>26</v>
          </cell>
          <cell r="G75">
            <v>0</v>
          </cell>
          <cell r="H75">
            <v>1</v>
          </cell>
          <cell r="I75">
            <v>0</v>
          </cell>
        </row>
        <row r="76">
          <cell r="A76">
            <v>151689</v>
          </cell>
          <cell r="B76" t="str">
            <v>Miracle Osagie</v>
          </cell>
          <cell r="C76" t="str">
            <v>11SDA</v>
          </cell>
          <cell r="D76">
            <v>0</v>
          </cell>
          <cell r="E76">
            <v>1</v>
          </cell>
          <cell r="F76">
            <v>16</v>
          </cell>
          <cell r="G76">
            <v>0</v>
          </cell>
          <cell r="H76">
            <v>0</v>
          </cell>
          <cell r="I76">
            <v>1</v>
          </cell>
        </row>
        <row r="77">
          <cell r="A77">
            <v>151550</v>
          </cell>
          <cell r="B77" t="str">
            <v>Benjamin Heley</v>
          </cell>
          <cell r="C77" t="str">
            <v>11KKN</v>
          </cell>
          <cell r="D77">
            <v>0</v>
          </cell>
          <cell r="E77">
            <v>0</v>
          </cell>
          <cell r="F77">
            <v>9</v>
          </cell>
          <cell r="G77">
            <v>0</v>
          </cell>
          <cell r="H77">
            <v>0</v>
          </cell>
          <cell r="I77">
            <v>0</v>
          </cell>
        </row>
        <row r="78">
          <cell r="A78">
            <v>151540</v>
          </cell>
          <cell r="B78" t="str">
            <v>Cristina Cattolico</v>
          </cell>
          <cell r="C78" t="str">
            <v>11ZI</v>
          </cell>
          <cell r="D78">
            <v>2</v>
          </cell>
          <cell r="E78">
            <v>5</v>
          </cell>
          <cell r="F78">
            <v>16</v>
          </cell>
          <cell r="G78">
            <v>0</v>
          </cell>
          <cell r="H78">
            <v>0</v>
          </cell>
          <cell r="I78">
            <v>3</v>
          </cell>
        </row>
        <row r="79">
          <cell r="A79">
            <v>151616</v>
          </cell>
          <cell r="B79" t="str">
            <v>Joel Gachia</v>
          </cell>
          <cell r="C79" t="str">
            <v>11SK</v>
          </cell>
          <cell r="D79">
            <v>2</v>
          </cell>
          <cell r="E79">
            <v>3</v>
          </cell>
          <cell r="F79">
            <v>13</v>
          </cell>
          <cell r="G79">
            <v>0</v>
          </cell>
          <cell r="H79">
            <v>0</v>
          </cell>
          <cell r="I79">
            <v>2</v>
          </cell>
        </row>
        <row r="80">
          <cell r="A80">
            <v>151640</v>
          </cell>
          <cell r="B80" t="str">
            <v>Chinonso Ufondu</v>
          </cell>
          <cell r="C80" t="str">
            <v>11SK</v>
          </cell>
          <cell r="D80">
            <v>0</v>
          </cell>
          <cell r="E80">
            <v>0</v>
          </cell>
          <cell r="F80">
            <v>24</v>
          </cell>
          <cell r="G80">
            <v>0</v>
          </cell>
          <cell r="H80">
            <v>0</v>
          </cell>
          <cell r="I80">
            <v>0</v>
          </cell>
        </row>
        <row r="81">
          <cell r="A81">
            <v>151720</v>
          </cell>
          <cell r="B81" t="str">
            <v>James Stafford</v>
          </cell>
          <cell r="C81" t="str">
            <v>11SK</v>
          </cell>
          <cell r="D81">
            <v>0</v>
          </cell>
          <cell r="E81">
            <v>0</v>
          </cell>
          <cell r="F81">
            <v>13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151644</v>
          </cell>
          <cell r="B82" t="str">
            <v>Alfie Taft</v>
          </cell>
          <cell r="C82" t="str">
            <v>11SK</v>
          </cell>
          <cell r="D82">
            <v>10</v>
          </cell>
          <cell r="E82">
            <v>4</v>
          </cell>
          <cell r="F82">
            <v>9</v>
          </cell>
          <cell r="G82">
            <v>2</v>
          </cell>
          <cell r="H82">
            <v>4</v>
          </cell>
          <cell r="I82">
            <v>3</v>
          </cell>
        </row>
        <row r="83">
          <cell r="A83">
            <v>151726</v>
          </cell>
          <cell r="B83" t="str">
            <v>Antonia Priestley</v>
          </cell>
          <cell r="C83" t="str">
            <v>11KKN</v>
          </cell>
          <cell r="D83">
            <v>0</v>
          </cell>
          <cell r="E83">
            <v>0</v>
          </cell>
          <cell r="F83">
            <v>14</v>
          </cell>
          <cell r="G83">
            <v>0</v>
          </cell>
          <cell r="H83">
            <v>0</v>
          </cell>
          <cell r="I83">
            <v>0</v>
          </cell>
        </row>
        <row r="84">
          <cell r="A84">
            <v>151641</v>
          </cell>
          <cell r="B84" t="str">
            <v>Esther McKinney</v>
          </cell>
          <cell r="C84" t="str">
            <v>11ZI</v>
          </cell>
          <cell r="D84">
            <v>0</v>
          </cell>
          <cell r="E84">
            <v>0</v>
          </cell>
          <cell r="F84">
            <v>3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151611</v>
          </cell>
          <cell r="B85" t="str">
            <v>Michael Green</v>
          </cell>
          <cell r="C85" t="str">
            <v>11EGQ</v>
          </cell>
          <cell r="D85">
            <v>0</v>
          </cell>
          <cell r="E85">
            <v>2</v>
          </cell>
          <cell r="F85">
            <v>8</v>
          </cell>
          <cell r="G85">
            <v>0</v>
          </cell>
          <cell r="H85">
            <v>0</v>
          </cell>
          <cell r="I85">
            <v>2</v>
          </cell>
        </row>
        <row r="86">
          <cell r="A86">
            <v>151656</v>
          </cell>
          <cell r="B86" t="str">
            <v>Jade Sheppard</v>
          </cell>
          <cell r="C86" t="str">
            <v>11KKN</v>
          </cell>
          <cell r="D86">
            <v>0</v>
          </cell>
          <cell r="E86">
            <v>0</v>
          </cell>
          <cell r="F86">
            <v>11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151629</v>
          </cell>
          <cell r="B87" t="str">
            <v>Leo Anderson</v>
          </cell>
          <cell r="C87" t="str">
            <v>11WE</v>
          </cell>
          <cell r="D87">
            <v>1</v>
          </cell>
          <cell r="E87">
            <v>3</v>
          </cell>
          <cell r="F87">
            <v>13</v>
          </cell>
          <cell r="G87">
            <v>0</v>
          </cell>
          <cell r="H87">
            <v>0</v>
          </cell>
          <cell r="I87">
            <v>1</v>
          </cell>
        </row>
        <row r="88">
          <cell r="A88">
            <v>151571</v>
          </cell>
          <cell r="B88" t="str">
            <v>Aaron Magambo</v>
          </cell>
          <cell r="C88" t="str">
            <v>11JNE</v>
          </cell>
          <cell r="D88">
            <v>0</v>
          </cell>
          <cell r="E88">
            <v>1</v>
          </cell>
          <cell r="F88">
            <v>13</v>
          </cell>
          <cell r="G88">
            <v>0</v>
          </cell>
          <cell r="H88">
            <v>0</v>
          </cell>
          <cell r="I88">
            <v>1</v>
          </cell>
        </row>
        <row r="89">
          <cell r="A89">
            <v>151576</v>
          </cell>
          <cell r="B89" t="str">
            <v>Natalie Bath</v>
          </cell>
          <cell r="C89" t="str">
            <v>11KKN</v>
          </cell>
          <cell r="D89">
            <v>1</v>
          </cell>
          <cell r="E89">
            <v>0</v>
          </cell>
          <cell r="F89">
            <v>14</v>
          </cell>
          <cell r="G89">
            <v>0</v>
          </cell>
          <cell r="H89">
            <v>1</v>
          </cell>
          <cell r="I89">
            <v>0</v>
          </cell>
        </row>
        <row r="90">
          <cell r="A90">
            <v>152718</v>
          </cell>
          <cell r="B90" t="str">
            <v>Akshaya Penmetsa</v>
          </cell>
          <cell r="C90" t="str">
            <v>11JNE</v>
          </cell>
          <cell r="D90">
            <v>0</v>
          </cell>
          <cell r="E90">
            <v>0</v>
          </cell>
          <cell r="F90">
            <v>8</v>
          </cell>
          <cell r="G90">
            <v>0</v>
          </cell>
          <cell r="H90">
            <v>0</v>
          </cell>
          <cell r="I90">
            <v>0</v>
          </cell>
        </row>
        <row r="91">
          <cell r="A91">
            <v>151548</v>
          </cell>
          <cell r="B91" t="str">
            <v>Lydia O'Brien</v>
          </cell>
          <cell r="C91" t="str">
            <v>11ZI</v>
          </cell>
          <cell r="D91">
            <v>0</v>
          </cell>
          <cell r="E91">
            <v>1</v>
          </cell>
          <cell r="F91">
            <v>10</v>
          </cell>
          <cell r="G91">
            <v>0</v>
          </cell>
          <cell r="H91">
            <v>0</v>
          </cell>
          <cell r="I91">
            <v>1</v>
          </cell>
        </row>
        <row r="92">
          <cell r="A92">
            <v>151703</v>
          </cell>
          <cell r="B92" t="str">
            <v>Elizabeth Barratt</v>
          </cell>
          <cell r="C92" t="str">
            <v>11ZI</v>
          </cell>
          <cell r="D92">
            <v>0</v>
          </cell>
          <cell r="E92">
            <v>0</v>
          </cell>
          <cell r="F92">
            <v>21</v>
          </cell>
          <cell r="G92">
            <v>0</v>
          </cell>
          <cell r="H92">
            <v>0</v>
          </cell>
          <cell r="I92">
            <v>0</v>
          </cell>
        </row>
        <row r="93">
          <cell r="A93">
            <v>151704</v>
          </cell>
          <cell r="B93" t="str">
            <v>Evie Rose</v>
          </cell>
          <cell r="C93" t="str">
            <v>11WE</v>
          </cell>
          <cell r="D93">
            <v>23</v>
          </cell>
          <cell r="E93">
            <v>8</v>
          </cell>
          <cell r="F93">
            <v>11</v>
          </cell>
          <cell r="G93">
            <v>2</v>
          </cell>
          <cell r="H93">
            <v>5</v>
          </cell>
          <cell r="I93">
            <v>3</v>
          </cell>
        </row>
        <row r="94">
          <cell r="A94">
            <v>151574</v>
          </cell>
          <cell r="B94" t="str">
            <v>Harmala Yemane</v>
          </cell>
          <cell r="C94" t="str">
            <v>11KKN</v>
          </cell>
          <cell r="D94">
            <v>0</v>
          </cell>
          <cell r="E94">
            <v>2</v>
          </cell>
          <cell r="F94">
            <v>16</v>
          </cell>
          <cell r="G94">
            <v>0</v>
          </cell>
          <cell r="H94">
            <v>0</v>
          </cell>
          <cell r="I94">
            <v>1</v>
          </cell>
        </row>
        <row r="95">
          <cell r="A95">
            <v>151686</v>
          </cell>
          <cell r="B95" t="str">
            <v>Cianah Farleigh Pereira</v>
          </cell>
          <cell r="C95" t="str">
            <v>11SK</v>
          </cell>
          <cell r="D95">
            <v>10</v>
          </cell>
          <cell r="E95">
            <v>4</v>
          </cell>
          <cell r="F95">
            <v>16</v>
          </cell>
          <cell r="G95">
            <v>3</v>
          </cell>
          <cell r="H95">
            <v>2</v>
          </cell>
          <cell r="I95">
            <v>4</v>
          </cell>
        </row>
        <row r="96">
          <cell r="A96">
            <v>151728</v>
          </cell>
          <cell r="B96" t="str">
            <v>Madison Elvie</v>
          </cell>
          <cell r="C96" t="str">
            <v>11ZI</v>
          </cell>
          <cell r="D96">
            <v>3</v>
          </cell>
          <cell r="E96">
            <v>1</v>
          </cell>
          <cell r="F96">
            <v>8</v>
          </cell>
          <cell r="G96">
            <v>0</v>
          </cell>
          <cell r="H96">
            <v>3</v>
          </cell>
          <cell r="I96">
            <v>1</v>
          </cell>
        </row>
        <row r="97">
          <cell r="A97">
            <v>151716</v>
          </cell>
          <cell r="B97" t="str">
            <v>Maja Tyminska</v>
          </cell>
          <cell r="C97" t="str">
            <v>11EGQ</v>
          </cell>
          <cell r="D97">
            <v>0</v>
          </cell>
          <cell r="E97">
            <v>1</v>
          </cell>
          <cell r="F97">
            <v>22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160140</v>
          </cell>
          <cell r="B98" t="str">
            <v>Zack Thompson</v>
          </cell>
          <cell r="C98" t="str">
            <v>11SDA</v>
          </cell>
          <cell r="D98">
            <v>6</v>
          </cell>
          <cell r="E98">
            <v>6</v>
          </cell>
          <cell r="F98">
            <v>7</v>
          </cell>
          <cell r="G98">
            <v>1</v>
          </cell>
          <cell r="H98">
            <v>3</v>
          </cell>
          <cell r="I98">
            <v>6</v>
          </cell>
        </row>
        <row r="99">
          <cell r="A99">
            <v>151534</v>
          </cell>
          <cell r="B99" t="str">
            <v>Gabrielle El Jammal</v>
          </cell>
          <cell r="C99" t="str">
            <v>11SPI</v>
          </cell>
          <cell r="D99">
            <v>0</v>
          </cell>
          <cell r="E99">
            <v>1</v>
          </cell>
          <cell r="F99">
            <v>20</v>
          </cell>
          <cell r="G99">
            <v>0</v>
          </cell>
          <cell r="H99">
            <v>0</v>
          </cell>
          <cell r="I99">
            <v>1</v>
          </cell>
        </row>
        <row r="100">
          <cell r="A100">
            <v>151577</v>
          </cell>
          <cell r="B100" t="str">
            <v>Finlay Jones</v>
          </cell>
          <cell r="C100" t="str">
            <v>11WE</v>
          </cell>
          <cell r="D100">
            <v>3</v>
          </cell>
          <cell r="E100">
            <v>2</v>
          </cell>
          <cell r="F100">
            <v>8</v>
          </cell>
          <cell r="G100">
            <v>2</v>
          </cell>
          <cell r="H100">
            <v>1</v>
          </cell>
          <cell r="I100">
            <v>2</v>
          </cell>
        </row>
        <row r="101">
          <cell r="A101">
            <v>151709</v>
          </cell>
          <cell r="B101" t="str">
            <v>Madeleine Hindmarch</v>
          </cell>
          <cell r="C101" t="str">
            <v>11WE</v>
          </cell>
          <cell r="D101">
            <v>1</v>
          </cell>
          <cell r="E101">
            <v>1</v>
          </cell>
          <cell r="F101">
            <v>10</v>
          </cell>
          <cell r="G101">
            <v>0</v>
          </cell>
          <cell r="H101">
            <v>0</v>
          </cell>
          <cell r="I101">
            <v>1</v>
          </cell>
        </row>
        <row r="102">
          <cell r="A102">
            <v>151628</v>
          </cell>
          <cell r="B102" t="str">
            <v>Oluwafeolami Makanjuola</v>
          </cell>
          <cell r="C102" t="str">
            <v>11JNE</v>
          </cell>
          <cell r="D102">
            <v>0</v>
          </cell>
          <cell r="E102">
            <v>4</v>
          </cell>
          <cell r="F102">
            <v>4</v>
          </cell>
          <cell r="G102">
            <v>0</v>
          </cell>
          <cell r="H102">
            <v>0</v>
          </cell>
          <cell r="I102">
            <v>4</v>
          </cell>
        </row>
        <row r="103">
          <cell r="A103">
            <v>151718</v>
          </cell>
          <cell r="B103" t="str">
            <v>Eliana Uduoise</v>
          </cell>
          <cell r="C103" t="str">
            <v>11SK</v>
          </cell>
          <cell r="D103">
            <v>1</v>
          </cell>
          <cell r="E103">
            <v>1</v>
          </cell>
          <cell r="F103">
            <v>17</v>
          </cell>
          <cell r="G103">
            <v>1</v>
          </cell>
          <cell r="H103">
            <v>0</v>
          </cell>
          <cell r="I103">
            <v>1</v>
          </cell>
        </row>
        <row r="104">
          <cell r="A104">
            <v>151606</v>
          </cell>
          <cell r="B104" t="str">
            <v>Mya Williams</v>
          </cell>
          <cell r="C104" t="str">
            <v>11SDA</v>
          </cell>
          <cell r="D104">
            <v>4</v>
          </cell>
          <cell r="E104">
            <v>5</v>
          </cell>
          <cell r="F104">
            <v>3</v>
          </cell>
          <cell r="G104">
            <v>3</v>
          </cell>
          <cell r="H104">
            <v>1</v>
          </cell>
          <cell r="I104">
            <v>3</v>
          </cell>
        </row>
        <row r="105">
          <cell r="A105">
            <v>151708</v>
          </cell>
          <cell r="B105" t="str">
            <v>Faith O'Malley</v>
          </cell>
          <cell r="C105" t="str">
            <v>11EGQ</v>
          </cell>
          <cell r="D105">
            <v>2</v>
          </cell>
          <cell r="E105">
            <v>1</v>
          </cell>
          <cell r="F105">
            <v>13</v>
          </cell>
          <cell r="G105">
            <v>1</v>
          </cell>
          <cell r="H105">
            <v>0</v>
          </cell>
          <cell r="I105">
            <v>1</v>
          </cell>
        </row>
        <row r="106">
          <cell r="A106">
            <v>151600</v>
          </cell>
          <cell r="B106" t="str">
            <v>Daisy Cullen</v>
          </cell>
          <cell r="C106" t="str">
            <v>11SDA</v>
          </cell>
          <cell r="D106">
            <v>1</v>
          </cell>
          <cell r="E106">
            <v>0</v>
          </cell>
          <cell r="F106">
            <v>7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151604</v>
          </cell>
          <cell r="B107" t="str">
            <v>Jessica Burton</v>
          </cell>
          <cell r="C107" t="str">
            <v>11SK</v>
          </cell>
          <cell r="D107">
            <v>0</v>
          </cell>
          <cell r="E107">
            <v>0</v>
          </cell>
          <cell r="F107">
            <v>13</v>
          </cell>
          <cell r="G107">
            <v>0</v>
          </cell>
          <cell r="H107">
            <v>0</v>
          </cell>
          <cell r="I107">
            <v>0</v>
          </cell>
        </row>
        <row r="108">
          <cell r="A108">
            <v>151546</v>
          </cell>
          <cell r="B108" t="str">
            <v>Roseann Kay</v>
          </cell>
          <cell r="C108" t="str">
            <v>11KKN</v>
          </cell>
          <cell r="D108">
            <v>1</v>
          </cell>
          <cell r="E108">
            <v>2</v>
          </cell>
          <cell r="F108">
            <v>7</v>
          </cell>
          <cell r="G108">
            <v>1</v>
          </cell>
          <cell r="H108">
            <v>0</v>
          </cell>
          <cell r="I108">
            <v>2</v>
          </cell>
        </row>
        <row r="109">
          <cell r="A109">
            <v>151660</v>
          </cell>
          <cell r="B109" t="str">
            <v>Benjamin Ward</v>
          </cell>
          <cell r="C109" t="str">
            <v>11SDA</v>
          </cell>
          <cell r="D109">
            <v>2</v>
          </cell>
          <cell r="E109">
            <v>1</v>
          </cell>
          <cell r="F109">
            <v>20</v>
          </cell>
          <cell r="G109">
            <v>0</v>
          </cell>
          <cell r="H109">
            <v>2</v>
          </cell>
          <cell r="I109">
            <v>1</v>
          </cell>
        </row>
        <row r="110">
          <cell r="A110">
            <v>151564</v>
          </cell>
          <cell r="B110" t="str">
            <v>Emily Owen</v>
          </cell>
          <cell r="C110" t="str">
            <v>11EGQ</v>
          </cell>
          <cell r="D110">
            <v>0</v>
          </cell>
          <cell r="E110">
            <v>1</v>
          </cell>
          <cell r="F110">
            <v>20</v>
          </cell>
          <cell r="G110">
            <v>0</v>
          </cell>
          <cell r="H110">
            <v>0</v>
          </cell>
          <cell r="I110">
            <v>1</v>
          </cell>
        </row>
        <row r="111">
          <cell r="A111">
            <v>151630</v>
          </cell>
          <cell r="B111" t="str">
            <v>Elijah Amer</v>
          </cell>
          <cell r="C111" t="str">
            <v>11SDA</v>
          </cell>
          <cell r="D111">
            <v>0</v>
          </cell>
          <cell r="E111">
            <v>1</v>
          </cell>
          <cell r="F111">
            <v>1</v>
          </cell>
          <cell r="G111">
            <v>0</v>
          </cell>
          <cell r="H111">
            <v>0</v>
          </cell>
          <cell r="I111">
            <v>1</v>
          </cell>
        </row>
        <row r="112">
          <cell r="A112">
            <v>151607</v>
          </cell>
          <cell r="B112" t="str">
            <v>Gabriel Barnes</v>
          </cell>
          <cell r="C112" t="str">
            <v>11SDA</v>
          </cell>
          <cell r="D112">
            <v>0</v>
          </cell>
          <cell r="E112">
            <v>0</v>
          </cell>
          <cell r="F112">
            <v>19</v>
          </cell>
          <cell r="G112">
            <v>0</v>
          </cell>
          <cell r="H112">
            <v>0</v>
          </cell>
          <cell r="I112">
            <v>0</v>
          </cell>
        </row>
        <row r="113">
          <cell r="A113">
            <v>151691</v>
          </cell>
          <cell r="B113" t="str">
            <v>Rachel Shields</v>
          </cell>
          <cell r="C113" t="str">
            <v>11JNE</v>
          </cell>
          <cell r="D113">
            <v>0</v>
          </cell>
          <cell r="E113">
            <v>0</v>
          </cell>
          <cell r="F113">
            <v>11</v>
          </cell>
          <cell r="G113">
            <v>0</v>
          </cell>
          <cell r="H113">
            <v>0</v>
          </cell>
          <cell r="I113">
            <v>0</v>
          </cell>
        </row>
        <row r="114">
          <cell r="A114">
            <v>151730</v>
          </cell>
          <cell r="B114" t="str">
            <v>Luke Smith</v>
          </cell>
          <cell r="C114" t="str">
            <v>11SPI</v>
          </cell>
          <cell r="D114">
            <v>6</v>
          </cell>
          <cell r="E114">
            <v>6</v>
          </cell>
          <cell r="F114">
            <v>12</v>
          </cell>
          <cell r="G114">
            <v>1</v>
          </cell>
          <cell r="H114">
            <v>5</v>
          </cell>
          <cell r="I114">
            <v>4</v>
          </cell>
        </row>
        <row r="115">
          <cell r="A115">
            <v>151659</v>
          </cell>
          <cell r="B115" t="str">
            <v>Mika Streicher Rootman</v>
          </cell>
          <cell r="C115" t="str">
            <v>11JNE</v>
          </cell>
          <cell r="D115">
            <v>0</v>
          </cell>
          <cell r="E115">
            <v>0</v>
          </cell>
          <cell r="F115">
            <v>12</v>
          </cell>
          <cell r="G115">
            <v>0</v>
          </cell>
          <cell r="H115">
            <v>0</v>
          </cell>
          <cell r="I115">
            <v>0</v>
          </cell>
        </row>
        <row r="116">
          <cell r="A116">
            <v>151529</v>
          </cell>
          <cell r="B116" t="str">
            <v>Shakylla Akunda</v>
          </cell>
          <cell r="C116" t="str">
            <v>11EGQ</v>
          </cell>
          <cell r="D116">
            <v>0</v>
          </cell>
          <cell r="E116">
            <v>0</v>
          </cell>
          <cell r="F116">
            <v>15</v>
          </cell>
          <cell r="G116">
            <v>0</v>
          </cell>
          <cell r="H116">
            <v>0</v>
          </cell>
          <cell r="I116">
            <v>0</v>
          </cell>
        </row>
        <row r="117">
          <cell r="A117">
            <v>151537</v>
          </cell>
          <cell r="B117" t="str">
            <v>James Alyas</v>
          </cell>
          <cell r="C117" t="str">
            <v>11SK</v>
          </cell>
          <cell r="D117">
            <v>2</v>
          </cell>
          <cell r="E117">
            <v>6</v>
          </cell>
          <cell r="F117">
            <v>15</v>
          </cell>
          <cell r="G117">
            <v>0</v>
          </cell>
          <cell r="H117">
            <v>2</v>
          </cell>
          <cell r="I117">
            <v>0</v>
          </cell>
        </row>
        <row r="118">
          <cell r="A118">
            <v>151670</v>
          </cell>
          <cell r="B118" t="str">
            <v>Evie Phelps</v>
          </cell>
          <cell r="C118" t="str">
            <v>11ZI</v>
          </cell>
          <cell r="D118">
            <v>0</v>
          </cell>
          <cell r="E118">
            <v>0</v>
          </cell>
          <cell r="F118">
            <v>4</v>
          </cell>
          <cell r="G118">
            <v>0</v>
          </cell>
          <cell r="H118">
            <v>0</v>
          </cell>
          <cell r="I118">
            <v>0</v>
          </cell>
        </row>
        <row r="119">
          <cell r="A119">
            <v>151674</v>
          </cell>
          <cell r="B119" t="str">
            <v>Zain Hussain</v>
          </cell>
          <cell r="C119" t="str">
            <v>11SK</v>
          </cell>
          <cell r="D119">
            <v>6</v>
          </cell>
          <cell r="E119">
            <v>2</v>
          </cell>
          <cell r="F119">
            <v>18</v>
          </cell>
          <cell r="G119">
            <v>5</v>
          </cell>
          <cell r="H119">
            <v>0</v>
          </cell>
          <cell r="I119">
            <v>1</v>
          </cell>
        </row>
        <row r="120">
          <cell r="A120">
            <v>151615</v>
          </cell>
          <cell r="B120" t="str">
            <v>Olivia Sweeting</v>
          </cell>
          <cell r="C120" t="str">
            <v>11SDA</v>
          </cell>
          <cell r="D120">
            <v>0</v>
          </cell>
          <cell r="E120">
            <v>0</v>
          </cell>
          <cell r="F120">
            <v>8</v>
          </cell>
          <cell r="G120">
            <v>0</v>
          </cell>
          <cell r="H120">
            <v>0</v>
          </cell>
          <cell r="I120">
            <v>0</v>
          </cell>
        </row>
        <row r="121">
          <cell r="A121">
            <v>151622</v>
          </cell>
          <cell r="B121" t="str">
            <v>Veronica Fuganti</v>
          </cell>
          <cell r="C121" t="str">
            <v>11SDA</v>
          </cell>
          <cell r="D121">
            <v>0</v>
          </cell>
          <cell r="E121">
            <v>0</v>
          </cell>
          <cell r="F121">
            <v>20</v>
          </cell>
          <cell r="G121">
            <v>0</v>
          </cell>
          <cell r="H121">
            <v>0</v>
          </cell>
          <cell r="I121">
            <v>0</v>
          </cell>
        </row>
        <row r="122">
          <cell r="A122">
            <v>151558</v>
          </cell>
          <cell r="B122" t="str">
            <v>Louis McQuillan-Leonard</v>
          </cell>
          <cell r="C122" t="str">
            <v>11KKN</v>
          </cell>
          <cell r="D122">
            <v>0</v>
          </cell>
          <cell r="E122">
            <v>0</v>
          </cell>
          <cell r="F122">
            <v>9</v>
          </cell>
          <cell r="G122">
            <v>0</v>
          </cell>
          <cell r="H122">
            <v>0</v>
          </cell>
          <cell r="I122">
            <v>0</v>
          </cell>
        </row>
        <row r="123">
          <cell r="A123">
            <v>151741</v>
          </cell>
          <cell r="B123" t="str">
            <v>Caitlin Walsh</v>
          </cell>
          <cell r="C123" t="str">
            <v>11JNE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151701</v>
          </cell>
          <cell r="B124" t="str">
            <v>Hannah Read</v>
          </cell>
          <cell r="C124" t="str">
            <v>11WE</v>
          </cell>
          <cell r="D124">
            <v>0</v>
          </cell>
          <cell r="E124">
            <v>0</v>
          </cell>
          <cell r="F124">
            <v>14</v>
          </cell>
          <cell r="G124">
            <v>0</v>
          </cell>
          <cell r="H124">
            <v>0</v>
          </cell>
          <cell r="I124">
            <v>0</v>
          </cell>
        </row>
        <row r="125">
          <cell r="A125">
            <v>151605</v>
          </cell>
          <cell r="B125" t="str">
            <v>Phoebe Doherty</v>
          </cell>
          <cell r="C125" t="str">
            <v>11ZI</v>
          </cell>
          <cell r="D125">
            <v>0</v>
          </cell>
          <cell r="E125">
            <v>0</v>
          </cell>
          <cell r="F125">
            <v>11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151523</v>
          </cell>
          <cell r="B126" t="str">
            <v>Silvi Hinchcliffe</v>
          </cell>
          <cell r="C126" t="str">
            <v>11SPI</v>
          </cell>
          <cell r="D126">
            <v>0</v>
          </cell>
          <cell r="E126">
            <v>1</v>
          </cell>
          <cell r="F126">
            <v>17</v>
          </cell>
          <cell r="G126">
            <v>0</v>
          </cell>
          <cell r="H126">
            <v>0</v>
          </cell>
          <cell r="I126">
            <v>1</v>
          </cell>
        </row>
        <row r="127">
          <cell r="A127">
            <v>151721</v>
          </cell>
          <cell r="B127" t="str">
            <v>Mia Hanniffy - Longden</v>
          </cell>
          <cell r="C127" t="str">
            <v>11EGQ</v>
          </cell>
          <cell r="D127">
            <v>0</v>
          </cell>
          <cell r="E127">
            <v>1</v>
          </cell>
          <cell r="F127">
            <v>15</v>
          </cell>
          <cell r="G127">
            <v>0</v>
          </cell>
          <cell r="H127">
            <v>0</v>
          </cell>
          <cell r="I127">
            <v>1</v>
          </cell>
        </row>
        <row r="128">
          <cell r="A128">
            <v>151525</v>
          </cell>
          <cell r="B128" t="str">
            <v>Max Howson</v>
          </cell>
          <cell r="C128" t="str">
            <v>11ZI</v>
          </cell>
          <cell r="D128">
            <v>1</v>
          </cell>
          <cell r="E128">
            <v>1</v>
          </cell>
          <cell r="F128">
            <v>19</v>
          </cell>
          <cell r="G128">
            <v>1</v>
          </cell>
          <cell r="H128">
            <v>0</v>
          </cell>
          <cell r="I128">
            <v>1</v>
          </cell>
        </row>
        <row r="129">
          <cell r="A129">
            <v>151597</v>
          </cell>
          <cell r="B129" t="str">
            <v>Riannon Walford</v>
          </cell>
          <cell r="C129" t="str">
            <v>11EGQ</v>
          </cell>
          <cell r="D129">
            <v>5</v>
          </cell>
          <cell r="E129">
            <v>2</v>
          </cell>
          <cell r="F129">
            <v>16</v>
          </cell>
          <cell r="G129">
            <v>2</v>
          </cell>
          <cell r="H129">
            <v>1</v>
          </cell>
          <cell r="I129">
            <v>1</v>
          </cell>
        </row>
        <row r="130">
          <cell r="A130">
            <v>151596</v>
          </cell>
          <cell r="B130" t="str">
            <v>Sibusisiwe Sibanda</v>
          </cell>
          <cell r="C130" t="str">
            <v>11KKN</v>
          </cell>
          <cell r="D130">
            <v>7</v>
          </cell>
          <cell r="E130">
            <v>1</v>
          </cell>
          <cell r="F130">
            <v>12</v>
          </cell>
          <cell r="G130">
            <v>0</v>
          </cell>
          <cell r="H130">
            <v>2</v>
          </cell>
          <cell r="I130">
            <v>1</v>
          </cell>
        </row>
        <row r="131">
          <cell r="A131">
            <v>151584</v>
          </cell>
          <cell r="B131" t="str">
            <v>Tyler Martin</v>
          </cell>
          <cell r="C131" t="str">
            <v>11SDA</v>
          </cell>
          <cell r="D131">
            <v>0</v>
          </cell>
          <cell r="E131">
            <v>0</v>
          </cell>
          <cell r="F131">
            <v>25</v>
          </cell>
          <cell r="G131">
            <v>0</v>
          </cell>
          <cell r="H131">
            <v>0</v>
          </cell>
          <cell r="I131">
            <v>0</v>
          </cell>
        </row>
        <row r="132">
          <cell r="A132">
            <v>151696</v>
          </cell>
          <cell r="B132" t="str">
            <v>Ellie King</v>
          </cell>
          <cell r="C132" t="str">
            <v>11EGQ</v>
          </cell>
          <cell r="D132">
            <v>1</v>
          </cell>
          <cell r="E132">
            <v>1</v>
          </cell>
          <cell r="F132">
            <v>18</v>
          </cell>
          <cell r="G132">
            <v>1</v>
          </cell>
          <cell r="H132">
            <v>0</v>
          </cell>
          <cell r="I132">
            <v>1</v>
          </cell>
        </row>
        <row r="133">
          <cell r="A133">
            <v>151634</v>
          </cell>
          <cell r="B133" t="str">
            <v>Ruby Horsfield</v>
          </cell>
          <cell r="C133" t="str">
            <v>11EGQ</v>
          </cell>
          <cell r="D133">
            <v>0</v>
          </cell>
          <cell r="E133">
            <v>3</v>
          </cell>
          <cell r="F133">
            <v>19</v>
          </cell>
          <cell r="G133">
            <v>0</v>
          </cell>
          <cell r="H133">
            <v>0</v>
          </cell>
          <cell r="I133">
            <v>3</v>
          </cell>
        </row>
        <row r="134">
          <cell r="A134">
            <v>151681</v>
          </cell>
          <cell r="B134" t="str">
            <v>Jacob Bolton</v>
          </cell>
          <cell r="C134" t="str">
            <v>11SDA</v>
          </cell>
          <cell r="D134">
            <v>0</v>
          </cell>
          <cell r="E134">
            <v>0</v>
          </cell>
          <cell r="F134">
            <v>23</v>
          </cell>
          <cell r="G134">
            <v>0</v>
          </cell>
          <cell r="H134">
            <v>0</v>
          </cell>
          <cell r="I134">
            <v>0</v>
          </cell>
        </row>
        <row r="135">
          <cell r="A135">
            <v>151521</v>
          </cell>
          <cell r="B135" t="str">
            <v>Louisa Sinkamba</v>
          </cell>
          <cell r="C135" t="str">
            <v>11WE</v>
          </cell>
          <cell r="D135">
            <v>0</v>
          </cell>
          <cell r="E135">
            <v>2</v>
          </cell>
          <cell r="F135">
            <v>9</v>
          </cell>
          <cell r="G135">
            <v>0</v>
          </cell>
          <cell r="H135">
            <v>0</v>
          </cell>
          <cell r="I135">
            <v>1</v>
          </cell>
        </row>
        <row r="136">
          <cell r="A136">
            <v>151527</v>
          </cell>
          <cell r="B136" t="str">
            <v>Sara Anwar</v>
          </cell>
          <cell r="C136" t="str">
            <v>11KKN</v>
          </cell>
          <cell r="D136">
            <v>8</v>
          </cell>
          <cell r="E136">
            <v>3</v>
          </cell>
          <cell r="F136">
            <v>11</v>
          </cell>
          <cell r="G136">
            <v>1</v>
          </cell>
          <cell r="H136">
            <v>2</v>
          </cell>
          <cell r="I136">
            <v>3</v>
          </cell>
        </row>
        <row r="137">
          <cell r="A137">
            <v>151520</v>
          </cell>
          <cell r="B137" t="str">
            <v>Isaac Tshuma</v>
          </cell>
          <cell r="C137" t="str">
            <v>11SDA</v>
          </cell>
          <cell r="D137">
            <v>0</v>
          </cell>
          <cell r="E137">
            <v>6</v>
          </cell>
          <cell r="F137">
            <v>19</v>
          </cell>
          <cell r="G137">
            <v>0</v>
          </cell>
          <cell r="H137">
            <v>0</v>
          </cell>
          <cell r="I137">
            <v>6</v>
          </cell>
        </row>
        <row r="138">
          <cell r="A138">
            <v>151582</v>
          </cell>
          <cell r="B138" t="str">
            <v>Charlie Nettle</v>
          </cell>
          <cell r="C138" t="str">
            <v>11EGQ</v>
          </cell>
          <cell r="D138">
            <v>0</v>
          </cell>
          <cell r="E138">
            <v>1</v>
          </cell>
          <cell r="F138">
            <v>25</v>
          </cell>
          <cell r="G138">
            <v>0</v>
          </cell>
          <cell r="H138">
            <v>0</v>
          </cell>
          <cell r="I138">
            <v>1</v>
          </cell>
        </row>
        <row r="139">
          <cell r="A139">
            <v>151556</v>
          </cell>
          <cell r="B139" t="str">
            <v>Evangeline Walton-McBain</v>
          </cell>
          <cell r="C139" t="str">
            <v>11KKN</v>
          </cell>
          <cell r="D139">
            <v>0</v>
          </cell>
          <cell r="E139">
            <v>0</v>
          </cell>
          <cell r="F139">
            <v>12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152713</v>
          </cell>
          <cell r="B140" t="str">
            <v>Iteoluwakishi Adedayo-Sogade</v>
          </cell>
          <cell r="C140" t="str">
            <v>11ZI</v>
          </cell>
          <cell r="D140">
            <v>0</v>
          </cell>
          <cell r="E140">
            <v>0</v>
          </cell>
          <cell r="F140">
            <v>13</v>
          </cell>
          <cell r="G140">
            <v>0</v>
          </cell>
          <cell r="H140">
            <v>0</v>
          </cell>
          <cell r="I140">
            <v>0</v>
          </cell>
        </row>
        <row r="141">
          <cell r="A141">
            <v>160026</v>
          </cell>
          <cell r="B141" t="str">
            <v>Hana Malik</v>
          </cell>
          <cell r="C141" t="str">
            <v>11WE</v>
          </cell>
          <cell r="D141">
            <v>1</v>
          </cell>
          <cell r="E141">
            <v>0</v>
          </cell>
          <cell r="F141">
            <v>15</v>
          </cell>
          <cell r="G141">
            <v>1</v>
          </cell>
          <cell r="H141">
            <v>0</v>
          </cell>
          <cell r="I141">
            <v>0</v>
          </cell>
        </row>
        <row r="142">
          <cell r="A142">
            <v>151610</v>
          </cell>
          <cell r="B142" t="str">
            <v>Ethan Marks</v>
          </cell>
          <cell r="C142" t="str">
            <v>11JNE</v>
          </cell>
          <cell r="D142">
            <v>0</v>
          </cell>
          <cell r="E142">
            <v>0</v>
          </cell>
          <cell r="F142">
            <v>10</v>
          </cell>
          <cell r="G142">
            <v>0</v>
          </cell>
          <cell r="H142">
            <v>0</v>
          </cell>
          <cell r="I142">
            <v>0</v>
          </cell>
        </row>
        <row r="143">
          <cell r="A143">
            <v>151626</v>
          </cell>
          <cell r="B143" t="str">
            <v>Lynice Richards</v>
          </cell>
          <cell r="C143" t="str">
            <v>11JNE</v>
          </cell>
          <cell r="D143">
            <v>10</v>
          </cell>
          <cell r="E143">
            <v>5</v>
          </cell>
          <cell r="F143">
            <v>8</v>
          </cell>
          <cell r="G143">
            <v>4</v>
          </cell>
          <cell r="H143">
            <v>1</v>
          </cell>
          <cell r="I143">
            <v>2</v>
          </cell>
        </row>
        <row r="144">
          <cell r="A144">
            <v>160029</v>
          </cell>
          <cell r="B144" t="str">
            <v>Ibrahim El-Saadawy</v>
          </cell>
          <cell r="C144" t="str">
            <v>11KKN</v>
          </cell>
          <cell r="D144">
            <v>2</v>
          </cell>
          <cell r="E144">
            <v>3</v>
          </cell>
          <cell r="F144">
            <v>14</v>
          </cell>
          <cell r="G144">
            <v>0</v>
          </cell>
          <cell r="H144">
            <v>1</v>
          </cell>
          <cell r="I144">
            <v>3</v>
          </cell>
        </row>
        <row r="145">
          <cell r="A145">
            <v>151735</v>
          </cell>
          <cell r="B145" t="str">
            <v>Anthony Affoh</v>
          </cell>
          <cell r="C145" t="str">
            <v>11KKN</v>
          </cell>
          <cell r="D145">
            <v>1</v>
          </cell>
          <cell r="E145">
            <v>2</v>
          </cell>
          <cell r="F145">
            <v>9</v>
          </cell>
          <cell r="G145">
            <v>0</v>
          </cell>
          <cell r="H145">
            <v>0</v>
          </cell>
          <cell r="I145">
            <v>2</v>
          </cell>
        </row>
        <row r="146">
          <cell r="A146">
            <v>151602</v>
          </cell>
          <cell r="B146" t="str">
            <v>Niamh Smith</v>
          </cell>
          <cell r="C146" t="str">
            <v>11SPI</v>
          </cell>
          <cell r="D146">
            <v>0</v>
          </cell>
          <cell r="E146">
            <v>0</v>
          </cell>
          <cell r="F146">
            <v>18</v>
          </cell>
          <cell r="G146">
            <v>0</v>
          </cell>
          <cell r="H146">
            <v>0</v>
          </cell>
          <cell r="I146">
            <v>0</v>
          </cell>
        </row>
        <row r="147">
          <cell r="A147">
            <v>151599</v>
          </cell>
          <cell r="B147" t="str">
            <v>Lucy Beare</v>
          </cell>
          <cell r="C147" t="str">
            <v>11ZI</v>
          </cell>
          <cell r="D147">
            <v>1</v>
          </cell>
          <cell r="E147">
            <v>0</v>
          </cell>
          <cell r="F147">
            <v>11</v>
          </cell>
          <cell r="G147">
            <v>0</v>
          </cell>
          <cell r="H147">
            <v>0</v>
          </cell>
          <cell r="I147">
            <v>0</v>
          </cell>
        </row>
        <row r="148">
          <cell r="A148">
            <v>151666</v>
          </cell>
          <cell r="B148" t="str">
            <v>Emily Scriven</v>
          </cell>
          <cell r="C148" t="str">
            <v>11JNE</v>
          </cell>
          <cell r="D148">
            <v>0</v>
          </cell>
          <cell r="E148">
            <v>1</v>
          </cell>
          <cell r="F148">
            <v>17</v>
          </cell>
          <cell r="G148">
            <v>0</v>
          </cell>
          <cell r="H148">
            <v>0</v>
          </cell>
          <cell r="I148">
            <v>0</v>
          </cell>
        </row>
        <row r="149">
          <cell r="A149">
            <v>151657</v>
          </cell>
          <cell r="B149" t="str">
            <v>Poppy Womersley</v>
          </cell>
          <cell r="C149" t="str">
            <v>11EGQ</v>
          </cell>
          <cell r="D149">
            <v>0</v>
          </cell>
          <cell r="E149">
            <v>1</v>
          </cell>
          <cell r="F149">
            <v>14</v>
          </cell>
          <cell r="G149">
            <v>0</v>
          </cell>
          <cell r="H149">
            <v>0</v>
          </cell>
          <cell r="I149">
            <v>1</v>
          </cell>
        </row>
        <row r="150">
          <cell r="A150">
            <v>151583</v>
          </cell>
          <cell r="B150" t="str">
            <v>Jessica Shepherd</v>
          </cell>
          <cell r="C150" t="str">
            <v>11EGQ</v>
          </cell>
          <cell r="D150">
            <v>7</v>
          </cell>
          <cell r="E150">
            <v>3</v>
          </cell>
          <cell r="F150">
            <v>17</v>
          </cell>
          <cell r="G150">
            <v>2</v>
          </cell>
          <cell r="H150">
            <v>0</v>
          </cell>
          <cell r="I150">
            <v>3</v>
          </cell>
        </row>
        <row r="151">
          <cell r="A151">
            <v>151731</v>
          </cell>
          <cell r="B151" t="str">
            <v>Bezawet Tewodros</v>
          </cell>
          <cell r="C151" t="str">
            <v>11SK</v>
          </cell>
          <cell r="D151">
            <v>3</v>
          </cell>
          <cell r="E151">
            <v>5</v>
          </cell>
          <cell r="F151">
            <v>14</v>
          </cell>
          <cell r="G151">
            <v>1</v>
          </cell>
          <cell r="H151">
            <v>2</v>
          </cell>
          <cell r="I151">
            <v>3</v>
          </cell>
        </row>
        <row r="152">
          <cell r="A152">
            <v>151549</v>
          </cell>
          <cell r="B152" t="str">
            <v>Isla Reynard</v>
          </cell>
          <cell r="C152" t="str">
            <v>11WE</v>
          </cell>
          <cell r="D152">
            <v>0</v>
          </cell>
          <cell r="E152">
            <v>0</v>
          </cell>
          <cell r="F152">
            <v>10</v>
          </cell>
          <cell r="G152">
            <v>0</v>
          </cell>
          <cell r="H152">
            <v>0</v>
          </cell>
          <cell r="I152">
            <v>0</v>
          </cell>
        </row>
        <row r="153">
          <cell r="A153">
            <v>151530</v>
          </cell>
          <cell r="B153" t="str">
            <v>Joey Crofts</v>
          </cell>
          <cell r="C153" t="str">
            <v>11SDA</v>
          </cell>
          <cell r="D153">
            <v>5</v>
          </cell>
          <cell r="E153">
            <v>5</v>
          </cell>
          <cell r="F153">
            <v>10</v>
          </cell>
          <cell r="G153">
            <v>1</v>
          </cell>
          <cell r="H153">
            <v>3</v>
          </cell>
          <cell r="I153">
            <v>3</v>
          </cell>
        </row>
        <row r="154">
          <cell r="A154">
            <v>151565</v>
          </cell>
          <cell r="B154" t="str">
            <v>Reuben Nduka</v>
          </cell>
          <cell r="C154" t="str">
            <v>11SDA</v>
          </cell>
          <cell r="D154">
            <v>1</v>
          </cell>
          <cell r="E154">
            <v>2</v>
          </cell>
          <cell r="F154">
            <v>20</v>
          </cell>
          <cell r="G154">
            <v>0</v>
          </cell>
          <cell r="H154">
            <v>1</v>
          </cell>
          <cell r="I154">
            <v>2</v>
          </cell>
        </row>
        <row r="155">
          <cell r="A155">
            <v>151683</v>
          </cell>
          <cell r="B155" t="str">
            <v>Sadie Wright</v>
          </cell>
          <cell r="C155" t="str">
            <v>11WE</v>
          </cell>
          <cell r="D155">
            <v>0</v>
          </cell>
          <cell r="E155">
            <v>0</v>
          </cell>
          <cell r="F155">
            <v>9</v>
          </cell>
          <cell r="G155">
            <v>0</v>
          </cell>
          <cell r="H155">
            <v>0</v>
          </cell>
          <cell r="I155">
            <v>0</v>
          </cell>
        </row>
        <row r="156">
          <cell r="A156">
            <v>151682</v>
          </cell>
          <cell r="B156" t="str">
            <v>Caitlin Kom</v>
          </cell>
          <cell r="C156" t="str">
            <v>11ZI</v>
          </cell>
          <cell r="D156">
            <v>0</v>
          </cell>
          <cell r="E156">
            <v>2</v>
          </cell>
          <cell r="F156">
            <v>4</v>
          </cell>
          <cell r="G156">
            <v>0</v>
          </cell>
          <cell r="H156">
            <v>0</v>
          </cell>
          <cell r="I156">
            <v>1</v>
          </cell>
        </row>
        <row r="157">
          <cell r="A157">
            <v>151698</v>
          </cell>
          <cell r="B157" t="str">
            <v>Hazel Espinosa</v>
          </cell>
          <cell r="C157" t="str">
            <v>11SDA</v>
          </cell>
          <cell r="D157">
            <v>1</v>
          </cell>
          <cell r="E157">
            <v>1</v>
          </cell>
          <cell r="F157">
            <v>17</v>
          </cell>
          <cell r="G157">
            <v>0</v>
          </cell>
          <cell r="H157">
            <v>1</v>
          </cell>
          <cell r="I157">
            <v>1</v>
          </cell>
        </row>
        <row r="158">
          <cell r="A158">
            <v>151738</v>
          </cell>
          <cell r="B158" t="str">
            <v>Alecia Whitworth</v>
          </cell>
          <cell r="C158" t="str">
            <v>11SK</v>
          </cell>
          <cell r="D158">
            <v>3</v>
          </cell>
          <cell r="E158">
            <v>0</v>
          </cell>
          <cell r="F158">
            <v>19</v>
          </cell>
          <cell r="G158">
            <v>0</v>
          </cell>
          <cell r="H158">
            <v>2</v>
          </cell>
          <cell r="I158">
            <v>0</v>
          </cell>
        </row>
        <row r="159">
          <cell r="A159">
            <v>151613</v>
          </cell>
          <cell r="B159" t="str">
            <v>Eamonn Foley</v>
          </cell>
          <cell r="C159" t="str">
            <v>11SPI</v>
          </cell>
          <cell r="D159">
            <v>0</v>
          </cell>
          <cell r="E159">
            <v>1</v>
          </cell>
          <cell r="F159">
            <v>12</v>
          </cell>
          <cell r="G159">
            <v>0</v>
          </cell>
          <cell r="H159">
            <v>0</v>
          </cell>
          <cell r="I159">
            <v>1</v>
          </cell>
        </row>
        <row r="160">
          <cell r="A160">
            <v>151648</v>
          </cell>
          <cell r="B160" t="str">
            <v>Summer Hawkins</v>
          </cell>
          <cell r="C160" t="str">
            <v>11SDA</v>
          </cell>
          <cell r="D160">
            <v>9</v>
          </cell>
          <cell r="E160">
            <v>2</v>
          </cell>
          <cell r="F160">
            <v>7</v>
          </cell>
          <cell r="G160">
            <v>1</v>
          </cell>
          <cell r="H160">
            <v>0</v>
          </cell>
          <cell r="I160">
            <v>2</v>
          </cell>
        </row>
        <row r="161">
          <cell r="A161">
            <v>151608</v>
          </cell>
          <cell r="B161" t="str">
            <v>Apollonia Hinchliffe</v>
          </cell>
          <cell r="C161" t="str">
            <v>11JNE</v>
          </cell>
          <cell r="D161">
            <v>0</v>
          </cell>
          <cell r="E161">
            <v>1</v>
          </cell>
          <cell r="F161">
            <v>11</v>
          </cell>
          <cell r="G161">
            <v>0</v>
          </cell>
          <cell r="H161">
            <v>0</v>
          </cell>
          <cell r="I161">
            <v>0</v>
          </cell>
        </row>
        <row r="162">
          <cell r="A162">
            <v>151639</v>
          </cell>
          <cell r="B162" t="str">
            <v>Jessica Hope</v>
          </cell>
          <cell r="C162" t="str">
            <v>11KKN</v>
          </cell>
          <cell r="D162">
            <v>0</v>
          </cell>
          <cell r="E162">
            <v>2</v>
          </cell>
          <cell r="F162">
            <v>23</v>
          </cell>
          <cell r="G162">
            <v>0</v>
          </cell>
          <cell r="H162">
            <v>0</v>
          </cell>
          <cell r="I162">
            <v>1</v>
          </cell>
        </row>
        <row r="163">
          <cell r="A163">
            <v>151593</v>
          </cell>
          <cell r="B163" t="str">
            <v>Trinity Scott</v>
          </cell>
          <cell r="C163" t="str">
            <v>11SK</v>
          </cell>
          <cell r="D163">
            <v>3</v>
          </cell>
          <cell r="E163">
            <v>8</v>
          </cell>
          <cell r="F163">
            <v>7</v>
          </cell>
          <cell r="G163">
            <v>0</v>
          </cell>
          <cell r="H163">
            <v>0</v>
          </cell>
          <cell r="I163">
            <v>8</v>
          </cell>
        </row>
        <row r="164">
          <cell r="A164">
            <v>151587</v>
          </cell>
          <cell r="B164" t="str">
            <v>Jasmine Smith</v>
          </cell>
          <cell r="C164" t="str">
            <v>11SK</v>
          </cell>
          <cell r="D164">
            <v>0</v>
          </cell>
          <cell r="E164">
            <v>0</v>
          </cell>
          <cell r="F164">
            <v>14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151671</v>
          </cell>
          <cell r="B165" t="str">
            <v>Isobel Rigby</v>
          </cell>
          <cell r="C165" t="str">
            <v>11JNE</v>
          </cell>
          <cell r="D165">
            <v>0</v>
          </cell>
          <cell r="E165">
            <v>0</v>
          </cell>
          <cell r="F165">
            <v>15</v>
          </cell>
          <cell r="G165">
            <v>0</v>
          </cell>
          <cell r="H165">
            <v>0</v>
          </cell>
          <cell r="I165">
            <v>0</v>
          </cell>
        </row>
        <row r="166">
          <cell r="A166">
            <v>151589</v>
          </cell>
          <cell r="B166" t="str">
            <v>Olivia Lewis</v>
          </cell>
          <cell r="C166" t="str">
            <v>11EGQ</v>
          </cell>
          <cell r="D166">
            <v>1</v>
          </cell>
          <cell r="E166">
            <v>0</v>
          </cell>
          <cell r="F166">
            <v>19</v>
          </cell>
          <cell r="G166">
            <v>1</v>
          </cell>
          <cell r="H166">
            <v>0</v>
          </cell>
          <cell r="I166">
            <v>0</v>
          </cell>
        </row>
        <row r="167">
          <cell r="A167">
            <v>151713</v>
          </cell>
          <cell r="B167" t="str">
            <v>Finn Oxley</v>
          </cell>
          <cell r="C167" t="str">
            <v>11JNE</v>
          </cell>
          <cell r="D167">
            <v>11</v>
          </cell>
          <cell r="E167">
            <v>4</v>
          </cell>
          <cell r="F167">
            <v>9</v>
          </cell>
          <cell r="G167">
            <v>5</v>
          </cell>
          <cell r="H167">
            <v>3</v>
          </cell>
          <cell r="I167">
            <v>4</v>
          </cell>
        </row>
        <row r="168">
          <cell r="A168">
            <v>151581</v>
          </cell>
          <cell r="B168" t="str">
            <v>Hope O'Malley</v>
          </cell>
          <cell r="C168" t="str">
            <v>11EGQ</v>
          </cell>
          <cell r="D168">
            <v>4</v>
          </cell>
          <cell r="E168">
            <v>1</v>
          </cell>
          <cell r="F168">
            <v>19</v>
          </cell>
          <cell r="G168">
            <v>0</v>
          </cell>
          <cell r="H168">
            <v>1</v>
          </cell>
          <cell r="I168">
            <v>1</v>
          </cell>
        </row>
        <row r="169">
          <cell r="A169">
            <v>151592</v>
          </cell>
          <cell r="B169" t="str">
            <v>Niamh Igoe</v>
          </cell>
          <cell r="C169" t="str">
            <v>11KKN</v>
          </cell>
          <cell r="D169">
            <v>0</v>
          </cell>
          <cell r="E169">
            <v>0</v>
          </cell>
          <cell r="F169">
            <v>10</v>
          </cell>
          <cell r="G169">
            <v>0</v>
          </cell>
          <cell r="H169">
            <v>0</v>
          </cell>
          <cell r="I169">
            <v>0</v>
          </cell>
        </row>
        <row r="170">
          <cell r="A170">
            <v>151569</v>
          </cell>
          <cell r="B170" t="str">
            <v>Sophie Waldron</v>
          </cell>
          <cell r="C170" t="str">
            <v>11SDA</v>
          </cell>
          <cell r="D170">
            <v>1</v>
          </cell>
          <cell r="E170">
            <v>2</v>
          </cell>
          <cell r="F170">
            <v>26</v>
          </cell>
          <cell r="G170">
            <v>0</v>
          </cell>
          <cell r="H170">
            <v>0</v>
          </cell>
          <cell r="I170">
            <v>2</v>
          </cell>
        </row>
        <row r="171">
          <cell r="A171">
            <v>160364</v>
          </cell>
          <cell r="B171" t="str">
            <v>Aria Alimahmoodi</v>
          </cell>
          <cell r="C171" t="str">
            <v>11SPI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</row>
        <row r="172">
          <cell r="A172">
            <v>151590</v>
          </cell>
          <cell r="B172" t="str">
            <v>Brandon Jones</v>
          </cell>
          <cell r="C172" t="str">
            <v>11KKN</v>
          </cell>
          <cell r="D172">
            <v>0</v>
          </cell>
          <cell r="E172">
            <v>6</v>
          </cell>
          <cell r="F172">
            <v>13</v>
          </cell>
          <cell r="G172">
            <v>0</v>
          </cell>
          <cell r="H172">
            <v>0</v>
          </cell>
          <cell r="I172">
            <v>6</v>
          </cell>
        </row>
        <row r="173">
          <cell r="A173">
            <v>151699</v>
          </cell>
          <cell r="B173" t="str">
            <v>Evie Grindrod</v>
          </cell>
          <cell r="C173" t="str">
            <v>11SK</v>
          </cell>
          <cell r="D173">
            <v>0</v>
          </cell>
          <cell r="E173">
            <v>0</v>
          </cell>
          <cell r="F173">
            <v>12</v>
          </cell>
          <cell r="G173">
            <v>0</v>
          </cell>
          <cell r="H173">
            <v>0</v>
          </cell>
          <cell r="I173">
            <v>0</v>
          </cell>
        </row>
        <row r="174">
          <cell r="A174">
            <v>151715</v>
          </cell>
          <cell r="B174" t="str">
            <v>Luke Phoenix</v>
          </cell>
          <cell r="C174" t="str">
            <v>11SK</v>
          </cell>
          <cell r="D174">
            <v>3</v>
          </cell>
          <cell r="E174">
            <v>3</v>
          </cell>
          <cell r="F174">
            <v>12</v>
          </cell>
          <cell r="G174">
            <v>1</v>
          </cell>
          <cell r="H174">
            <v>2</v>
          </cell>
          <cell r="I174">
            <v>3</v>
          </cell>
        </row>
        <row r="175">
          <cell r="A175">
            <v>151725</v>
          </cell>
          <cell r="B175" t="str">
            <v>Aisling Dennis</v>
          </cell>
          <cell r="C175" t="str">
            <v>11JNE</v>
          </cell>
          <cell r="D175">
            <v>0</v>
          </cell>
          <cell r="E175">
            <v>0</v>
          </cell>
          <cell r="F175">
            <v>12</v>
          </cell>
          <cell r="G175">
            <v>0</v>
          </cell>
          <cell r="H175">
            <v>0</v>
          </cell>
          <cell r="I175">
            <v>0</v>
          </cell>
        </row>
        <row r="176">
          <cell r="A176">
            <v>151690</v>
          </cell>
          <cell r="B176" t="str">
            <v>Tierney Sadler</v>
          </cell>
          <cell r="C176" t="str">
            <v>11ZI</v>
          </cell>
          <cell r="D176">
            <v>0</v>
          </cell>
          <cell r="E176">
            <v>3</v>
          </cell>
          <cell r="F176">
            <v>17</v>
          </cell>
          <cell r="G176">
            <v>0</v>
          </cell>
          <cell r="H176">
            <v>0</v>
          </cell>
          <cell r="I176">
            <v>3</v>
          </cell>
        </row>
        <row r="177">
          <cell r="A177">
            <v>151647</v>
          </cell>
          <cell r="B177" t="str">
            <v>Louisa Mead</v>
          </cell>
          <cell r="C177" t="str">
            <v>11SDA</v>
          </cell>
          <cell r="D177">
            <v>0</v>
          </cell>
          <cell r="E177">
            <v>0</v>
          </cell>
          <cell r="F177">
            <v>16</v>
          </cell>
          <cell r="G177">
            <v>0</v>
          </cell>
          <cell r="H177">
            <v>0</v>
          </cell>
          <cell r="I177">
            <v>0</v>
          </cell>
        </row>
        <row r="178">
          <cell r="A178">
            <v>151631</v>
          </cell>
          <cell r="B178" t="str">
            <v>Olivia Fitzgerald</v>
          </cell>
          <cell r="C178" t="str">
            <v>11WE</v>
          </cell>
          <cell r="D178">
            <v>2</v>
          </cell>
          <cell r="E178">
            <v>0</v>
          </cell>
          <cell r="F178">
            <v>9</v>
          </cell>
          <cell r="G178">
            <v>0</v>
          </cell>
          <cell r="H178">
            <v>0</v>
          </cell>
          <cell r="I178">
            <v>0</v>
          </cell>
        </row>
        <row r="179">
          <cell r="A179">
            <v>151614</v>
          </cell>
          <cell r="B179" t="str">
            <v>Grace Newton</v>
          </cell>
          <cell r="C179" t="str">
            <v>11ZI</v>
          </cell>
          <cell r="D179">
            <v>0</v>
          </cell>
          <cell r="E179">
            <v>1</v>
          </cell>
          <cell r="F179">
            <v>9</v>
          </cell>
          <cell r="G179">
            <v>0</v>
          </cell>
          <cell r="H179">
            <v>0</v>
          </cell>
          <cell r="I179">
            <v>1</v>
          </cell>
        </row>
        <row r="180">
          <cell r="A180">
            <v>151692</v>
          </cell>
          <cell r="B180" t="str">
            <v>Kieran Fox</v>
          </cell>
          <cell r="C180" t="str">
            <v>11ZI</v>
          </cell>
          <cell r="D180">
            <v>0</v>
          </cell>
          <cell r="E180">
            <v>5</v>
          </cell>
          <cell r="F180">
            <v>8</v>
          </cell>
          <cell r="G180">
            <v>0</v>
          </cell>
          <cell r="H180">
            <v>0</v>
          </cell>
          <cell r="I180">
            <v>5</v>
          </cell>
        </row>
        <row r="181">
          <cell r="A181">
            <v>151528</v>
          </cell>
          <cell r="B181" t="str">
            <v>Harvey Leadley</v>
          </cell>
          <cell r="C181" t="str">
            <v>11EGQ</v>
          </cell>
          <cell r="D181">
            <v>0</v>
          </cell>
          <cell r="E181">
            <v>0</v>
          </cell>
          <cell r="F181">
            <v>17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151524</v>
          </cell>
          <cell r="B182" t="str">
            <v>Caleb Linsky</v>
          </cell>
          <cell r="C182" t="str">
            <v>11SPI</v>
          </cell>
          <cell r="D182">
            <v>0</v>
          </cell>
          <cell r="E182">
            <v>0</v>
          </cell>
          <cell r="F182">
            <v>16</v>
          </cell>
          <cell r="G182">
            <v>0</v>
          </cell>
          <cell r="H182">
            <v>0</v>
          </cell>
          <cell r="I182">
            <v>0</v>
          </cell>
        </row>
        <row r="183">
          <cell r="A183">
            <v>151693</v>
          </cell>
          <cell r="B183" t="str">
            <v>Onesh Dawatage</v>
          </cell>
          <cell r="C183" t="str">
            <v>11SK</v>
          </cell>
          <cell r="D183">
            <v>0</v>
          </cell>
          <cell r="E183">
            <v>0</v>
          </cell>
          <cell r="F183">
            <v>17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151697</v>
          </cell>
          <cell r="B184" t="str">
            <v>Camille Vas</v>
          </cell>
          <cell r="C184" t="str">
            <v>11WE</v>
          </cell>
          <cell r="D184">
            <v>0</v>
          </cell>
          <cell r="E184">
            <v>0</v>
          </cell>
          <cell r="F184">
            <v>10</v>
          </cell>
          <cell r="G184">
            <v>0</v>
          </cell>
          <cell r="H184">
            <v>0</v>
          </cell>
          <cell r="I184">
            <v>0</v>
          </cell>
        </row>
        <row r="185">
          <cell r="A185">
            <v>151732</v>
          </cell>
          <cell r="B185" t="str">
            <v>Elwin Tojo</v>
          </cell>
          <cell r="C185" t="str">
            <v>11KKN</v>
          </cell>
          <cell r="D185">
            <v>0</v>
          </cell>
          <cell r="E185">
            <v>2</v>
          </cell>
          <cell r="F185">
            <v>2</v>
          </cell>
          <cell r="G185">
            <v>0</v>
          </cell>
          <cell r="H185">
            <v>0</v>
          </cell>
          <cell r="I185">
            <v>1</v>
          </cell>
        </row>
        <row r="186">
          <cell r="A186">
            <v>151719</v>
          </cell>
          <cell r="B186" t="str">
            <v>Jake Puckering-Green</v>
          </cell>
          <cell r="C186" t="str">
            <v>11SPI</v>
          </cell>
          <cell r="D186">
            <v>8</v>
          </cell>
          <cell r="E186">
            <v>4</v>
          </cell>
          <cell r="F186">
            <v>8</v>
          </cell>
          <cell r="G186">
            <v>0</v>
          </cell>
          <cell r="H186">
            <v>6</v>
          </cell>
          <cell r="I186">
            <v>2</v>
          </cell>
        </row>
        <row r="187">
          <cell r="A187">
            <v>160035</v>
          </cell>
          <cell r="B187" t="str">
            <v>Hadiff Nurul Sunazry</v>
          </cell>
          <cell r="C187" t="str">
            <v>11SPI</v>
          </cell>
          <cell r="D187">
            <v>0</v>
          </cell>
          <cell r="E187">
            <v>0</v>
          </cell>
          <cell r="F187">
            <v>11</v>
          </cell>
          <cell r="G187">
            <v>0</v>
          </cell>
          <cell r="H187">
            <v>0</v>
          </cell>
          <cell r="I187">
            <v>0</v>
          </cell>
        </row>
        <row r="188">
          <cell r="A188">
            <v>151560</v>
          </cell>
          <cell r="B188" t="str">
            <v>Frida Garnica-Uruchurtu</v>
          </cell>
          <cell r="C188" t="str">
            <v>11SK</v>
          </cell>
          <cell r="D188">
            <v>0</v>
          </cell>
          <cell r="E188">
            <v>3</v>
          </cell>
          <cell r="F188">
            <v>12</v>
          </cell>
          <cell r="G188">
            <v>0</v>
          </cell>
          <cell r="H188">
            <v>0</v>
          </cell>
          <cell r="I188">
            <v>3</v>
          </cell>
        </row>
        <row r="189">
          <cell r="A189">
            <v>151595</v>
          </cell>
          <cell r="B189" t="str">
            <v>James Mauricio</v>
          </cell>
          <cell r="C189" t="str">
            <v>11SDA</v>
          </cell>
          <cell r="D189">
            <v>0</v>
          </cell>
          <cell r="E189">
            <v>0</v>
          </cell>
          <cell r="F189">
            <v>9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151652</v>
          </cell>
          <cell r="B190" t="str">
            <v>Joshua Mountain-Freeman</v>
          </cell>
          <cell r="C190" t="str">
            <v>11ZI</v>
          </cell>
          <cell r="D190">
            <v>0</v>
          </cell>
          <cell r="E190">
            <v>2</v>
          </cell>
          <cell r="F190">
            <v>15</v>
          </cell>
          <cell r="G190">
            <v>0</v>
          </cell>
          <cell r="H190">
            <v>0</v>
          </cell>
          <cell r="I190">
            <v>2</v>
          </cell>
        </row>
        <row r="191">
          <cell r="A191">
            <v>151570</v>
          </cell>
          <cell r="B191" t="str">
            <v>Tess McKinney</v>
          </cell>
          <cell r="C191" t="str">
            <v>11EGQ</v>
          </cell>
          <cell r="D191">
            <v>2</v>
          </cell>
          <cell r="E191">
            <v>4</v>
          </cell>
          <cell r="F191">
            <v>14</v>
          </cell>
          <cell r="G191">
            <v>0</v>
          </cell>
          <cell r="H191">
            <v>0</v>
          </cell>
          <cell r="I191">
            <v>4</v>
          </cell>
        </row>
        <row r="192">
          <cell r="A192">
            <v>151733</v>
          </cell>
          <cell r="B192" t="str">
            <v>Bitania Selamyihun</v>
          </cell>
          <cell r="C192" t="str">
            <v>11KKN</v>
          </cell>
          <cell r="D192">
            <v>0</v>
          </cell>
          <cell r="E192">
            <v>3</v>
          </cell>
          <cell r="F192">
            <v>10</v>
          </cell>
          <cell r="G192">
            <v>0</v>
          </cell>
          <cell r="H192">
            <v>0</v>
          </cell>
          <cell r="I192">
            <v>3</v>
          </cell>
        </row>
        <row r="193">
          <cell r="A193">
            <v>151612</v>
          </cell>
          <cell r="B193" t="str">
            <v>Christina Musie</v>
          </cell>
          <cell r="C193" t="str">
            <v>11JNE</v>
          </cell>
          <cell r="D193">
            <v>1</v>
          </cell>
          <cell r="E193">
            <v>0</v>
          </cell>
          <cell r="F193">
            <v>10</v>
          </cell>
          <cell r="G193">
            <v>1</v>
          </cell>
          <cell r="H193">
            <v>0</v>
          </cell>
          <cell r="I193">
            <v>0</v>
          </cell>
        </row>
        <row r="194">
          <cell r="A194">
            <v>151740</v>
          </cell>
          <cell r="B194" t="str">
            <v>Grace Briggs</v>
          </cell>
          <cell r="C194" t="str">
            <v>11JNE</v>
          </cell>
          <cell r="D194">
            <v>0</v>
          </cell>
          <cell r="E194">
            <v>2</v>
          </cell>
          <cell r="F194">
            <v>11</v>
          </cell>
          <cell r="G194">
            <v>0</v>
          </cell>
          <cell r="H194">
            <v>0</v>
          </cell>
          <cell r="I194">
            <v>2</v>
          </cell>
        </row>
        <row r="195">
          <cell r="A195">
            <v>151642</v>
          </cell>
          <cell r="B195" t="str">
            <v>Sofia Allen</v>
          </cell>
          <cell r="C195" t="str">
            <v>11SPI</v>
          </cell>
          <cell r="D195">
            <v>0</v>
          </cell>
          <cell r="E195">
            <v>0</v>
          </cell>
          <cell r="F195">
            <v>13</v>
          </cell>
          <cell r="G195">
            <v>0</v>
          </cell>
          <cell r="H195">
            <v>0</v>
          </cell>
          <cell r="I195">
            <v>0</v>
          </cell>
        </row>
        <row r="196">
          <cell r="A196">
            <v>151638</v>
          </cell>
          <cell r="B196" t="str">
            <v>Sana Aslam</v>
          </cell>
          <cell r="C196" t="str">
            <v>11SK</v>
          </cell>
          <cell r="D196">
            <v>0</v>
          </cell>
          <cell r="E196">
            <v>0</v>
          </cell>
          <cell r="F196">
            <v>15</v>
          </cell>
          <cell r="G196">
            <v>0</v>
          </cell>
          <cell r="H196">
            <v>0</v>
          </cell>
          <cell r="I196">
            <v>0</v>
          </cell>
        </row>
        <row r="197">
          <cell r="A197">
            <v>151734</v>
          </cell>
          <cell r="B197" t="str">
            <v>Andrew Affoh</v>
          </cell>
          <cell r="C197" t="str">
            <v>11KKN</v>
          </cell>
          <cell r="D197">
            <v>2</v>
          </cell>
          <cell r="E197">
            <v>4</v>
          </cell>
          <cell r="F197">
            <v>18</v>
          </cell>
          <cell r="G197">
            <v>1</v>
          </cell>
          <cell r="H197">
            <v>0</v>
          </cell>
          <cell r="I197">
            <v>4</v>
          </cell>
        </row>
        <row r="198">
          <cell r="A198">
            <v>151700</v>
          </cell>
          <cell r="B198" t="str">
            <v>Ashleigh Sigauke</v>
          </cell>
          <cell r="C198" t="str">
            <v>11EGQ</v>
          </cell>
          <cell r="D198">
            <v>0</v>
          </cell>
          <cell r="E198">
            <v>2</v>
          </cell>
          <cell r="F198">
            <v>19</v>
          </cell>
          <cell r="G198">
            <v>0</v>
          </cell>
          <cell r="H198">
            <v>0</v>
          </cell>
          <cell r="I198">
            <v>1</v>
          </cell>
        </row>
        <row r="199">
          <cell r="A199">
            <v>151555</v>
          </cell>
          <cell r="B199" t="str">
            <v>Alister Johnson</v>
          </cell>
          <cell r="C199" t="str">
            <v>11SK</v>
          </cell>
          <cell r="D199">
            <v>0</v>
          </cell>
          <cell r="E199">
            <v>2</v>
          </cell>
          <cell r="F199">
            <v>5</v>
          </cell>
          <cell r="G199">
            <v>0</v>
          </cell>
          <cell r="H199">
            <v>0</v>
          </cell>
          <cell r="I199">
            <v>2</v>
          </cell>
        </row>
        <row r="200">
          <cell r="A200">
            <v>151695</v>
          </cell>
          <cell r="B200" t="str">
            <v>Mia Duffy</v>
          </cell>
          <cell r="C200" t="str">
            <v>11SPI</v>
          </cell>
          <cell r="D200">
            <v>2</v>
          </cell>
          <cell r="E200">
            <v>4</v>
          </cell>
          <cell r="F200">
            <v>15</v>
          </cell>
          <cell r="G200">
            <v>0</v>
          </cell>
          <cell r="H200">
            <v>0</v>
          </cell>
          <cell r="I200">
            <v>4</v>
          </cell>
        </row>
        <row r="201">
          <cell r="A201">
            <v>151580</v>
          </cell>
          <cell r="B201" t="str">
            <v>Olivia Davies</v>
          </cell>
          <cell r="C201" t="str">
            <v>11SK</v>
          </cell>
          <cell r="D201">
            <v>0</v>
          </cell>
          <cell r="E201">
            <v>0</v>
          </cell>
          <cell r="F201">
            <v>2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151655</v>
          </cell>
          <cell r="B202" t="str">
            <v>Eve Illien-Middleton</v>
          </cell>
          <cell r="C202" t="str">
            <v>11WE</v>
          </cell>
          <cell r="D202">
            <v>0</v>
          </cell>
          <cell r="E202">
            <v>0</v>
          </cell>
          <cell r="F202">
            <v>13</v>
          </cell>
          <cell r="G202">
            <v>0</v>
          </cell>
          <cell r="H202">
            <v>0</v>
          </cell>
          <cell r="I202">
            <v>0</v>
          </cell>
        </row>
        <row r="203">
          <cell r="A203">
            <v>151677</v>
          </cell>
          <cell r="B203" t="str">
            <v>William Smith</v>
          </cell>
          <cell r="C203" t="str">
            <v>11ZI</v>
          </cell>
          <cell r="D203">
            <v>0</v>
          </cell>
          <cell r="E203">
            <v>0</v>
          </cell>
          <cell r="F203">
            <v>14</v>
          </cell>
          <cell r="G203">
            <v>0</v>
          </cell>
          <cell r="H203">
            <v>0</v>
          </cell>
          <cell r="I203">
            <v>0</v>
          </cell>
        </row>
        <row r="204">
          <cell r="A204">
            <v>151739</v>
          </cell>
          <cell r="B204" t="str">
            <v>Ruby Naylor</v>
          </cell>
          <cell r="C204" t="str">
            <v>11ZI</v>
          </cell>
          <cell r="D204">
            <v>9</v>
          </cell>
          <cell r="E204">
            <v>3</v>
          </cell>
          <cell r="F204">
            <v>11</v>
          </cell>
          <cell r="G204">
            <v>0</v>
          </cell>
          <cell r="H204">
            <v>2</v>
          </cell>
          <cell r="I204">
            <v>1</v>
          </cell>
        </row>
        <row r="205">
          <cell r="A205">
            <v>151676</v>
          </cell>
          <cell r="B205" t="str">
            <v>Lily Oxley</v>
          </cell>
          <cell r="C205" t="str">
            <v>11ZI</v>
          </cell>
          <cell r="D205">
            <v>0</v>
          </cell>
          <cell r="E205">
            <v>0</v>
          </cell>
          <cell r="F205">
            <v>7</v>
          </cell>
          <cell r="G205">
            <v>0</v>
          </cell>
          <cell r="H205">
            <v>0</v>
          </cell>
          <cell r="I205">
            <v>0</v>
          </cell>
        </row>
        <row r="206">
          <cell r="A206">
            <v>151566</v>
          </cell>
          <cell r="B206" t="str">
            <v>Freddie Grayson</v>
          </cell>
          <cell r="C206" t="str">
            <v>11WE</v>
          </cell>
          <cell r="D206">
            <v>0</v>
          </cell>
          <cell r="E206">
            <v>0</v>
          </cell>
          <cell r="F206">
            <v>6</v>
          </cell>
          <cell r="G206">
            <v>0</v>
          </cell>
          <cell r="H206">
            <v>0</v>
          </cell>
          <cell r="I206">
            <v>0</v>
          </cell>
        </row>
        <row r="207">
          <cell r="A207">
            <v>151646</v>
          </cell>
          <cell r="B207" t="str">
            <v>Nathaniel Logan</v>
          </cell>
          <cell r="C207" t="str">
            <v>11ZI</v>
          </cell>
          <cell r="D207">
            <v>10</v>
          </cell>
          <cell r="E207">
            <v>5</v>
          </cell>
          <cell r="F207">
            <v>3</v>
          </cell>
          <cell r="G207">
            <v>1</v>
          </cell>
          <cell r="H207">
            <v>5</v>
          </cell>
          <cell r="I207">
            <v>3</v>
          </cell>
        </row>
        <row r="208">
          <cell r="A208">
            <v>151601</v>
          </cell>
          <cell r="B208" t="str">
            <v>Stanley Sheridan</v>
          </cell>
          <cell r="C208" t="str">
            <v>11WE</v>
          </cell>
          <cell r="D208">
            <v>0</v>
          </cell>
          <cell r="E208">
            <v>1</v>
          </cell>
          <cell r="F208">
            <v>10</v>
          </cell>
          <cell r="G208">
            <v>0</v>
          </cell>
          <cell r="H208">
            <v>0</v>
          </cell>
          <cell r="I208">
            <v>1</v>
          </cell>
        </row>
        <row r="209">
          <cell r="A209">
            <v>151658</v>
          </cell>
          <cell r="B209" t="str">
            <v>Maria Tahirova</v>
          </cell>
          <cell r="C209" t="str">
            <v>11SDA</v>
          </cell>
          <cell r="D209">
            <v>0</v>
          </cell>
          <cell r="E209">
            <v>1</v>
          </cell>
          <cell r="F209">
            <v>18</v>
          </cell>
          <cell r="G209">
            <v>0</v>
          </cell>
          <cell r="H209">
            <v>0</v>
          </cell>
          <cell r="I209">
            <v>1</v>
          </cell>
        </row>
        <row r="210">
          <cell r="A210">
            <v>151547</v>
          </cell>
          <cell r="B210" t="str">
            <v>Patrick Smith</v>
          </cell>
          <cell r="C210" t="str">
            <v>11SPI</v>
          </cell>
          <cell r="D210">
            <v>2</v>
          </cell>
          <cell r="E210">
            <v>2</v>
          </cell>
          <cell r="F210">
            <v>17</v>
          </cell>
          <cell r="G210">
            <v>0</v>
          </cell>
          <cell r="H210">
            <v>2</v>
          </cell>
          <cell r="I210">
            <v>1</v>
          </cell>
        </row>
        <row r="211">
          <cell r="A211">
            <v>160012</v>
          </cell>
          <cell r="B211" t="str">
            <v>Elizabeth Akinboyewa</v>
          </cell>
          <cell r="C211" t="str">
            <v>11SK</v>
          </cell>
          <cell r="D211">
            <v>1</v>
          </cell>
          <cell r="E211">
            <v>2</v>
          </cell>
          <cell r="F211">
            <v>15</v>
          </cell>
          <cell r="G211">
            <v>0</v>
          </cell>
          <cell r="H211">
            <v>1</v>
          </cell>
          <cell r="I211">
            <v>2</v>
          </cell>
        </row>
        <row r="212">
          <cell r="A212">
            <v>151575</v>
          </cell>
          <cell r="B212" t="str">
            <v>Leo Lafferty</v>
          </cell>
          <cell r="C212" t="str">
            <v>11JNE</v>
          </cell>
          <cell r="D212">
            <v>0</v>
          </cell>
          <cell r="E212">
            <v>2</v>
          </cell>
          <cell r="F212">
            <v>17</v>
          </cell>
          <cell r="G212">
            <v>0</v>
          </cell>
          <cell r="H212">
            <v>0</v>
          </cell>
          <cell r="I212">
            <v>2</v>
          </cell>
        </row>
        <row r="213">
          <cell r="A213">
            <v>151562</v>
          </cell>
          <cell r="B213" t="str">
            <v>Kitty Hanniffy - Longden</v>
          </cell>
          <cell r="C213" t="str">
            <v>11SK</v>
          </cell>
          <cell r="D213">
            <v>0</v>
          </cell>
          <cell r="E213">
            <v>0</v>
          </cell>
          <cell r="F213">
            <v>10</v>
          </cell>
          <cell r="G213">
            <v>0</v>
          </cell>
          <cell r="H213">
            <v>0</v>
          </cell>
          <cell r="I213">
            <v>0</v>
          </cell>
        </row>
        <row r="214">
          <cell r="A214">
            <v>151722</v>
          </cell>
          <cell r="B214" t="str">
            <v>Billy Day</v>
          </cell>
          <cell r="C214" t="str">
            <v>11SPI</v>
          </cell>
          <cell r="D214">
            <v>0</v>
          </cell>
          <cell r="E214">
            <v>0</v>
          </cell>
          <cell r="F214">
            <v>13</v>
          </cell>
          <cell r="G214">
            <v>0</v>
          </cell>
          <cell r="H214">
            <v>0</v>
          </cell>
          <cell r="I214">
            <v>0</v>
          </cell>
        </row>
      </sheetData>
      <sheetData sheetId="17"/>
      <sheetData sheetId="18">
        <row r="1">
          <cell r="I1" t="str">
            <v>PRIOR ATTAINMENT &amp; SHORTFAT</v>
          </cell>
          <cell r="J1"/>
          <cell r="K1"/>
          <cell r="L1"/>
          <cell r="M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KS2 SS</v>
          </cell>
          <cell r="L2" t="str">
            <v>PRIOR</v>
          </cell>
        </row>
        <row r="3">
          <cell r="A3" t="str">
            <v>8b</v>
          </cell>
          <cell r="B3">
            <v>51</v>
          </cell>
          <cell r="I3">
            <v>152713</v>
          </cell>
          <cell r="J3" t="str">
            <v>Adedayo-Sogade, Iteoluwakishi</v>
          </cell>
          <cell r="K3">
            <v>109.5</v>
          </cell>
          <cell r="L3" t="str">
            <v>M</v>
          </cell>
        </row>
        <row r="4">
          <cell r="A4" t="str">
            <v>8c</v>
          </cell>
          <cell r="B4">
            <v>49</v>
          </cell>
          <cell r="I4">
            <v>151734</v>
          </cell>
          <cell r="J4" t="str">
            <v>Affoh, Andrew</v>
          </cell>
          <cell r="K4">
            <v>97.5</v>
          </cell>
          <cell r="L4" t="str">
            <v>L</v>
          </cell>
        </row>
        <row r="5">
          <cell r="A5" t="str">
            <v>7a</v>
          </cell>
          <cell r="B5">
            <v>47</v>
          </cell>
          <cell r="I5">
            <v>151735</v>
          </cell>
          <cell r="J5" t="str">
            <v>Affoh, Anthony</v>
          </cell>
          <cell r="K5">
            <v>105</v>
          </cell>
          <cell r="L5" t="str">
            <v>M</v>
          </cell>
        </row>
        <row r="6">
          <cell r="A6" t="str">
            <v>7b</v>
          </cell>
          <cell r="B6">
            <v>45</v>
          </cell>
          <cell r="I6">
            <v>160122</v>
          </cell>
          <cell r="J6" t="str">
            <v>Afolabi, Ireoluwa</v>
          </cell>
          <cell r="K6" t="str">
            <v/>
          </cell>
          <cell r="L6" t="str">
            <v/>
          </cell>
        </row>
        <row r="7">
          <cell r="A7" t="str">
            <v>7c</v>
          </cell>
          <cell r="B7">
            <v>43</v>
          </cell>
          <cell r="I7">
            <v>160012</v>
          </cell>
          <cell r="J7" t="str">
            <v>Akinboyewa, Elizabeth</v>
          </cell>
          <cell r="K7">
            <v>105</v>
          </cell>
          <cell r="L7" t="str">
            <v>M</v>
          </cell>
        </row>
        <row r="8">
          <cell r="A8" t="str">
            <v>6a</v>
          </cell>
          <cell r="B8">
            <v>41</v>
          </cell>
          <cell r="I8">
            <v>151529</v>
          </cell>
          <cell r="J8" t="str">
            <v>Akunda, Shakylla</v>
          </cell>
          <cell r="K8">
            <v>109</v>
          </cell>
          <cell r="L8" t="str">
            <v>M</v>
          </cell>
        </row>
        <row r="9">
          <cell r="A9" t="str">
            <v>6b</v>
          </cell>
          <cell r="B9">
            <v>39</v>
          </cell>
          <cell r="I9">
            <v>152719</v>
          </cell>
          <cell r="J9" t="str">
            <v>Ali, Amree</v>
          </cell>
          <cell r="K9">
            <v>112.5</v>
          </cell>
          <cell r="L9" t="str">
            <v>M</v>
          </cell>
        </row>
        <row r="10">
          <cell r="A10" t="str">
            <v>6c</v>
          </cell>
          <cell r="B10">
            <v>37</v>
          </cell>
          <cell r="I10">
            <v>151642</v>
          </cell>
          <cell r="J10" t="str">
            <v>Allen, Sofia</v>
          </cell>
          <cell r="K10">
            <v>109.5</v>
          </cell>
          <cell r="L10" t="str">
            <v>M</v>
          </cell>
        </row>
        <row r="11">
          <cell r="A11" t="str">
            <v>5a</v>
          </cell>
          <cell r="B11">
            <v>35</v>
          </cell>
          <cell r="I11">
            <v>151537</v>
          </cell>
          <cell r="J11" t="str">
            <v>Alyas, James</v>
          </cell>
          <cell r="K11">
            <v>108</v>
          </cell>
          <cell r="L11" t="str">
            <v>M</v>
          </cell>
        </row>
        <row r="12">
          <cell r="A12" t="str">
            <v>5b</v>
          </cell>
          <cell r="B12">
            <v>33</v>
          </cell>
          <cell r="I12">
            <v>151591</v>
          </cell>
          <cell r="J12" t="str">
            <v>Amboe-Frou, Brandon</v>
          </cell>
          <cell r="K12">
            <v>101.5</v>
          </cell>
          <cell r="L12" t="str">
            <v>M</v>
          </cell>
        </row>
        <row r="13">
          <cell r="A13" t="str">
            <v>5c</v>
          </cell>
          <cell r="B13">
            <v>31</v>
          </cell>
          <cell r="I13">
            <v>151630</v>
          </cell>
          <cell r="J13" t="str">
            <v>Amer, Elijah</v>
          </cell>
          <cell r="K13">
            <v>106.5</v>
          </cell>
          <cell r="L13" t="str">
            <v>M</v>
          </cell>
        </row>
        <row r="14">
          <cell r="A14" t="str">
            <v>4a</v>
          </cell>
          <cell r="B14">
            <v>29</v>
          </cell>
          <cell r="I14">
            <v>151629</v>
          </cell>
          <cell r="J14" t="str">
            <v>Anderson, Leo</v>
          </cell>
          <cell r="K14">
            <v>111.5</v>
          </cell>
          <cell r="L14" t="str">
            <v>H</v>
          </cell>
        </row>
        <row r="15">
          <cell r="A15" t="str">
            <v>4b</v>
          </cell>
          <cell r="B15">
            <v>27</v>
          </cell>
          <cell r="I15">
            <v>151527</v>
          </cell>
          <cell r="J15" t="str">
            <v>Anwar, Sara</v>
          </cell>
          <cell r="K15">
            <v>101.5</v>
          </cell>
          <cell r="L15" t="str">
            <v>M</v>
          </cell>
        </row>
        <row r="16">
          <cell r="A16" t="str">
            <v>4c</v>
          </cell>
          <cell r="B16">
            <v>25</v>
          </cell>
          <cell r="I16">
            <v>151638</v>
          </cell>
          <cell r="J16" t="str">
            <v>Aslam, Sana</v>
          </cell>
          <cell r="K16">
            <v>105</v>
          </cell>
          <cell r="L16" t="str">
            <v>M</v>
          </cell>
        </row>
        <row r="17">
          <cell r="A17" t="str">
            <v>3a</v>
          </cell>
          <cell r="B17">
            <v>23</v>
          </cell>
          <cell r="I17">
            <v>151669</v>
          </cell>
          <cell r="J17" t="str">
            <v>Atkinson, Declan</v>
          </cell>
          <cell r="K17">
            <v>115</v>
          </cell>
          <cell r="L17" t="str">
            <v>H</v>
          </cell>
        </row>
        <row r="18">
          <cell r="A18" t="str">
            <v>3b</v>
          </cell>
          <cell r="B18">
            <v>21</v>
          </cell>
          <cell r="I18">
            <v>151742</v>
          </cell>
          <cell r="J18" t="str">
            <v>Atoyebi, Anaiah</v>
          </cell>
          <cell r="K18">
            <v>108.5</v>
          </cell>
          <cell r="L18" t="str">
            <v>M</v>
          </cell>
        </row>
        <row r="19">
          <cell r="A19" t="str">
            <v>3c</v>
          </cell>
          <cell r="B19">
            <v>19</v>
          </cell>
          <cell r="I19">
            <v>151633</v>
          </cell>
          <cell r="J19" t="str">
            <v>Azar, Sarah</v>
          </cell>
          <cell r="K19">
            <v>112</v>
          </cell>
          <cell r="L19" t="str">
            <v>H</v>
          </cell>
        </row>
        <row r="20">
          <cell r="A20" t="str">
            <v>2a</v>
          </cell>
          <cell r="B20">
            <v>17</v>
          </cell>
          <cell r="I20">
            <v>151607</v>
          </cell>
          <cell r="J20" t="str">
            <v>Barnes, Gabriel</v>
          </cell>
          <cell r="K20">
            <v>104.5</v>
          </cell>
          <cell r="L20" t="str">
            <v>M</v>
          </cell>
        </row>
        <row r="21">
          <cell r="A21" t="str">
            <v>2b</v>
          </cell>
          <cell r="B21">
            <v>15</v>
          </cell>
          <cell r="I21">
            <v>151703</v>
          </cell>
          <cell r="J21" t="str">
            <v>Barratt, Elizabeth</v>
          </cell>
          <cell r="K21">
            <v>109.5</v>
          </cell>
          <cell r="L21" t="str">
            <v>M</v>
          </cell>
        </row>
        <row r="22">
          <cell r="A22" t="str">
            <v>2c</v>
          </cell>
          <cell r="B22">
            <v>13</v>
          </cell>
          <cell r="I22">
            <v>151621</v>
          </cell>
          <cell r="J22" t="str">
            <v>Barrett, Edward</v>
          </cell>
          <cell r="K22">
            <v>0</v>
          </cell>
          <cell r="L22" t="str">
            <v>L</v>
          </cell>
        </row>
        <row r="23">
          <cell r="A23" t="str">
            <v>1a</v>
          </cell>
          <cell r="B23">
            <v>11</v>
          </cell>
          <cell r="I23">
            <v>151576</v>
          </cell>
          <cell r="J23" t="str">
            <v>Bath, Natalie</v>
          </cell>
          <cell r="K23">
            <v>111.5</v>
          </cell>
          <cell r="L23" t="str">
            <v>H</v>
          </cell>
        </row>
        <row r="24">
          <cell r="A24" t="str">
            <v>1b</v>
          </cell>
          <cell r="B24">
            <v>9</v>
          </cell>
          <cell r="I24">
            <v>151673</v>
          </cell>
          <cell r="J24" t="str">
            <v>Baty, Mia</v>
          </cell>
          <cell r="K24">
            <v>108</v>
          </cell>
          <cell r="L24" t="str">
            <v>M</v>
          </cell>
        </row>
        <row r="25">
          <cell r="A25" t="str">
            <v>1c</v>
          </cell>
          <cell r="B25">
            <v>7</v>
          </cell>
          <cell r="I25">
            <v>151599</v>
          </cell>
          <cell r="J25" t="str">
            <v>Beare, Lucy</v>
          </cell>
          <cell r="K25">
            <v>114.5</v>
          </cell>
          <cell r="L25" t="str">
            <v>H</v>
          </cell>
        </row>
        <row r="26">
          <cell r="A26" t="str">
            <v>A*</v>
          </cell>
          <cell r="B26">
            <v>8.5</v>
          </cell>
          <cell r="I26">
            <v>151736</v>
          </cell>
          <cell r="J26" t="str">
            <v>Bereket, Rim</v>
          </cell>
          <cell r="K26">
            <v>117.5</v>
          </cell>
          <cell r="L26" t="str">
            <v>H</v>
          </cell>
        </row>
        <row r="27">
          <cell r="A27" t="str">
            <v>A/A*</v>
          </cell>
          <cell r="B27">
            <v>7.75</v>
          </cell>
          <cell r="I27">
            <v>151545</v>
          </cell>
          <cell r="J27" t="str">
            <v>Bereket, Samuel</v>
          </cell>
          <cell r="K27">
            <v>105</v>
          </cell>
          <cell r="L27" t="str">
            <v>M</v>
          </cell>
        </row>
        <row r="28">
          <cell r="A28" t="str">
            <v>A</v>
          </cell>
          <cell r="B28">
            <v>7</v>
          </cell>
          <cell r="I28">
            <v>151618</v>
          </cell>
          <cell r="J28" t="str">
            <v>Boateng, Mariella</v>
          </cell>
          <cell r="K28">
            <v>107</v>
          </cell>
          <cell r="L28" t="str">
            <v>M</v>
          </cell>
        </row>
        <row r="29">
          <cell r="A29" t="str">
            <v>B/A</v>
          </cell>
          <cell r="B29">
            <v>6.25</v>
          </cell>
          <cell r="I29">
            <v>152721</v>
          </cell>
          <cell r="J29" t="str">
            <v>Bodell, Alisha</v>
          </cell>
          <cell r="K29" t="str">
            <v/>
          </cell>
          <cell r="L29" t="str">
            <v/>
          </cell>
        </row>
        <row r="30">
          <cell r="A30" t="str">
            <v>B</v>
          </cell>
          <cell r="B30">
            <v>5.5</v>
          </cell>
          <cell r="I30">
            <v>151681</v>
          </cell>
          <cell r="J30" t="str">
            <v>Bolton, Jacob</v>
          </cell>
          <cell r="K30">
            <v>101.5</v>
          </cell>
          <cell r="L30" t="str">
            <v>M</v>
          </cell>
        </row>
        <row r="31">
          <cell r="A31" t="str">
            <v>C/B</v>
          </cell>
          <cell r="B31">
            <v>4.5</v>
          </cell>
          <cell r="I31">
            <v>151740</v>
          </cell>
          <cell r="J31" t="str">
            <v>Briggs, Grace</v>
          </cell>
          <cell r="K31">
            <v>95.5</v>
          </cell>
          <cell r="L31" t="str">
            <v>L</v>
          </cell>
        </row>
        <row r="32">
          <cell r="A32" t="str">
            <v>C</v>
          </cell>
          <cell r="B32">
            <v>4</v>
          </cell>
          <cell r="I32">
            <v>151678</v>
          </cell>
          <cell r="J32" t="str">
            <v>Broomhead, Emma</v>
          </cell>
          <cell r="K32">
            <v>109</v>
          </cell>
          <cell r="L32" t="str">
            <v>M</v>
          </cell>
        </row>
        <row r="33">
          <cell r="A33" t="str">
            <v>D/C</v>
          </cell>
          <cell r="B33">
            <v>3.5</v>
          </cell>
          <cell r="I33">
            <v>151594</v>
          </cell>
          <cell r="J33" t="str">
            <v>Brown, Noah</v>
          </cell>
          <cell r="K33">
            <v>111.5</v>
          </cell>
          <cell r="L33" t="str">
            <v>H</v>
          </cell>
        </row>
        <row r="34">
          <cell r="A34" t="str">
            <v>D</v>
          </cell>
          <cell r="B34">
            <v>3</v>
          </cell>
          <cell r="I34">
            <v>151604</v>
          </cell>
          <cell r="J34" t="str">
            <v>Burton, Jessica</v>
          </cell>
          <cell r="K34">
            <v>106.5</v>
          </cell>
          <cell r="L34" t="str">
            <v>M</v>
          </cell>
        </row>
        <row r="35">
          <cell r="A35" t="str">
            <v>E/D</v>
          </cell>
          <cell r="B35">
            <v>2.5</v>
          </cell>
          <cell r="I35">
            <v>151540</v>
          </cell>
          <cell r="J35" t="str">
            <v>Cattolico, Cristina</v>
          </cell>
          <cell r="K35">
            <v>96</v>
          </cell>
          <cell r="L35" t="str">
            <v>L</v>
          </cell>
        </row>
        <row r="36">
          <cell r="A36" t="str">
            <v>E</v>
          </cell>
          <cell r="B36">
            <v>2</v>
          </cell>
          <cell r="I36">
            <v>151609</v>
          </cell>
          <cell r="J36" t="str">
            <v>Chapman, Leonardo</v>
          </cell>
          <cell r="K36">
            <v>111</v>
          </cell>
          <cell r="L36" t="str">
            <v>H</v>
          </cell>
        </row>
        <row r="37">
          <cell r="A37" t="str">
            <v>F/E</v>
          </cell>
          <cell r="B37">
            <v>1.75</v>
          </cell>
          <cell r="I37">
            <v>151530</v>
          </cell>
          <cell r="J37" t="str">
            <v>Crofts, Joey</v>
          </cell>
          <cell r="K37">
            <v>107</v>
          </cell>
          <cell r="L37" t="str">
            <v>M</v>
          </cell>
        </row>
        <row r="38">
          <cell r="A38" t="str">
            <v>F</v>
          </cell>
          <cell r="B38">
            <v>1.5</v>
          </cell>
          <cell r="I38">
            <v>151600</v>
          </cell>
          <cell r="J38" t="str">
            <v>Cullen, Daisy</v>
          </cell>
          <cell r="K38">
            <v>104</v>
          </cell>
          <cell r="L38" t="str">
            <v>M</v>
          </cell>
        </row>
        <row r="39">
          <cell r="A39" t="str">
            <v>G/F</v>
          </cell>
          <cell r="B39">
            <v>1.25</v>
          </cell>
          <cell r="I39">
            <v>151624</v>
          </cell>
          <cell r="J39" t="str">
            <v>Danes Harte, Isabella</v>
          </cell>
          <cell r="K39">
            <v>106.5</v>
          </cell>
          <cell r="L39" t="str">
            <v>M</v>
          </cell>
        </row>
        <row r="40">
          <cell r="A40" t="str">
            <v>G</v>
          </cell>
          <cell r="B40">
            <v>1</v>
          </cell>
          <cell r="I40">
            <v>151580</v>
          </cell>
          <cell r="J40" t="str">
            <v>Davies, Olivia</v>
          </cell>
          <cell r="K40">
            <v>112.5</v>
          </cell>
          <cell r="L40" t="str">
            <v>H</v>
          </cell>
        </row>
        <row r="41">
          <cell r="A41" t="str">
            <v>U/G</v>
          </cell>
          <cell r="B41">
            <v>0.5</v>
          </cell>
          <cell r="I41">
            <v>151693</v>
          </cell>
          <cell r="J41" t="str">
            <v>Dawatage, Onesh</v>
          </cell>
          <cell r="K41">
            <v>107</v>
          </cell>
          <cell r="L41" t="str">
            <v>M</v>
          </cell>
        </row>
        <row r="42">
          <cell r="A42" t="str">
            <v>U</v>
          </cell>
          <cell r="B42">
            <v>0</v>
          </cell>
          <cell r="I42">
            <v>151722</v>
          </cell>
          <cell r="J42" t="str">
            <v>Day, Billy</v>
          </cell>
          <cell r="K42">
            <v>115.5</v>
          </cell>
          <cell r="L42" t="str">
            <v>H</v>
          </cell>
        </row>
        <row r="43">
          <cell r="A43" t="str">
            <v>D2</v>
          </cell>
          <cell r="B43">
            <v>8.5</v>
          </cell>
          <cell r="I43">
            <v>151725</v>
          </cell>
          <cell r="J43" t="str">
            <v>Dennis, Aisling</v>
          </cell>
          <cell r="K43">
            <v>113.5</v>
          </cell>
          <cell r="L43" t="str">
            <v>H</v>
          </cell>
        </row>
        <row r="44">
          <cell r="A44" t="str">
            <v>D1</v>
          </cell>
          <cell r="B44">
            <v>7</v>
          </cell>
          <cell r="I44">
            <v>151605</v>
          </cell>
          <cell r="J44" t="str">
            <v>Doherty, Phoebe</v>
          </cell>
          <cell r="K44">
            <v>112.5</v>
          </cell>
          <cell r="L44" t="str">
            <v>H</v>
          </cell>
        </row>
        <row r="45">
          <cell r="A45" t="str">
            <v>M</v>
          </cell>
          <cell r="B45">
            <v>5.5</v>
          </cell>
          <cell r="I45">
            <v>151573</v>
          </cell>
          <cell r="J45" t="str">
            <v>Dransfield, Grace</v>
          </cell>
          <cell r="K45">
            <v>103.5</v>
          </cell>
          <cell r="L45" t="str">
            <v>M</v>
          </cell>
        </row>
        <row r="46">
          <cell r="A46" t="str">
            <v>P</v>
          </cell>
          <cell r="B46">
            <v>4</v>
          </cell>
          <cell r="I46">
            <v>151695</v>
          </cell>
          <cell r="J46" t="str">
            <v>Duffy, Mia</v>
          </cell>
          <cell r="K46">
            <v>102.5</v>
          </cell>
          <cell r="L46" t="str">
            <v>M</v>
          </cell>
        </row>
        <row r="47">
          <cell r="A47" t="str">
            <v>L1</v>
          </cell>
          <cell r="B47">
            <v>2.5</v>
          </cell>
          <cell r="I47">
            <v>151541</v>
          </cell>
          <cell r="J47" t="str">
            <v>Dunford, Joshua</v>
          </cell>
          <cell r="K47">
            <v>113</v>
          </cell>
          <cell r="L47" t="str">
            <v>H</v>
          </cell>
        </row>
        <row r="48">
          <cell r="A48" t="str">
            <v>9</v>
          </cell>
          <cell r="B48">
            <v>9</v>
          </cell>
          <cell r="I48">
            <v>151554</v>
          </cell>
          <cell r="J48" t="str">
            <v>Egleston, Iris</v>
          </cell>
          <cell r="K48">
            <v>110.5</v>
          </cell>
          <cell r="L48" t="str">
            <v>H</v>
          </cell>
        </row>
        <row r="49">
          <cell r="A49" t="str">
            <v>8</v>
          </cell>
          <cell r="B49">
            <v>8</v>
          </cell>
          <cell r="I49">
            <v>151534</v>
          </cell>
          <cell r="J49" t="str">
            <v>El Jammal, Gabrielle</v>
          </cell>
          <cell r="K49">
            <v>105</v>
          </cell>
          <cell r="L49" t="str">
            <v>M</v>
          </cell>
        </row>
        <row r="50">
          <cell r="A50" t="str">
            <v>7</v>
          </cell>
          <cell r="B50">
            <v>7</v>
          </cell>
          <cell r="I50">
            <v>160029</v>
          </cell>
          <cell r="J50" t="str">
            <v>El-Saadawy, Ibrahim</v>
          </cell>
          <cell r="K50" t="str">
            <v/>
          </cell>
          <cell r="L50" t="str">
            <v/>
          </cell>
        </row>
        <row r="51">
          <cell r="A51" t="str">
            <v>6</v>
          </cell>
          <cell r="B51">
            <v>6</v>
          </cell>
          <cell r="I51">
            <v>151728</v>
          </cell>
          <cell r="J51" t="str">
            <v>Elvie, Madison</v>
          </cell>
          <cell r="K51">
            <v>104.5</v>
          </cell>
          <cell r="L51" t="str">
            <v>M</v>
          </cell>
        </row>
        <row r="52">
          <cell r="A52" t="str">
            <v>5</v>
          </cell>
          <cell r="B52">
            <v>5</v>
          </cell>
          <cell r="I52">
            <v>151698</v>
          </cell>
          <cell r="J52" t="str">
            <v>Espinosa, Hazel</v>
          </cell>
          <cell r="K52">
            <v>111</v>
          </cell>
          <cell r="L52" t="str">
            <v>H</v>
          </cell>
        </row>
        <row r="53">
          <cell r="A53" t="str">
            <v>4</v>
          </cell>
          <cell r="B53">
            <v>4</v>
          </cell>
          <cell r="I53">
            <v>151686</v>
          </cell>
          <cell r="J53" t="str">
            <v>Farleigh Pereira, Cianah</v>
          </cell>
          <cell r="K53">
            <v>114</v>
          </cell>
          <cell r="L53" t="str">
            <v>H</v>
          </cell>
        </row>
        <row r="54">
          <cell r="A54" t="str">
            <v>3</v>
          </cell>
          <cell r="B54">
            <v>3</v>
          </cell>
          <cell r="I54">
            <v>151526</v>
          </cell>
          <cell r="J54" t="str">
            <v>Fenwick, Luke</v>
          </cell>
          <cell r="K54">
            <v>105.5</v>
          </cell>
          <cell r="L54" t="str">
            <v>M</v>
          </cell>
        </row>
        <row r="55">
          <cell r="A55" t="str">
            <v>2</v>
          </cell>
          <cell r="B55">
            <v>2</v>
          </cell>
          <cell r="I55">
            <v>151561</v>
          </cell>
          <cell r="J55" t="str">
            <v>Fiore, Sofia</v>
          </cell>
          <cell r="K55">
            <v>100</v>
          </cell>
          <cell r="L55" t="str">
            <v>M</v>
          </cell>
        </row>
        <row r="56">
          <cell r="A56" t="str">
            <v>1</v>
          </cell>
          <cell r="B56">
            <v>1</v>
          </cell>
          <cell r="I56">
            <v>151631</v>
          </cell>
          <cell r="J56" t="str">
            <v>Fitzgerald, Olivia</v>
          </cell>
          <cell r="K56">
            <v>102.5</v>
          </cell>
          <cell r="L56" t="str">
            <v>M</v>
          </cell>
        </row>
        <row r="57">
          <cell r="A57" t="str">
            <v>0</v>
          </cell>
          <cell r="B57">
            <v>0</v>
          </cell>
          <cell r="I57">
            <v>151613</v>
          </cell>
          <cell r="J57" t="str">
            <v>Foley, Eamonn</v>
          </cell>
          <cell r="K57">
            <v>111</v>
          </cell>
          <cell r="L57" t="str">
            <v>H</v>
          </cell>
        </row>
        <row r="58">
          <cell r="A58" t="str">
            <v>8 - 9</v>
          </cell>
          <cell r="B58">
            <v>8.5</v>
          </cell>
          <cell r="I58">
            <v>151692</v>
          </cell>
          <cell r="J58" t="str">
            <v>Fox, Kieran</v>
          </cell>
          <cell r="K58">
            <v>116.5</v>
          </cell>
          <cell r="L58" t="str">
            <v>H</v>
          </cell>
        </row>
        <row r="59">
          <cell r="A59" t="str">
            <v>7 - 8</v>
          </cell>
          <cell r="B59">
            <v>7.5</v>
          </cell>
          <cell r="I59">
            <v>151622</v>
          </cell>
          <cell r="J59" t="str">
            <v>Fuganti, Veronica</v>
          </cell>
          <cell r="K59">
            <v>112</v>
          </cell>
          <cell r="L59" t="str">
            <v>M</v>
          </cell>
        </row>
        <row r="60">
          <cell r="A60" t="str">
            <v>6 - 7</v>
          </cell>
          <cell r="B60">
            <v>6.5</v>
          </cell>
          <cell r="I60">
            <v>151616</v>
          </cell>
          <cell r="J60" t="str">
            <v>Gachia, Joel</v>
          </cell>
          <cell r="K60">
            <v>102</v>
          </cell>
          <cell r="L60" t="str">
            <v>M</v>
          </cell>
        </row>
        <row r="61">
          <cell r="A61" t="str">
            <v>5 - 6</v>
          </cell>
          <cell r="B61">
            <v>5.5</v>
          </cell>
          <cell r="I61">
            <v>151560</v>
          </cell>
          <cell r="J61" t="str">
            <v>Garnica-Uruchurtu, Frida</v>
          </cell>
          <cell r="K61">
            <v>112.5</v>
          </cell>
          <cell r="L61" t="str">
            <v>H</v>
          </cell>
        </row>
        <row r="62">
          <cell r="A62" t="str">
            <v>4 - 5</v>
          </cell>
          <cell r="B62">
            <v>4.5</v>
          </cell>
          <cell r="I62">
            <v>151551</v>
          </cell>
          <cell r="J62" t="str">
            <v>Geci, Oliver</v>
          </cell>
          <cell r="K62">
            <v>110.5</v>
          </cell>
          <cell r="L62" t="str">
            <v>M</v>
          </cell>
        </row>
        <row r="63">
          <cell r="A63" t="str">
            <v>3 - 4</v>
          </cell>
          <cell r="B63">
            <v>3.5</v>
          </cell>
          <cell r="I63">
            <v>151667</v>
          </cell>
          <cell r="J63" t="str">
            <v>Gore, Joseph</v>
          </cell>
          <cell r="K63">
            <v>111.5</v>
          </cell>
          <cell r="L63" t="str">
            <v>H</v>
          </cell>
        </row>
        <row r="64">
          <cell r="A64" t="str">
            <v>2 - 3</v>
          </cell>
          <cell r="B64">
            <v>2.5</v>
          </cell>
          <cell r="I64">
            <v>151654</v>
          </cell>
          <cell r="J64" t="str">
            <v>Grant, Kobe</v>
          </cell>
          <cell r="K64">
            <v>93.5</v>
          </cell>
          <cell r="L64" t="str">
            <v>L</v>
          </cell>
        </row>
        <row r="65">
          <cell r="A65" t="str">
            <v>1 - 2</v>
          </cell>
          <cell r="B65">
            <v>1.5</v>
          </cell>
          <cell r="I65">
            <v>151566</v>
          </cell>
          <cell r="J65" t="str">
            <v>Grayson, Freddie</v>
          </cell>
          <cell r="K65">
            <v>115.5</v>
          </cell>
          <cell r="L65" t="str">
            <v>H</v>
          </cell>
        </row>
        <row r="66">
          <cell r="A66" t="str">
            <v>F - E</v>
          </cell>
          <cell r="B66">
            <v>1.75</v>
          </cell>
          <cell r="I66">
            <v>151611</v>
          </cell>
          <cell r="J66" t="str">
            <v>Green, Michael</v>
          </cell>
          <cell r="K66">
            <v>105</v>
          </cell>
          <cell r="L66" t="str">
            <v>M</v>
          </cell>
        </row>
        <row r="67">
          <cell r="A67" t="str">
            <v>E - D</v>
          </cell>
          <cell r="B67">
            <v>2.5</v>
          </cell>
          <cell r="I67">
            <v>151699</v>
          </cell>
          <cell r="J67" t="str">
            <v>Grindrod, Evie</v>
          </cell>
          <cell r="K67">
            <v>116</v>
          </cell>
          <cell r="L67" t="str">
            <v>H</v>
          </cell>
        </row>
        <row r="68">
          <cell r="A68" t="str">
            <v>D - C</v>
          </cell>
          <cell r="B68">
            <v>3.5</v>
          </cell>
          <cell r="I68">
            <v>151687</v>
          </cell>
          <cell r="J68" t="str">
            <v>Hadi, India</v>
          </cell>
          <cell r="K68">
            <v>106.5</v>
          </cell>
          <cell r="L68" t="str">
            <v>M</v>
          </cell>
        </row>
        <row r="69">
          <cell r="A69" t="str">
            <v>C - B</v>
          </cell>
          <cell r="B69">
            <v>4.75</v>
          </cell>
          <cell r="I69">
            <v>151562</v>
          </cell>
          <cell r="J69" t="str">
            <v>Hanniffy - Longden, Kitty</v>
          </cell>
          <cell r="K69">
            <v>107.5</v>
          </cell>
          <cell r="L69" t="str">
            <v>M</v>
          </cell>
        </row>
        <row r="70">
          <cell r="A70" t="str">
            <v>B - A</v>
          </cell>
          <cell r="B70">
            <v>6.25</v>
          </cell>
          <cell r="I70">
            <v>151721</v>
          </cell>
          <cell r="J70" t="str">
            <v>Hanniffy - Longden, Mia</v>
          </cell>
          <cell r="K70">
            <v>107</v>
          </cell>
          <cell r="L70" t="str">
            <v>M</v>
          </cell>
        </row>
        <row r="71">
          <cell r="A71" t="str">
            <v>A - A*</v>
          </cell>
          <cell r="B71">
            <v>7.75</v>
          </cell>
          <cell r="I71">
            <v>151598</v>
          </cell>
          <cell r="J71" t="str">
            <v>Hawkins, Nathan</v>
          </cell>
          <cell r="K71">
            <v>106</v>
          </cell>
          <cell r="L71" t="str">
            <v>M</v>
          </cell>
        </row>
        <row r="72">
          <cell r="A72">
            <v>9</v>
          </cell>
          <cell r="B72">
            <v>9</v>
          </cell>
          <cell r="I72">
            <v>151648</v>
          </cell>
          <cell r="J72" t="str">
            <v>Hawkins, Summer</v>
          </cell>
          <cell r="K72">
            <v>101</v>
          </cell>
          <cell r="L72" t="str">
            <v>M</v>
          </cell>
        </row>
        <row r="73">
          <cell r="A73">
            <v>8</v>
          </cell>
          <cell r="B73">
            <v>8</v>
          </cell>
          <cell r="I73">
            <v>151550</v>
          </cell>
          <cell r="J73" t="str">
            <v>Heley, Benjamin</v>
          </cell>
          <cell r="K73">
            <v>120</v>
          </cell>
          <cell r="L73" t="str">
            <v>H</v>
          </cell>
        </row>
        <row r="74">
          <cell r="A74">
            <v>7</v>
          </cell>
          <cell r="B74">
            <v>7</v>
          </cell>
          <cell r="I74">
            <v>151523</v>
          </cell>
          <cell r="J74" t="str">
            <v>Hinchcliffe, Silvi</v>
          </cell>
          <cell r="K74">
            <v>109</v>
          </cell>
          <cell r="L74" t="str">
            <v>M</v>
          </cell>
        </row>
        <row r="75">
          <cell r="A75">
            <v>6</v>
          </cell>
          <cell r="B75">
            <v>6</v>
          </cell>
          <cell r="I75">
            <v>151608</v>
          </cell>
          <cell r="J75" t="str">
            <v>Hinchliffe, Apollonia</v>
          </cell>
          <cell r="K75">
            <v>87.5</v>
          </cell>
          <cell r="L75" t="str">
            <v>L</v>
          </cell>
        </row>
        <row r="76">
          <cell r="A76">
            <v>5</v>
          </cell>
          <cell r="B76">
            <v>5</v>
          </cell>
          <cell r="I76">
            <v>151709</v>
          </cell>
          <cell r="J76" t="str">
            <v>Hindmarch, Madeleine</v>
          </cell>
          <cell r="K76">
            <v>109</v>
          </cell>
          <cell r="L76" t="str">
            <v>M</v>
          </cell>
        </row>
        <row r="77">
          <cell r="A77">
            <v>4</v>
          </cell>
          <cell r="B77">
            <v>4</v>
          </cell>
          <cell r="I77">
            <v>151639</v>
          </cell>
          <cell r="J77" t="str">
            <v>Hope, Jessica</v>
          </cell>
          <cell r="K77">
            <v>106.5</v>
          </cell>
          <cell r="L77" t="str">
            <v>M</v>
          </cell>
        </row>
        <row r="78">
          <cell r="A78">
            <v>3</v>
          </cell>
          <cell r="B78">
            <v>3</v>
          </cell>
          <cell r="I78">
            <v>151538</v>
          </cell>
          <cell r="J78" t="str">
            <v>Hopkins, Tadhg</v>
          </cell>
          <cell r="K78">
            <v>108</v>
          </cell>
          <cell r="L78" t="str">
            <v>M</v>
          </cell>
        </row>
        <row r="79">
          <cell r="A79">
            <v>2</v>
          </cell>
          <cell r="B79">
            <v>2</v>
          </cell>
          <cell r="I79">
            <v>151634</v>
          </cell>
          <cell r="J79" t="str">
            <v>Horsfield, Ruby</v>
          </cell>
          <cell r="K79">
            <v>106.5</v>
          </cell>
          <cell r="L79" t="str">
            <v>M</v>
          </cell>
        </row>
        <row r="80">
          <cell r="A80">
            <v>1</v>
          </cell>
          <cell r="B80">
            <v>1</v>
          </cell>
          <cell r="I80">
            <v>151525</v>
          </cell>
          <cell r="J80" t="str">
            <v>Howson, Max</v>
          </cell>
          <cell r="K80">
            <v>92.5</v>
          </cell>
          <cell r="L80" t="str">
            <v>L</v>
          </cell>
        </row>
        <row r="81">
          <cell r="A81" t="str">
            <v>1 - 1</v>
          </cell>
          <cell r="B81">
            <v>1</v>
          </cell>
          <cell r="I81">
            <v>151674</v>
          </cell>
          <cell r="J81" t="str">
            <v>Hussain, Zain</v>
          </cell>
          <cell r="K81">
            <v>106</v>
          </cell>
          <cell r="L81" t="str">
            <v>M</v>
          </cell>
        </row>
        <row r="82">
          <cell r="A82" t="str">
            <v>2 - 2</v>
          </cell>
          <cell r="B82">
            <v>2</v>
          </cell>
          <cell r="I82">
            <v>151592</v>
          </cell>
          <cell r="J82" t="str">
            <v>Igoe, Niamh</v>
          </cell>
          <cell r="K82">
            <v>116</v>
          </cell>
          <cell r="L82" t="str">
            <v>H</v>
          </cell>
        </row>
        <row r="83">
          <cell r="A83" t="str">
            <v>3 - 3</v>
          </cell>
          <cell r="B83">
            <v>3</v>
          </cell>
          <cell r="I83">
            <v>151655</v>
          </cell>
          <cell r="J83" t="str">
            <v>Illien-Middleton, Eve</v>
          </cell>
          <cell r="K83">
            <v>113.5</v>
          </cell>
          <cell r="L83" t="str">
            <v>H</v>
          </cell>
        </row>
        <row r="84">
          <cell r="A84" t="str">
            <v>4 - 4</v>
          </cell>
          <cell r="B84">
            <v>4</v>
          </cell>
          <cell r="I84">
            <v>151555</v>
          </cell>
          <cell r="J84" t="str">
            <v>Johnson, Alister</v>
          </cell>
          <cell r="K84">
            <v>103.5</v>
          </cell>
          <cell r="L84" t="str">
            <v>M</v>
          </cell>
        </row>
        <row r="85">
          <cell r="A85" t="str">
            <v>5 - 5</v>
          </cell>
          <cell r="B85">
            <v>5</v>
          </cell>
          <cell r="I85">
            <v>151590</v>
          </cell>
          <cell r="J85" t="str">
            <v>Jones, Brandon</v>
          </cell>
          <cell r="K85">
            <v>112</v>
          </cell>
          <cell r="L85" t="str">
            <v>M</v>
          </cell>
        </row>
        <row r="86">
          <cell r="A86" t="str">
            <v>6 - 6</v>
          </cell>
          <cell r="B86">
            <v>6</v>
          </cell>
          <cell r="I86">
            <v>151577</v>
          </cell>
          <cell r="J86" t="str">
            <v>Jones, Finlay</v>
          </cell>
          <cell r="K86">
            <v>107.5</v>
          </cell>
          <cell r="L86" t="str">
            <v>M</v>
          </cell>
        </row>
        <row r="87">
          <cell r="A87" t="str">
            <v>7 - 7</v>
          </cell>
          <cell r="B87">
            <v>7</v>
          </cell>
          <cell r="I87">
            <v>151650</v>
          </cell>
          <cell r="J87" t="str">
            <v>Kabunga, Fred</v>
          </cell>
          <cell r="K87">
            <v>107.5</v>
          </cell>
          <cell r="L87" t="str">
            <v>M</v>
          </cell>
        </row>
        <row r="88">
          <cell r="A88" t="str">
            <v>8 - 8</v>
          </cell>
          <cell r="B88">
            <v>8</v>
          </cell>
          <cell r="I88">
            <v>151665</v>
          </cell>
          <cell r="J88" t="str">
            <v>Kay, Geoffrey</v>
          </cell>
          <cell r="K88">
            <v>114</v>
          </cell>
          <cell r="L88" t="str">
            <v>H</v>
          </cell>
        </row>
        <row r="89">
          <cell r="A89" t="str">
            <v>9 - 9</v>
          </cell>
          <cell r="B89">
            <v>9</v>
          </cell>
          <cell r="I89">
            <v>151546</v>
          </cell>
          <cell r="J89" t="str">
            <v>Kay, Roseann</v>
          </cell>
          <cell r="K89">
            <v>111</v>
          </cell>
          <cell r="L89" t="str">
            <v>H</v>
          </cell>
        </row>
        <row r="90">
          <cell r="A90" t="str">
            <v>0 - 0</v>
          </cell>
          <cell r="B90">
            <v>0</v>
          </cell>
          <cell r="I90">
            <v>151696</v>
          </cell>
          <cell r="J90" t="str">
            <v>King, Ellie</v>
          </cell>
          <cell r="K90">
            <v>109.5</v>
          </cell>
          <cell r="L90" t="str">
            <v>M</v>
          </cell>
        </row>
        <row r="91">
          <cell r="A91" t="str">
            <v>9 - 8</v>
          </cell>
          <cell r="B91">
            <v>8.5</v>
          </cell>
          <cell r="I91">
            <v>151723</v>
          </cell>
          <cell r="J91" t="str">
            <v>Klamann, Julita</v>
          </cell>
          <cell r="K91">
            <v>101.5</v>
          </cell>
          <cell r="L91" t="str">
            <v>M</v>
          </cell>
        </row>
        <row r="92">
          <cell r="A92" t="str">
            <v>8 - 7</v>
          </cell>
          <cell r="B92">
            <v>7.5</v>
          </cell>
          <cell r="I92">
            <v>151682</v>
          </cell>
          <cell r="J92" t="str">
            <v>Kom, Caitlin</v>
          </cell>
          <cell r="K92">
            <v>101</v>
          </cell>
          <cell r="L92" t="str">
            <v>M</v>
          </cell>
        </row>
        <row r="93">
          <cell r="A93" t="str">
            <v>7 - 6</v>
          </cell>
          <cell r="B93">
            <v>6.5</v>
          </cell>
          <cell r="I93">
            <v>151575</v>
          </cell>
          <cell r="J93" t="str">
            <v>Lafferty, Leo</v>
          </cell>
          <cell r="K93">
            <v>106</v>
          </cell>
          <cell r="L93" t="str">
            <v>M</v>
          </cell>
        </row>
        <row r="94">
          <cell r="A94" t="str">
            <v>6 - 5</v>
          </cell>
          <cell r="B94">
            <v>5.5</v>
          </cell>
          <cell r="I94">
            <v>151694</v>
          </cell>
          <cell r="J94" t="str">
            <v>Leadley, Freya</v>
          </cell>
          <cell r="K94">
            <v>118.5</v>
          </cell>
          <cell r="L94" t="str">
            <v>H</v>
          </cell>
        </row>
        <row r="95">
          <cell r="A95" t="str">
            <v>5 - 4</v>
          </cell>
          <cell r="B95">
            <v>4.5</v>
          </cell>
          <cell r="I95">
            <v>151528</v>
          </cell>
          <cell r="J95" t="str">
            <v>Leadley, Harvey</v>
          </cell>
          <cell r="K95">
            <v>110.5</v>
          </cell>
          <cell r="L95" t="str">
            <v>H</v>
          </cell>
        </row>
        <row r="96">
          <cell r="A96" t="str">
            <v>4 - 3</v>
          </cell>
          <cell r="B96">
            <v>3.5</v>
          </cell>
          <cell r="I96">
            <v>151539</v>
          </cell>
          <cell r="J96" t="str">
            <v>Lear, Imogen</v>
          </cell>
          <cell r="K96">
            <v>108</v>
          </cell>
          <cell r="L96" t="str">
            <v>M</v>
          </cell>
        </row>
        <row r="97">
          <cell r="A97" t="str">
            <v>3 - 2</v>
          </cell>
          <cell r="B97">
            <v>2.5</v>
          </cell>
          <cell r="I97">
            <v>151522</v>
          </cell>
          <cell r="J97" t="str">
            <v>Levesley, Adam</v>
          </cell>
          <cell r="K97">
            <v>106</v>
          </cell>
          <cell r="L97" t="str">
            <v>M</v>
          </cell>
        </row>
        <row r="98">
          <cell r="A98" t="str">
            <v>2 - 1</v>
          </cell>
          <cell r="B98">
            <v>1.5</v>
          </cell>
          <cell r="I98">
            <v>151589</v>
          </cell>
          <cell r="J98" t="str">
            <v>Lewis, Olivia</v>
          </cell>
          <cell r="K98">
            <v>111</v>
          </cell>
          <cell r="L98" t="str">
            <v>H</v>
          </cell>
        </row>
        <row r="99">
          <cell r="A99" t="str">
            <v xml:space="preserve">1 - 0 </v>
          </cell>
          <cell r="B99">
            <v>0.5</v>
          </cell>
          <cell r="I99">
            <v>151705</v>
          </cell>
          <cell r="J99" t="str">
            <v>Lightbody, Sophie</v>
          </cell>
          <cell r="K99">
            <v>112.5</v>
          </cell>
          <cell r="L99" t="str">
            <v>H</v>
          </cell>
        </row>
        <row r="100">
          <cell r="A100" t="str">
            <v>5 - 7</v>
          </cell>
          <cell r="B100">
            <v>6</v>
          </cell>
          <cell r="I100">
            <v>151524</v>
          </cell>
          <cell r="J100" t="str">
            <v>Linsky, Caleb</v>
          </cell>
          <cell r="K100">
            <v>104.5</v>
          </cell>
          <cell r="L100" t="str">
            <v>M</v>
          </cell>
        </row>
        <row r="101">
          <cell r="A101" t="str">
            <v>7 - 9</v>
          </cell>
          <cell r="B101">
            <v>8</v>
          </cell>
          <cell r="I101">
            <v>151543</v>
          </cell>
          <cell r="J101" t="str">
            <v>Livingston, Maria</v>
          </cell>
          <cell r="K101">
            <v>109.5</v>
          </cell>
          <cell r="L101" t="str">
            <v>M</v>
          </cell>
        </row>
        <row r="102">
          <cell r="A102" t="str">
            <v>1 - 4</v>
          </cell>
          <cell r="B102">
            <v>2.5</v>
          </cell>
          <cell r="I102">
            <v>151646</v>
          </cell>
          <cell r="J102" t="str">
            <v>Logan, Nathaniel</v>
          </cell>
          <cell r="K102">
            <v>89.5</v>
          </cell>
          <cell r="L102" t="str">
            <v>L</v>
          </cell>
        </row>
        <row r="103">
          <cell r="A103" t="str">
            <v>L2 D*</v>
          </cell>
          <cell r="B103">
            <v>8.5</v>
          </cell>
          <cell r="I103">
            <v>151553</v>
          </cell>
          <cell r="J103" t="str">
            <v>Loughran, Joseph</v>
          </cell>
          <cell r="K103">
            <v>110.5</v>
          </cell>
          <cell r="L103" t="str">
            <v>H</v>
          </cell>
        </row>
        <row r="104">
          <cell r="A104" t="str">
            <v>L2 D</v>
          </cell>
          <cell r="B104">
            <v>7</v>
          </cell>
          <cell r="I104">
            <v>151544</v>
          </cell>
          <cell r="J104" t="str">
            <v>Madafi, Valerie</v>
          </cell>
          <cell r="K104">
            <v>108</v>
          </cell>
          <cell r="L104" t="str">
            <v>M</v>
          </cell>
        </row>
        <row r="105">
          <cell r="A105" t="str">
            <v>L2 M</v>
          </cell>
          <cell r="B105">
            <v>5.5</v>
          </cell>
          <cell r="I105">
            <v>151571</v>
          </cell>
          <cell r="J105" t="str">
            <v>Magambo, Aaron</v>
          </cell>
          <cell r="K105">
            <v>108</v>
          </cell>
          <cell r="L105" t="str">
            <v>M</v>
          </cell>
        </row>
        <row r="106">
          <cell r="A106" t="str">
            <v>L2 P</v>
          </cell>
          <cell r="B106">
            <v>4</v>
          </cell>
          <cell r="I106">
            <v>151586</v>
          </cell>
          <cell r="J106" t="str">
            <v>Mahachi, Dean</v>
          </cell>
          <cell r="K106">
            <v>101.5</v>
          </cell>
          <cell r="L106" t="str">
            <v>M</v>
          </cell>
        </row>
        <row r="107">
          <cell r="A107" t="str">
            <v>L1 D</v>
          </cell>
          <cell r="B107">
            <v>3</v>
          </cell>
          <cell r="I107">
            <v>151628</v>
          </cell>
          <cell r="J107" t="str">
            <v>Makanjuola, Oluwafeolami</v>
          </cell>
          <cell r="K107">
            <v>103</v>
          </cell>
          <cell r="L107" t="str">
            <v>M</v>
          </cell>
        </row>
        <row r="108">
          <cell r="A108" t="str">
            <v>L1 M</v>
          </cell>
          <cell r="B108">
            <v>2</v>
          </cell>
          <cell r="I108">
            <v>160026</v>
          </cell>
          <cell r="J108" t="str">
            <v>Malik, Hana</v>
          </cell>
          <cell r="K108" t="str">
            <v/>
          </cell>
          <cell r="L108" t="str">
            <v/>
          </cell>
        </row>
        <row r="109">
          <cell r="A109" t="str">
            <v>L1 P</v>
          </cell>
          <cell r="B109">
            <v>1.25</v>
          </cell>
          <cell r="I109">
            <v>151610</v>
          </cell>
          <cell r="J109" t="str">
            <v>Marks, Ethan</v>
          </cell>
          <cell r="K109">
            <v>117.5</v>
          </cell>
          <cell r="L109" t="str">
            <v>H</v>
          </cell>
        </row>
        <row r="110">
          <cell r="A110" t="str">
            <v>U</v>
          </cell>
          <cell r="B110">
            <v>0</v>
          </cell>
          <cell r="I110">
            <v>151584</v>
          </cell>
          <cell r="J110" t="str">
            <v>Martin, Tyler</v>
          </cell>
          <cell r="K110">
            <v>110</v>
          </cell>
          <cell r="L110" t="str">
            <v>H</v>
          </cell>
        </row>
        <row r="111">
          <cell r="A111" t="str">
            <v>9 9</v>
          </cell>
          <cell r="B111">
            <v>9</v>
          </cell>
          <cell r="I111">
            <v>151595</v>
          </cell>
          <cell r="J111" t="str">
            <v>Mauricio, James</v>
          </cell>
          <cell r="K111">
            <v>108</v>
          </cell>
          <cell r="L111" t="str">
            <v>M</v>
          </cell>
        </row>
        <row r="112">
          <cell r="A112" t="str">
            <v>9 8</v>
          </cell>
          <cell r="B112">
            <v>8.5</v>
          </cell>
          <cell r="I112">
            <v>151685</v>
          </cell>
          <cell r="J112" t="str">
            <v>McCann, James</v>
          </cell>
          <cell r="K112">
            <v>108.5</v>
          </cell>
          <cell r="L112" t="str">
            <v>M</v>
          </cell>
        </row>
        <row r="113">
          <cell r="A113" t="str">
            <v>8 8</v>
          </cell>
          <cell r="B113">
            <v>8</v>
          </cell>
          <cell r="I113">
            <v>151641</v>
          </cell>
          <cell r="J113" t="str">
            <v>McKinney, Esther</v>
          </cell>
          <cell r="K113">
            <v>117.5</v>
          </cell>
          <cell r="L113" t="str">
            <v>H</v>
          </cell>
        </row>
        <row r="114">
          <cell r="A114" t="str">
            <v>8 7</v>
          </cell>
          <cell r="B114">
            <v>7.5</v>
          </cell>
          <cell r="I114">
            <v>151570</v>
          </cell>
          <cell r="J114" t="str">
            <v>McKinney, Tess</v>
          </cell>
          <cell r="K114">
            <v>110</v>
          </cell>
          <cell r="L114" t="str">
            <v>H</v>
          </cell>
        </row>
        <row r="115">
          <cell r="A115" t="str">
            <v>7 7</v>
          </cell>
          <cell r="B115">
            <v>7</v>
          </cell>
          <cell r="I115">
            <v>151675</v>
          </cell>
          <cell r="J115" t="str">
            <v>McLaughlin, Matthew</v>
          </cell>
          <cell r="K115">
            <v>101.5</v>
          </cell>
          <cell r="L115" t="str">
            <v>M</v>
          </cell>
        </row>
        <row r="116">
          <cell r="A116" t="str">
            <v>7 6</v>
          </cell>
          <cell r="B116">
            <v>6.5</v>
          </cell>
          <cell r="I116">
            <v>151558</v>
          </cell>
          <cell r="J116" t="str">
            <v>McQuillan-Leonard, Louis</v>
          </cell>
          <cell r="K116">
            <v>115.5</v>
          </cell>
          <cell r="L116" t="str">
            <v>H</v>
          </cell>
        </row>
        <row r="117">
          <cell r="A117" t="str">
            <v>6 6</v>
          </cell>
          <cell r="B117">
            <v>6</v>
          </cell>
          <cell r="I117">
            <v>151647</v>
          </cell>
          <cell r="J117" t="str">
            <v>Mead, Louisa</v>
          </cell>
          <cell r="K117">
            <v>102</v>
          </cell>
          <cell r="L117" t="str">
            <v>M</v>
          </cell>
        </row>
        <row r="118">
          <cell r="A118" t="str">
            <v>6 5</v>
          </cell>
          <cell r="B118">
            <v>5.5</v>
          </cell>
          <cell r="I118">
            <v>151688</v>
          </cell>
          <cell r="J118" t="str">
            <v>Mehmood, Samah</v>
          </cell>
          <cell r="K118">
            <v>115</v>
          </cell>
          <cell r="L118" t="str">
            <v>H</v>
          </cell>
        </row>
        <row r="119">
          <cell r="A119" t="str">
            <v>5 5</v>
          </cell>
          <cell r="B119">
            <v>5</v>
          </cell>
          <cell r="I119">
            <v>151652</v>
          </cell>
          <cell r="J119" t="str">
            <v>Mountain-Freeman, Joshua</v>
          </cell>
          <cell r="K119">
            <v>89</v>
          </cell>
          <cell r="L119" t="str">
            <v>L</v>
          </cell>
        </row>
        <row r="120">
          <cell r="A120" t="str">
            <v>5 4</v>
          </cell>
          <cell r="B120">
            <v>4.5</v>
          </cell>
          <cell r="I120">
            <v>151627</v>
          </cell>
          <cell r="J120" t="str">
            <v>Muhirwa, Leeron</v>
          </cell>
          <cell r="K120">
            <v>111.5</v>
          </cell>
          <cell r="L120" t="str">
            <v>M</v>
          </cell>
        </row>
        <row r="121">
          <cell r="A121" t="str">
            <v>4 4</v>
          </cell>
          <cell r="B121">
            <v>4</v>
          </cell>
          <cell r="I121">
            <v>151711</v>
          </cell>
          <cell r="J121" t="str">
            <v>Munro-Proud, Lewis</v>
          </cell>
          <cell r="K121">
            <v>105.5</v>
          </cell>
          <cell r="L121" t="str">
            <v>M</v>
          </cell>
        </row>
        <row r="122">
          <cell r="A122" t="str">
            <v>4 3</v>
          </cell>
          <cell r="B122">
            <v>3.5</v>
          </cell>
          <cell r="I122">
            <v>151612</v>
          </cell>
          <cell r="J122" t="str">
            <v>Musie, Christina</v>
          </cell>
          <cell r="K122">
            <v>107.5</v>
          </cell>
          <cell r="L122" t="str">
            <v>M</v>
          </cell>
        </row>
        <row r="123">
          <cell r="A123" t="str">
            <v>3 3</v>
          </cell>
          <cell r="B123">
            <v>3</v>
          </cell>
          <cell r="I123">
            <v>151533</v>
          </cell>
          <cell r="J123" t="str">
            <v>Naylor, Benedict</v>
          </cell>
          <cell r="K123">
            <v>112.5</v>
          </cell>
          <cell r="L123" t="str">
            <v>H</v>
          </cell>
        </row>
        <row r="124">
          <cell r="A124" t="str">
            <v>3 2</v>
          </cell>
          <cell r="B124">
            <v>2.5</v>
          </cell>
          <cell r="I124">
            <v>151739</v>
          </cell>
          <cell r="J124" t="str">
            <v>Naylor, Ruby</v>
          </cell>
          <cell r="K124">
            <v>97.5</v>
          </cell>
          <cell r="L124" t="str">
            <v>L</v>
          </cell>
        </row>
        <row r="125">
          <cell r="A125" t="str">
            <v>2 2</v>
          </cell>
          <cell r="B125">
            <v>2</v>
          </cell>
          <cell r="I125">
            <v>151565</v>
          </cell>
          <cell r="J125" t="str">
            <v>Nduka, Reuben</v>
          </cell>
          <cell r="K125">
            <v>107.5</v>
          </cell>
          <cell r="L125" t="str">
            <v>M</v>
          </cell>
        </row>
        <row r="126">
          <cell r="A126" t="str">
            <v>2 1</v>
          </cell>
          <cell r="B126">
            <v>1.5</v>
          </cell>
          <cell r="I126">
            <v>151582</v>
          </cell>
          <cell r="J126" t="str">
            <v>Nettle, Charlie</v>
          </cell>
          <cell r="K126">
            <v>107.5</v>
          </cell>
          <cell r="L126" t="str">
            <v>M</v>
          </cell>
        </row>
        <row r="127">
          <cell r="A127" t="str">
            <v>1 1</v>
          </cell>
          <cell r="B127">
            <v>1</v>
          </cell>
          <cell r="I127">
            <v>151614</v>
          </cell>
          <cell r="J127" t="str">
            <v>Newton, Grace</v>
          </cell>
          <cell r="K127">
            <v>111</v>
          </cell>
          <cell r="L127" t="str">
            <v>H</v>
          </cell>
        </row>
        <row r="128">
          <cell r="A128" t="str">
            <v>8-9</v>
          </cell>
          <cell r="B128">
            <v>8.5</v>
          </cell>
          <cell r="I128">
            <v>151724</v>
          </cell>
          <cell r="J128" t="str">
            <v>Nicholson, Georgia</v>
          </cell>
          <cell r="K128">
            <v>104</v>
          </cell>
          <cell r="L128" t="str">
            <v>M</v>
          </cell>
        </row>
        <row r="129">
          <cell r="A129" t="str">
            <v>7-8</v>
          </cell>
          <cell r="B129">
            <v>7.5</v>
          </cell>
          <cell r="I129">
            <v>160035</v>
          </cell>
          <cell r="J129" t="str">
            <v>Nurul Sunazry, Hadiff</v>
          </cell>
          <cell r="K129" t="str">
            <v/>
          </cell>
          <cell r="L129" t="str">
            <v/>
          </cell>
        </row>
        <row r="130">
          <cell r="A130" t="str">
            <v>6-7</v>
          </cell>
          <cell r="B130">
            <v>6.5</v>
          </cell>
          <cell r="I130">
            <v>151548</v>
          </cell>
          <cell r="J130" t="str">
            <v>O'Brien, Lydia</v>
          </cell>
          <cell r="K130">
            <v>109.5</v>
          </cell>
          <cell r="L130" t="str">
            <v>M</v>
          </cell>
        </row>
        <row r="131">
          <cell r="A131" t="str">
            <v>5-6</v>
          </cell>
          <cell r="B131">
            <v>5.5</v>
          </cell>
          <cell r="I131">
            <v>151708</v>
          </cell>
          <cell r="J131" t="str">
            <v>O'Malley, Faith</v>
          </cell>
          <cell r="K131">
            <v>104</v>
          </cell>
          <cell r="L131" t="str">
            <v>M</v>
          </cell>
        </row>
        <row r="132">
          <cell r="A132" t="str">
            <v>4-5</v>
          </cell>
          <cell r="B132">
            <v>4.5</v>
          </cell>
          <cell r="I132">
            <v>151581</v>
          </cell>
          <cell r="J132" t="str">
            <v>O'Malley, Hope</v>
          </cell>
          <cell r="K132">
            <v>99</v>
          </cell>
          <cell r="L132" t="str">
            <v>L</v>
          </cell>
        </row>
        <row r="133">
          <cell r="A133" t="str">
            <v>3-4</v>
          </cell>
          <cell r="B133">
            <v>3.5</v>
          </cell>
          <cell r="I133">
            <v>151689</v>
          </cell>
          <cell r="J133" t="str">
            <v>Osagie, Miracle</v>
          </cell>
          <cell r="K133">
            <v>103.5</v>
          </cell>
          <cell r="L133" t="str">
            <v>L</v>
          </cell>
        </row>
        <row r="134">
          <cell r="A134" t="str">
            <v>2-3</v>
          </cell>
          <cell r="B134">
            <v>2.5</v>
          </cell>
          <cell r="I134">
            <v>151564</v>
          </cell>
          <cell r="J134" t="str">
            <v>Owen, Emily</v>
          </cell>
          <cell r="K134">
            <v>106.5</v>
          </cell>
          <cell r="L134" t="str">
            <v>M</v>
          </cell>
        </row>
        <row r="135">
          <cell r="A135" t="str">
            <v>1-2</v>
          </cell>
          <cell r="B135">
            <v>1.5</v>
          </cell>
          <cell r="I135">
            <v>151559</v>
          </cell>
          <cell r="J135" t="str">
            <v>Owusu-Sekyere, Bethny</v>
          </cell>
          <cell r="K135">
            <v>104</v>
          </cell>
          <cell r="L135" t="str">
            <v>M</v>
          </cell>
        </row>
        <row r="136">
          <cell r="A136" t="str">
            <v>F-E</v>
          </cell>
          <cell r="B136">
            <v>1.75</v>
          </cell>
          <cell r="I136">
            <v>151713</v>
          </cell>
          <cell r="J136" t="str">
            <v>Oxley, Finn</v>
          </cell>
          <cell r="K136">
            <v>105</v>
          </cell>
          <cell r="L136" t="str">
            <v>M</v>
          </cell>
        </row>
        <row r="137">
          <cell r="A137" t="str">
            <v>E-D</v>
          </cell>
          <cell r="B137">
            <v>2.5</v>
          </cell>
          <cell r="I137">
            <v>151676</v>
          </cell>
          <cell r="J137" t="str">
            <v>Oxley, Lily</v>
          </cell>
          <cell r="K137">
            <v>109</v>
          </cell>
          <cell r="L137" t="str">
            <v>M</v>
          </cell>
        </row>
        <row r="138">
          <cell r="A138" t="str">
            <v>D-C</v>
          </cell>
          <cell r="B138">
            <v>3.5</v>
          </cell>
          <cell r="I138">
            <v>151717</v>
          </cell>
          <cell r="J138" t="str">
            <v>Paredes Davila, Pablo Nicolas</v>
          </cell>
          <cell r="K138">
            <v>114</v>
          </cell>
          <cell r="L138" t="str">
            <v>H</v>
          </cell>
        </row>
        <row r="139">
          <cell r="A139" t="str">
            <v>C-B</v>
          </cell>
          <cell r="B139">
            <v>4.75</v>
          </cell>
          <cell r="I139">
            <v>151636</v>
          </cell>
          <cell r="J139" t="str">
            <v>Parkin, Annabelle</v>
          </cell>
          <cell r="K139">
            <v>104.5</v>
          </cell>
          <cell r="L139" t="str">
            <v>M</v>
          </cell>
        </row>
        <row r="140">
          <cell r="A140" t="str">
            <v>B-A</v>
          </cell>
          <cell r="B140">
            <v>6.25</v>
          </cell>
          <cell r="I140">
            <v>152718</v>
          </cell>
          <cell r="J140" t="str">
            <v>Penmetsa, Akshaya</v>
          </cell>
          <cell r="K140">
            <v>117</v>
          </cell>
          <cell r="L140" t="str">
            <v>H</v>
          </cell>
        </row>
        <row r="141">
          <cell r="A141" t="str">
            <v>A-A*</v>
          </cell>
          <cell r="B141">
            <v>7.75</v>
          </cell>
          <cell r="I141">
            <v>151670</v>
          </cell>
          <cell r="J141" t="str">
            <v>Phelps, Evie</v>
          </cell>
          <cell r="K141">
            <v>91</v>
          </cell>
          <cell r="L141" t="str">
            <v>L</v>
          </cell>
        </row>
        <row r="142">
          <cell r="A142" t="str">
            <v>1-1</v>
          </cell>
          <cell r="B142">
            <v>1</v>
          </cell>
          <cell r="I142">
            <v>151715</v>
          </cell>
          <cell r="J142" t="str">
            <v>Phoenix, Luke</v>
          </cell>
          <cell r="K142">
            <v>111.5</v>
          </cell>
          <cell r="L142" t="str">
            <v>H</v>
          </cell>
        </row>
        <row r="143">
          <cell r="A143" t="str">
            <v>2-2</v>
          </cell>
          <cell r="B143">
            <v>2</v>
          </cell>
          <cell r="I143">
            <v>151679</v>
          </cell>
          <cell r="J143" t="str">
            <v>Prenter, Millie</v>
          </cell>
          <cell r="K143">
            <v>110.5</v>
          </cell>
          <cell r="L143" t="str">
            <v>M</v>
          </cell>
        </row>
        <row r="144">
          <cell r="A144" t="str">
            <v>3-3</v>
          </cell>
          <cell r="B144">
            <v>3</v>
          </cell>
          <cell r="I144">
            <v>151726</v>
          </cell>
          <cell r="J144" t="str">
            <v>Priestley, Antonia</v>
          </cell>
          <cell r="K144">
            <v>115.5</v>
          </cell>
          <cell r="L144" t="str">
            <v>H</v>
          </cell>
        </row>
        <row r="145">
          <cell r="A145" t="str">
            <v>4-4</v>
          </cell>
          <cell r="B145">
            <v>4</v>
          </cell>
          <cell r="I145">
            <v>151719</v>
          </cell>
          <cell r="J145" t="str">
            <v>Puckering-Green, Jake</v>
          </cell>
          <cell r="K145">
            <v>103.5</v>
          </cell>
          <cell r="L145" t="str">
            <v>L</v>
          </cell>
        </row>
        <row r="146">
          <cell r="A146" t="str">
            <v>5-5</v>
          </cell>
          <cell r="B146">
            <v>5</v>
          </cell>
          <cell r="I146">
            <v>151701</v>
          </cell>
          <cell r="J146" t="str">
            <v>Read, Hannah</v>
          </cell>
          <cell r="K146">
            <v>115</v>
          </cell>
          <cell r="L146" t="str">
            <v>H</v>
          </cell>
        </row>
        <row r="147">
          <cell r="A147" t="str">
            <v>6-6</v>
          </cell>
          <cell r="B147">
            <v>6</v>
          </cell>
          <cell r="I147">
            <v>151549</v>
          </cell>
          <cell r="J147" t="str">
            <v>Reynard, Isla</v>
          </cell>
          <cell r="K147">
            <v>113.5</v>
          </cell>
          <cell r="L147" t="str">
            <v>H</v>
          </cell>
        </row>
        <row r="148">
          <cell r="A148" t="str">
            <v>7-7</v>
          </cell>
          <cell r="B148">
            <v>7</v>
          </cell>
          <cell r="I148">
            <v>151626</v>
          </cell>
          <cell r="J148" t="str">
            <v>Richards, Lynice</v>
          </cell>
          <cell r="K148">
            <v>79</v>
          </cell>
          <cell r="L148" t="str">
            <v>L</v>
          </cell>
        </row>
        <row r="149">
          <cell r="A149" t="str">
            <v>8-8</v>
          </cell>
          <cell r="B149">
            <v>8</v>
          </cell>
          <cell r="I149">
            <v>151671</v>
          </cell>
          <cell r="J149" t="str">
            <v>Rigby, Isobel</v>
          </cell>
          <cell r="K149">
            <v>107.5</v>
          </cell>
          <cell r="L149" t="str">
            <v>M</v>
          </cell>
        </row>
        <row r="150">
          <cell r="A150" t="str">
            <v>9-9</v>
          </cell>
          <cell r="B150">
            <v>9</v>
          </cell>
          <cell r="I150">
            <v>151704</v>
          </cell>
          <cell r="J150" t="str">
            <v>Rose, Evie</v>
          </cell>
          <cell r="K150">
            <v>98</v>
          </cell>
          <cell r="L150" t="str">
            <v>L</v>
          </cell>
        </row>
        <row r="151">
          <cell r="A151" t="str">
            <v>0-0</v>
          </cell>
          <cell r="B151">
            <v>0</v>
          </cell>
          <cell r="I151">
            <v>151664</v>
          </cell>
          <cell r="J151" t="str">
            <v>Ross-Weston, Madeleine</v>
          </cell>
          <cell r="K151">
            <v>100.5</v>
          </cell>
          <cell r="L151" t="str">
            <v>M</v>
          </cell>
        </row>
        <row r="152">
          <cell r="A152" t="str">
            <v>9-8</v>
          </cell>
          <cell r="B152">
            <v>8.5</v>
          </cell>
          <cell r="I152">
            <v>151661</v>
          </cell>
          <cell r="J152" t="str">
            <v>Saddiq, Elayna</v>
          </cell>
          <cell r="K152">
            <v>105</v>
          </cell>
          <cell r="L152" t="str">
            <v>M</v>
          </cell>
        </row>
        <row r="153">
          <cell r="A153" t="str">
            <v>8-7</v>
          </cell>
          <cell r="B153">
            <v>7.5</v>
          </cell>
          <cell r="I153">
            <v>151690</v>
          </cell>
          <cell r="J153" t="str">
            <v>Sadler, Tierney</v>
          </cell>
          <cell r="K153">
            <v>103.5</v>
          </cell>
          <cell r="L153" t="str">
            <v>M</v>
          </cell>
        </row>
        <row r="154">
          <cell r="A154" t="str">
            <v>7-6</v>
          </cell>
          <cell r="B154">
            <v>6.5</v>
          </cell>
          <cell r="I154">
            <v>151625</v>
          </cell>
          <cell r="J154" t="str">
            <v>Samuels, Amari</v>
          </cell>
          <cell r="K154">
            <v>101.5</v>
          </cell>
          <cell r="L154" t="str">
            <v>M</v>
          </cell>
        </row>
        <row r="155">
          <cell r="A155" t="str">
            <v>6-5</v>
          </cell>
          <cell r="B155">
            <v>5.5</v>
          </cell>
          <cell r="I155">
            <v>151585</v>
          </cell>
          <cell r="J155" t="str">
            <v>Sanchez, Nicolas</v>
          </cell>
          <cell r="K155">
            <v>102.5</v>
          </cell>
          <cell r="L155" t="str">
            <v>M</v>
          </cell>
        </row>
        <row r="156">
          <cell r="A156" t="str">
            <v>5-4</v>
          </cell>
          <cell r="B156">
            <v>4.5</v>
          </cell>
          <cell r="I156">
            <v>151588</v>
          </cell>
          <cell r="J156" t="str">
            <v>Sargeant, Joanie</v>
          </cell>
          <cell r="K156">
            <v>105</v>
          </cell>
          <cell r="L156" t="str">
            <v>M</v>
          </cell>
        </row>
        <row r="157">
          <cell r="A157" t="str">
            <v>4-3</v>
          </cell>
          <cell r="B157">
            <v>3.5</v>
          </cell>
          <cell r="I157">
            <v>151623</v>
          </cell>
          <cell r="J157" t="str">
            <v>Sasu-Fynn, Francis</v>
          </cell>
          <cell r="K157">
            <v>109</v>
          </cell>
          <cell r="L157" t="str">
            <v>M</v>
          </cell>
        </row>
        <row r="158">
          <cell r="A158" t="str">
            <v>3-2</v>
          </cell>
          <cell r="B158">
            <v>2.5</v>
          </cell>
          <cell r="I158">
            <v>151710</v>
          </cell>
          <cell r="J158" t="str">
            <v>Saxton-Clayton, Alfie</v>
          </cell>
          <cell r="K158">
            <v>101.5</v>
          </cell>
          <cell r="L158" t="str">
            <v>L</v>
          </cell>
        </row>
        <row r="159">
          <cell r="A159" t="str">
            <v>2-1</v>
          </cell>
          <cell r="B159">
            <v>1.5</v>
          </cell>
          <cell r="I159">
            <v>151593</v>
          </cell>
          <cell r="J159" t="str">
            <v>Scott, Trinity</v>
          </cell>
          <cell r="K159">
            <v>104</v>
          </cell>
          <cell r="L159" t="str">
            <v>M</v>
          </cell>
        </row>
        <row r="160">
          <cell r="A160" t="str">
            <v>1-0</v>
          </cell>
          <cell r="B160">
            <v>0.5</v>
          </cell>
          <cell r="I160">
            <v>151666</v>
          </cell>
          <cell r="J160" t="str">
            <v>Scriven, Emily</v>
          </cell>
          <cell r="K160">
            <v>108.5</v>
          </cell>
          <cell r="L160" t="str">
            <v>M</v>
          </cell>
        </row>
        <row r="161">
          <cell r="A161" t="str">
            <v>5-7</v>
          </cell>
          <cell r="B161">
            <v>6</v>
          </cell>
          <cell r="I161">
            <v>151733</v>
          </cell>
          <cell r="J161" t="str">
            <v>Selamyihun, Bitania</v>
          </cell>
          <cell r="K161">
            <v>100</v>
          </cell>
          <cell r="L161" t="str">
            <v>M</v>
          </cell>
        </row>
        <row r="162">
          <cell r="A162" t="str">
            <v>7-9</v>
          </cell>
          <cell r="B162">
            <v>8</v>
          </cell>
          <cell r="I162">
            <v>151653</v>
          </cell>
          <cell r="J162" t="str">
            <v>Shaiju, Shreya</v>
          </cell>
          <cell r="K162">
            <v>111.5</v>
          </cell>
          <cell r="L162" t="str">
            <v>H</v>
          </cell>
        </row>
        <row r="163">
          <cell r="A163" t="str">
            <v>1-4</v>
          </cell>
          <cell r="B163">
            <v>2.5</v>
          </cell>
          <cell r="I163">
            <v>151578</v>
          </cell>
          <cell r="J163" t="str">
            <v>Shaw, Larissa</v>
          </cell>
          <cell r="K163">
            <v>118.5</v>
          </cell>
          <cell r="L163" t="str">
            <v>H</v>
          </cell>
        </row>
        <row r="164">
          <cell r="I164">
            <v>151583</v>
          </cell>
          <cell r="J164" t="str">
            <v>Shepherd, Jessica</v>
          </cell>
          <cell r="K164">
            <v>110.5</v>
          </cell>
          <cell r="L164" t="str">
            <v>H</v>
          </cell>
        </row>
        <row r="165">
          <cell r="I165">
            <v>151656</v>
          </cell>
          <cell r="J165" t="str">
            <v>Sheppard, Jade</v>
          </cell>
          <cell r="K165">
            <v>100</v>
          </cell>
          <cell r="L165" t="str">
            <v>L</v>
          </cell>
        </row>
        <row r="166">
          <cell r="I166">
            <v>151601</v>
          </cell>
          <cell r="J166" t="str">
            <v>Sheridan, Stanley</v>
          </cell>
          <cell r="K166">
            <v>108</v>
          </cell>
          <cell r="L166" t="str">
            <v>M</v>
          </cell>
        </row>
        <row r="167">
          <cell r="I167">
            <v>151691</v>
          </cell>
          <cell r="J167" t="str">
            <v>Shields, Rachel</v>
          </cell>
          <cell r="K167">
            <v>107.5</v>
          </cell>
          <cell r="L167" t="str">
            <v>M</v>
          </cell>
        </row>
        <row r="168">
          <cell r="I168">
            <v>151596</v>
          </cell>
          <cell r="J168" t="str">
            <v>Sibanda, Sibusisiwe</v>
          </cell>
          <cell r="K168">
            <v>110</v>
          </cell>
          <cell r="L168" t="str">
            <v>H</v>
          </cell>
        </row>
        <row r="169">
          <cell r="I169">
            <v>151700</v>
          </cell>
          <cell r="J169" t="str">
            <v>Sigauke, Ashleigh</v>
          </cell>
          <cell r="K169">
            <v>97</v>
          </cell>
          <cell r="L169" t="str">
            <v>L</v>
          </cell>
        </row>
        <row r="170">
          <cell r="I170">
            <v>151579</v>
          </cell>
          <cell r="J170" t="str">
            <v>Siggs, Patrick</v>
          </cell>
          <cell r="K170">
            <v>107.5</v>
          </cell>
          <cell r="L170" t="str">
            <v>M</v>
          </cell>
        </row>
        <row r="171">
          <cell r="I171">
            <v>151619</v>
          </cell>
          <cell r="J171" t="str">
            <v>Simpson, Charlie</v>
          </cell>
          <cell r="K171">
            <v>100.5</v>
          </cell>
          <cell r="L171" t="str">
            <v>M</v>
          </cell>
        </row>
        <row r="172">
          <cell r="I172">
            <v>151521</v>
          </cell>
          <cell r="J172" t="str">
            <v>Sinkamba, Louisa</v>
          </cell>
          <cell r="K172">
            <v>113</v>
          </cell>
          <cell r="L172" t="str">
            <v>H</v>
          </cell>
        </row>
        <row r="173">
          <cell r="I173">
            <v>151587</v>
          </cell>
          <cell r="J173" t="str">
            <v>Smith, Jasmine</v>
          </cell>
          <cell r="K173">
            <v>114.5</v>
          </cell>
          <cell r="L173" t="str">
            <v>H</v>
          </cell>
        </row>
        <row r="174">
          <cell r="I174">
            <v>151730</v>
          </cell>
          <cell r="J174" t="str">
            <v>Smith, Luke</v>
          </cell>
          <cell r="K174">
            <v>109</v>
          </cell>
          <cell r="L174" t="str">
            <v>M</v>
          </cell>
        </row>
        <row r="175">
          <cell r="I175">
            <v>151729</v>
          </cell>
          <cell r="J175" t="str">
            <v>Smith, Nathanael</v>
          </cell>
          <cell r="K175">
            <v>106.5</v>
          </cell>
          <cell r="L175" t="str">
            <v>M</v>
          </cell>
        </row>
        <row r="176">
          <cell r="I176">
            <v>151602</v>
          </cell>
          <cell r="J176" t="str">
            <v>Smith, Niamh</v>
          </cell>
          <cell r="K176">
            <v>105.5</v>
          </cell>
          <cell r="L176" t="str">
            <v>M</v>
          </cell>
        </row>
        <row r="177">
          <cell r="I177">
            <v>151547</v>
          </cell>
          <cell r="J177" t="str">
            <v>Smith, Patrick</v>
          </cell>
          <cell r="K177">
            <v>107</v>
          </cell>
          <cell r="L177" t="str">
            <v>M</v>
          </cell>
        </row>
        <row r="178">
          <cell r="I178">
            <v>151662</v>
          </cell>
          <cell r="J178" t="str">
            <v>Smith, Taliah</v>
          </cell>
          <cell r="K178">
            <v>4</v>
          </cell>
          <cell r="L178" t="str">
            <v>L</v>
          </cell>
        </row>
        <row r="179">
          <cell r="I179">
            <v>151677</v>
          </cell>
          <cell r="J179" t="str">
            <v>Smith, William</v>
          </cell>
          <cell r="K179">
            <v>112</v>
          </cell>
          <cell r="L179" t="str">
            <v>H</v>
          </cell>
        </row>
        <row r="180">
          <cell r="I180">
            <v>151720</v>
          </cell>
          <cell r="J180" t="str">
            <v>Stafford, James</v>
          </cell>
          <cell r="K180">
            <v>112.5</v>
          </cell>
          <cell r="L180" t="str">
            <v>H</v>
          </cell>
        </row>
        <row r="181">
          <cell r="I181">
            <v>151663</v>
          </cell>
          <cell r="J181" t="str">
            <v>Stephenson, Lewis</v>
          </cell>
          <cell r="K181">
            <v>105.5</v>
          </cell>
          <cell r="L181" t="str">
            <v>M</v>
          </cell>
        </row>
        <row r="182">
          <cell r="I182">
            <v>151659</v>
          </cell>
          <cell r="J182" t="str">
            <v>Streicher Rootman, Mika</v>
          </cell>
          <cell r="K182">
            <v>110.5</v>
          </cell>
          <cell r="L182" t="str">
            <v>H</v>
          </cell>
        </row>
        <row r="183">
          <cell r="I183">
            <v>151615</v>
          </cell>
          <cell r="J183" t="str">
            <v>Sweeting, Olivia</v>
          </cell>
          <cell r="K183">
            <v>115.5</v>
          </cell>
          <cell r="L183" t="str">
            <v>H</v>
          </cell>
        </row>
        <row r="184">
          <cell r="I184">
            <v>151644</v>
          </cell>
          <cell r="J184" t="str">
            <v>Taft, Alfie</v>
          </cell>
          <cell r="K184">
            <v>96.5</v>
          </cell>
          <cell r="L184" t="str">
            <v>L</v>
          </cell>
        </row>
        <row r="185">
          <cell r="I185">
            <v>151658</v>
          </cell>
          <cell r="J185" t="str">
            <v>Tahirova, Maria</v>
          </cell>
          <cell r="K185">
            <v>111</v>
          </cell>
          <cell r="L185" t="str">
            <v>M</v>
          </cell>
        </row>
        <row r="186">
          <cell r="I186">
            <v>151552</v>
          </cell>
          <cell r="J186" t="str">
            <v>Tankard, Erin</v>
          </cell>
          <cell r="K186">
            <v>117.5</v>
          </cell>
          <cell r="L186" t="str">
            <v>H</v>
          </cell>
        </row>
        <row r="187">
          <cell r="I187">
            <v>151536</v>
          </cell>
          <cell r="J187" t="str">
            <v>Tate, Ruby</v>
          </cell>
          <cell r="K187">
            <v>90</v>
          </cell>
          <cell r="L187" t="str">
            <v>L</v>
          </cell>
        </row>
        <row r="188">
          <cell r="I188">
            <v>151632</v>
          </cell>
          <cell r="J188" t="str">
            <v>Taylor, Ethan</v>
          </cell>
          <cell r="K188">
            <v>102.5</v>
          </cell>
          <cell r="L188" t="str">
            <v>L</v>
          </cell>
        </row>
        <row r="189">
          <cell r="I189">
            <v>151731</v>
          </cell>
          <cell r="J189" t="str">
            <v>Tewodros, Bezawet</v>
          </cell>
          <cell r="K189">
            <v>109</v>
          </cell>
          <cell r="L189" t="str">
            <v>M</v>
          </cell>
        </row>
        <row r="190">
          <cell r="I190">
            <v>151727</v>
          </cell>
          <cell r="J190" t="str">
            <v>Thomas, Ryan</v>
          </cell>
          <cell r="K190">
            <v>110</v>
          </cell>
          <cell r="L190" t="str">
            <v>H</v>
          </cell>
        </row>
        <row r="191">
          <cell r="I191">
            <v>160140</v>
          </cell>
          <cell r="J191" t="str">
            <v>Thompson, Zack</v>
          </cell>
          <cell r="K191" t="str">
            <v/>
          </cell>
          <cell r="L191" t="str">
            <v/>
          </cell>
        </row>
        <row r="192">
          <cell r="I192">
            <v>151732</v>
          </cell>
          <cell r="J192" t="str">
            <v>Tojo, Elwin</v>
          </cell>
          <cell r="K192">
            <v>104.5</v>
          </cell>
          <cell r="L192" t="str">
            <v>M</v>
          </cell>
        </row>
        <row r="193">
          <cell r="I193">
            <v>151520</v>
          </cell>
          <cell r="J193" t="str">
            <v>Tshuma, Isaac</v>
          </cell>
          <cell r="K193">
            <v>93.5</v>
          </cell>
          <cell r="L193" t="str">
            <v>L</v>
          </cell>
        </row>
        <row r="194">
          <cell r="I194">
            <v>151714</v>
          </cell>
          <cell r="J194" t="str">
            <v>Turner, Millie</v>
          </cell>
          <cell r="K194">
            <v>103.5</v>
          </cell>
          <cell r="L194" t="str">
            <v>M</v>
          </cell>
        </row>
        <row r="195">
          <cell r="I195">
            <v>151716</v>
          </cell>
          <cell r="J195" t="str">
            <v>Tyminska, Maja</v>
          </cell>
          <cell r="K195">
            <v>104.5</v>
          </cell>
          <cell r="L195" t="str">
            <v>M</v>
          </cell>
        </row>
        <row r="196">
          <cell r="I196">
            <v>151718</v>
          </cell>
          <cell r="J196" t="str">
            <v>Uduoise, Eliana</v>
          </cell>
          <cell r="K196">
            <v>105</v>
          </cell>
          <cell r="L196" t="str">
            <v>M</v>
          </cell>
        </row>
        <row r="197">
          <cell r="I197">
            <v>151640</v>
          </cell>
          <cell r="J197" t="str">
            <v>Ufondu, Chinonso</v>
          </cell>
          <cell r="K197">
            <v>107.5</v>
          </cell>
          <cell r="L197" t="str">
            <v>M</v>
          </cell>
        </row>
        <row r="198">
          <cell r="I198">
            <v>151535</v>
          </cell>
          <cell r="J198" t="str">
            <v>Uwagboe, Eghosa</v>
          </cell>
          <cell r="K198">
            <v>107.5</v>
          </cell>
          <cell r="L198" t="str">
            <v>M</v>
          </cell>
        </row>
        <row r="199">
          <cell r="I199">
            <v>151697</v>
          </cell>
          <cell r="J199" t="str">
            <v>Vas, Camille</v>
          </cell>
          <cell r="K199">
            <v>114.5</v>
          </cell>
          <cell r="L199" t="str">
            <v>H</v>
          </cell>
        </row>
        <row r="200">
          <cell r="I200">
            <v>151569</v>
          </cell>
          <cell r="J200" t="str">
            <v>Waldron, Sophie</v>
          </cell>
          <cell r="K200">
            <v>109</v>
          </cell>
          <cell r="L200" t="str">
            <v>M</v>
          </cell>
        </row>
        <row r="201">
          <cell r="I201">
            <v>151597</v>
          </cell>
          <cell r="J201" t="str">
            <v>Walford, Riannon</v>
          </cell>
          <cell r="K201">
            <v>98.5</v>
          </cell>
          <cell r="L201" t="str">
            <v>L</v>
          </cell>
        </row>
        <row r="202">
          <cell r="I202">
            <v>151741</v>
          </cell>
          <cell r="J202" t="str">
            <v>Walsh, Caitlin</v>
          </cell>
          <cell r="K202">
            <v>114.5</v>
          </cell>
          <cell r="L202" t="str">
            <v>H</v>
          </cell>
        </row>
        <row r="203">
          <cell r="I203">
            <v>151672</v>
          </cell>
          <cell r="J203" t="str">
            <v>Walsh, James</v>
          </cell>
          <cell r="K203">
            <v>100</v>
          </cell>
          <cell r="L203" t="str">
            <v>M</v>
          </cell>
        </row>
        <row r="204">
          <cell r="I204">
            <v>151556</v>
          </cell>
          <cell r="J204" t="str">
            <v>Walton-McBain, Evangeline</v>
          </cell>
          <cell r="K204">
            <v>116.5</v>
          </cell>
          <cell r="L204" t="str">
            <v>H</v>
          </cell>
        </row>
        <row r="205">
          <cell r="I205">
            <v>151707</v>
          </cell>
          <cell r="J205" t="str">
            <v>Walton-Ryan, Gabriel</v>
          </cell>
          <cell r="K205">
            <v>105</v>
          </cell>
          <cell r="L205" t="str">
            <v>M</v>
          </cell>
        </row>
        <row r="206">
          <cell r="I206">
            <v>151620</v>
          </cell>
          <cell r="J206" t="str">
            <v>Walton-Ryan, Lola</v>
          </cell>
          <cell r="K206">
            <v>110</v>
          </cell>
          <cell r="L206" t="str">
            <v>H</v>
          </cell>
        </row>
        <row r="207">
          <cell r="I207">
            <v>151660</v>
          </cell>
          <cell r="J207" t="str">
            <v>Ward, Benjamin</v>
          </cell>
          <cell r="K207">
            <v>106.5</v>
          </cell>
          <cell r="L207" t="str">
            <v>M</v>
          </cell>
        </row>
        <row r="208">
          <cell r="I208">
            <v>151649</v>
          </cell>
          <cell r="J208" t="str">
            <v>Whitaker Smith, Lily</v>
          </cell>
          <cell r="K208">
            <v>98.5</v>
          </cell>
          <cell r="L208" t="str">
            <v>L</v>
          </cell>
        </row>
        <row r="209">
          <cell r="I209">
            <v>151738</v>
          </cell>
          <cell r="J209" t="str">
            <v>Whitworth, Alecia</v>
          </cell>
          <cell r="K209">
            <v>110</v>
          </cell>
          <cell r="L209" t="str">
            <v>H</v>
          </cell>
        </row>
        <row r="210">
          <cell r="I210">
            <v>151606</v>
          </cell>
          <cell r="J210" t="str">
            <v>Williams, Mya</v>
          </cell>
          <cell r="K210">
            <v>109.5</v>
          </cell>
          <cell r="L210" t="str">
            <v>M</v>
          </cell>
        </row>
        <row r="211">
          <cell r="I211">
            <v>151657</v>
          </cell>
          <cell r="J211" t="str">
            <v>Womersley, Poppy</v>
          </cell>
          <cell r="K211">
            <v>111.5</v>
          </cell>
          <cell r="L211" t="str">
            <v>H</v>
          </cell>
        </row>
        <row r="212">
          <cell r="I212">
            <v>151683</v>
          </cell>
          <cell r="J212" t="str">
            <v>Wright, Sadie</v>
          </cell>
          <cell r="K212">
            <v>110</v>
          </cell>
          <cell r="L212" t="str">
            <v>H</v>
          </cell>
        </row>
        <row r="213">
          <cell r="I213">
            <v>151702</v>
          </cell>
          <cell r="J213" t="str">
            <v>Yeboah, Samuel</v>
          </cell>
          <cell r="K213">
            <v>105</v>
          </cell>
          <cell r="L213" t="str">
            <v>M</v>
          </cell>
        </row>
        <row r="214">
          <cell r="I214">
            <v>151574</v>
          </cell>
          <cell r="J214" t="str">
            <v>Yemane, Harmala</v>
          </cell>
          <cell r="K214">
            <v>106.5</v>
          </cell>
          <cell r="L214" t="str">
            <v>M</v>
          </cell>
        </row>
        <row r="215">
          <cell r="I215" t="e">
            <v>#REF!</v>
          </cell>
          <cell r="J215" t="e">
            <v>#REF!</v>
          </cell>
          <cell r="K215" t="e">
            <v>#REF!</v>
          </cell>
          <cell r="L215" t="str">
            <v/>
          </cell>
        </row>
        <row r="216">
          <cell r="I216" t="e">
            <v>#REF!</v>
          </cell>
          <cell r="J216" t="e">
            <v>#REF!</v>
          </cell>
          <cell r="K216" t="e">
            <v>#REF!</v>
          </cell>
          <cell r="L216" t="str">
            <v/>
          </cell>
        </row>
        <row r="217">
          <cell r="I217" t="e">
            <v>#REF!</v>
          </cell>
          <cell r="J217" t="e">
            <v>#REF!</v>
          </cell>
          <cell r="K217" t="e">
            <v>#REF!</v>
          </cell>
          <cell r="L217" t="str">
            <v/>
          </cell>
        </row>
        <row r="218">
          <cell r="I218" t="e">
            <v>#REF!</v>
          </cell>
          <cell r="J218" t="e">
            <v>#REF!</v>
          </cell>
          <cell r="K218" t="e">
            <v>#REF!</v>
          </cell>
          <cell r="L218" t="str">
            <v/>
          </cell>
        </row>
        <row r="219">
          <cell r="I219" t="e">
            <v>#REF!</v>
          </cell>
          <cell r="J219" t="e">
            <v>#REF!</v>
          </cell>
          <cell r="K219" t="e">
            <v>#REF!</v>
          </cell>
          <cell r="L219" t="str">
            <v/>
          </cell>
        </row>
        <row r="220">
          <cell r="I220" t="e">
            <v>#REF!</v>
          </cell>
          <cell r="J220" t="e">
            <v>#REF!</v>
          </cell>
          <cell r="K220" t="e">
            <v>#REF!</v>
          </cell>
          <cell r="L220" t="str">
            <v/>
          </cell>
        </row>
        <row r="221">
          <cell r="I221" t="e">
            <v>#REF!</v>
          </cell>
          <cell r="J221" t="e">
            <v>#REF!</v>
          </cell>
          <cell r="K221" t="e">
            <v>#REF!</v>
          </cell>
          <cell r="L221" t="str">
            <v/>
          </cell>
        </row>
        <row r="222">
          <cell r="I222" t="e">
            <v>#REF!</v>
          </cell>
          <cell r="J222" t="e">
            <v>#REF!</v>
          </cell>
          <cell r="K222" t="e">
            <v>#REF!</v>
          </cell>
          <cell r="L222" t="str">
            <v/>
          </cell>
        </row>
        <row r="223">
          <cell r="I223" t="e">
            <v>#REF!</v>
          </cell>
          <cell r="J223" t="e">
            <v>#REF!</v>
          </cell>
          <cell r="K223" t="e">
            <v>#REF!</v>
          </cell>
          <cell r="L223" t="str">
            <v/>
          </cell>
        </row>
        <row r="224">
          <cell r="I224" t="e">
            <v>#REF!</v>
          </cell>
          <cell r="J224" t="e">
            <v>#REF!</v>
          </cell>
          <cell r="K224" t="e">
            <v>#REF!</v>
          </cell>
          <cell r="L224" t="str">
            <v/>
          </cell>
        </row>
        <row r="225">
          <cell r="I225" t="e">
            <v>#REF!</v>
          </cell>
          <cell r="J225" t="e">
            <v>#REF!</v>
          </cell>
          <cell r="K225" t="e">
            <v>#REF!</v>
          </cell>
          <cell r="L225" t="str">
            <v/>
          </cell>
        </row>
        <row r="226">
          <cell r="I226" t="e">
            <v>#REF!</v>
          </cell>
          <cell r="J226" t="e">
            <v>#REF!</v>
          </cell>
          <cell r="K226" t="e">
            <v>#REF!</v>
          </cell>
          <cell r="L226" t="str">
            <v/>
          </cell>
        </row>
        <row r="227">
          <cell r="I227" t="e">
            <v>#REF!</v>
          </cell>
          <cell r="J227" t="e">
            <v>#REF!</v>
          </cell>
          <cell r="K227" t="e">
            <v>#REF!</v>
          </cell>
          <cell r="L227" t="str">
            <v/>
          </cell>
        </row>
        <row r="228">
          <cell r="I228" t="e">
            <v>#REF!</v>
          </cell>
          <cell r="J228" t="e">
            <v>#REF!</v>
          </cell>
          <cell r="K228" t="e">
            <v>#REF!</v>
          </cell>
          <cell r="L228" t="str">
            <v/>
          </cell>
        </row>
        <row r="229">
          <cell r="I229" t="e">
            <v>#REF!</v>
          </cell>
          <cell r="J229" t="e">
            <v>#REF!</v>
          </cell>
          <cell r="K229" t="e">
            <v>#REF!</v>
          </cell>
          <cell r="L229" t="str">
            <v/>
          </cell>
        </row>
      </sheetData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L3VA"/>
      <sheetName val="SUBJECT L3VA"/>
      <sheetName val="GROUPDISTRIBUTION"/>
      <sheetName val="Chart1"/>
      <sheetName val="COHORTSUBJECTCOMPARATOR"/>
      <sheetName val="N2I and SERIOUS CONCERN(TOTALS)"/>
      <sheetName val="6THF-A2LBYSUBJECT"/>
      <sheetName val="A2L FREQ"/>
      <sheetName val="A2L SUMMARY"/>
      <sheetName val="Lookups"/>
      <sheetName val="BHVEXPORT"/>
      <sheetName val="COHORT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2"/>
      <sheetData sheetId="13"/>
      <sheetData sheetId="14">
        <row r="1">
          <cell r="A1" t="str">
            <v>Admission Number</v>
          </cell>
          <cell r="B1" t="str">
            <v>Legal Full name</v>
          </cell>
          <cell r="C1" t="str">
            <v>Tutor Group</v>
          </cell>
          <cell r="D1" t="str">
            <v>Comm Con</v>
          </cell>
          <cell r="E1" t="str">
            <v>Pers Org</v>
          </cell>
          <cell r="F1" t="str">
            <v>Praise</v>
          </cell>
          <cell r="G1" t="str">
            <v>BOL</v>
          </cell>
          <cell r="H1" t="str">
            <v>BIL</v>
          </cell>
          <cell r="I1" t="str">
            <v>HWK</v>
          </cell>
        </row>
        <row r="2">
          <cell r="A2">
            <v>150465</v>
          </cell>
          <cell r="B2" t="str">
            <v>Aine Plunkett</v>
          </cell>
          <cell r="C2" t="str">
            <v>13SDR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</row>
        <row r="3">
          <cell r="A3">
            <v>152177</v>
          </cell>
          <cell r="B3" t="str">
            <v>Harry Radford</v>
          </cell>
          <cell r="C3" t="str">
            <v>13HS</v>
          </cell>
          <cell r="D3">
            <v>0</v>
          </cell>
          <cell r="E3">
            <v>0</v>
          </cell>
          <cell r="F3">
            <v>2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150587</v>
          </cell>
          <cell r="B4" t="str">
            <v>Amelia Curtis</v>
          </cell>
          <cell r="C4" t="str">
            <v>13SMC</v>
          </cell>
          <cell r="D4">
            <v>0</v>
          </cell>
          <cell r="E4">
            <v>0</v>
          </cell>
          <cell r="F4">
            <v>2</v>
          </cell>
          <cell r="G4">
            <v>0</v>
          </cell>
          <cell r="H4">
            <v>0</v>
          </cell>
          <cell r="I4">
            <v>0</v>
          </cell>
        </row>
        <row r="5">
          <cell r="A5">
            <v>150556</v>
          </cell>
          <cell r="B5" t="str">
            <v>Amy Scott</v>
          </cell>
          <cell r="C5" t="str">
            <v>13SDR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</row>
        <row r="6">
          <cell r="A6">
            <v>150583</v>
          </cell>
          <cell r="B6" t="str">
            <v>Juwayria-Iman Anwar</v>
          </cell>
          <cell r="C6" t="str">
            <v>13SMC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</row>
        <row r="7">
          <cell r="A7">
            <v>152133</v>
          </cell>
          <cell r="B7" t="str">
            <v>Joseana Lemos</v>
          </cell>
          <cell r="C7" t="str">
            <v>13SMC</v>
          </cell>
          <cell r="D7">
            <v>0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>
            <v>0</v>
          </cell>
        </row>
        <row r="8">
          <cell r="A8">
            <v>150586</v>
          </cell>
          <cell r="B8" t="str">
            <v>Maisie Sheldon</v>
          </cell>
          <cell r="C8" t="str">
            <v>13TS</v>
          </cell>
          <cell r="D8">
            <v>0</v>
          </cell>
          <cell r="E8">
            <v>1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</row>
        <row r="9">
          <cell r="A9">
            <v>150432</v>
          </cell>
          <cell r="B9" t="str">
            <v>Samuel Price</v>
          </cell>
          <cell r="C9" t="str">
            <v>13HS</v>
          </cell>
          <cell r="D9">
            <v>0</v>
          </cell>
          <cell r="E9">
            <v>1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</row>
        <row r="10">
          <cell r="A10">
            <v>150595</v>
          </cell>
          <cell r="B10" t="str">
            <v>Alan Kay</v>
          </cell>
          <cell r="C10" t="str">
            <v>13LGI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</row>
        <row r="11">
          <cell r="A11">
            <v>150593</v>
          </cell>
          <cell r="B11" t="str">
            <v>Brittney Owusu-Sekyere</v>
          </cell>
          <cell r="C11" t="str">
            <v>13SMC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</row>
        <row r="12">
          <cell r="A12">
            <v>150518</v>
          </cell>
          <cell r="B12" t="str">
            <v>Laura Millen</v>
          </cell>
          <cell r="C12" t="str">
            <v>13SMC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</row>
        <row r="13">
          <cell r="A13">
            <v>150398</v>
          </cell>
          <cell r="B13" t="str">
            <v>Ella Brown</v>
          </cell>
          <cell r="C13" t="str">
            <v>13SDR</v>
          </cell>
          <cell r="D13">
            <v>0</v>
          </cell>
          <cell r="E13">
            <v>1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</row>
        <row r="14">
          <cell r="A14">
            <v>150455</v>
          </cell>
          <cell r="B14" t="str">
            <v>Jemuel Civico</v>
          </cell>
          <cell r="C14" t="str">
            <v>13BG</v>
          </cell>
          <cell r="D14">
            <v>0</v>
          </cell>
          <cell r="E14">
            <v>0</v>
          </cell>
          <cell r="F14">
            <v>1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150519</v>
          </cell>
          <cell r="B15" t="str">
            <v>James Childs</v>
          </cell>
          <cell r="C15" t="str">
            <v>13LGI</v>
          </cell>
          <cell r="D15">
            <v>0</v>
          </cell>
          <cell r="E15">
            <v>0</v>
          </cell>
          <cell r="F15">
            <v>1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150444</v>
          </cell>
          <cell r="B16" t="str">
            <v>Helena Borland</v>
          </cell>
          <cell r="C16" t="str">
            <v>13HS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150502</v>
          </cell>
          <cell r="B17" t="str">
            <v>Dalitso Banda</v>
          </cell>
          <cell r="C17" t="str">
            <v>13LGI</v>
          </cell>
          <cell r="D17">
            <v>0</v>
          </cell>
          <cell r="E17">
            <v>0</v>
          </cell>
          <cell r="F17">
            <v>1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150569</v>
          </cell>
          <cell r="B18" t="str">
            <v>Seamus Jackson</v>
          </cell>
          <cell r="C18" t="str">
            <v>13SMC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150594</v>
          </cell>
          <cell r="B19" t="str">
            <v>Chama M'Cheleka</v>
          </cell>
          <cell r="C19" t="str">
            <v>13TS</v>
          </cell>
          <cell r="D19">
            <v>0</v>
          </cell>
          <cell r="E19">
            <v>0</v>
          </cell>
          <cell r="F19">
            <v>2</v>
          </cell>
          <cell r="G19">
            <v>0</v>
          </cell>
          <cell r="H19">
            <v>0</v>
          </cell>
          <cell r="I19">
            <v>0</v>
          </cell>
        </row>
        <row r="20">
          <cell r="A20">
            <v>150564</v>
          </cell>
          <cell r="B20" t="str">
            <v>Dylan Thraves</v>
          </cell>
          <cell r="C20" t="str">
            <v>13LGI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150403</v>
          </cell>
          <cell r="B21" t="str">
            <v>Matthew Shepherd</v>
          </cell>
          <cell r="C21" t="str">
            <v>13SDR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150521</v>
          </cell>
          <cell r="B22" t="str">
            <v>Arissa Hussain</v>
          </cell>
          <cell r="C22" t="str">
            <v>13FG</v>
          </cell>
          <cell r="D22">
            <v>0</v>
          </cell>
          <cell r="E22">
            <v>0</v>
          </cell>
          <cell r="F22">
            <v>1</v>
          </cell>
          <cell r="G22">
            <v>0</v>
          </cell>
          <cell r="H22">
            <v>0</v>
          </cell>
          <cell r="I22">
            <v>0</v>
          </cell>
        </row>
        <row r="23">
          <cell r="A23">
            <v>150597</v>
          </cell>
          <cell r="B23" t="str">
            <v>Rory Follin</v>
          </cell>
          <cell r="C23" t="str">
            <v>13HS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152119</v>
          </cell>
          <cell r="B24" t="str">
            <v>Valentino Ferrari</v>
          </cell>
          <cell r="C24" t="str">
            <v>13TS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160017</v>
          </cell>
          <cell r="B25" t="str">
            <v>Makyle Khan</v>
          </cell>
          <cell r="C25" t="str">
            <v>13FG</v>
          </cell>
          <cell r="D25">
            <v>0</v>
          </cell>
          <cell r="E25">
            <v>0</v>
          </cell>
          <cell r="F25">
            <v>1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152131</v>
          </cell>
          <cell r="B26" t="str">
            <v>Ejatu Koroma</v>
          </cell>
          <cell r="C26" t="str">
            <v>13LGI</v>
          </cell>
          <cell r="D26">
            <v>0</v>
          </cell>
          <cell r="E26">
            <v>0</v>
          </cell>
          <cell r="F26">
            <v>1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150443</v>
          </cell>
          <cell r="B27" t="str">
            <v>Mary Shibli</v>
          </cell>
          <cell r="C27" t="str">
            <v>13MPI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150581</v>
          </cell>
          <cell r="B28" t="str">
            <v>Takudzwa Jokonya</v>
          </cell>
          <cell r="C28" t="str">
            <v>13TS</v>
          </cell>
          <cell r="D28">
            <v>0</v>
          </cell>
          <cell r="E28">
            <v>0</v>
          </cell>
          <cell r="F28">
            <v>1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152151</v>
          </cell>
          <cell r="B29" t="str">
            <v>Charlotte Taylor</v>
          </cell>
          <cell r="C29" t="str">
            <v>13MPI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150561</v>
          </cell>
          <cell r="B30" t="str">
            <v>Oscar Barnes</v>
          </cell>
          <cell r="C30" t="str">
            <v>13TS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150481</v>
          </cell>
          <cell r="B31" t="str">
            <v>Ruby Robinson</v>
          </cell>
          <cell r="C31" t="str">
            <v>13HS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150484</v>
          </cell>
          <cell r="B32" t="str">
            <v>Esther Evans-Mudie</v>
          </cell>
          <cell r="C32" t="str">
            <v>13MPI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152108</v>
          </cell>
          <cell r="B33" t="str">
            <v>Marie-Anne Battersby</v>
          </cell>
          <cell r="C33" t="str">
            <v>13PLE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152191</v>
          </cell>
          <cell r="B34" t="str">
            <v>Joyce Bindanda</v>
          </cell>
          <cell r="C34" t="str">
            <v>13FG</v>
          </cell>
          <cell r="D34">
            <v>0</v>
          </cell>
          <cell r="E34">
            <v>1</v>
          </cell>
          <cell r="F34">
            <v>4</v>
          </cell>
          <cell r="G34">
            <v>0</v>
          </cell>
          <cell r="H34">
            <v>0</v>
          </cell>
          <cell r="I34">
            <v>1</v>
          </cell>
        </row>
        <row r="35">
          <cell r="A35">
            <v>160023</v>
          </cell>
          <cell r="B35" t="str">
            <v>Vanessa Oji</v>
          </cell>
          <cell r="C35" t="str">
            <v>13FG</v>
          </cell>
          <cell r="D35">
            <v>0</v>
          </cell>
          <cell r="E35">
            <v>0</v>
          </cell>
          <cell r="F35">
            <v>1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152134</v>
          </cell>
          <cell r="B36" t="str">
            <v>Anya Linsky</v>
          </cell>
          <cell r="C36" t="str">
            <v>13LGI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150454</v>
          </cell>
          <cell r="B37" t="str">
            <v>Georgie Nolan</v>
          </cell>
          <cell r="C37" t="str">
            <v>13HS</v>
          </cell>
          <cell r="D37">
            <v>0</v>
          </cell>
          <cell r="E37">
            <v>1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</row>
        <row r="38">
          <cell r="A38">
            <v>152156</v>
          </cell>
          <cell r="B38" t="str">
            <v>Alfie Davison</v>
          </cell>
          <cell r="C38" t="str">
            <v>13BG</v>
          </cell>
          <cell r="D38">
            <v>0</v>
          </cell>
          <cell r="E38">
            <v>0</v>
          </cell>
          <cell r="F38">
            <v>1</v>
          </cell>
          <cell r="G38">
            <v>0</v>
          </cell>
          <cell r="H38">
            <v>0</v>
          </cell>
          <cell r="I38">
            <v>0</v>
          </cell>
        </row>
        <row r="39">
          <cell r="A39">
            <v>150474</v>
          </cell>
          <cell r="B39" t="str">
            <v>Enoch Okpara</v>
          </cell>
          <cell r="C39" t="str">
            <v>13SDR</v>
          </cell>
          <cell r="D39">
            <v>0</v>
          </cell>
          <cell r="E39">
            <v>0</v>
          </cell>
          <cell r="F39">
            <v>1</v>
          </cell>
          <cell r="G39">
            <v>0</v>
          </cell>
          <cell r="H39">
            <v>0</v>
          </cell>
          <cell r="I39">
            <v>0</v>
          </cell>
        </row>
        <row r="40">
          <cell r="A40">
            <v>150578</v>
          </cell>
          <cell r="B40" t="str">
            <v>Sara Meijer</v>
          </cell>
          <cell r="C40" t="str">
            <v>13HS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A41">
            <v>152200</v>
          </cell>
          <cell r="B41" t="str">
            <v>Bridget Atulegwu</v>
          </cell>
          <cell r="C41" t="str">
            <v>13TS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</row>
        <row r="42">
          <cell r="A42">
            <v>150439</v>
          </cell>
          <cell r="B42" t="str">
            <v>Larayb Khalil</v>
          </cell>
          <cell r="C42" t="str">
            <v>13MPI</v>
          </cell>
          <cell r="D42">
            <v>0</v>
          </cell>
          <cell r="E42">
            <v>0</v>
          </cell>
          <cell r="F42">
            <v>2</v>
          </cell>
          <cell r="G42">
            <v>0</v>
          </cell>
          <cell r="H42">
            <v>0</v>
          </cell>
          <cell r="I42">
            <v>0</v>
          </cell>
        </row>
        <row r="43">
          <cell r="A43">
            <v>152109</v>
          </cell>
          <cell r="B43" t="str">
            <v>Thomas Blades</v>
          </cell>
          <cell r="C43" t="str">
            <v>13HS</v>
          </cell>
          <cell r="D43">
            <v>0</v>
          </cell>
          <cell r="E43">
            <v>0</v>
          </cell>
          <cell r="F43">
            <v>1</v>
          </cell>
          <cell r="G43">
            <v>0</v>
          </cell>
          <cell r="H43">
            <v>0</v>
          </cell>
          <cell r="I43">
            <v>0</v>
          </cell>
        </row>
        <row r="44">
          <cell r="A44">
            <v>152210</v>
          </cell>
          <cell r="B44" t="str">
            <v>Aidan Stordy</v>
          </cell>
          <cell r="C44" t="str">
            <v>13HS</v>
          </cell>
          <cell r="D44">
            <v>0</v>
          </cell>
          <cell r="E44">
            <v>1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</row>
        <row r="45">
          <cell r="A45">
            <v>152147</v>
          </cell>
          <cell r="B45" t="str">
            <v>Elise Sewell</v>
          </cell>
          <cell r="C45" t="str">
            <v>13BG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A46">
            <v>152106</v>
          </cell>
          <cell r="B46" t="str">
            <v>Jessica Banyard</v>
          </cell>
          <cell r="C46" t="str">
            <v>13SDR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A47">
            <v>152197</v>
          </cell>
          <cell r="B47" t="str">
            <v>Azan Muhammad</v>
          </cell>
          <cell r="C47" t="str">
            <v>13SDR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A48">
            <v>152126</v>
          </cell>
          <cell r="B48" t="str">
            <v>Success Iyobor-Andrew</v>
          </cell>
          <cell r="C48" t="str">
            <v>13SMC</v>
          </cell>
          <cell r="D48">
            <v>0</v>
          </cell>
          <cell r="E48">
            <v>0</v>
          </cell>
          <cell r="F48">
            <v>2</v>
          </cell>
          <cell r="G48">
            <v>0</v>
          </cell>
          <cell r="H48">
            <v>0</v>
          </cell>
          <cell r="I48">
            <v>0</v>
          </cell>
        </row>
        <row r="49">
          <cell r="A49">
            <v>152103</v>
          </cell>
          <cell r="B49" t="str">
            <v>Annabel Auger</v>
          </cell>
          <cell r="C49" t="str">
            <v>13SDR</v>
          </cell>
          <cell r="D49">
            <v>0</v>
          </cell>
          <cell r="E49">
            <v>0</v>
          </cell>
          <cell r="F49">
            <v>1</v>
          </cell>
          <cell r="G49">
            <v>0</v>
          </cell>
          <cell r="H49">
            <v>0</v>
          </cell>
          <cell r="I49">
            <v>0</v>
          </cell>
        </row>
        <row r="50">
          <cell r="A50">
            <v>150422</v>
          </cell>
          <cell r="B50" t="str">
            <v>Michael Jaba</v>
          </cell>
          <cell r="C50" t="str">
            <v>13MPI</v>
          </cell>
          <cell r="D50">
            <v>0</v>
          </cell>
          <cell r="E50">
            <v>0</v>
          </cell>
          <cell r="F50">
            <v>1</v>
          </cell>
          <cell r="G50">
            <v>0</v>
          </cell>
          <cell r="H50">
            <v>0</v>
          </cell>
          <cell r="I50">
            <v>0</v>
          </cell>
        </row>
        <row r="51">
          <cell r="A51">
            <v>152118</v>
          </cell>
          <cell r="B51" t="str">
            <v>Grace Fairfax</v>
          </cell>
          <cell r="C51" t="str">
            <v>13LGI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A52">
            <v>152175</v>
          </cell>
          <cell r="B52" t="str">
            <v>Anna Flouris</v>
          </cell>
          <cell r="C52" t="str">
            <v>13LGI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A53">
            <v>152205</v>
          </cell>
          <cell r="B53" t="str">
            <v>Reem Nagi</v>
          </cell>
          <cell r="C53" t="str">
            <v>13TS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A54">
            <v>160025</v>
          </cell>
          <cell r="B54" t="str">
            <v>William Jones</v>
          </cell>
          <cell r="C54" t="str">
            <v>13PLE</v>
          </cell>
          <cell r="D54">
            <v>1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</row>
        <row r="55">
          <cell r="A55">
            <v>152188</v>
          </cell>
          <cell r="B55" t="str">
            <v>Ahmed Fazeel</v>
          </cell>
          <cell r="C55" t="str">
            <v>13SMC</v>
          </cell>
          <cell r="D55">
            <v>0</v>
          </cell>
          <cell r="E55">
            <v>1</v>
          </cell>
          <cell r="F55">
            <v>1</v>
          </cell>
          <cell r="G55">
            <v>0</v>
          </cell>
          <cell r="H55">
            <v>0</v>
          </cell>
          <cell r="I55">
            <v>1</v>
          </cell>
        </row>
        <row r="56">
          <cell r="A56">
            <v>152115</v>
          </cell>
          <cell r="B56" t="str">
            <v>Isabel Deakin</v>
          </cell>
          <cell r="C56" t="str">
            <v>13HS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150517</v>
          </cell>
          <cell r="B57" t="str">
            <v>Jasmine Schofield</v>
          </cell>
          <cell r="C57" t="str">
            <v>13FG</v>
          </cell>
          <cell r="D57">
            <v>0</v>
          </cell>
          <cell r="E57">
            <v>0</v>
          </cell>
          <cell r="F57">
            <v>1</v>
          </cell>
          <cell r="G57">
            <v>0</v>
          </cell>
          <cell r="H57">
            <v>0</v>
          </cell>
          <cell r="I57">
            <v>0</v>
          </cell>
        </row>
        <row r="58">
          <cell r="A58">
            <v>150543</v>
          </cell>
          <cell r="B58" t="str">
            <v>Tapiwa Jokonya</v>
          </cell>
          <cell r="C58" t="str">
            <v>13BG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A59">
            <v>152141</v>
          </cell>
          <cell r="B59" t="str">
            <v>Aliyah Olatunji</v>
          </cell>
          <cell r="C59" t="str">
            <v>13FG</v>
          </cell>
          <cell r="D59">
            <v>0</v>
          </cell>
          <cell r="E59">
            <v>0</v>
          </cell>
          <cell r="F59">
            <v>1</v>
          </cell>
          <cell r="G59">
            <v>0</v>
          </cell>
          <cell r="H59">
            <v>0</v>
          </cell>
          <cell r="I59">
            <v>0</v>
          </cell>
        </row>
        <row r="60">
          <cell r="A60">
            <v>150428</v>
          </cell>
          <cell r="B60" t="str">
            <v>Ifsah Asad</v>
          </cell>
          <cell r="C60" t="str">
            <v>13TS</v>
          </cell>
          <cell r="D60">
            <v>0</v>
          </cell>
          <cell r="E60">
            <v>0</v>
          </cell>
          <cell r="F60">
            <v>1</v>
          </cell>
          <cell r="G60">
            <v>0</v>
          </cell>
          <cell r="H60">
            <v>0</v>
          </cell>
          <cell r="I60">
            <v>0</v>
          </cell>
        </row>
        <row r="61">
          <cell r="A61">
            <v>150415</v>
          </cell>
          <cell r="B61" t="str">
            <v>Kieron Bacon</v>
          </cell>
          <cell r="C61" t="str">
            <v>13MPI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A62">
            <v>150571</v>
          </cell>
          <cell r="B62" t="str">
            <v>Lucy Braddock</v>
          </cell>
          <cell r="C62" t="str">
            <v>13PLE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A63">
            <v>152111</v>
          </cell>
          <cell r="B63" t="str">
            <v>Joshua Chapman</v>
          </cell>
          <cell r="C63" t="str">
            <v>13PLE</v>
          </cell>
          <cell r="D63">
            <v>0</v>
          </cell>
          <cell r="E63">
            <v>0</v>
          </cell>
          <cell r="F63">
            <v>2</v>
          </cell>
          <cell r="G63">
            <v>0</v>
          </cell>
          <cell r="H63">
            <v>0</v>
          </cell>
          <cell r="I63">
            <v>0</v>
          </cell>
        </row>
        <row r="64">
          <cell r="A64">
            <v>152168</v>
          </cell>
          <cell r="B64" t="str">
            <v>Kayelei West</v>
          </cell>
          <cell r="C64" t="str">
            <v>13PLE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A65">
            <v>150397</v>
          </cell>
          <cell r="B65" t="str">
            <v>Hannah Knight</v>
          </cell>
          <cell r="C65" t="str">
            <v>13BG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A66">
            <v>150599</v>
          </cell>
          <cell r="B66" t="str">
            <v>Anna Scriven</v>
          </cell>
          <cell r="C66" t="str">
            <v>13BG</v>
          </cell>
          <cell r="D66">
            <v>0</v>
          </cell>
          <cell r="E66">
            <v>0</v>
          </cell>
          <cell r="F66">
            <v>1</v>
          </cell>
          <cell r="G66">
            <v>0</v>
          </cell>
          <cell r="H66">
            <v>0</v>
          </cell>
          <cell r="I66">
            <v>0</v>
          </cell>
        </row>
        <row r="67">
          <cell r="A67">
            <v>150498</v>
          </cell>
          <cell r="B67" t="str">
            <v>Henay Hira</v>
          </cell>
          <cell r="C67" t="str">
            <v>13BG</v>
          </cell>
          <cell r="D67">
            <v>0</v>
          </cell>
          <cell r="E67">
            <v>1</v>
          </cell>
          <cell r="F67">
            <v>1</v>
          </cell>
          <cell r="G67">
            <v>0</v>
          </cell>
          <cell r="H67">
            <v>0</v>
          </cell>
          <cell r="I67">
            <v>1</v>
          </cell>
        </row>
        <row r="68">
          <cell r="A68">
            <v>152192</v>
          </cell>
          <cell r="B68" t="str">
            <v>Amaan Shahid</v>
          </cell>
          <cell r="C68" t="str">
            <v>13SMC</v>
          </cell>
          <cell r="D68">
            <v>0</v>
          </cell>
          <cell r="E68">
            <v>0</v>
          </cell>
          <cell r="F68">
            <v>2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152216</v>
          </cell>
          <cell r="B69" t="str">
            <v>Grace Neema</v>
          </cell>
          <cell r="C69" t="str">
            <v>13FG</v>
          </cell>
          <cell r="D69">
            <v>0</v>
          </cell>
          <cell r="E69">
            <v>0</v>
          </cell>
          <cell r="F69">
            <v>3</v>
          </cell>
          <cell r="G69">
            <v>0</v>
          </cell>
          <cell r="H69">
            <v>0</v>
          </cell>
          <cell r="I69">
            <v>0</v>
          </cell>
        </row>
        <row r="70">
          <cell r="A70">
            <v>150442</v>
          </cell>
          <cell r="B70" t="str">
            <v>Yvonne Jones</v>
          </cell>
          <cell r="C70" t="str">
            <v>13HS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A71">
            <v>150574</v>
          </cell>
          <cell r="B71" t="str">
            <v>Louis Grasier</v>
          </cell>
          <cell r="C71" t="str">
            <v>13PLE</v>
          </cell>
          <cell r="D71">
            <v>0</v>
          </cell>
          <cell r="E71">
            <v>2</v>
          </cell>
          <cell r="F71">
            <v>1</v>
          </cell>
          <cell r="G71">
            <v>0</v>
          </cell>
          <cell r="H71">
            <v>0</v>
          </cell>
          <cell r="I71">
            <v>1</v>
          </cell>
        </row>
        <row r="72">
          <cell r="A72">
            <v>152208</v>
          </cell>
          <cell r="B72" t="str">
            <v>Aimee Asaba</v>
          </cell>
          <cell r="C72" t="str">
            <v>13BG</v>
          </cell>
          <cell r="D72">
            <v>0</v>
          </cell>
          <cell r="E72">
            <v>0</v>
          </cell>
          <cell r="F72">
            <v>2</v>
          </cell>
          <cell r="G72">
            <v>0</v>
          </cell>
          <cell r="H72">
            <v>0</v>
          </cell>
          <cell r="I72">
            <v>0</v>
          </cell>
        </row>
        <row r="73">
          <cell r="A73">
            <v>152173</v>
          </cell>
          <cell r="B73" t="str">
            <v>Niamh Haveron</v>
          </cell>
          <cell r="C73" t="str">
            <v>13LGI</v>
          </cell>
          <cell r="D73">
            <v>0</v>
          </cell>
          <cell r="E73">
            <v>1</v>
          </cell>
          <cell r="F73">
            <v>0</v>
          </cell>
          <cell r="G73">
            <v>0</v>
          </cell>
          <cell r="H73">
            <v>0</v>
          </cell>
          <cell r="I73">
            <v>1</v>
          </cell>
        </row>
        <row r="74">
          <cell r="A74">
            <v>152104</v>
          </cell>
          <cell r="B74" t="str">
            <v>James Ball</v>
          </cell>
          <cell r="C74" t="str">
            <v>13FG</v>
          </cell>
          <cell r="D74">
            <v>0</v>
          </cell>
          <cell r="E74">
            <v>1</v>
          </cell>
          <cell r="F74">
            <v>0</v>
          </cell>
          <cell r="G74">
            <v>0</v>
          </cell>
          <cell r="H74">
            <v>0</v>
          </cell>
          <cell r="I74">
            <v>1</v>
          </cell>
        </row>
        <row r="75">
          <cell r="A75">
            <v>152199</v>
          </cell>
          <cell r="B75" t="str">
            <v>Ometere Apeji</v>
          </cell>
          <cell r="C75" t="str">
            <v>13MPI</v>
          </cell>
          <cell r="D75">
            <v>0</v>
          </cell>
          <cell r="E75">
            <v>1</v>
          </cell>
          <cell r="F75">
            <v>1</v>
          </cell>
          <cell r="G75">
            <v>0</v>
          </cell>
          <cell r="H75">
            <v>0</v>
          </cell>
          <cell r="I75">
            <v>1</v>
          </cell>
        </row>
        <row r="76">
          <cell r="A76">
            <v>150395</v>
          </cell>
          <cell r="B76" t="str">
            <v>Lydia Sanderson</v>
          </cell>
          <cell r="C76" t="str">
            <v>13SMC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A77">
            <v>150412</v>
          </cell>
          <cell r="B77" t="str">
            <v>Yayra Azumah</v>
          </cell>
          <cell r="C77" t="str">
            <v>13SDR</v>
          </cell>
          <cell r="D77">
            <v>0</v>
          </cell>
          <cell r="E77">
            <v>0</v>
          </cell>
          <cell r="F77">
            <v>1</v>
          </cell>
          <cell r="G77">
            <v>0</v>
          </cell>
          <cell r="H77">
            <v>0</v>
          </cell>
          <cell r="I77">
            <v>0</v>
          </cell>
        </row>
        <row r="78">
          <cell r="A78">
            <v>150477</v>
          </cell>
          <cell r="B78" t="str">
            <v>Adam Revitt</v>
          </cell>
          <cell r="C78" t="str">
            <v>13SMC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A79">
            <v>150563</v>
          </cell>
          <cell r="B79" t="str">
            <v>Joseph McBride</v>
          </cell>
          <cell r="C79" t="str">
            <v>13SDR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A80">
            <v>150414</v>
          </cell>
          <cell r="B80" t="str">
            <v>Miguel Jesus</v>
          </cell>
          <cell r="C80" t="str">
            <v>13PLE</v>
          </cell>
          <cell r="D80">
            <v>0</v>
          </cell>
          <cell r="E80">
            <v>0</v>
          </cell>
          <cell r="F80">
            <v>1</v>
          </cell>
          <cell r="G80">
            <v>0</v>
          </cell>
          <cell r="H80">
            <v>0</v>
          </cell>
          <cell r="I80">
            <v>0</v>
          </cell>
        </row>
        <row r="81">
          <cell r="A81">
            <v>150448</v>
          </cell>
          <cell r="B81" t="str">
            <v>Paula Galarraga Ortiz</v>
          </cell>
          <cell r="C81" t="str">
            <v>13SDR</v>
          </cell>
          <cell r="D81">
            <v>0</v>
          </cell>
          <cell r="E81">
            <v>0</v>
          </cell>
          <cell r="F81">
            <v>1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150505</v>
          </cell>
          <cell r="B82" t="str">
            <v>Francis Cooper</v>
          </cell>
          <cell r="C82" t="str">
            <v>13SMC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A83">
            <v>150458</v>
          </cell>
          <cell r="B83" t="str">
            <v>Jack Clements</v>
          </cell>
          <cell r="C83" t="str">
            <v>13HS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A84">
            <v>152146</v>
          </cell>
          <cell r="B84" t="str">
            <v>Lauren Rooney</v>
          </cell>
          <cell r="C84" t="str">
            <v>13BG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152129</v>
          </cell>
          <cell r="B85" t="str">
            <v>Kevin Joseph</v>
          </cell>
          <cell r="C85" t="str">
            <v>13SMC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A86">
            <v>160014</v>
          </cell>
          <cell r="B86" t="str">
            <v>Henry Curry</v>
          </cell>
          <cell r="C86" t="str">
            <v>13SDR</v>
          </cell>
          <cell r="D86">
            <v>1</v>
          </cell>
          <cell r="E86">
            <v>0</v>
          </cell>
          <cell r="F86">
            <v>2</v>
          </cell>
          <cell r="G86">
            <v>0</v>
          </cell>
          <cell r="H86">
            <v>1</v>
          </cell>
          <cell r="I86">
            <v>0</v>
          </cell>
        </row>
        <row r="87">
          <cell r="A87">
            <v>152127</v>
          </cell>
          <cell r="B87" t="str">
            <v>Farduus Jama</v>
          </cell>
          <cell r="C87" t="str">
            <v>13FG</v>
          </cell>
          <cell r="D87">
            <v>0</v>
          </cell>
          <cell r="E87">
            <v>0</v>
          </cell>
          <cell r="F87">
            <v>2</v>
          </cell>
          <cell r="G87">
            <v>0</v>
          </cell>
          <cell r="H87">
            <v>0</v>
          </cell>
          <cell r="I87">
            <v>0</v>
          </cell>
        </row>
        <row r="88">
          <cell r="A88">
            <v>150555</v>
          </cell>
          <cell r="B88" t="str">
            <v>Liam Siggs</v>
          </cell>
          <cell r="C88" t="str">
            <v>13BG</v>
          </cell>
          <cell r="D88">
            <v>0</v>
          </cell>
          <cell r="E88">
            <v>0</v>
          </cell>
          <cell r="F88">
            <v>2</v>
          </cell>
          <cell r="G88">
            <v>0</v>
          </cell>
          <cell r="H88">
            <v>0</v>
          </cell>
          <cell r="I88">
            <v>0</v>
          </cell>
        </row>
        <row r="89">
          <cell r="A89">
            <v>150405</v>
          </cell>
          <cell r="B89" t="str">
            <v>Georgina Laker</v>
          </cell>
          <cell r="C89" t="str">
            <v>13SMC</v>
          </cell>
          <cell r="D89">
            <v>0</v>
          </cell>
          <cell r="E89">
            <v>1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</row>
        <row r="90">
          <cell r="A90">
            <v>152201</v>
          </cell>
          <cell r="B90" t="str">
            <v>Lucia Baynes</v>
          </cell>
          <cell r="C90" t="str">
            <v>13PLE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A91">
            <v>152194</v>
          </cell>
          <cell r="B91" t="str">
            <v>Taghreed Albakeeri</v>
          </cell>
          <cell r="C91" t="str">
            <v>13SMC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150451</v>
          </cell>
          <cell r="B92" t="str">
            <v>Eleni Taylor</v>
          </cell>
          <cell r="C92" t="str">
            <v>13SDR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A93">
            <v>152217</v>
          </cell>
          <cell r="B93" t="str">
            <v>Nazia Seidu-Kpebu</v>
          </cell>
          <cell r="C93" t="str">
            <v>13SDR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152169</v>
          </cell>
          <cell r="B94" t="str">
            <v>Grace Hughes</v>
          </cell>
          <cell r="C94" t="str">
            <v>13BG</v>
          </cell>
          <cell r="D94">
            <v>0</v>
          </cell>
          <cell r="E94">
            <v>0</v>
          </cell>
          <cell r="F94">
            <v>1</v>
          </cell>
          <cell r="G94">
            <v>0</v>
          </cell>
          <cell r="H94">
            <v>0</v>
          </cell>
          <cell r="I94">
            <v>0</v>
          </cell>
        </row>
        <row r="95">
          <cell r="A95">
            <v>152154</v>
          </cell>
          <cell r="B95" t="str">
            <v>Grace Yeomans</v>
          </cell>
          <cell r="C95" t="str">
            <v>13HS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A96">
            <v>150453</v>
          </cell>
          <cell r="B96" t="str">
            <v>Riley Pawson</v>
          </cell>
          <cell r="C96" t="str">
            <v>13LGI</v>
          </cell>
          <cell r="D96">
            <v>0</v>
          </cell>
          <cell r="E96">
            <v>0</v>
          </cell>
          <cell r="F96">
            <v>1</v>
          </cell>
          <cell r="G96">
            <v>0</v>
          </cell>
          <cell r="H96">
            <v>0</v>
          </cell>
          <cell r="I96">
            <v>0</v>
          </cell>
        </row>
        <row r="97">
          <cell r="A97">
            <v>152139</v>
          </cell>
          <cell r="B97" t="str">
            <v>Chloe Mulhall</v>
          </cell>
          <cell r="C97" t="str">
            <v>13BG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152184</v>
          </cell>
          <cell r="B98" t="str">
            <v>Evie Baird</v>
          </cell>
          <cell r="C98" t="str">
            <v>13LGI</v>
          </cell>
          <cell r="D98">
            <v>0</v>
          </cell>
          <cell r="E98">
            <v>0</v>
          </cell>
          <cell r="F98">
            <v>1</v>
          </cell>
          <cell r="G98">
            <v>0</v>
          </cell>
          <cell r="H98">
            <v>0</v>
          </cell>
          <cell r="I98">
            <v>0</v>
          </cell>
        </row>
        <row r="99">
          <cell r="A99">
            <v>150419</v>
          </cell>
          <cell r="B99" t="str">
            <v>Alexander Shiel</v>
          </cell>
          <cell r="C99" t="str">
            <v>13LGI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A100">
            <v>150530</v>
          </cell>
          <cell r="B100" t="str">
            <v>Molly Calvert</v>
          </cell>
          <cell r="C100" t="str">
            <v>13LGI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A101">
            <v>150420</v>
          </cell>
          <cell r="B101" t="str">
            <v>Harry Bradshaw</v>
          </cell>
          <cell r="C101" t="str">
            <v>13PLE</v>
          </cell>
          <cell r="D101">
            <v>1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</row>
        <row r="102">
          <cell r="A102">
            <v>150437</v>
          </cell>
          <cell r="B102" t="str">
            <v>Martha Hunt</v>
          </cell>
          <cell r="C102" t="str">
            <v>13MPI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A103">
            <v>150418</v>
          </cell>
          <cell r="B103" t="str">
            <v>Tatum Clark</v>
          </cell>
          <cell r="C103" t="str">
            <v>13HS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A104">
            <v>150488</v>
          </cell>
          <cell r="B104" t="str">
            <v>Carys Phoenix</v>
          </cell>
          <cell r="C104" t="str">
            <v>13PLE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A105">
            <v>150423</v>
          </cell>
          <cell r="B105" t="str">
            <v>Niamh McFadden</v>
          </cell>
          <cell r="C105" t="str">
            <v>13BG</v>
          </cell>
          <cell r="D105">
            <v>0</v>
          </cell>
          <cell r="E105">
            <v>0</v>
          </cell>
          <cell r="F105">
            <v>1</v>
          </cell>
          <cell r="G105">
            <v>0</v>
          </cell>
          <cell r="H105">
            <v>0</v>
          </cell>
          <cell r="I105">
            <v>0</v>
          </cell>
        </row>
        <row r="106">
          <cell r="A106">
            <v>150601</v>
          </cell>
          <cell r="B106" t="str">
            <v>Louis Thayne-Ball</v>
          </cell>
          <cell r="C106" t="str">
            <v>13SDR</v>
          </cell>
          <cell r="D106">
            <v>0</v>
          </cell>
          <cell r="E106">
            <v>0</v>
          </cell>
          <cell r="F106">
            <v>2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150579</v>
          </cell>
          <cell r="B107" t="str">
            <v>Pearce Brenton</v>
          </cell>
          <cell r="C107" t="str">
            <v>13SDR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A108">
            <v>152172</v>
          </cell>
          <cell r="B108" t="str">
            <v>Caitlin Vaughan</v>
          </cell>
          <cell r="C108" t="str">
            <v>13SDR</v>
          </cell>
          <cell r="D108">
            <v>0</v>
          </cell>
          <cell r="E108">
            <v>0</v>
          </cell>
          <cell r="F108">
            <v>1</v>
          </cell>
          <cell r="G108">
            <v>0</v>
          </cell>
          <cell r="H108">
            <v>0</v>
          </cell>
          <cell r="I108">
            <v>0</v>
          </cell>
        </row>
        <row r="109">
          <cell r="A109">
            <v>152211</v>
          </cell>
          <cell r="B109" t="str">
            <v>Victoria Egege</v>
          </cell>
          <cell r="C109" t="str">
            <v>13LGI</v>
          </cell>
          <cell r="D109">
            <v>0</v>
          </cell>
          <cell r="E109">
            <v>0</v>
          </cell>
          <cell r="F109">
            <v>1</v>
          </cell>
          <cell r="G109">
            <v>0</v>
          </cell>
          <cell r="H109">
            <v>0</v>
          </cell>
          <cell r="I109">
            <v>0</v>
          </cell>
        </row>
        <row r="110">
          <cell r="A110">
            <v>150429</v>
          </cell>
          <cell r="B110" t="str">
            <v>Chantelle Musindo</v>
          </cell>
          <cell r="C110" t="str">
            <v>13SDR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A111">
            <v>150499</v>
          </cell>
          <cell r="B111" t="str">
            <v>Steven Pritchett</v>
          </cell>
          <cell r="C111" t="str">
            <v>13MPI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A112">
            <v>150436</v>
          </cell>
          <cell r="B112" t="str">
            <v>Francis McKinney</v>
          </cell>
          <cell r="C112" t="str">
            <v>13HS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A113">
            <v>152124</v>
          </cell>
          <cell r="B113" t="str">
            <v>Klernay Htoo</v>
          </cell>
          <cell r="C113" t="str">
            <v>13FG</v>
          </cell>
          <cell r="D113">
            <v>0</v>
          </cell>
          <cell r="E113">
            <v>0</v>
          </cell>
          <cell r="F113">
            <v>1</v>
          </cell>
          <cell r="G113">
            <v>0</v>
          </cell>
          <cell r="H113">
            <v>0</v>
          </cell>
          <cell r="I113">
            <v>0</v>
          </cell>
        </row>
        <row r="114">
          <cell r="A114">
            <v>150515</v>
          </cell>
          <cell r="B114" t="str">
            <v>Dakarai Grant</v>
          </cell>
          <cell r="C114" t="str">
            <v>13TS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</row>
        <row r="115">
          <cell r="A115">
            <v>150495</v>
          </cell>
          <cell r="B115" t="str">
            <v>Isaac Warburton</v>
          </cell>
          <cell r="C115" t="str">
            <v>13HS</v>
          </cell>
          <cell r="D115">
            <v>0</v>
          </cell>
          <cell r="E115">
            <v>0</v>
          </cell>
          <cell r="F115">
            <v>3</v>
          </cell>
          <cell r="G115">
            <v>0</v>
          </cell>
          <cell r="H115">
            <v>0</v>
          </cell>
          <cell r="I115">
            <v>0</v>
          </cell>
        </row>
        <row r="116">
          <cell r="A116">
            <v>150577</v>
          </cell>
          <cell r="B116" t="str">
            <v>Natalie Dalpra</v>
          </cell>
          <cell r="C116" t="str">
            <v>13TS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  <cell r="H116">
            <v>0</v>
          </cell>
          <cell r="I116">
            <v>0</v>
          </cell>
        </row>
        <row r="117">
          <cell r="A117">
            <v>160005</v>
          </cell>
          <cell r="B117" t="str">
            <v>Stacy Michael</v>
          </cell>
          <cell r="C117" t="str">
            <v>13TS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A118">
            <v>150527</v>
          </cell>
          <cell r="B118" t="str">
            <v>Abbie Noice</v>
          </cell>
          <cell r="C118" t="str">
            <v>13TS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A119">
            <v>150426</v>
          </cell>
          <cell r="B119" t="str">
            <v>Osheni Dawatage</v>
          </cell>
          <cell r="C119" t="str">
            <v>13PLE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</row>
        <row r="120">
          <cell r="A120">
            <v>152189</v>
          </cell>
          <cell r="B120" t="str">
            <v>Rania Imran</v>
          </cell>
          <cell r="C120" t="str">
            <v>13TS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A121">
            <v>150559</v>
          </cell>
          <cell r="B121" t="str">
            <v>Edward Dugdale</v>
          </cell>
          <cell r="C121" t="str">
            <v>13SDR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</row>
        <row r="122">
          <cell r="A122">
            <v>150529</v>
          </cell>
          <cell r="B122" t="str">
            <v>Abigail Todd</v>
          </cell>
          <cell r="C122" t="str">
            <v>13LGI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</row>
        <row r="123">
          <cell r="A123">
            <v>152157</v>
          </cell>
          <cell r="B123" t="str">
            <v>Harvey Leahy</v>
          </cell>
          <cell r="C123" t="str">
            <v>13HS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150544</v>
          </cell>
          <cell r="B124" t="str">
            <v>Robert Mazhindu</v>
          </cell>
          <cell r="C124" t="str">
            <v>13PLE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</row>
        <row r="125">
          <cell r="A125">
            <v>152155</v>
          </cell>
          <cell r="B125" t="str">
            <v>Yusra Yusuf</v>
          </cell>
          <cell r="C125" t="str">
            <v>13SMC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150562</v>
          </cell>
          <cell r="B126" t="str">
            <v>Isaac Senior</v>
          </cell>
          <cell r="C126" t="str">
            <v>13PLE</v>
          </cell>
          <cell r="D126">
            <v>0</v>
          </cell>
          <cell r="E126">
            <v>1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A127">
            <v>150528</v>
          </cell>
          <cell r="B127" t="str">
            <v>Jake Leadley</v>
          </cell>
          <cell r="C127" t="str">
            <v>13SMC</v>
          </cell>
          <cell r="D127">
            <v>0</v>
          </cell>
          <cell r="E127">
            <v>0</v>
          </cell>
          <cell r="F127">
            <v>1</v>
          </cell>
          <cell r="G127">
            <v>0</v>
          </cell>
          <cell r="H127">
            <v>0</v>
          </cell>
          <cell r="I127">
            <v>0</v>
          </cell>
        </row>
        <row r="128">
          <cell r="A128">
            <v>150538</v>
          </cell>
          <cell r="B128" t="str">
            <v>Samuel Lomas</v>
          </cell>
          <cell r="C128" t="str">
            <v>13FG</v>
          </cell>
          <cell r="D128">
            <v>0</v>
          </cell>
          <cell r="E128">
            <v>0</v>
          </cell>
          <cell r="F128">
            <v>2</v>
          </cell>
          <cell r="G128">
            <v>0</v>
          </cell>
          <cell r="H128">
            <v>0</v>
          </cell>
          <cell r="I128">
            <v>0</v>
          </cell>
        </row>
        <row r="129">
          <cell r="A129">
            <v>152161</v>
          </cell>
          <cell r="B129" t="str">
            <v>Ange Kwizera</v>
          </cell>
          <cell r="C129" t="str">
            <v>13PLE</v>
          </cell>
          <cell r="D129">
            <v>0</v>
          </cell>
          <cell r="E129">
            <v>0</v>
          </cell>
          <cell r="F129">
            <v>2</v>
          </cell>
          <cell r="G129">
            <v>0</v>
          </cell>
          <cell r="H129">
            <v>0</v>
          </cell>
          <cell r="I129">
            <v>0</v>
          </cell>
        </row>
        <row r="130">
          <cell r="A130">
            <v>150466</v>
          </cell>
          <cell r="B130" t="str">
            <v>Frederick Emmett</v>
          </cell>
          <cell r="C130" t="str">
            <v>13LGI</v>
          </cell>
          <cell r="D130">
            <v>0</v>
          </cell>
          <cell r="E130">
            <v>0</v>
          </cell>
          <cell r="F130">
            <v>1</v>
          </cell>
          <cell r="G130">
            <v>0</v>
          </cell>
          <cell r="H130">
            <v>0</v>
          </cell>
          <cell r="I130">
            <v>0</v>
          </cell>
        </row>
        <row r="131">
          <cell r="A131">
            <v>150511</v>
          </cell>
          <cell r="B131" t="str">
            <v>Connor McKinlay</v>
          </cell>
          <cell r="C131" t="str">
            <v>13BG</v>
          </cell>
          <cell r="D131">
            <v>0</v>
          </cell>
          <cell r="E131">
            <v>1</v>
          </cell>
          <cell r="F131">
            <v>0</v>
          </cell>
          <cell r="G131">
            <v>0</v>
          </cell>
          <cell r="H131">
            <v>0</v>
          </cell>
          <cell r="I131">
            <v>1</v>
          </cell>
        </row>
        <row r="132">
          <cell r="A132">
            <v>150507</v>
          </cell>
          <cell r="B132" t="str">
            <v>Stanley Asamoah-Boamah</v>
          </cell>
          <cell r="C132" t="str">
            <v>13LGI</v>
          </cell>
          <cell r="D132">
            <v>0</v>
          </cell>
          <cell r="E132">
            <v>0</v>
          </cell>
          <cell r="F132">
            <v>1</v>
          </cell>
          <cell r="G132">
            <v>0</v>
          </cell>
          <cell r="H132">
            <v>0</v>
          </cell>
          <cell r="I132">
            <v>0</v>
          </cell>
        </row>
        <row r="133">
          <cell r="A133">
            <v>152099</v>
          </cell>
          <cell r="B133" t="str">
            <v>Elizabeth Allen</v>
          </cell>
          <cell r="C133" t="str">
            <v>13SDR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</row>
        <row r="134">
          <cell r="A134">
            <v>150598</v>
          </cell>
          <cell r="B134" t="str">
            <v>Noah Peckett</v>
          </cell>
          <cell r="C134" t="str">
            <v>13TS</v>
          </cell>
          <cell r="D134">
            <v>0</v>
          </cell>
          <cell r="E134">
            <v>0</v>
          </cell>
          <cell r="F134">
            <v>1</v>
          </cell>
          <cell r="G134">
            <v>0</v>
          </cell>
          <cell r="H134">
            <v>0</v>
          </cell>
          <cell r="I134">
            <v>0</v>
          </cell>
        </row>
        <row r="135">
          <cell r="A135">
            <v>150584</v>
          </cell>
          <cell r="B135" t="str">
            <v>Darcy Quinn</v>
          </cell>
          <cell r="C135" t="str">
            <v>13BG</v>
          </cell>
          <cell r="D135">
            <v>1</v>
          </cell>
          <cell r="E135">
            <v>0</v>
          </cell>
          <cell r="F135">
            <v>2</v>
          </cell>
          <cell r="G135">
            <v>1</v>
          </cell>
          <cell r="H135">
            <v>0</v>
          </cell>
          <cell r="I135">
            <v>0</v>
          </cell>
        </row>
        <row r="136">
          <cell r="A136">
            <v>100353</v>
          </cell>
          <cell r="B136" t="str">
            <v>Noor Mohammed Khan</v>
          </cell>
          <cell r="C136" t="str">
            <v>13BG</v>
          </cell>
          <cell r="D136">
            <v>0</v>
          </cell>
          <cell r="E136">
            <v>0</v>
          </cell>
          <cell r="F136">
            <v>2</v>
          </cell>
          <cell r="G136">
            <v>0</v>
          </cell>
          <cell r="H136">
            <v>0</v>
          </cell>
          <cell r="I136">
            <v>0</v>
          </cell>
        </row>
        <row r="137">
          <cell r="A137">
            <v>152107</v>
          </cell>
          <cell r="B137" t="str">
            <v>Jorja Banyard</v>
          </cell>
          <cell r="C137" t="str">
            <v>13SDR</v>
          </cell>
          <cell r="D137">
            <v>0</v>
          </cell>
          <cell r="E137">
            <v>1</v>
          </cell>
          <cell r="F137">
            <v>1</v>
          </cell>
          <cell r="G137">
            <v>0</v>
          </cell>
          <cell r="H137">
            <v>0</v>
          </cell>
          <cell r="I137">
            <v>1</v>
          </cell>
        </row>
        <row r="138">
          <cell r="A138">
            <v>152120</v>
          </cell>
          <cell r="B138" t="str">
            <v>Daniel Fidler</v>
          </cell>
          <cell r="C138" t="str">
            <v>13SMC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</row>
        <row r="139">
          <cell r="A139">
            <v>152160</v>
          </cell>
          <cell r="B139" t="str">
            <v>Adah Charles</v>
          </cell>
          <cell r="C139" t="str">
            <v>13PLE</v>
          </cell>
          <cell r="D139">
            <v>0</v>
          </cell>
          <cell r="E139">
            <v>0</v>
          </cell>
          <cell r="F139">
            <v>1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150516</v>
          </cell>
          <cell r="B140" t="str">
            <v>William Lajarige</v>
          </cell>
          <cell r="C140" t="str">
            <v>13MPI</v>
          </cell>
          <cell r="D140">
            <v>0</v>
          </cell>
          <cell r="E140">
            <v>0</v>
          </cell>
          <cell r="F140">
            <v>1</v>
          </cell>
          <cell r="G140">
            <v>0</v>
          </cell>
          <cell r="H140">
            <v>0</v>
          </cell>
          <cell r="I140">
            <v>0</v>
          </cell>
        </row>
        <row r="141">
          <cell r="A141">
            <v>151513</v>
          </cell>
          <cell r="B141" t="str">
            <v>Blessy Sajeev</v>
          </cell>
          <cell r="C141" t="str">
            <v>13MPI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</row>
        <row r="142">
          <cell r="A142">
            <v>150744</v>
          </cell>
          <cell r="B142" t="str">
            <v>Eilidh Murray-Stringer</v>
          </cell>
          <cell r="C142" t="str">
            <v>13PLE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</row>
        <row r="143">
          <cell r="A143">
            <v>152187</v>
          </cell>
          <cell r="B143" t="str">
            <v>Ines Da Costa</v>
          </cell>
          <cell r="C143" t="str">
            <v>13MPI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A144">
            <v>150524</v>
          </cell>
          <cell r="B144" t="str">
            <v>Aneurin Roberts</v>
          </cell>
          <cell r="C144" t="str">
            <v>13FG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</row>
        <row r="145">
          <cell r="A145">
            <v>150546</v>
          </cell>
          <cell r="B145" t="str">
            <v>Abel-Even Adu</v>
          </cell>
          <cell r="C145" t="str">
            <v>13SDR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</row>
        <row r="146">
          <cell r="A146">
            <v>150401</v>
          </cell>
          <cell r="B146" t="str">
            <v>Ruby James</v>
          </cell>
          <cell r="C146" t="str">
            <v>13TS</v>
          </cell>
          <cell r="D146">
            <v>0</v>
          </cell>
          <cell r="E146">
            <v>0</v>
          </cell>
          <cell r="F146">
            <v>2</v>
          </cell>
          <cell r="G146">
            <v>0</v>
          </cell>
          <cell r="H146">
            <v>0</v>
          </cell>
          <cell r="I146">
            <v>0</v>
          </cell>
        </row>
        <row r="147">
          <cell r="A147">
            <v>152144</v>
          </cell>
          <cell r="B147" t="str">
            <v>Joel Rodgers</v>
          </cell>
          <cell r="C147" t="str">
            <v>13LGI</v>
          </cell>
          <cell r="D147">
            <v>0</v>
          </cell>
          <cell r="E147">
            <v>0</v>
          </cell>
          <cell r="F147">
            <v>1</v>
          </cell>
          <cell r="G147">
            <v>0</v>
          </cell>
          <cell r="H147">
            <v>0</v>
          </cell>
          <cell r="I147">
            <v>0</v>
          </cell>
        </row>
        <row r="148">
          <cell r="A148">
            <v>152218</v>
          </cell>
          <cell r="B148" t="str">
            <v>Himal Raut</v>
          </cell>
          <cell r="C148" t="str">
            <v>13TS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A149">
            <v>150604</v>
          </cell>
          <cell r="B149" t="str">
            <v>Jack Steer</v>
          </cell>
          <cell r="C149" t="str">
            <v>13SMC</v>
          </cell>
          <cell r="D149">
            <v>0</v>
          </cell>
          <cell r="E149">
            <v>0</v>
          </cell>
          <cell r="F149">
            <v>2</v>
          </cell>
          <cell r="G149">
            <v>0</v>
          </cell>
          <cell r="H149">
            <v>0</v>
          </cell>
          <cell r="I149">
            <v>0</v>
          </cell>
        </row>
        <row r="150">
          <cell r="A150">
            <v>150430</v>
          </cell>
          <cell r="B150" t="str">
            <v>Ignatius Boateng</v>
          </cell>
          <cell r="C150" t="str">
            <v>13FG</v>
          </cell>
          <cell r="D150">
            <v>0</v>
          </cell>
          <cell r="E150">
            <v>0</v>
          </cell>
          <cell r="F150">
            <v>1</v>
          </cell>
          <cell r="G150">
            <v>0</v>
          </cell>
          <cell r="H150">
            <v>0</v>
          </cell>
          <cell r="I150">
            <v>0</v>
          </cell>
        </row>
        <row r="151">
          <cell r="A151">
            <v>150396</v>
          </cell>
          <cell r="B151" t="str">
            <v>Scarlet Hartley</v>
          </cell>
          <cell r="C151" t="str">
            <v>13BG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A152">
            <v>150531</v>
          </cell>
          <cell r="B152" t="str">
            <v>Thomas Smith</v>
          </cell>
          <cell r="C152" t="str">
            <v>13TS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A153">
            <v>152143</v>
          </cell>
          <cell r="B153" t="str">
            <v>Angela Pereira</v>
          </cell>
          <cell r="C153" t="str">
            <v>13MPI</v>
          </cell>
          <cell r="D153">
            <v>0</v>
          </cell>
          <cell r="E153">
            <v>1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</row>
        <row r="154">
          <cell r="A154">
            <v>152214</v>
          </cell>
          <cell r="B154" t="str">
            <v>Ethan Karim</v>
          </cell>
          <cell r="C154" t="str">
            <v>13LGI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A155">
            <v>150504</v>
          </cell>
          <cell r="B155" t="str">
            <v>Seamus Grant</v>
          </cell>
          <cell r="C155" t="str">
            <v>13FG</v>
          </cell>
          <cell r="D155">
            <v>0</v>
          </cell>
          <cell r="E155">
            <v>0</v>
          </cell>
          <cell r="F155">
            <v>2</v>
          </cell>
          <cell r="G155">
            <v>0</v>
          </cell>
          <cell r="H155">
            <v>0</v>
          </cell>
          <cell r="I155">
            <v>0</v>
          </cell>
        </row>
        <row r="156">
          <cell r="A156">
            <v>160016</v>
          </cell>
          <cell r="B156" t="str">
            <v>Jack Fox</v>
          </cell>
          <cell r="C156" t="str">
            <v>13MPI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</row>
        <row r="157">
          <cell r="A157">
            <v>160019</v>
          </cell>
          <cell r="B157" t="str">
            <v>Victoria Doh</v>
          </cell>
          <cell r="C157" t="str">
            <v>13LGI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</row>
        <row r="158">
          <cell r="A158">
            <v>150560</v>
          </cell>
          <cell r="B158" t="str">
            <v>Harry Tankard</v>
          </cell>
          <cell r="C158" t="str">
            <v>13FG</v>
          </cell>
          <cell r="D158">
            <v>0</v>
          </cell>
          <cell r="E158">
            <v>1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</row>
        <row r="159">
          <cell r="A159">
            <v>152122</v>
          </cell>
          <cell r="B159" t="str">
            <v>Megan Hardie</v>
          </cell>
          <cell r="C159" t="str">
            <v>13HS</v>
          </cell>
          <cell r="D159">
            <v>0</v>
          </cell>
          <cell r="E159">
            <v>0</v>
          </cell>
          <cell r="F159">
            <v>1</v>
          </cell>
          <cell r="G159">
            <v>0</v>
          </cell>
          <cell r="H159">
            <v>0</v>
          </cell>
          <cell r="I159">
            <v>0</v>
          </cell>
        </row>
        <row r="160">
          <cell r="A160">
            <v>150501</v>
          </cell>
          <cell r="B160" t="str">
            <v>Rob Zyron De Guzman</v>
          </cell>
          <cell r="C160" t="str">
            <v>13TS</v>
          </cell>
          <cell r="D160">
            <v>0</v>
          </cell>
          <cell r="E160">
            <v>1</v>
          </cell>
          <cell r="F160">
            <v>0</v>
          </cell>
          <cell r="G160">
            <v>0</v>
          </cell>
          <cell r="H160">
            <v>0</v>
          </cell>
          <cell r="I160">
            <v>1</v>
          </cell>
        </row>
        <row r="161">
          <cell r="A161">
            <v>150469</v>
          </cell>
          <cell r="B161" t="str">
            <v>Grace Scott</v>
          </cell>
          <cell r="C161" t="str">
            <v>13LGI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</row>
        <row r="162">
          <cell r="A162">
            <v>150537</v>
          </cell>
          <cell r="B162" t="str">
            <v>Matthew Morris</v>
          </cell>
          <cell r="C162" t="str">
            <v>13SMC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</row>
        <row r="163">
          <cell r="A163">
            <v>152112</v>
          </cell>
          <cell r="B163" t="str">
            <v>Willow Clark</v>
          </cell>
          <cell r="C163" t="str">
            <v>13HS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</row>
        <row r="164">
          <cell r="A164">
            <v>152722</v>
          </cell>
          <cell r="B164" t="str">
            <v>Lucia Gaudo Rodriguez</v>
          </cell>
          <cell r="C164" t="str">
            <v>13SMC</v>
          </cell>
          <cell r="D164">
            <v>0</v>
          </cell>
          <cell r="E164">
            <v>0</v>
          </cell>
          <cell r="F164">
            <v>2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152202</v>
          </cell>
          <cell r="B165" t="str">
            <v>Abigail Frempong</v>
          </cell>
          <cell r="C165" t="str">
            <v>13PLE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</row>
        <row r="166">
          <cell r="A166">
            <v>152185</v>
          </cell>
          <cell r="B166" t="str">
            <v>Javed Akram</v>
          </cell>
          <cell r="C166" t="str">
            <v>13FG</v>
          </cell>
          <cell r="D166">
            <v>0</v>
          </cell>
          <cell r="E166">
            <v>0</v>
          </cell>
          <cell r="F166">
            <v>2</v>
          </cell>
          <cell r="G166">
            <v>0</v>
          </cell>
          <cell r="H166">
            <v>0</v>
          </cell>
          <cell r="I166">
            <v>0</v>
          </cell>
        </row>
        <row r="167">
          <cell r="A167">
            <v>150447</v>
          </cell>
          <cell r="B167" t="str">
            <v>William Atkin</v>
          </cell>
          <cell r="C167" t="str">
            <v>13BG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</row>
        <row r="168">
          <cell r="A168">
            <v>150590</v>
          </cell>
          <cell r="B168" t="str">
            <v>Holly Womersley</v>
          </cell>
          <cell r="C168" t="str">
            <v>13PLE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</row>
        <row r="169">
          <cell r="A169">
            <v>150478</v>
          </cell>
          <cell r="B169" t="str">
            <v>Harriet Borthwick</v>
          </cell>
          <cell r="C169" t="str">
            <v>13MPI</v>
          </cell>
          <cell r="D169">
            <v>0</v>
          </cell>
          <cell r="E169">
            <v>1</v>
          </cell>
          <cell r="F169">
            <v>1</v>
          </cell>
          <cell r="G169">
            <v>0</v>
          </cell>
          <cell r="H169">
            <v>0</v>
          </cell>
          <cell r="I169">
            <v>1</v>
          </cell>
        </row>
        <row r="170">
          <cell r="A170">
            <v>152209</v>
          </cell>
          <cell r="B170" t="str">
            <v>Cameron Bailes</v>
          </cell>
          <cell r="C170" t="str">
            <v>13FG</v>
          </cell>
          <cell r="D170">
            <v>1</v>
          </cell>
          <cell r="E170">
            <v>0</v>
          </cell>
          <cell r="F170">
            <v>1</v>
          </cell>
          <cell r="G170">
            <v>0</v>
          </cell>
          <cell r="H170">
            <v>1</v>
          </cell>
          <cell r="I170">
            <v>0</v>
          </cell>
        </row>
        <row r="171">
          <cell r="A171">
            <v>150513</v>
          </cell>
          <cell r="B171" t="str">
            <v>Esther Pearson</v>
          </cell>
          <cell r="C171" t="str">
            <v>13FG</v>
          </cell>
          <cell r="D171">
            <v>0</v>
          </cell>
          <cell r="E171">
            <v>0</v>
          </cell>
          <cell r="F171">
            <v>2</v>
          </cell>
          <cell r="G171">
            <v>0</v>
          </cell>
          <cell r="H171">
            <v>0</v>
          </cell>
          <cell r="I171">
            <v>0</v>
          </cell>
        </row>
        <row r="172">
          <cell r="A172">
            <v>150743</v>
          </cell>
          <cell r="B172" t="str">
            <v>Neeko Klaassen</v>
          </cell>
          <cell r="C172" t="str">
            <v>13HS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</row>
        <row r="173">
          <cell r="A173">
            <v>150509</v>
          </cell>
          <cell r="B173" t="str">
            <v>Ryan James</v>
          </cell>
          <cell r="C173" t="str">
            <v>13FG</v>
          </cell>
          <cell r="D173">
            <v>0</v>
          </cell>
          <cell r="E173">
            <v>0</v>
          </cell>
          <cell r="F173">
            <v>1</v>
          </cell>
          <cell r="G173">
            <v>0</v>
          </cell>
          <cell r="H173">
            <v>0</v>
          </cell>
          <cell r="I173">
            <v>0</v>
          </cell>
        </row>
        <row r="174">
          <cell r="A174">
            <v>150539</v>
          </cell>
          <cell r="B174" t="str">
            <v>James Hadfield</v>
          </cell>
          <cell r="C174" t="str">
            <v>13LGI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</row>
        <row r="175">
          <cell r="A175">
            <v>152162</v>
          </cell>
          <cell r="B175" t="str">
            <v>Mohammad Jan</v>
          </cell>
          <cell r="C175" t="str">
            <v>13HS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</row>
        <row r="176">
          <cell r="A176">
            <v>150551</v>
          </cell>
          <cell r="B176" t="str">
            <v>Mia Hatton</v>
          </cell>
          <cell r="C176" t="str">
            <v>13HS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</row>
        <row r="177">
          <cell r="A177">
            <v>150553</v>
          </cell>
          <cell r="B177" t="str">
            <v>Keyonte Nhemachena</v>
          </cell>
          <cell r="C177" t="str">
            <v>13LGI</v>
          </cell>
          <cell r="D177">
            <v>0</v>
          </cell>
          <cell r="E177">
            <v>0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A178">
            <v>152149</v>
          </cell>
          <cell r="B178" t="str">
            <v>Ashleigh St Clair</v>
          </cell>
          <cell r="C178" t="str">
            <v>13PLE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A179">
            <v>150438</v>
          </cell>
          <cell r="B179" t="str">
            <v>Isabella Powell-Platts</v>
          </cell>
          <cell r="C179" t="str">
            <v>13LGI</v>
          </cell>
          <cell r="D179">
            <v>0</v>
          </cell>
          <cell r="E179">
            <v>0</v>
          </cell>
          <cell r="F179">
            <v>1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152132</v>
          </cell>
          <cell r="B180" t="str">
            <v>Sarah Lambert</v>
          </cell>
          <cell r="C180" t="str">
            <v>13BG</v>
          </cell>
          <cell r="D180">
            <v>0</v>
          </cell>
          <cell r="E180">
            <v>0</v>
          </cell>
          <cell r="F180">
            <v>1</v>
          </cell>
          <cell r="G180">
            <v>0</v>
          </cell>
          <cell r="H180">
            <v>0</v>
          </cell>
          <cell r="I180">
            <v>0</v>
          </cell>
        </row>
        <row r="181">
          <cell r="A181">
            <v>150479</v>
          </cell>
          <cell r="B181" t="str">
            <v>Abigail Webb</v>
          </cell>
          <cell r="C181" t="str">
            <v>13SMC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152182</v>
          </cell>
          <cell r="B182" t="str">
            <v>Beth Norris</v>
          </cell>
          <cell r="C182" t="str">
            <v>13SDR</v>
          </cell>
          <cell r="D182">
            <v>0</v>
          </cell>
          <cell r="E182">
            <v>0</v>
          </cell>
          <cell r="F182">
            <v>2</v>
          </cell>
          <cell r="G182">
            <v>0</v>
          </cell>
          <cell r="H182">
            <v>0</v>
          </cell>
          <cell r="I182">
            <v>0</v>
          </cell>
        </row>
        <row r="183">
          <cell r="A183">
            <v>150535</v>
          </cell>
          <cell r="B183" t="str">
            <v>Jake Geci</v>
          </cell>
          <cell r="C183" t="str">
            <v>13SMC</v>
          </cell>
          <cell r="D183">
            <v>0</v>
          </cell>
          <cell r="E183">
            <v>0</v>
          </cell>
          <cell r="F183">
            <v>2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150567</v>
          </cell>
          <cell r="B184" t="str">
            <v>Isabel Causer</v>
          </cell>
          <cell r="C184" t="str">
            <v>13BG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</row>
        <row r="185">
          <cell r="A185">
            <v>150534</v>
          </cell>
          <cell r="B185" t="str">
            <v>Felicity Eyre</v>
          </cell>
          <cell r="C185" t="str">
            <v>13SMC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</row>
        <row r="186">
          <cell r="A186">
            <v>150445</v>
          </cell>
          <cell r="B186" t="str">
            <v>Andrew Donlon</v>
          </cell>
          <cell r="C186" t="str">
            <v>13PLE</v>
          </cell>
          <cell r="D186">
            <v>0</v>
          </cell>
          <cell r="E186">
            <v>0</v>
          </cell>
          <cell r="F186">
            <v>2</v>
          </cell>
          <cell r="G186">
            <v>0</v>
          </cell>
          <cell r="H186">
            <v>0</v>
          </cell>
          <cell r="I186">
            <v>0</v>
          </cell>
        </row>
        <row r="187">
          <cell r="A187">
            <v>152207</v>
          </cell>
          <cell r="B187" t="str">
            <v>Alfie Wright</v>
          </cell>
          <cell r="C187" t="str">
            <v>13TS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</row>
        <row r="188">
          <cell r="A188">
            <v>150463</v>
          </cell>
          <cell r="B188" t="str">
            <v>Aine McKinlay</v>
          </cell>
          <cell r="C188" t="str">
            <v>13TS</v>
          </cell>
          <cell r="D188">
            <v>0</v>
          </cell>
          <cell r="E188">
            <v>0</v>
          </cell>
          <cell r="F188">
            <v>1</v>
          </cell>
          <cell r="G188">
            <v>0</v>
          </cell>
          <cell r="H188">
            <v>0</v>
          </cell>
          <cell r="I188">
            <v>0</v>
          </cell>
        </row>
        <row r="189">
          <cell r="A189">
            <v>152178</v>
          </cell>
          <cell r="B189" t="str">
            <v>Madeleine Fairey</v>
          </cell>
          <cell r="C189" t="str">
            <v>13MPI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150596</v>
          </cell>
          <cell r="B190" t="str">
            <v>Idara Umoh</v>
          </cell>
          <cell r="C190" t="str">
            <v>13BG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</row>
        <row r="191">
          <cell r="A191">
            <v>152116</v>
          </cell>
          <cell r="B191" t="str">
            <v>Yasmine Dualeh</v>
          </cell>
          <cell r="C191" t="str">
            <v>13HS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</row>
        <row r="192">
          <cell r="A192">
            <v>150446</v>
          </cell>
          <cell r="B192" t="str">
            <v>Abigail Beare</v>
          </cell>
          <cell r="C192" t="str">
            <v>13BG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</row>
        <row r="193">
          <cell r="A193">
            <v>150413</v>
          </cell>
          <cell r="B193" t="str">
            <v>Oliver Williams</v>
          </cell>
          <cell r="C193" t="str">
            <v>13FG</v>
          </cell>
          <cell r="D193">
            <v>0</v>
          </cell>
          <cell r="E193">
            <v>0</v>
          </cell>
          <cell r="F193">
            <v>1</v>
          </cell>
          <cell r="G193">
            <v>0</v>
          </cell>
          <cell r="H193">
            <v>0</v>
          </cell>
          <cell r="I193">
            <v>0</v>
          </cell>
        </row>
        <row r="194">
          <cell r="A194">
            <v>150404</v>
          </cell>
          <cell r="B194" t="str">
            <v>Katy Morton</v>
          </cell>
          <cell r="C194" t="str">
            <v>13FG</v>
          </cell>
          <cell r="D194">
            <v>0</v>
          </cell>
          <cell r="E194">
            <v>0</v>
          </cell>
          <cell r="F194">
            <v>1</v>
          </cell>
          <cell r="G194">
            <v>0</v>
          </cell>
          <cell r="H194">
            <v>0</v>
          </cell>
          <cell r="I194">
            <v>0</v>
          </cell>
        </row>
        <row r="195">
          <cell r="A195">
            <v>150568</v>
          </cell>
          <cell r="B195" t="str">
            <v>Ben Horner</v>
          </cell>
          <cell r="C195" t="str">
            <v>13HS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</row>
        <row r="196">
          <cell r="A196">
            <v>150523</v>
          </cell>
          <cell r="B196" t="str">
            <v>Melissa Walker</v>
          </cell>
          <cell r="C196" t="str">
            <v>13HS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</row>
        <row r="197">
          <cell r="A197">
            <v>150496</v>
          </cell>
          <cell r="B197" t="str">
            <v>Jacob Wagstaff</v>
          </cell>
          <cell r="C197" t="str">
            <v>13BG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</row>
        <row r="198">
          <cell r="A198">
            <v>150550</v>
          </cell>
          <cell r="B198" t="str">
            <v>Pauline Obadina</v>
          </cell>
          <cell r="C198" t="str">
            <v>13MPI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</row>
        <row r="199">
          <cell r="A199">
            <v>150602</v>
          </cell>
          <cell r="B199" t="str">
            <v>James Gloag</v>
          </cell>
          <cell r="C199" t="str">
            <v>13FG</v>
          </cell>
          <cell r="D199">
            <v>0</v>
          </cell>
          <cell r="E199">
            <v>0</v>
          </cell>
          <cell r="F199">
            <v>1</v>
          </cell>
          <cell r="G199">
            <v>0</v>
          </cell>
          <cell r="H199">
            <v>0</v>
          </cell>
          <cell r="I199">
            <v>0</v>
          </cell>
        </row>
        <row r="200">
          <cell r="A200">
            <v>152148</v>
          </cell>
          <cell r="B200" t="str">
            <v>Oliver Smith</v>
          </cell>
          <cell r="C200" t="str">
            <v>13BG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</row>
        <row r="201">
          <cell r="A201">
            <v>152150</v>
          </cell>
          <cell r="B201" t="str">
            <v>Sienna Taylor</v>
          </cell>
          <cell r="C201" t="str">
            <v>13TS</v>
          </cell>
          <cell r="D201">
            <v>0</v>
          </cell>
          <cell r="E201">
            <v>0</v>
          </cell>
          <cell r="F201">
            <v>1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150540</v>
          </cell>
          <cell r="B202" t="str">
            <v>Hannah Armstrong</v>
          </cell>
          <cell r="C202" t="str">
            <v>13FG</v>
          </cell>
          <cell r="D202">
            <v>0</v>
          </cell>
          <cell r="E202">
            <v>0</v>
          </cell>
          <cell r="F202">
            <v>1</v>
          </cell>
          <cell r="G202">
            <v>0</v>
          </cell>
          <cell r="H202">
            <v>0</v>
          </cell>
          <cell r="I202">
            <v>0</v>
          </cell>
        </row>
        <row r="203">
          <cell r="A203">
            <v>150592</v>
          </cell>
          <cell r="B203" t="str">
            <v>Isobel McNerney</v>
          </cell>
          <cell r="C203" t="str">
            <v>13SDR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</row>
      </sheetData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GROUPDISTRIBUTION"/>
      <sheetName val="Chart1"/>
      <sheetName val="N2I &amp; SERIOUS CONCERN (TOTALS)"/>
      <sheetName val="A2L FREQ"/>
      <sheetName val="A2L SUMMARY"/>
      <sheetName val="BHVEXPORT"/>
      <sheetName val="COHORT data"/>
      <sheetName val="Lookups"/>
      <sheetName val="Y9 Student Progress Monitoring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/>
      <sheetData sheetId="12">
        <row r="1">
          <cell r="A1" t="str">
            <v>Admission Number</v>
          </cell>
          <cell r="B1" t="str">
            <v>Legal Full name</v>
          </cell>
          <cell r="C1" t="str">
            <v>Tutor Group</v>
          </cell>
          <cell r="D1" t="str">
            <v>Comm Con</v>
          </cell>
          <cell r="E1" t="str">
            <v>Pers Org</v>
          </cell>
          <cell r="F1" t="str">
            <v>Praise</v>
          </cell>
          <cell r="G1" t="str">
            <v>BOL</v>
          </cell>
          <cell r="H1" t="str">
            <v>BIL</v>
          </cell>
          <cell r="I1" t="str">
            <v>HWK</v>
          </cell>
        </row>
        <row r="2">
          <cell r="A2">
            <v>100355</v>
          </cell>
          <cell r="B2" t="str">
            <v>Daisy-Mae Stewart</v>
          </cell>
          <cell r="C2" t="str">
            <v>9RNI</v>
          </cell>
          <cell r="D2">
            <v>3</v>
          </cell>
          <cell r="E2">
            <v>0</v>
          </cell>
          <cell r="F2">
            <v>14</v>
          </cell>
          <cell r="G2">
            <v>0</v>
          </cell>
          <cell r="H2">
            <v>2</v>
          </cell>
          <cell r="I2">
            <v>0</v>
          </cell>
        </row>
        <row r="3">
          <cell r="A3">
            <v>152554</v>
          </cell>
          <cell r="B3" t="str">
            <v>Maeve Foley</v>
          </cell>
          <cell r="C3" t="str">
            <v>9GN</v>
          </cell>
          <cell r="D3">
            <v>0</v>
          </cell>
          <cell r="E3">
            <v>0</v>
          </cell>
          <cell r="F3">
            <v>30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152595</v>
          </cell>
          <cell r="B4" t="str">
            <v>Isabelle Martin</v>
          </cell>
          <cell r="C4" t="str">
            <v>9AWL</v>
          </cell>
          <cell r="D4">
            <v>0</v>
          </cell>
          <cell r="E4">
            <v>0</v>
          </cell>
          <cell r="F4">
            <v>13</v>
          </cell>
          <cell r="G4">
            <v>0</v>
          </cell>
          <cell r="H4">
            <v>0</v>
          </cell>
          <cell r="I4">
            <v>0</v>
          </cell>
        </row>
        <row r="5">
          <cell r="A5">
            <v>152690</v>
          </cell>
          <cell r="B5" t="str">
            <v>James Lightbody</v>
          </cell>
          <cell r="C5" t="str">
            <v>9IC</v>
          </cell>
          <cell r="D5">
            <v>8</v>
          </cell>
          <cell r="E5">
            <v>2</v>
          </cell>
          <cell r="F5">
            <v>5</v>
          </cell>
          <cell r="G5">
            <v>1</v>
          </cell>
          <cell r="H5">
            <v>4</v>
          </cell>
          <cell r="I5">
            <v>1</v>
          </cell>
        </row>
        <row r="6">
          <cell r="A6">
            <v>152525</v>
          </cell>
          <cell r="B6" t="str">
            <v>Benjamin Seymour</v>
          </cell>
          <cell r="C6" t="str">
            <v>9AWL</v>
          </cell>
          <cell r="D6">
            <v>3</v>
          </cell>
          <cell r="E6">
            <v>1</v>
          </cell>
          <cell r="F6">
            <v>21</v>
          </cell>
          <cell r="G6">
            <v>1</v>
          </cell>
          <cell r="H6">
            <v>2</v>
          </cell>
          <cell r="I6">
            <v>1</v>
          </cell>
        </row>
        <row r="7">
          <cell r="A7">
            <v>152587</v>
          </cell>
          <cell r="B7" t="str">
            <v>Grayson Bower</v>
          </cell>
          <cell r="C7" t="str">
            <v>9RNI</v>
          </cell>
          <cell r="D7">
            <v>11</v>
          </cell>
          <cell r="E7">
            <v>4</v>
          </cell>
          <cell r="F7">
            <v>6</v>
          </cell>
          <cell r="G7">
            <v>1</v>
          </cell>
          <cell r="H7">
            <v>10</v>
          </cell>
          <cell r="I7">
            <v>2</v>
          </cell>
        </row>
        <row r="8">
          <cell r="A8">
            <v>152699</v>
          </cell>
          <cell r="B8" t="str">
            <v>Faryl Quinn</v>
          </cell>
          <cell r="C8" t="str">
            <v>9IC</v>
          </cell>
          <cell r="D8">
            <v>5</v>
          </cell>
          <cell r="E8">
            <v>2</v>
          </cell>
          <cell r="F8">
            <v>20</v>
          </cell>
          <cell r="G8">
            <v>0</v>
          </cell>
          <cell r="H8">
            <v>5</v>
          </cell>
          <cell r="I8">
            <v>2</v>
          </cell>
        </row>
        <row r="9">
          <cell r="A9">
            <v>152672</v>
          </cell>
          <cell r="B9" t="str">
            <v>Lydia Ronaldson</v>
          </cell>
          <cell r="C9" t="str">
            <v>9GR</v>
          </cell>
          <cell r="D9">
            <v>0</v>
          </cell>
          <cell r="E9">
            <v>1</v>
          </cell>
          <cell r="F9">
            <v>28</v>
          </cell>
          <cell r="G9">
            <v>0</v>
          </cell>
          <cell r="H9">
            <v>0</v>
          </cell>
          <cell r="I9">
            <v>1</v>
          </cell>
        </row>
        <row r="10">
          <cell r="A10">
            <v>152632</v>
          </cell>
          <cell r="B10" t="str">
            <v>Sumaya Baig</v>
          </cell>
          <cell r="C10" t="str">
            <v>9GR</v>
          </cell>
          <cell r="D10">
            <v>1</v>
          </cell>
          <cell r="E10">
            <v>3</v>
          </cell>
          <cell r="F10">
            <v>29</v>
          </cell>
          <cell r="G10">
            <v>0</v>
          </cell>
          <cell r="H10">
            <v>0</v>
          </cell>
          <cell r="I10">
            <v>1</v>
          </cell>
        </row>
        <row r="11">
          <cell r="A11">
            <v>100357</v>
          </cell>
          <cell r="B11" t="str">
            <v>Destiny Raynor-England</v>
          </cell>
          <cell r="C11" t="str">
            <v>9MCO</v>
          </cell>
          <cell r="D11">
            <v>0</v>
          </cell>
          <cell r="E11">
            <v>0</v>
          </cell>
          <cell r="F11">
            <v>5</v>
          </cell>
          <cell r="G11">
            <v>0</v>
          </cell>
          <cell r="H11">
            <v>0</v>
          </cell>
          <cell r="I11">
            <v>0</v>
          </cell>
        </row>
        <row r="12">
          <cell r="A12">
            <v>152622</v>
          </cell>
          <cell r="B12" t="str">
            <v>Cole Higgins</v>
          </cell>
          <cell r="C12" t="str">
            <v>9IC</v>
          </cell>
          <cell r="D12">
            <v>0</v>
          </cell>
          <cell r="E12">
            <v>0</v>
          </cell>
          <cell r="F12">
            <v>22</v>
          </cell>
          <cell r="G12">
            <v>0</v>
          </cell>
          <cell r="H12">
            <v>0</v>
          </cell>
          <cell r="I12">
            <v>0</v>
          </cell>
        </row>
        <row r="13">
          <cell r="A13">
            <v>152704</v>
          </cell>
          <cell r="B13" t="str">
            <v>Amy Foster</v>
          </cell>
          <cell r="C13" t="str">
            <v>9IC</v>
          </cell>
          <cell r="D13">
            <v>0</v>
          </cell>
          <cell r="E13">
            <v>0</v>
          </cell>
          <cell r="F13">
            <v>34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152651</v>
          </cell>
          <cell r="B14" t="str">
            <v>Mae Murphy Duckenfield</v>
          </cell>
          <cell r="C14" t="str">
            <v>9GN</v>
          </cell>
          <cell r="D14">
            <v>0</v>
          </cell>
          <cell r="E14">
            <v>0</v>
          </cell>
          <cell r="F14">
            <v>26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152582</v>
          </cell>
          <cell r="B15" t="str">
            <v>Erin Beare</v>
          </cell>
          <cell r="C15" t="str">
            <v>9GR</v>
          </cell>
          <cell r="D15">
            <v>0</v>
          </cell>
          <cell r="E15">
            <v>0</v>
          </cell>
          <cell r="F15">
            <v>38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152505</v>
          </cell>
          <cell r="B16" t="str">
            <v>Joel Macgregor</v>
          </cell>
          <cell r="C16" t="str">
            <v>9GR</v>
          </cell>
          <cell r="D16">
            <v>21</v>
          </cell>
          <cell r="E16">
            <v>2</v>
          </cell>
          <cell r="F16">
            <v>15</v>
          </cell>
          <cell r="G16">
            <v>5</v>
          </cell>
          <cell r="H16">
            <v>13</v>
          </cell>
          <cell r="I16">
            <v>2</v>
          </cell>
        </row>
        <row r="17">
          <cell r="A17">
            <v>152679</v>
          </cell>
          <cell r="B17" t="str">
            <v>Sefana Tewodros</v>
          </cell>
          <cell r="C17" t="str">
            <v>9GN</v>
          </cell>
          <cell r="D17">
            <v>0</v>
          </cell>
          <cell r="E17">
            <v>0</v>
          </cell>
          <cell r="F17">
            <v>21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152616</v>
          </cell>
          <cell r="B18" t="str">
            <v>Zachary Bruce</v>
          </cell>
          <cell r="C18" t="str">
            <v>9GR</v>
          </cell>
          <cell r="D18">
            <v>2</v>
          </cell>
          <cell r="E18">
            <v>0</v>
          </cell>
          <cell r="F18">
            <v>34</v>
          </cell>
          <cell r="G18">
            <v>0</v>
          </cell>
          <cell r="H18">
            <v>2</v>
          </cell>
          <cell r="I18">
            <v>0</v>
          </cell>
        </row>
        <row r="19">
          <cell r="A19">
            <v>152564</v>
          </cell>
          <cell r="B19" t="str">
            <v>Joey O'Donohue</v>
          </cell>
          <cell r="C19" t="str">
            <v>9RNI</v>
          </cell>
          <cell r="D19">
            <v>5</v>
          </cell>
          <cell r="E19">
            <v>1</v>
          </cell>
          <cell r="F19">
            <v>14</v>
          </cell>
          <cell r="G19">
            <v>1</v>
          </cell>
          <cell r="H19">
            <v>4</v>
          </cell>
          <cell r="I19">
            <v>1</v>
          </cell>
        </row>
        <row r="20">
          <cell r="A20">
            <v>152628</v>
          </cell>
          <cell r="B20" t="str">
            <v>Lucy Scott</v>
          </cell>
          <cell r="C20" t="str">
            <v>9JQ</v>
          </cell>
          <cell r="D20">
            <v>0</v>
          </cell>
          <cell r="E20">
            <v>0</v>
          </cell>
          <cell r="F20">
            <v>19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152613</v>
          </cell>
          <cell r="B21" t="str">
            <v>Joseph Storf</v>
          </cell>
          <cell r="C21" t="str">
            <v>9JQ</v>
          </cell>
          <cell r="D21">
            <v>0</v>
          </cell>
          <cell r="E21">
            <v>0</v>
          </cell>
          <cell r="F21">
            <v>34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152674</v>
          </cell>
          <cell r="B22" t="str">
            <v>Robert Winward-McCormick</v>
          </cell>
          <cell r="C22" t="str">
            <v>9AWL</v>
          </cell>
          <cell r="D22">
            <v>9</v>
          </cell>
          <cell r="E22">
            <v>0</v>
          </cell>
          <cell r="F22">
            <v>5</v>
          </cell>
          <cell r="G22">
            <v>0</v>
          </cell>
          <cell r="H22">
            <v>8</v>
          </cell>
          <cell r="I22">
            <v>0</v>
          </cell>
        </row>
        <row r="23">
          <cell r="A23">
            <v>152571</v>
          </cell>
          <cell r="B23" t="str">
            <v>Annmaria Shaju</v>
          </cell>
          <cell r="C23" t="str">
            <v>9GN</v>
          </cell>
          <cell r="D23">
            <v>1</v>
          </cell>
          <cell r="E23">
            <v>0</v>
          </cell>
          <cell r="F23">
            <v>22</v>
          </cell>
          <cell r="G23">
            <v>1</v>
          </cell>
          <cell r="H23">
            <v>0</v>
          </cell>
          <cell r="I23">
            <v>0</v>
          </cell>
        </row>
        <row r="24">
          <cell r="A24">
            <v>152617</v>
          </cell>
          <cell r="B24" t="str">
            <v>Daiyan Khan</v>
          </cell>
          <cell r="C24" t="str">
            <v>9JQ</v>
          </cell>
          <cell r="D24">
            <v>0</v>
          </cell>
          <cell r="E24">
            <v>0</v>
          </cell>
          <cell r="F24">
            <v>34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152623</v>
          </cell>
          <cell r="B25" t="str">
            <v>Eilis Jackson</v>
          </cell>
          <cell r="C25" t="str">
            <v>9MCO</v>
          </cell>
          <cell r="D25">
            <v>0</v>
          </cell>
          <cell r="E25">
            <v>0</v>
          </cell>
          <cell r="F25">
            <v>40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152538</v>
          </cell>
          <cell r="B26" t="str">
            <v>Evie Nicholson</v>
          </cell>
          <cell r="C26" t="str">
            <v>9IC</v>
          </cell>
          <cell r="D26">
            <v>1</v>
          </cell>
          <cell r="E26">
            <v>3</v>
          </cell>
          <cell r="F26">
            <v>13</v>
          </cell>
          <cell r="G26">
            <v>1</v>
          </cell>
          <cell r="H26">
            <v>0</v>
          </cell>
          <cell r="I26">
            <v>2</v>
          </cell>
        </row>
        <row r="27">
          <cell r="A27">
            <v>152507</v>
          </cell>
          <cell r="B27" t="str">
            <v>Alexandru Gheorghe</v>
          </cell>
          <cell r="C27" t="str">
            <v>9IC</v>
          </cell>
          <cell r="D27">
            <v>0</v>
          </cell>
          <cell r="E27">
            <v>0</v>
          </cell>
          <cell r="F27">
            <v>21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152526</v>
          </cell>
          <cell r="B28" t="str">
            <v>Aurora Chapman</v>
          </cell>
          <cell r="C28" t="str">
            <v>9IC</v>
          </cell>
          <cell r="D28">
            <v>0</v>
          </cell>
          <cell r="E28">
            <v>0</v>
          </cell>
          <cell r="F28">
            <v>21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152630</v>
          </cell>
          <cell r="B29" t="str">
            <v>Dara Mason</v>
          </cell>
          <cell r="C29" t="str">
            <v>9GN</v>
          </cell>
          <cell r="D29">
            <v>14</v>
          </cell>
          <cell r="E29">
            <v>3</v>
          </cell>
          <cell r="F29">
            <v>17</v>
          </cell>
          <cell r="G29">
            <v>0</v>
          </cell>
          <cell r="H29">
            <v>12</v>
          </cell>
          <cell r="I29">
            <v>1</v>
          </cell>
        </row>
        <row r="30">
          <cell r="A30">
            <v>152597</v>
          </cell>
          <cell r="B30" t="str">
            <v>Ayo Grant</v>
          </cell>
          <cell r="C30" t="str">
            <v>9RNI</v>
          </cell>
          <cell r="D30">
            <v>1</v>
          </cell>
          <cell r="E30">
            <v>2</v>
          </cell>
          <cell r="F30">
            <v>12</v>
          </cell>
          <cell r="G30">
            <v>0</v>
          </cell>
          <cell r="H30">
            <v>1</v>
          </cell>
          <cell r="I30">
            <v>2</v>
          </cell>
        </row>
        <row r="31">
          <cell r="A31">
            <v>152533</v>
          </cell>
          <cell r="B31" t="str">
            <v>Louis Hindmarch</v>
          </cell>
          <cell r="C31" t="str">
            <v>9RNI</v>
          </cell>
          <cell r="D31">
            <v>0</v>
          </cell>
          <cell r="E31">
            <v>0</v>
          </cell>
          <cell r="F31">
            <v>15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152559</v>
          </cell>
          <cell r="B32" t="str">
            <v>Ethan Ford</v>
          </cell>
          <cell r="C32" t="str">
            <v>9MCO</v>
          </cell>
          <cell r="D32">
            <v>0</v>
          </cell>
          <cell r="E32">
            <v>1</v>
          </cell>
          <cell r="F32">
            <v>31</v>
          </cell>
          <cell r="G32">
            <v>0</v>
          </cell>
          <cell r="H32">
            <v>0</v>
          </cell>
          <cell r="I32">
            <v>1</v>
          </cell>
        </row>
        <row r="33">
          <cell r="A33">
            <v>152514</v>
          </cell>
          <cell r="B33" t="str">
            <v>Nohi Kidane</v>
          </cell>
          <cell r="C33" t="str">
            <v>9JQ</v>
          </cell>
          <cell r="D33">
            <v>0</v>
          </cell>
          <cell r="E33">
            <v>0</v>
          </cell>
          <cell r="F33">
            <v>31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152536</v>
          </cell>
          <cell r="B34" t="str">
            <v>Edward Smith</v>
          </cell>
          <cell r="C34" t="str">
            <v>9JQ</v>
          </cell>
          <cell r="D34">
            <v>0</v>
          </cell>
          <cell r="E34">
            <v>0</v>
          </cell>
          <cell r="F34">
            <v>24</v>
          </cell>
          <cell r="G34">
            <v>0</v>
          </cell>
          <cell r="H34">
            <v>0</v>
          </cell>
          <cell r="I34">
            <v>0</v>
          </cell>
        </row>
        <row r="35">
          <cell r="A35">
            <v>152671</v>
          </cell>
          <cell r="B35" t="str">
            <v>Siyena Tesfazghi</v>
          </cell>
          <cell r="C35" t="str">
            <v>9AWL</v>
          </cell>
          <cell r="D35">
            <v>0</v>
          </cell>
          <cell r="E35">
            <v>1</v>
          </cell>
          <cell r="F35">
            <v>14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152639</v>
          </cell>
          <cell r="B36" t="str">
            <v>Grace Igoe</v>
          </cell>
          <cell r="C36" t="str">
            <v>9MCO</v>
          </cell>
          <cell r="D36">
            <v>0</v>
          </cell>
          <cell r="E36">
            <v>0</v>
          </cell>
          <cell r="F36">
            <v>24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152618</v>
          </cell>
          <cell r="B37" t="str">
            <v>Phoebe Dowthwaite</v>
          </cell>
          <cell r="C37" t="str">
            <v>9KB</v>
          </cell>
          <cell r="D37">
            <v>0</v>
          </cell>
          <cell r="E37">
            <v>1</v>
          </cell>
          <cell r="F37">
            <v>25</v>
          </cell>
          <cell r="G37">
            <v>0</v>
          </cell>
          <cell r="H37">
            <v>0</v>
          </cell>
          <cell r="I37">
            <v>1</v>
          </cell>
        </row>
        <row r="38">
          <cell r="A38">
            <v>152605</v>
          </cell>
          <cell r="B38" t="str">
            <v>Hosana Tesfazghi</v>
          </cell>
          <cell r="C38" t="str">
            <v>9GN</v>
          </cell>
          <cell r="D38">
            <v>0</v>
          </cell>
          <cell r="E38">
            <v>0</v>
          </cell>
          <cell r="F38">
            <v>23</v>
          </cell>
          <cell r="G38">
            <v>0</v>
          </cell>
          <cell r="H38">
            <v>0</v>
          </cell>
          <cell r="I38">
            <v>0</v>
          </cell>
        </row>
        <row r="39">
          <cell r="A39">
            <v>152557</v>
          </cell>
          <cell r="B39" t="str">
            <v>Luca Fiore</v>
          </cell>
          <cell r="C39" t="str">
            <v>9KB</v>
          </cell>
          <cell r="D39">
            <v>1</v>
          </cell>
          <cell r="E39">
            <v>2</v>
          </cell>
          <cell r="F39">
            <v>18</v>
          </cell>
          <cell r="G39">
            <v>0</v>
          </cell>
          <cell r="H39">
            <v>1</v>
          </cell>
          <cell r="I39">
            <v>0</v>
          </cell>
        </row>
        <row r="40">
          <cell r="A40">
            <v>160365</v>
          </cell>
          <cell r="B40" t="str">
            <v>Esrom Mikiele</v>
          </cell>
          <cell r="C40" t="str">
            <v>9MCO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A41">
            <v>152593</v>
          </cell>
          <cell r="B41" t="str">
            <v>Daniel D'Roza</v>
          </cell>
          <cell r="C41" t="str">
            <v>9GN</v>
          </cell>
          <cell r="D41">
            <v>0</v>
          </cell>
          <cell r="E41">
            <v>0</v>
          </cell>
          <cell r="F41">
            <v>24</v>
          </cell>
          <cell r="G41">
            <v>0</v>
          </cell>
          <cell r="H41">
            <v>0</v>
          </cell>
          <cell r="I41">
            <v>0</v>
          </cell>
        </row>
        <row r="42">
          <cell r="A42">
            <v>152500</v>
          </cell>
          <cell r="B42" t="str">
            <v>Emilia Sawicka</v>
          </cell>
          <cell r="C42" t="str">
            <v>9MCO</v>
          </cell>
          <cell r="D42">
            <v>0</v>
          </cell>
          <cell r="E42">
            <v>0</v>
          </cell>
          <cell r="F42">
            <v>25</v>
          </cell>
          <cell r="G42">
            <v>0</v>
          </cell>
          <cell r="H42">
            <v>0</v>
          </cell>
          <cell r="I42">
            <v>0</v>
          </cell>
        </row>
        <row r="43">
          <cell r="A43">
            <v>152654</v>
          </cell>
          <cell r="B43" t="str">
            <v>Frederick Owusu-Ansah</v>
          </cell>
          <cell r="C43" t="str">
            <v>9KB</v>
          </cell>
          <cell r="D43">
            <v>1</v>
          </cell>
          <cell r="E43">
            <v>2</v>
          </cell>
          <cell r="F43">
            <v>15</v>
          </cell>
          <cell r="G43">
            <v>1</v>
          </cell>
          <cell r="H43">
            <v>0</v>
          </cell>
          <cell r="I43">
            <v>1</v>
          </cell>
        </row>
        <row r="44">
          <cell r="A44">
            <v>152598</v>
          </cell>
          <cell r="B44" t="str">
            <v>Abdul Hussain</v>
          </cell>
          <cell r="C44" t="str">
            <v>9RNI</v>
          </cell>
          <cell r="D44">
            <v>1</v>
          </cell>
          <cell r="E44">
            <v>2</v>
          </cell>
          <cell r="F44">
            <v>14</v>
          </cell>
          <cell r="G44">
            <v>0</v>
          </cell>
          <cell r="H44">
            <v>1</v>
          </cell>
          <cell r="I44">
            <v>1</v>
          </cell>
        </row>
        <row r="45">
          <cell r="A45">
            <v>152655</v>
          </cell>
          <cell r="B45" t="str">
            <v>Nickeisha Madourie</v>
          </cell>
          <cell r="C45" t="str">
            <v>9JQ</v>
          </cell>
          <cell r="D45">
            <v>0</v>
          </cell>
          <cell r="E45">
            <v>1</v>
          </cell>
          <cell r="F45">
            <v>22</v>
          </cell>
          <cell r="G45">
            <v>0</v>
          </cell>
          <cell r="H45">
            <v>0</v>
          </cell>
          <cell r="I45">
            <v>0</v>
          </cell>
        </row>
        <row r="46">
          <cell r="A46">
            <v>152636</v>
          </cell>
          <cell r="B46" t="str">
            <v>Ethan Openja</v>
          </cell>
          <cell r="C46" t="str">
            <v>9JQ</v>
          </cell>
          <cell r="D46">
            <v>3</v>
          </cell>
          <cell r="E46">
            <v>2</v>
          </cell>
          <cell r="F46">
            <v>20</v>
          </cell>
          <cell r="G46">
            <v>1</v>
          </cell>
          <cell r="H46">
            <v>1</v>
          </cell>
          <cell r="I46">
            <v>2</v>
          </cell>
        </row>
        <row r="47">
          <cell r="A47">
            <v>152620</v>
          </cell>
          <cell r="B47" t="str">
            <v>Ophelia Larder-Lee</v>
          </cell>
          <cell r="C47" t="str">
            <v>9GN</v>
          </cell>
          <cell r="D47">
            <v>0</v>
          </cell>
          <cell r="E47">
            <v>0</v>
          </cell>
          <cell r="F47">
            <v>21</v>
          </cell>
          <cell r="G47">
            <v>0</v>
          </cell>
          <cell r="H47">
            <v>0</v>
          </cell>
          <cell r="I47">
            <v>0</v>
          </cell>
        </row>
        <row r="48">
          <cell r="A48">
            <v>152579</v>
          </cell>
          <cell r="B48" t="str">
            <v>Catherine Hayes</v>
          </cell>
          <cell r="C48" t="str">
            <v>9MCO</v>
          </cell>
          <cell r="D48">
            <v>0</v>
          </cell>
          <cell r="E48">
            <v>0</v>
          </cell>
          <cell r="F48">
            <v>29</v>
          </cell>
          <cell r="G48">
            <v>0</v>
          </cell>
          <cell r="H48">
            <v>0</v>
          </cell>
          <cell r="I48">
            <v>0</v>
          </cell>
        </row>
        <row r="49">
          <cell r="A49">
            <v>152712</v>
          </cell>
          <cell r="B49" t="str">
            <v>Emilia Walford</v>
          </cell>
          <cell r="C49" t="str">
            <v>9AWL</v>
          </cell>
          <cell r="D49">
            <v>13</v>
          </cell>
          <cell r="E49">
            <v>3</v>
          </cell>
          <cell r="F49">
            <v>15</v>
          </cell>
          <cell r="G49">
            <v>0</v>
          </cell>
          <cell r="H49">
            <v>12</v>
          </cell>
          <cell r="I49">
            <v>2</v>
          </cell>
        </row>
        <row r="50">
          <cell r="A50">
            <v>152669</v>
          </cell>
          <cell r="B50" t="str">
            <v>Joshua Ronaldson</v>
          </cell>
          <cell r="C50" t="str">
            <v>9JQ</v>
          </cell>
          <cell r="D50">
            <v>0</v>
          </cell>
          <cell r="E50">
            <v>0</v>
          </cell>
          <cell r="F50">
            <v>6</v>
          </cell>
          <cell r="G50">
            <v>0</v>
          </cell>
          <cell r="H50">
            <v>0</v>
          </cell>
          <cell r="I50">
            <v>0</v>
          </cell>
        </row>
        <row r="51">
          <cell r="A51">
            <v>160142</v>
          </cell>
          <cell r="B51" t="str">
            <v>Charlotte Peat</v>
          </cell>
          <cell r="C51" t="str">
            <v>9AWL</v>
          </cell>
          <cell r="D51">
            <v>0</v>
          </cell>
          <cell r="E51">
            <v>0</v>
          </cell>
          <cell r="F51">
            <v>18</v>
          </cell>
          <cell r="G51">
            <v>0</v>
          </cell>
          <cell r="H51">
            <v>0</v>
          </cell>
          <cell r="I51">
            <v>0</v>
          </cell>
        </row>
        <row r="52">
          <cell r="A52">
            <v>152711</v>
          </cell>
          <cell r="B52" t="str">
            <v>Antonia Colley</v>
          </cell>
          <cell r="C52" t="str">
            <v>9GR</v>
          </cell>
          <cell r="D52">
            <v>0</v>
          </cell>
          <cell r="E52">
            <v>0</v>
          </cell>
          <cell r="F52">
            <v>18</v>
          </cell>
          <cell r="G52">
            <v>0</v>
          </cell>
          <cell r="H52">
            <v>0</v>
          </cell>
          <cell r="I52">
            <v>0</v>
          </cell>
        </row>
        <row r="53">
          <cell r="A53">
            <v>152687</v>
          </cell>
          <cell r="B53" t="str">
            <v>Kerry Nalubega Bukena</v>
          </cell>
          <cell r="C53" t="str">
            <v>9IC</v>
          </cell>
          <cell r="D53">
            <v>4</v>
          </cell>
          <cell r="E53">
            <v>4</v>
          </cell>
          <cell r="F53">
            <v>24</v>
          </cell>
          <cell r="G53">
            <v>0</v>
          </cell>
          <cell r="H53">
            <v>4</v>
          </cell>
          <cell r="I53">
            <v>1</v>
          </cell>
        </row>
        <row r="54">
          <cell r="A54">
            <v>152542</v>
          </cell>
          <cell r="B54" t="str">
            <v>Erin Lidgett</v>
          </cell>
          <cell r="C54" t="str">
            <v>9KB</v>
          </cell>
          <cell r="D54">
            <v>0</v>
          </cell>
          <cell r="E54">
            <v>1</v>
          </cell>
          <cell r="F54">
            <v>18</v>
          </cell>
          <cell r="G54">
            <v>0</v>
          </cell>
          <cell r="H54">
            <v>0</v>
          </cell>
          <cell r="I54">
            <v>0</v>
          </cell>
        </row>
        <row r="55">
          <cell r="A55">
            <v>152650</v>
          </cell>
          <cell r="B55" t="str">
            <v>Hugh Plunkett</v>
          </cell>
          <cell r="C55" t="str">
            <v>9GR</v>
          </cell>
          <cell r="D55">
            <v>1</v>
          </cell>
          <cell r="E55">
            <v>0</v>
          </cell>
          <cell r="F55">
            <v>38</v>
          </cell>
          <cell r="G55">
            <v>0</v>
          </cell>
          <cell r="H55">
            <v>1</v>
          </cell>
          <cell r="I55">
            <v>0</v>
          </cell>
        </row>
        <row r="56">
          <cell r="A56">
            <v>152583</v>
          </cell>
          <cell r="B56" t="str">
            <v>Emily Nganga</v>
          </cell>
          <cell r="C56" t="str">
            <v>9RNI</v>
          </cell>
          <cell r="D56">
            <v>0</v>
          </cell>
          <cell r="E56">
            <v>1</v>
          </cell>
          <cell r="F56">
            <v>16</v>
          </cell>
          <cell r="G56">
            <v>0</v>
          </cell>
          <cell r="H56">
            <v>0</v>
          </cell>
          <cell r="I56">
            <v>1</v>
          </cell>
        </row>
        <row r="57">
          <cell r="A57">
            <v>152646</v>
          </cell>
          <cell r="B57" t="str">
            <v>Jin Chen Wang</v>
          </cell>
          <cell r="C57" t="str">
            <v>9AWL</v>
          </cell>
          <cell r="D57">
            <v>0</v>
          </cell>
          <cell r="E57">
            <v>0</v>
          </cell>
          <cell r="F57">
            <v>28</v>
          </cell>
          <cell r="G57">
            <v>0</v>
          </cell>
          <cell r="H57">
            <v>0</v>
          </cell>
          <cell r="I57">
            <v>0</v>
          </cell>
        </row>
        <row r="58">
          <cell r="A58">
            <v>152693</v>
          </cell>
          <cell r="B58" t="str">
            <v>Freddie Dernie</v>
          </cell>
          <cell r="C58" t="str">
            <v>9GR</v>
          </cell>
          <cell r="D58">
            <v>12</v>
          </cell>
          <cell r="E58">
            <v>1</v>
          </cell>
          <cell r="F58">
            <v>12</v>
          </cell>
          <cell r="G58">
            <v>2</v>
          </cell>
          <cell r="H58">
            <v>7</v>
          </cell>
          <cell r="I58">
            <v>1</v>
          </cell>
        </row>
        <row r="59">
          <cell r="A59">
            <v>152681</v>
          </cell>
          <cell r="B59" t="str">
            <v>Chelsea Jaba</v>
          </cell>
          <cell r="C59" t="str">
            <v>9KB</v>
          </cell>
          <cell r="D59">
            <v>0</v>
          </cell>
          <cell r="E59">
            <v>0</v>
          </cell>
          <cell r="F59">
            <v>26</v>
          </cell>
          <cell r="G59">
            <v>0</v>
          </cell>
          <cell r="H59">
            <v>0</v>
          </cell>
          <cell r="I59">
            <v>0</v>
          </cell>
        </row>
        <row r="60">
          <cell r="A60">
            <v>152567</v>
          </cell>
          <cell r="B60" t="str">
            <v>Isla Iggo</v>
          </cell>
          <cell r="C60" t="str">
            <v>9GR</v>
          </cell>
          <cell r="D60">
            <v>2</v>
          </cell>
          <cell r="E60">
            <v>1</v>
          </cell>
          <cell r="F60">
            <v>20</v>
          </cell>
          <cell r="G60">
            <v>2</v>
          </cell>
          <cell r="H60">
            <v>0</v>
          </cell>
          <cell r="I60">
            <v>0</v>
          </cell>
        </row>
        <row r="61">
          <cell r="A61">
            <v>152705</v>
          </cell>
          <cell r="B61" t="str">
            <v>Maison Conroy</v>
          </cell>
          <cell r="C61" t="str">
            <v>9GR</v>
          </cell>
          <cell r="D61">
            <v>0</v>
          </cell>
          <cell r="E61">
            <v>0</v>
          </cell>
          <cell r="F61">
            <v>30</v>
          </cell>
          <cell r="G61">
            <v>0</v>
          </cell>
          <cell r="H61">
            <v>0</v>
          </cell>
          <cell r="I61">
            <v>0</v>
          </cell>
        </row>
        <row r="62">
          <cell r="A62">
            <v>152573</v>
          </cell>
          <cell r="B62" t="str">
            <v>Emmanuella Okoli</v>
          </cell>
          <cell r="C62" t="str">
            <v>9MCO</v>
          </cell>
          <cell r="D62">
            <v>0</v>
          </cell>
          <cell r="E62">
            <v>2</v>
          </cell>
          <cell r="F62">
            <v>36</v>
          </cell>
          <cell r="G62">
            <v>0</v>
          </cell>
          <cell r="H62">
            <v>0</v>
          </cell>
          <cell r="I62">
            <v>0</v>
          </cell>
        </row>
        <row r="63">
          <cell r="A63">
            <v>152574</v>
          </cell>
          <cell r="B63" t="str">
            <v>Cerys Layne</v>
          </cell>
          <cell r="C63" t="str">
            <v>9KB</v>
          </cell>
          <cell r="D63">
            <v>2</v>
          </cell>
          <cell r="E63">
            <v>0</v>
          </cell>
          <cell r="F63">
            <v>12</v>
          </cell>
          <cell r="G63">
            <v>0</v>
          </cell>
          <cell r="H63">
            <v>1</v>
          </cell>
          <cell r="I63">
            <v>0</v>
          </cell>
        </row>
        <row r="64">
          <cell r="A64">
            <v>152673</v>
          </cell>
          <cell r="B64" t="str">
            <v>Isla Rowley</v>
          </cell>
          <cell r="C64" t="str">
            <v>9GN</v>
          </cell>
          <cell r="D64">
            <v>0</v>
          </cell>
          <cell r="E64">
            <v>0</v>
          </cell>
          <cell r="F64">
            <v>20</v>
          </cell>
          <cell r="G64">
            <v>0</v>
          </cell>
          <cell r="H64">
            <v>0</v>
          </cell>
          <cell r="I64">
            <v>0</v>
          </cell>
        </row>
        <row r="65">
          <cell r="A65">
            <v>152510</v>
          </cell>
          <cell r="B65" t="str">
            <v>Dylan Jones</v>
          </cell>
          <cell r="C65" t="str">
            <v>9RNI</v>
          </cell>
          <cell r="D65">
            <v>0</v>
          </cell>
          <cell r="E65">
            <v>1</v>
          </cell>
          <cell r="F65">
            <v>10</v>
          </cell>
          <cell r="G65">
            <v>0</v>
          </cell>
          <cell r="H65">
            <v>0</v>
          </cell>
          <cell r="I65">
            <v>1</v>
          </cell>
        </row>
        <row r="66">
          <cell r="A66">
            <v>152610</v>
          </cell>
          <cell r="B66" t="str">
            <v>Daisy Oxley</v>
          </cell>
          <cell r="C66" t="str">
            <v>9GR</v>
          </cell>
          <cell r="D66">
            <v>0</v>
          </cell>
          <cell r="E66">
            <v>1</v>
          </cell>
          <cell r="F66">
            <v>19</v>
          </cell>
          <cell r="G66">
            <v>0</v>
          </cell>
          <cell r="H66">
            <v>0</v>
          </cell>
          <cell r="I66">
            <v>0</v>
          </cell>
        </row>
        <row r="67">
          <cell r="A67">
            <v>160125</v>
          </cell>
          <cell r="B67" t="str">
            <v>Emilia Smith</v>
          </cell>
          <cell r="C67" t="str">
            <v>9GR</v>
          </cell>
          <cell r="D67">
            <v>0</v>
          </cell>
          <cell r="E67">
            <v>0</v>
          </cell>
          <cell r="F67">
            <v>30</v>
          </cell>
          <cell r="G67">
            <v>0</v>
          </cell>
          <cell r="H67">
            <v>0</v>
          </cell>
          <cell r="I67">
            <v>0</v>
          </cell>
        </row>
        <row r="68">
          <cell r="A68">
            <v>152675</v>
          </cell>
          <cell r="B68" t="str">
            <v>Rose Claeyssens</v>
          </cell>
          <cell r="C68" t="str">
            <v>9KB</v>
          </cell>
          <cell r="D68">
            <v>0</v>
          </cell>
          <cell r="E68">
            <v>0</v>
          </cell>
          <cell r="F68">
            <v>26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152678</v>
          </cell>
          <cell r="B69" t="str">
            <v>Ibrahim Akhtar</v>
          </cell>
          <cell r="C69" t="str">
            <v>9KB</v>
          </cell>
          <cell r="D69">
            <v>1</v>
          </cell>
          <cell r="E69">
            <v>0</v>
          </cell>
          <cell r="F69">
            <v>22</v>
          </cell>
          <cell r="G69">
            <v>0</v>
          </cell>
          <cell r="H69">
            <v>1</v>
          </cell>
          <cell r="I69">
            <v>0</v>
          </cell>
        </row>
        <row r="70">
          <cell r="A70">
            <v>100356</v>
          </cell>
          <cell r="B70" t="str">
            <v>Cedar Vernon-Edwards</v>
          </cell>
          <cell r="C70" t="str">
            <v>9IC</v>
          </cell>
          <cell r="D70">
            <v>0</v>
          </cell>
          <cell r="E70">
            <v>0</v>
          </cell>
          <cell r="F70">
            <v>22</v>
          </cell>
          <cell r="G70">
            <v>0</v>
          </cell>
          <cell r="H70">
            <v>0</v>
          </cell>
          <cell r="I70">
            <v>0</v>
          </cell>
        </row>
        <row r="71">
          <cell r="A71">
            <v>152588</v>
          </cell>
          <cell r="B71" t="str">
            <v>Edwin Barden</v>
          </cell>
          <cell r="C71" t="str">
            <v>9KB</v>
          </cell>
          <cell r="D71">
            <v>0</v>
          </cell>
          <cell r="E71">
            <v>1</v>
          </cell>
          <cell r="F71">
            <v>15</v>
          </cell>
          <cell r="G71">
            <v>0</v>
          </cell>
          <cell r="H71">
            <v>0</v>
          </cell>
          <cell r="I71">
            <v>1</v>
          </cell>
        </row>
        <row r="72">
          <cell r="A72">
            <v>152585</v>
          </cell>
          <cell r="B72" t="str">
            <v>Msgna Gebrhiwot</v>
          </cell>
          <cell r="C72" t="str">
            <v>9MCO</v>
          </cell>
          <cell r="D72">
            <v>1</v>
          </cell>
          <cell r="E72">
            <v>4</v>
          </cell>
          <cell r="F72">
            <v>31</v>
          </cell>
          <cell r="G72">
            <v>0</v>
          </cell>
          <cell r="H72">
            <v>1</v>
          </cell>
          <cell r="I72">
            <v>3</v>
          </cell>
        </row>
        <row r="73">
          <cell r="A73">
            <v>152656</v>
          </cell>
          <cell r="B73" t="str">
            <v>Sarah Gaw</v>
          </cell>
          <cell r="C73" t="str">
            <v>9IC</v>
          </cell>
          <cell r="D73">
            <v>0</v>
          </cell>
          <cell r="E73">
            <v>0</v>
          </cell>
          <cell r="F73">
            <v>12</v>
          </cell>
          <cell r="G73">
            <v>0</v>
          </cell>
          <cell r="H73">
            <v>0</v>
          </cell>
          <cell r="I73">
            <v>0</v>
          </cell>
        </row>
        <row r="74">
          <cell r="A74">
            <v>152667</v>
          </cell>
          <cell r="B74" t="str">
            <v>Emanuel Asefa</v>
          </cell>
          <cell r="C74" t="str">
            <v>9GR</v>
          </cell>
          <cell r="D74">
            <v>0</v>
          </cell>
          <cell r="E74">
            <v>0</v>
          </cell>
          <cell r="F74">
            <v>38</v>
          </cell>
          <cell r="G74">
            <v>0</v>
          </cell>
          <cell r="H74">
            <v>0</v>
          </cell>
          <cell r="I74">
            <v>0</v>
          </cell>
        </row>
        <row r="75">
          <cell r="A75">
            <v>152645</v>
          </cell>
          <cell r="B75" t="str">
            <v>Favour Umoh</v>
          </cell>
          <cell r="C75" t="str">
            <v>9AWL</v>
          </cell>
          <cell r="D75">
            <v>0</v>
          </cell>
          <cell r="E75">
            <v>0</v>
          </cell>
          <cell r="F75">
            <v>16</v>
          </cell>
          <cell r="G75">
            <v>0</v>
          </cell>
          <cell r="H75">
            <v>0</v>
          </cell>
          <cell r="I75">
            <v>0</v>
          </cell>
        </row>
        <row r="76">
          <cell r="A76">
            <v>152685</v>
          </cell>
          <cell r="B76" t="str">
            <v>James Meagher</v>
          </cell>
          <cell r="C76" t="str">
            <v>9IC</v>
          </cell>
          <cell r="D76">
            <v>0</v>
          </cell>
          <cell r="E76">
            <v>0</v>
          </cell>
          <cell r="F76">
            <v>16</v>
          </cell>
          <cell r="G76">
            <v>0</v>
          </cell>
          <cell r="H76">
            <v>0</v>
          </cell>
          <cell r="I76">
            <v>0</v>
          </cell>
        </row>
        <row r="77">
          <cell r="A77">
            <v>152625</v>
          </cell>
          <cell r="B77" t="str">
            <v>Joanna Lampert</v>
          </cell>
          <cell r="C77" t="str">
            <v>9JQ</v>
          </cell>
          <cell r="D77">
            <v>1</v>
          </cell>
          <cell r="E77">
            <v>2</v>
          </cell>
          <cell r="F77">
            <v>9</v>
          </cell>
          <cell r="G77">
            <v>0</v>
          </cell>
          <cell r="H77">
            <v>1</v>
          </cell>
          <cell r="I77">
            <v>1</v>
          </cell>
        </row>
        <row r="78">
          <cell r="A78">
            <v>152641</v>
          </cell>
          <cell r="B78" t="str">
            <v>Kai Jones</v>
          </cell>
          <cell r="C78" t="str">
            <v>9IC</v>
          </cell>
          <cell r="D78">
            <v>0</v>
          </cell>
          <cell r="E78">
            <v>1</v>
          </cell>
          <cell r="F78">
            <v>2</v>
          </cell>
          <cell r="G78">
            <v>0</v>
          </cell>
          <cell r="H78">
            <v>0</v>
          </cell>
          <cell r="I78">
            <v>1</v>
          </cell>
        </row>
        <row r="79">
          <cell r="A79">
            <v>152621</v>
          </cell>
          <cell r="B79" t="str">
            <v>Peter Tomaszewski</v>
          </cell>
          <cell r="C79" t="str">
            <v>9GR</v>
          </cell>
          <cell r="D79">
            <v>0</v>
          </cell>
          <cell r="E79">
            <v>0</v>
          </cell>
          <cell r="F79">
            <v>24</v>
          </cell>
          <cell r="G79">
            <v>0</v>
          </cell>
          <cell r="H79">
            <v>0</v>
          </cell>
          <cell r="I79">
            <v>0</v>
          </cell>
        </row>
        <row r="80">
          <cell r="A80">
            <v>152635</v>
          </cell>
          <cell r="B80" t="str">
            <v>Jeffrey Nweke-Ifediba</v>
          </cell>
          <cell r="C80" t="str">
            <v>9MCO</v>
          </cell>
          <cell r="D80">
            <v>1</v>
          </cell>
          <cell r="E80">
            <v>1</v>
          </cell>
          <cell r="F80">
            <v>28</v>
          </cell>
          <cell r="G80">
            <v>1</v>
          </cell>
          <cell r="H80">
            <v>0</v>
          </cell>
          <cell r="I80">
            <v>0</v>
          </cell>
        </row>
        <row r="81">
          <cell r="A81">
            <v>152566</v>
          </cell>
          <cell r="B81" t="str">
            <v>Alexander McCann</v>
          </cell>
          <cell r="C81" t="str">
            <v>9KB</v>
          </cell>
          <cell r="D81">
            <v>8</v>
          </cell>
          <cell r="E81">
            <v>3</v>
          </cell>
          <cell r="F81">
            <v>14</v>
          </cell>
          <cell r="G81">
            <v>1</v>
          </cell>
          <cell r="H81">
            <v>7</v>
          </cell>
          <cell r="I81">
            <v>1</v>
          </cell>
        </row>
        <row r="82">
          <cell r="A82">
            <v>152555</v>
          </cell>
          <cell r="B82" t="str">
            <v>Ewan Scott</v>
          </cell>
          <cell r="C82" t="str">
            <v>9GR</v>
          </cell>
          <cell r="D82">
            <v>0</v>
          </cell>
          <cell r="E82">
            <v>0</v>
          </cell>
          <cell r="F82">
            <v>25</v>
          </cell>
          <cell r="G82">
            <v>0</v>
          </cell>
          <cell r="H82">
            <v>0</v>
          </cell>
          <cell r="I82">
            <v>0</v>
          </cell>
        </row>
        <row r="83">
          <cell r="A83">
            <v>152511</v>
          </cell>
          <cell r="B83" t="str">
            <v>Ronan Kearney</v>
          </cell>
          <cell r="C83" t="str">
            <v>9JQ</v>
          </cell>
          <cell r="D83">
            <v>0</v>
          </cell>
          <cell r="E83">
            <v>3</v>
          </cell>
          <cell r="F83">
            <v>27</v>
          </cell>
          <cell r="G83">
            <v>0</v>
          </cell>
          <cell r="H83">
            <v>0</v>
          </cell>
          <cell r="I83">
            <v>1</v>
          </cell>
        </row>
        <row r="84">
          <cell r="A84">
            <v>152619</v>
          </cell>
          <cell r="B84" t="str">
            <v>Denisa Barincová</v>
          </cell>
          <cell r="C84" t="str">
            <v>9GR</v>
          </cell>
          <cell r="D84">
            <v>6</v>
          </cell>
          <cell r="E84">
            <v>1</v>
          </cell>
          <cell r="F84">
            <v>21</v>
          </cell>
          <cell r="G84">
            <v>0</v>
          </cell>
          <cell r="H84">
            <v>5</v>
          </cell>
          <cell r="I84">
            <v>0</v>
          </cell>
        </row>
        <row r="85">
          <cell r="A85">
            <v>152665</v>
          </cell>
          <cell r="B85" t="str">
            <v>Joseph Vipond</v>
          </cell>
          <cell r="C85" t="str">
            <v>9AWL</v>
          </cell>
          <cell r="D85">
            <v>0</v>
          </cell>
          <cell r="E85">
            <v>0</v>
          </cell>
          <cell r="F85">
            <v>24</v>
          </cell>
          <cell r="G85">
            <v>0</v>
          </cell>
          <cell r="H85">
            <v>0</v>
          </cell>
          <cell r="I85">
            <v>0</v>
          </cell>
        </row>
        <row r="86">
          <cell r="A86">
            <v>152549</v>
          </cell>
          <cell r="B86" t="str">
            <v>Amein Akele</v>
          </cell>
          <cell r="C86" t="str">
            <v>9JQ</v>
          </cell>
          <cell r="D86">
            <v>0</v>
          </cell>
          <cell r="E86">
            <v>0</v>
          </cell>
          <cell r="F86">
            <v>29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152591</v>
          </cell>
          <cell r="B87" t="str">
            <v>Isaac Kilcoyne</v>
          </cell>
          <cell r="C87" t="str">
            <v>9AWL</v>
          </cell>
          <cell r="D87">
            <v>1</v>
          </cell>
          <cell r="E87">
            <v>1</v>
          </cell>
          <cell r="F87">
            <v>17</v>
          </cell>
          <cell r="G87">
            <v>0</v>
          </cell>
          <cell r="H87">
            <v>1</v>
          </cell>
          <cell r="I87">
            <v>1</v>
          </cell>
        </row>
        <row r="88">
          <cell r="A88">
            <v>152531</v>
          </cell>
          <cell r="B88" t="str">
            <v>Poppie Andrews</v>
          </cell>
          <cell r="C88" t="str">
            <v>9GR</v>
          </cell>
          <cell r="D88">
            <v>1</v>
          </cell>
          <cell r="E88">
            <v>1</v>
          </cell>
          <cell r="F88">
            <v>20</v>
          </cell>
          <cell r="G88">
            <v>0</v>
          </cell>
          <cell r="H88">
            <v>1</v>
          </cell>
          <cell r="I88">
            <v>0</v>
          </cell>
        </row>
        <row r="89">
          <cell r="A89">
            <v>152556</v>
          </cell>
          <cell r="B89" t="str">
            <v>Grace Kenny</v>
          </cell>
          <cell r="C89" t="str">
            <v>9KB</v>
          </cell>
          <cell r="D89">
            <v>0</v>
          </cell>
          <cell r="E89">
            <v>0</v>
          </cell>
          <cell r="F89">
            <v>22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152661</v>
          </cell>
          <cell r="B90" t="str">
            <v>Tautvydas Klovas</v>
          </cell>
          <cell r="C90" t="str">
            <v>9IC</v>
          </cell>
          <cell r="D90">
            <v>3</v>
          </cell>
          <cell r="E90">
            <v>1</v>
          </cell>
          <cell r="F90">
            <v>16</v>
          </cell>
          <cell r="G90">
            <v>0</v>
          </cell>
          <cell r="H90">
            <v>3</v>
          </cell>
          <cell r="I90">
            <v>1</v>
          </cell>
        </row>
        <row r="91">
          <cell r="A91">
            <v>152668</v>
          </cell>
          <cell r="B91" t="str">
            <v>Josef Illien-Middleton</v>
          </cell>
          <cell r="C91" t="str">
            <v>9MCO</v>
          </cell>
          <cell r="D91">
            <v>0</v>
          </cell>
          <cell r="E91">
            <v>0</v>
          </cell>
          <cell r="F91">
            <v>39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152666</v>
          </cell>
          <cell r="B92" t="str">
            <v>Patrick McGovern</v>
          </cell>
          <cell r="C92" t="str">
            <v>9GN</v>
          </cell>
          <cell r="D92">
            <v>0</v>
          </cell>
          <cell r="E92">
            <v>0</v>
          </cell>
          <cell r="F92">
            <v>32</v>
          </cell>
          <cell r="G92">
            <v>0</v>
          </cell>
          <cell r="H92">
            <v>0</v>
          </cell>
          <cell r="I92">
            <v>0</v>
          </cell>
        </row>
        <row r="93">
          <cell r="A93">
            <v>152624</v>
          </cell>
          <cell r="B93" t="str">
            <v>Stephanie Pestheruwe Liyanaralalage</v>
          </cell>
          <cell r="C93" t="str">
            <v>9IC</v>
          </cell>
          <cell r="D93">
            <v>0</v>
          </cell>
          <cell r="E93">
            <v>0</v>
          </cell>
          <cell r="F93">
            <v>33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152726</v>
          </cell>
          <cell r="B94" t="str">
            <v>Dominic Tanswell</v>
          </cell>
          <cell r="C94" t="str">
            <v>9MCO</v>
          </cell>
          <cell r="D94">
            <v>0</v>
          </cell>
          <cell r="E94">
            <v>0</v>
          </cell>
          <cell r="F94">
            <v>12</v>
          </cell>
          <cell r="G94">
            <v>0</v>
          </cell>
          <cell r="H94">
            <v>0</v>
          </cell>
          <cell r="I94">
            <v>0</v>
          </cell>
        </row>
        <row r="95">
          <cell r="A95">
            <v>152684</v>
          </cell>
          <cell r="B95" t="str">
            <v>Jessica Gore</v>
          </cell>
          <cell r="C95" t="str">
            <v>9KB</v>
          </cell>
          <cell r="D95">
            <v>0</v>
          </cell>
          <cell r="E95">
            <v>0</v>
          </cell>
          <cell r="F95">
            <v>25</v>
          </cell>
          <cell r="G95">
            <v>0</v>
          </cell>
          <cell r="H95">
            <v>0</v>
          </cell>
          <cell r="I95">
            <v>0</v>
          </cell>
        </row>
        <row r="96">
          <cell r="A96">
            <v>152612</v>
          </cell>
          <cell r="B96" t="str">
            <v>Jose Martins</v>
          </cell>
          <cell r="C96" t="str">
            <v>9KB</v>
          </cell>
          <cell r="D96">
            <v>3</v>
          </cell>
          <cell r="E96">
            <v>0</v>
          </cell>
          <cell r="F96">
            <v>18</v>
          </cell>
          <cell r="G96">
            <v>0</v>
          </cell>
          <cell r="H96">
            <v>3</v>
          </cell>
          <cell r="I96">
            <v>0</v>
          </cell>
        </row>
        <row r="97">
          <cell r="A97">
            <v>152570</v>
          </cell>
          <cell r="B97" t="str">
            <v>Elizabeth Henok</v>
          </cell>
          <cell r="C97" t="str">
            <v>9RNI</v>
          </cell>
          <cell r="D97">
            <v>0</v>
          </cell>
          <cell r="E97">
            <v>0</v>
          </cell>
          <cell r="F97">
            <v>13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152544</v>
          </cell>
          <cell r="B98" t="str">
            <v>Mark Azar</v>
          </cell>
          <cell r="C98" t="str">
            <v>9GR</v>
          </cell>
          <cell r="D98">
            <v>0</v>
          </cell>
          <cell r="E98">
            <v>1</v>
          </cell>
          <cell r="F98">
            <v>40</v>
          </cell>
          <cell r="G98">
            <v>0</v>
          </cell>
          <cell r="H98">
            <v>0</v>
          </cell>
          <cell r="I98">
            <v>0</v>
          </cell>
        </row>
        <row r="99">
          <cell r="A99">
            <v>152649</v>
          </cell>
          <cell r="B99" t="str">
            <v>Scarlett Horwood</v>
          </cell>
          <cell r="C99" t="str">
            <v>9KB</v>
          </cell>
          <cell r="D99">
            <v>0</v>
          </cell>
          <cell r="E99">
            <v>0</v>
          </cell>
          <cell r="F99">
            <v>24</v>
          </cell>
          <cell r="G99">
            <v>0</v>
          </cell>
          <cell r="H99">
            <v>0</v>
          </cell>
          <cell r="I99">
            <v>0</v>
          </cell>
        </row>
        <row r="100">
          <cell r="A100">
            <v>152541</v>
          </cell>
          <cell r="B100" t="str">
            <v>Joseph Reynard</v>
          </cell>
          <cell r="C100" t="str">
            <v>9GN</v>
          </cell>
          <cell r="D100">
            <v>0</v>
          </cell>
          <cell r="E100">
            <v>0</v>
          </cell>
          <cell r="F100">
            <v>31</v>
          </cell>
          <cell r="G100">
            <v>0</v>
          </cell>
          <cell r="H100">
            <v>0</v>
          </cell>
          <cell r="I100">
            <v>0</v>
          </cell>
        </row>
        <row r="101">
          <cell r="A101">
            <v>152653</v>
          </cell>
          <cell r="B101" t="str">
            <v>Ioakimina Fowkes</v>
          </cell>
          <cell r="C101" t="str">
            <v>9MCO</v>
          </cell>
          <cell r="D101">
            <v>0</v>
          </cell>
          <cell r="E101">
            <v>0</v>
          </cell>
          <cell r="F101">
            <v>34</v>
          </cell>
          <cell r="G101">
            <v>0</v>
          </cell>
          <cell r="H101">
            <v>0</v>
          </cell>
          <cell r="I101">
            <v>0</v>
          </cell>
        </row>
        <row r="102">
          <cell r="A102">
            <v>152638</v>
          </cell>
          <cell r="B102" t="str">
            <v>Jemiah Le Vallois</v>
          </cell>
          <cell r="C102" t="str">
            <v>9RNI</v>
          </cell>
          <cell r="D102">
            <v>1</v>
          </cell>
          <cell r="E102">
            <v>0</v>
          </cell>
          <cell r="F102">
            <v>10</v>
          </cell>
          <cell r="G102">
            <v>0</v>
          </cell>
          <cell r="H102">
            <v>1</v>
          </cell>
          <cell r="I102">
            <v>0</v>
          </cell>
        </row>
        <row r="103">
          <cell r="A103">
            <v>152677</v>
          </cell>
          <cell r="B103" t="str">
            <v>Raheem Khan</v>
          </cell>
          <cell r="C103" t="str">
            <v>9IC</v>
          </cell>
          <cell r="D103">
            <v>9</v>
          </cell>
          <cell r="E103">
            <v>2</v>
          </cell>
          <cell r="F103">
            <v>12</v>
          </cell>
          <cell r="G103">
            <v>0</v>
          </cell>
          <cell r="H103">
            <v>5</v>
          </cell>
          <cell r="I103">
            <v>2</v>
          </cell>
        </row>
        <row r="104">
          <cell r="A104">
            <v>152627</v>
          </cell>
          <cell r="B104" t="str">
            <v>Federica Ciccarelli</v>
          </cell>
          <cell r="C104" t="str">
            <v>9GN</v>
          </cell>
          <cell r="D104">
            <v>0</v>
          </cell>
          <cell r="E104">
            <v>0</v>
          </cell>
          <cell r="F104">
            <v>23</v>
          </cell>
          <cell r="G104">
            <v>0</v>
          </cell>
          <cell r="H104">
            <v>0</v>
          </cell>
          <cell r="I104">
            <v>0</v>
          </cell>
        </row>
        <row r="105">
          <cell r="A105">
            <v>152515</v>
          </cell>
          <cell r="B105" t="str">
            <v>Michael Alsaffar</v>
          </cell>
          <cell r="C105" t="str">
            <v>9GR</v>
          </cell>
          <cell r="D105">
            <v>0</v>
          </cell>
          <cell r="E105">
            <v>0</v>
          </cell>
          <cell r="F105">
            <v>34</v>
          </cell>
          <cell r="G105">
            <v>0</v>
          </cell>
          <cell r="H105">
            <v>0</v>
          </cell>
          <cell r="I105">
            <v>0</v>
          </cell>
        </row>
        <row r="106">
          <cell r="A106">
            <v>152663</v>
          </cell>
          <cell r="B106" t="str">
            <v>Ewan Simmons</v>
          </cell>
          <cell r="C106" t="str">
            <v>9GR</v>
          </cell>
          <cell r="D106">
            <v>0</v>
          </cell>
          <cell r="E106">
            <v>0</v>
          </cell>
          <cell r="F106">
            <v>28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152664</v>
          </cell>
          <cell r="B107" t="str">
            <v>Eli Spicer-Irazusta</v>
          </cell>
          <cell r="C107" t="str">
            <v>9MCO</v>
          </cell>
          <cell r="D107">
            <v>1</v>
          </cell>
          <cell r="E107">
            <v>1</v>
          </cell>
          <cell r="F107">
            <v>22</v>
          </cell>
          <cell r="G107">
            <v>0</v>
          </cell>
          <cell r="H107">
            <v>1</v>
          </cell>
          <cell r="I107">
            <v>1</v>
          </cell>
        </row>
        <row r="108">
          <cell r="A108">
            <v>152615</v>
          </cell>
          <cell r="B108" t="str">
            <v>Joseph Coleman</v>
          </cell>
          <cell r="C108" t="str">
            <v>9RNI</v>
          </cell>
          <cell r="D108">
            <v>0</v>
          </cell>
          <cell r="E108">
            <v>0</v>
          </cell>
          <cell r="F108">
            <v>16</v>
          </cell>
          <cell r="G108">
            <v>0</v>
          </cell>
          <cell r="H108">
            <v>0</v>
          </cell>
          <cell r="I108">
            <v>0</v>
          </cell>
        </row>
        <row r="109">
          <cell r="A109">
            <v>152660</v>
          </cell>
          <cell r="B109" t="str">
            <v>Selome Getahun</v>
          </cell>
          <cell r="C109" t="str">
            <v>9JQ</v>
          </cell>
          <cell r="D109">
            <v>0</v>
          </cell>
          <cell r="E109">
            <v>0</v>
          </cell>
          <cell r="F109">
            <v>21</v>
          </cell>
          <cell r="G109">
            <v>0</v>
          </cell>
          <cell r="H109">
            <v>0</v>
          </cell>
          <cell r="I109">
            <v>0</v>
          </cell>
        </row>
        <row r="110">
          <cell r="A110">
            <v>152534</v>
          </cell>
          <cell r="B110" t="str">
            <v>Serena Branco Carmona</v>
          </cell>
          <cell r="C110" t="str">
            <v>9RNI</v>
          </cell>
          <cell r="D110">
            <v>0</v>
          </cell>
          <cell r="E110">
            <v>0</v>
          </cell>
          <cell r="F110">
            <v>22</v>
          </cell>
          <cell r="G110">
            <v>0</v>
          </cell>
          <cell r="H110">
            <v>0</v>
          </cell>
          <cell r="I110">
            <v>0</v>
          </cell>
        </row>
        <row r="111">
          <cell r="A111">
            <v>152512</v>
          </cell>
          <cell r="B111" t="str">
            <v>Kavan Drury</v>
          </cell>
          <cell r="C111" t="str">
            <v>9RNI</v>
          </cell>
          <cell r="D111">
            <v>0</v>
          </cell>
          <cell r="E111">
            <v>0</v>
          </cell>
          <cell r="F111">
            <v>14</v>
          </cell>
          <cell r="G111">
            <v>0</v>
          </cell>
          <cell r="H111">
            <v>0</v>
          </cell>
          <cell r="I111">
            <v>0</v>
          </cell>
        </row>
        <row r="112">
          <cell r="A112">
            <v>152575</v>
          </cell>
          <cell r="B112" t="str">
            <v>Justin Palczynski</v>
          </cell>
          <cell r="C112" t="str">
            <v>9GR</v>
          </cell>
          <cell r="D112">
            <v>0</v>
          </cell>
          <cell r="E112">
            <v>1</v>
          </cell>
          <cell r="F112">
            <v>13</v>
          </cell>
          <cell r="G112">
            <v>0</v>
          </cell>
          <cell r="H112">
            <v>0</v>
          </cell>
          <cell r="I112">
            <v>1</v>
          </cell>
        </row>
        <row r="113">
          <cell r="A113">
            <v>152518</v>
          </cell>
          <cell r="B113" t="str">
            <v>Prosper McVay</v>
          </cell>
          <cell r="C113" t="str">
            <v>9KB</v>
          </cell>
          <cell r="D113">
            <v>8</v>
          </cell>
          <cell r="E113">
            <v>3</v>
          </cell>
          <cell r="F113">
            <v>9</v>
          </cell>
          <cell r="G113">
            <v>1</v>
          </cell>
          <cell r="H113">
            <v>6</v>
          </cell>
          <cell r="I113">
            <v>1</v>
          </cell>
        </row>
        <row r="114">
          <cell r="A114">
            <v>152634</v>
          </cell>
          <cell r="B114" t="str">
            <v>Mary-May Watson</v>
          </cell>
          <cell r="C114" t="str">
            <v>9IC</v>
          </cell>
          <cell r="D114">
            <v>1</v>
          </cell>
          <cell r="E114">
            <v>3</v>
          </cell>
          <cell r="F114">
            <v>19</v>
          </cell>
          <cell r="G114">
            <v>1</v>
          </cell>
          <cell r="H114">
            <v>0</v>
          </cell>
          <cell r="I114">
            <v>1</v>
          </cell>
        </row>
        <row r="115">
          <cell r="A115">
            <v>152696</v>
          </cell>
          <cell r="B115" t="str">
            <v>Samudu Rodrigo</v>
          </cell>
          <cell r="C115" t="str">
            <v>9GN</v>
          </cell>
          <cell r="D115">
            <v>15</v>
          </cell>
          <cell r="E115">
            <v>3</v>
          </cell>
          <cell r="F115">
            <v>6</v>
          </cell>
          <cell r="G115">
            <v>1</v>
          </cell>
          <cell r="H115">
            <v>14</v>
          </cell>
          <cell r="I115">
            <v>0</v>
          </cell>
        </row>
        <row r="116">
          <cell r="A116">
            <v>152517</v>
          </cell>
          <cell r="B116" t="str">
            <v>Ayomide Ajao</v>
          </cell>
          <cell r="C116" t="str">
            <v>9JQ</v>
          </cell>
          <cell r="D116">
            <v>0</v>
          </cell>
          <cell r="E116">
            <v>0</v>
          </cell>
          <cell r="F116">
            <v>18</v>
          </cell>
          <cell r="G116">
            <v>0</v>
          </cell>
          <cell r="H116">
            <v>0</v>
          </cell>
          <cell r="I116">
            <v>0</v>
          </cell>
        </row>
        <row r="117">
          <cell r="A117">
            <v>152584</v>
          </cell>
          <cell r="B117" t="str">
            <v>Jake Speirs</v>
          </cell>
          <cell r="C117" t="str">
            <v>9RNI</v>
          </cell>
          <cell r="D117">
            <v>3</v>
          </cell>
          <cell r="E117">
            <v>1</v>
          </cell>
          <cell r="F117">
            <v>9</v>
          </cell>
          <cell r="G117">
            <v>0</v>
          </cell>
          <cell r="H117">
            <v>3</v>
          </cell>
          <cell r="I117">
            <v>0</v>
          </cell>
        </row>
        <row r="118">
          <cell r="A118">
            <v>152644</v>
          </cell>
          <cell r="B118" t="str">
            <v>Charles Dennis</v>
          </cell>
          <cell r="C118" t="str">
            <v>9AWL</v>
          </cell>
          <cell r="D118">
            <v>0</v>
          </cell>
          <cell r="E118">
            <v>0</v>
          </cell>
          <cell r="F118">
            <v>15</v>
          </cell>
          <cell r="G118">
            <v>0</v>
          </cell>
          <cell r="H118">
            <v>0</v>
          </cell>
          <cell r="I118">
            <v>0</v>
          </cell>
        </row>
        <row r="119">
          <cell r="A119">
            <v>152524</v>
          </cell>
          <cell r="B119" t="str">
            <v>Edward Gaynord</v>
          </cell>
          <cell r="C119" t="str">
            <v>9MCO</v>
          </cell>
          <cell r="D119">
            <v>5</v>
          </cell>
          <cell r="E119">
            <v>1</v>
          </cell>
          <cell r="F119">
            <v>14</v>
          </cell>
          <cell r="G119">
            <v>0</v>
          </cell>
          <cell r="H119">
            <v>5</v>
          </cell>
          <cell r="I119">
            <v>0</v>
          </cell>
        </row>
        <row r="120">
          <cell r="A120">
            <v>152601</v>
          </cell>
          <cell r="B120" t="str">
            <v>Annie Wenninger</v>
          </cell>
          <cell r="C120" t="str">
            <v>9AWL</v>
          </cell>
          <cell r="D120">
            <v>0</v>
          </cell>
          <cell r="E120">
            <v>0</v>
          </cell>
          <cell r="F120">
            <v>24</v>
          </cell>
          <cell r="G120">
            <v>0</v>
          </cell>
          <cell r="H120">
            <v>0</v>
          </cell>
          <cell r="I120">
            <v>0</v>
          </cell>
        </row>
        <row r="121">
          <cell r="A121">
            <v>152631</v>
          </cell>
          <cell r="B121" t="str">
            <v>Raheem Hussain</v>
          </cell>
          <cell r="C121" t="str">
            <v>9RNI</v>
          </cell>
          <cell r="D121">
            <v>5</v>
          </cell>
          <cell r="E121">
            <v>0</v>
          </cell>
          <cell r="F121">
            <v>10</v>
          </cell>
          <cell r="G121">
            <v>1</v>
          </cell>
          <cell r="H121">
            <v>4</v>
          </cell>
          <cell r="I121">
            <v>0</v>
          </cell>
        </row>
        <row r="122">
          <cell r="A122">
            <v>152577</v>
          </cell>
          <cell r="B122" t="str">
            <v>Patrick Murena</v>
          </cell>
          <cell r="C122" t="str">
            <v>9MCO</v>
          </cell>
          <cell r="D122">
            <v>0</v>
          </cell>
          <cell r="E122">
            <v>2</v>
          </cell>
          <cell r="F122">
            <v>26</v>
          </cell>
          <cell r="G122">
            <v>0</v>
          </cell>
          <cell r="H122">
            <v>0</v>
          </cell>
          <cell r="I122">
            <v>2</v>
          </cell>
        </row>
        <row r="123">
          <cell r="A123">
            <v>152701</v>
          </cell>
          <cell r="B123" t="str">
            <v>Kirsty Ward</v>
          </cell>
          <cell r="C123" t="str">
            <v>9JQ</v>
          </cell>
          <cell r="D123">
            <v>0</v>
          </cell>
          <cell r="E123">
            <v>0</v>
          </cell>
          <cell r="F123">
            <v>16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152572</v>
          </cell>
          <cell r="B124" t="str">
            <v>Katriel Williams Odobi</v>
          </cell>
          <cell r="C124" t="str">
            <v>9JQ</v>
          </cell>
          <cell r="D124">
            <v>0</v>
          </cell>
          <cell r="E124">
            <v>0</v>
          </cell>
          <cell r="F124">
            <v>16</v>
          </cell>
          <cell r="G124">
            <v>0</v>
          </cell>
          <cell r="H124">
            <v>0</v>
          </cell>
          <cell r="I124">
            <v>0</v>
          </cell>
        </row>
        <row r="125">
          <cell r="A125">
            <v>152710</v>
          </cell>
          <cell r="B125" t="str">
            <v>Lawrence Slade</v>
          </cell>
          <cell r="C125" t="str">
            <v>9AWL</v>
          </cell>
          <cell r="D125">
            <v>0</v>
          </cell>
          <cell r="E125">
            <v>0</v>
          </cell>
          <cell r="F125">
            <v>25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160353</v>
          </cell>
          <cell r="B126" t="str">
            <v>Milly Voisey</v>
          </cell>
          <cell r="C126" t="str">
            <v>9IC</v>
          </cell>
          <cell r="D126">
            <v>2</v>
          </cell>
          <cell r="E126">
            <v>0</v>
          </cell>
          <cell r="F126">
            <v>33</v>
          </cell>
          <cell r="G126">
            <v>1</v>
          </cell>
          <cell r="H126">
            <v>1</v>
          </cell>
          <cell r="I126">
            <v>0</v>
          </cell>
        </row>
        <row r="127">
          <cell r="A127">
            <v>152706</v>
          </cell>
          <cell r="B127" t="str">
            <v>Raul Martins</v>
          </cell>
          <cell r="C127" t="str">
            <v>9RNI</v>
          </cell>
          <cell r="D127">
            <v>0</v>
          </cell>
          <cell r="E127">
            <v>0</v>
          </cell>
          <cell r="F127">
            <v>24</v>
          </cell>
          <cell r="G127">
            <v>0</v>
          </cell>
          <cell r="H127">
            <v>0</v>
          </cell>
          <cell r="I127">
            <v>0</v>
          </cell>
        </row>
        <row r="128">
          <cell r="A128">
            <v>152501</v>
          </cell>
          <cell r="B128" t="str">
            <v>Finley Roberts</v>
          </cell>
          <cell r="C128" t="str">
            <v>9KB</v>
          </cell>
          <cell r="D128">
            <v>0</v>
          </cell>
          <cell r="E128">
            <v>0</v>
          </cell>
          <cell r="F128">
            <v>14</v>
          </cell>
          <cell r="G128">
            <v>0</v>
          </cell>
          <cell r="H128">
            <v>0</v>
          </cell>
          <cell r="I128">
            <v>0</v>
          </cell>
        </row>
        <row r="129">
          <cell r="A129">
            <v>152581</v>
          </cell>
          <cell r="B129" t="str">
            <v>Sarah Armstrong</v>
          </cell>
          <cell r="C129" t="str">
            <v>9GR</v>
          </cell>
          <cell r="D129">
            <v>0</v>
          </cell>
          <cell r="E129">
            <v>0</v>
          </cell>
          <cell r="F129">
            <v>32</v>
          </cell>
          <cell r="G129">
            <v>0</v>
          </cell>
          <cell r="H129">
            <v>0</v>
          </cell>
          <cell r="I129">
            <v>0</v>
          </cell>
        </row>
        <row r="130">
          <cell r="A130">
            <v>152731</v>
          </cell>
          <cell r="B130" t="str">
            <v>Marissa Joe</v>
          </cell>
          <cell r="C130" t="str">
            <v>9IC</v>
          </cell>
          <cell r="D130">
            <v>2</v>
          </cell>
          <cell r="E130">
            <v>1</v>
          </cell>
          <cell r="F130">
            <v>16</v>
          </cell>
          <cell r="G130">
            <v>0</v>
          </cell>
          <cell r="H130">
            <v>2</v>
          </cell>
          <cell r="I130">
            <v>0</v>
          </cell>
        </row>
        <row r="131">
          <cell r="A131">
            <v>152546</v>
          </cell>
          <cell r="B131" t="str">
            <v>George Sheridan</v>
          </cell>
          <cell r="C131" t="str">
            <v>9GN</v>
          </cell>
          <cell r="D131">
            <v>0</v>
          </cell>
          <cell r="E131">
            <v>0</v>
          </cell>
          <cell r="F131">
            <v>22</v>
          </cell>
          <cell r="G131">
            <v>0</v>
          </cell>
          <cell r="H131">
            <v>0</v>
          </cell>
          <cell r="I131">
            <v>0</v>
          </cell>
        </row>
        <row r="132">
          <cell r="A132">
            <v>152560</v>
          </cell>
          <cell r="B132" t="str">
            <v>Jack Hawkins</v>
          </cell>
          <cell r="C132" t="str">
            <v>9MCO</v>
          </cell>
          <cell r="D132">
            <v>9</v>
          </cell>
          <cell r="E132">
            <v>2</v>
          </cell>
          <cell r="F132">
            <v>13</v>
          </cell>
          <cell r="G132">
            <v>1</v>
          </cell>
          <cell r="H132">
            <v>8</v>
          </cell>
          <cell r="I132">
            <v>1</v>
          </cell>
        </row>
        <row r="133">
          <cell r="A133">
            <v>152563</v>
          </cell>
          <cell r="B133" t="str">
            <v>Colm Lynch</v>
          </cell>
          <cell r="C133" t="str">
            <v>9AWL</v>
          </cell>
          <cell r="D133">
            <v>0</v>
          </cell>
          <cell r="E133">
            <v>0</v>
          </cell>
          <cell r="F133">
            <v>25</v>
          </cell>
          <cell r="G133">
            <v>0</v>
          </cell>
          <cell r="H133">
            <v>0</v>
          </cell>
          <cell r="I133">
            <v>0</v>
          </cell>
        </row>
        <row r="134">
          <cell r="A134">
            <v>152604</v>
          </cell>
          <cell r="B134" t="str">
            <v>Solyana Bereket</v>
          </cell>
          <cell r="C134" t="str">
            <v>9GR</v>
          </cell>
          <cell r="D134">
            <v>5</v>
          </cell>
          <cell r="E134">
            <v>2</v>
          </cell>
          <cell r="F134">
            <v>33</v>
          </cell>
          <cell r="G134">
            <v>1</v>
          </cell>
          <cell r="H134">
            <v>3</v>
          </cell>
          <cell r="I134">
            <v>1</v>
          </cell>
        </row>
        <row r="135">
          <cell r="A135">
            <v>152592</v>
          </cell>
          <cell r="B135" t="str">
            <v>Alexander Hristov</v>
          </cell>
          <cell r="C135" t="str">
            <v>9JQ</v>
          </cell>
          <cell r="D135">
            <v>0</v>
          </cell>
          <cell r="E135">
            <v>0</v>
          </cell>
          <cell r="F135">
            <v>18</v>
          </cell>
          <cell r="G135">
            <v>0</v>
          </cell>
          <cell r="H135">
            <v>0</v>
          </cell>
          <cell r="I135">
            <v>0</v>
          </cell>
        </row>
        <row r="136">
          <cell r="A136">
            <v>160032</v>
          </cell>
          <cell r="B136" t="str">
            <v>Marta Mariano</v>
          </cell>
          <cell r="C136" t="str">
            <v>9KB</v>
          </cell>
          <cell r="D136">
            <v>0</v>
          </cell>
          <cell r="E136">
            <v>0</v>
          </cell>
          <cell r="F136">
            <v>20</v>
          </cell>
          <cell r="G136">
            <v>0</v>
          </cell>
          <cell r="H136">
            <v>0</v>
          </cell>
          <cell r="I136">
            <v>0</v>
          </cell>
        </row>
        <row r="137">
          <cell r="A137">
            <v>152520</v>
          </cell>
          <cell r="B137" t="str">
            <v>Georgie-Leigh Waldron</v>
          </cell>
          <cell r="C137" t="str">
            <v>9IC</v>
          </cell>
          <cell r="D137">
            <v>5</v>
          </cell>
          <cell r="E137">
            <v>4</v>
          </cell>
          <cell r="F137">
            <v>15</v>
          </cell>
          <cell r="G137">
            <v>1</v>
          </cell>
          <cell r="H137">
            <v>3</v>
          </cell>
          <cell r="I137">
            <v>0</v>
          </cell>
        </row>
        <row r="138">
          <cell r="A138">
            <v>100348</v>
          </cell>
          <cell r="B138" t="str">
            <v>Jimmy Huang</v>
          </cell>
          <cell r="C138" t="str">
            <v>9AWL</v>
          </cell>
          <cell r="D138">
            <v>2</v>
          </cell>
          <cell r="E138">
            <v>3</v>
          </cell>
          <cell r="F138">
            <v>7</v>
          </cell>
          <cell r="G138">
            <v>0</v>
          </cell>
          <cell r="H138">
            <v>2</v>
          </cell>
          <cell r="I138">
            <v>2</v>
          </cell>
        </row>
        <row r="139">
          <cell r="A139">
            <v>152548</v>
          </cell>
          <cell r="B139" t="str">
            <v>Maureen Frebo</v>
          </cell>
          <cell r="C139" t="str">
            <v>9JQ</v>
          </cell>
          <cell r="D139">
            <v>0</v>
          </cell>
          <cell r="E139">
            <v>0</v>
          </cell>
          <cell r="F139">
            <v>26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152502</v>
          </cell>
          <cell r="B140" t="str">
            <v>Tresor-Junior Mabou Kamfaing</v>
          </cell>
          <cell r="C140" t="str">
            <v>9GN</v>
          </cell>
          <cell r="D140">
            <v>37</v>
          </cell>
          <cell r="E140">
            <v>2</v>
          </cell>
          <cell r="F140">
            <v>13</v>
          </cell>
          <cell r="G140">
            <v>5</v>
          </cell>
          <cell r="H140">
            <v>23</v>
          </cell>
          <cell r="I140">
            <v>1</v>
          </cell>
        </row>
        <row r="141">
          <cell r="A141">
            <v>152688</v>
          </cell>
          <cell r="B141" t="str">
            <v>Dylan Atkinson</v>
          </cell>
          <cell r="C141" t="str">
            <v>9JQ</v>
          </cell>
          <cell r="D141">
            <v>0</v>
          </cell>
          <cell r="E141">
            <v>0</v>
          </cell>
          <cell r="F141">
            <v>41</v>
          </cell>
          <cell r="G141">
            <v>0</v>
          </cell>
          <cell r="H141">
            <v>0</v>
          </cell>
          <cell r="I141">
            <v>0</v>
          </cell>
        </row>
        <row r="142">
          <cell r="A142">
            <v>152599</v>
          </cell>
          <cell r="B142" t="str">
            <v>Kayleen Williams Odobi</v>
          </cell>
          <cell r="C142" t="str">
            <v>9MCO</v>
          </cell>
          <cell r="D142">
            <v>0</v>
          </cell>
          <cell r="E142">
            <v>1</v>
          </cell>
          <cell r="F142">
            <v>31</v>
          </cell>
          <cell r="G142">
            <v>0</v>
          </cell>
          <cell r="H142">
            <v>0</v>
          </cell>
          <cell r="I142">
            <v>1</v>
          </cell>
        </row>
        <row r="143">
          <cell r="A143">
            <v>152683</v>
          </cell>
          <cell r="B143" t="str">
            <v>Owen Frost</v>
          </cell>
          <cell r="C143" t="str">
            <v>9MCO</v>
          </cell>
          <cell r="D143">
            <v>8</v>
          </cell>
          <cell r="E143">
            <v>0</v>
          </cell>
          <cell r="F143">
            <v>7</v>
          </cell>
          <cell r="G143">
            <v>2</v>
          </cell>
          <cell r="H143">
            <v>5</v>
          </cell>
          <cell r="I143">
            <v>0</v>
          </cell>
        </row>
        <row r="144">
          <cell r="A144">
            <v>152589</v>
          </cell>
          <cell r="B144" t="str">
            <v>Bethany Morris</v>
          </cell>
          <cell r="C144" t="str">
            <v>9GN</v>
          </cell>
          <cell r="D144">
            <v>0</v>
          </cell>
          <cell r="E144">
            <v>0</v>
          </cell>
          <cell r="F144">
            <v>31</v>
          </cell>
          <cell r="G144">
            <v>0</v>
          </cell>
          <cell r="H144">
            <v>0</v>
          </cell>
          <cell r="I144">
            <v>0</v>
          </cell>
        </row>
        <row r="145">
          <cell r="A145">
            <v>152523</v>
          </cell>
          <cell r="B145" t="str">
            <v>Harvey Ogden</v>
          </cell>
          <cell r="C145" t="str">
            <v>9GN</v>
          </cell>
          <cell r="D145">
            <v>1</v>
          </cell>
          <cell r="E145">
            <v>2</v>
          </cell>
          <cell r="F145">
            <v>18</v>
          </cell>
          <cell r="G145">
            <v>0</v>
          </cell>
          <cell r="H145">
            <v>1</v>
          </cell>
          <cell r="I145">
            <v>0</v>
          </cell>
        </row>
        <row r="146">
          <cell r="A146">
            <v>152648</v>
          </cell>
          <cell r="B146" t="str">
            <v>Amalie Dunn</v>
          </cell>
          <cell r="C146" t="str">
            <v>9AWL</v>
          </cell>
          <cell r="D146">
            <v>1</v>
          </cell>
          <cell r="E146">
            <v>0</v>
          </cell>
          <cell r="F146">
            <v>17</v>
          </cell>
          <cell r="G146">
            <v>0</v>
          </cell>
          <cell r="H146">
            <v>1</v>
          </cell>
          <cell r="I146">
            <v>0</v>
          </cell>
        </row>
        <row r="147">
          <cell r="A147">
            <v>152586</v>
          </cell>
          <cell r="B147" t="str">
            <v>Aoibhin Reid</v>
          </cell>
          <cell r="C147" t="str">
            <v>9MCO</v>
          </cell>
          <cell r="D147">
            <v>2</v>
          </cell>
          <cell r="E147">
            <v>2</v>
          </cell>
          <cell r="F147">
            <v>21</v>
          </cell>
          <cell r="G147">
            <v>0</v>
          </cell>
          <cell r="H147">
            <v>2</v>
          </cell>
          <cell r="I147">
            <v>1</v>
          </cell>
        </row>
        <row r="148">
          <cell r="A148">
            <v>152535</v>
          </cell>
          <cell r="B148" t="str">
            <v>Joshua Calvert</v>
          </cell>
          <cell r="C148" t="str">
            <v>9GN</v>
          </cell>
          <cell r="D148">
            <v>4</v>
          </cell>
          <cell r="E148">
            <v>1</v>
          </cell>
          <cell r="F148">
            <v>20</v>
          </cell>
          <cell r="G148">
            <v>0</v>
          </cell>
          <cell r="H148">
            <v>4</v>
          </cell>
          <cell r="I148">
            <v>0</v>
          </cell>
        </row>
        <row r="149">
          <cell r="A149">
            <v>152724</v>
          </cell>
          <cell r="B149" t="str">
            <v>Daniel Martinez-Sarmiento</v>
          </cell>
          <cell r="C149" t="str">
            <v>9GN</v>
          </cell>
          <cell r="D149">
            <v>7</v>
          </cell>
          <cell r="E149">
            <v>5</v>
          </cell>
          <cell r="F149">
            <v>14</v>
          </cell>
          <cell r="G149">
            <v>0</v>
          </cell>
          <cell r="H149">
            <v>7</v>
          </cell>
          <cell r="I149">
            <v>1</v>
          </cell>
        </row>
        <row r="150">
          <cell r="A150">
            <v>152700</v>
          </cell>
          <cell r="B150" t="str">
            <v>Emily Hall</v>
          </cell>
          <cell r="C150" t="str">
            <v>9AWL</v>
          </cell>
          <cell r="D150">
            <v>0</v>
          </cell>
          <cell r="E150">
            <v>0</v>
          </cell>
          <cell r="F150">
            <v>13</v>
          </cell>
          <cell r="G150">
            <v>0</v>
          </cell>
          <cell r="H150">
            <v>0</v>
          </cell>
          <cell r="I150">
            <v>0</v>
          </cell>
        </row>
        <row r="151">
          <cell r="A151">
            <v>152594</v>
          </cell>
          <cell r="B151" t="str">
            <v>Hannah George</v>
          </cell>
          <cell r="C151" t="str">
            <v>9MCO</v>
          </cell>
          <cell r="D151">
            <v>0</v>
          </cell>
          <cell r="E151">
            <v>0</v>
          </cell>
          <cell r="F151">
            <v>44</v>
          </cell>
          <cell r="G151">
            <v>0</v>
          </cell>
          <cell r="H151">
            <v>0</v>
          </cell>
          <cell r="I151">
            <v>0</v>
          </cell>
        </row>
        <row r="152">
          <cell r="A152">
            <v>152680</v>
          </cell>
          <cell r="B152" t="str">
            <v>Sophia Ciccarella Vaughan</v>
          </cell>
          <cell r="C152" t="str">
            <v>9RNI</v>
          </cell>
          <cell r="D152">
            <v>1</v>
          </cell>
          <cell r="E152">
            <v>0</v>
          </cell>
          <cell r="F152">
            <v>13</v>
          </cell>
          <cell r="G152">
            <v>0</v>
          </cell>
          <cell r="H152">
            <v>1</v>
          </cell>
          <cell r="I152">
            <v>0</v>
          </cell>
        </row>
        <row r="153">
          <cell r="A153">
            <v>152558</v>
          </cell>
          <cell r="B153" t="str">
            <v>Diego Campbell</v>
          </cell>
          <cell r="C153" t="str">
            <v>9JQ</v>
          </cell>
          <cell r="D153">
            <v>2</v>
          </cell>
          <cell r="E153">
            <v>1</v>
          </cell>
          <cell r="F153">
            <v>20</v>
          </cell>
          <cell r="G153">
            <v>1</v>
          </cell>
          <cell r="H153">
            <v>1</v>
          </cell>
          <cell r="I153">
            <v>0</v>
          </cell>
        </row>
        <row r="154">
          <cell r="A154">
            <v>152709</v>
          </cell>
          <cell r="B154" t="str">
            <v>Megan Procter</v>
          </cell>
          <cell r="C154" t="str">
            <v>9AWL</v>
          </cell>
          <cell r="D154">
            <v>0</v>
          </cell>
          <cell r="E154">
            <v>0</v>
          </cell>
          <cell r="F154">
            <v>20</v>
          </cell>
          <cell r="G154">
            <v>0</v>
          </cell>
          <cell r="H154">
            <v>0</v>
          </cell>
          <cell r="I154">
            <v>0</v>
          </cell>
        </row>
        <row r="155">
          <cell r="A155">
            <v>152576</v>
          </cell>
          <cell r="B155" t="str">
            <v>Nesochi Okey-Umeh</v>
          </cell>
          <cell r="C155" t="str">
            <v>9KB</v>
          </cell>
          <cell r="D155">
            <v>1</v>
          </cell>
          <cell r="E155">
            <v>0</v>
          </cell>
          <cell r="F155">
            <v>13</v>
          </cell>
          <cell r="G155">
            <v>0</v>
          </cell>
          <cell r="H155">
            <v>0</v>
          </cell>
          <cell r="I155">
            <v>0</v>
          </cell>
        </row>
        <row r="156">
          <cell r="A156">
            <v>152609</v>
          </cell>
          <cell r="B156" t="str">
            <v>Cristina Elias</v>
          </cell>
          <cell r="C156" t="str">
            <v>9JQ</v>
          </cell>
          <cell r="D156">
            <v>0</v>
          </cell>
          <cell r="E156">
            <v>0</v>
          </cell>
          <cell r="F156">
            <v>20</v>
          </cell>
          <cell r="G156">
            <v>0</v>
          </cell>
          <cell r="H156">
            <v>0</v>
          </cell>
          <cell r="I156">
            <v>0</v>
          </cell>
        </row>
        <row r="157">
          <cell r="A157">
            <v>152662</v>
          </cell>
          <cell r="B157" t="str">
            <v>Jessica Oates</v>
          </cell>
          <cell r="C157" t="str">
            <v>9GN</v>
          </cell>
          <cell r="D157">
            <v>0</v>
          </cell>
          <cell r="E157">
            <v>0</v>
          </cell>
          <cell r="F157">
            <v>23</v>
          </cell>
          <cell r="G157">
            <v>0</v>
          </cell>
          <cell r="H157">
            <v>0</v>
          </cell>
          <cell r="I157">
            <v>0</v>
          </cell>
        </row>
        <row r="158">
          <cell r="A158">
            <v>152691</v>
          </cell>
          <cell r="B158" t="str">
            <v>Keira Lee</v>
          </cell>
          <cell r="C158" t="str">
            <v>9AWL</v>
          </cell>
          <cell r="D158">
            <v>5</v>
          </cell>
          <cell r="E158">
            <v>1</v>
          </cell>
          <cell r="F158">
            <v>1</v>
          </cell>
          <cell r="G158">
            <v>0</v>
          </cell>
          <cell r="H158">
            <v>1</v>
          </cell>
          <cell r="I158">
            <v>1</v>
          </cell>
        </row>
        <row r="159">
          <cell r="A159">
            <v>152637</v>
          </cell>
          <cell r="B159" t="str">
            <v>Tania Byju</v>
          </cell>
          <cell r="C159" t="str">
            <v>9IC</v>
          </cell>
          <cell r="D159">
            <v>0</v>
          </cell>
          <cell r="E159">
            <v>0</v>
          </cell>
          <cell r="F159">
            <v>22</v>
          </cell>
          <cell r="G159">
            <v>0</v>
          </cell>
          <cell r="H159">
            <v>0</v>
          </cell>
          <cell r="I159">
            <v>0</v>
          </cell>
        </row>
        <row r="160">
          <cell r="A160">
            <v>152676</v>
          </cell>
          <cell r="B160" t="str">
            <v>Alex Tinarwo</v>
          </cell>
          <cell r="C160" t="str">
            <v>9MCO</v>
          </cell>
          <cell r="D160">
            <v>0</v>
          </cell>
          <cell r="E160">
            <v>0</v>
          </cell>
          <cell r="F160">
            <v>15</v>
          </cell>
          <cell r="G160">
            <v>0</v>
          </cell>
          <cell r="H160">
            <v>0</v>
          </cell>
          <cell r="I160">
            <v>0</v>
          </cell>
        </row>
        <row r="161">
          <cell r="A161">
            <v>152521</v>
          </cell>
          <cell r="B161" t="str">
            <v>Erin McNally</v>
          </cell>
          <cell r="C161" t="str">
            <v>9MCO</v>
          </cell>
          <cell r="D161">
            <v>0</v>
          </cell>
          <cell r="E161">
            <v>1</v>
          </cell>
          <cell r="F161">
            <v>13</v>
          </cell>
          <cell r="G161">
            <v>0</v>
          </cell>
          <cell r="H161">
            <v>0</v>
          </cell>
          <cell r="I161">
            <v>1</v>
          </cell>
        </row>
        <row r="162">
          <cell r="A162">
            <v>152519</v>
          </cell>
          <cell r="B162" t="str">
            <v>Imogen Pawson</v>
          </cell>
          <cell r="C162" t="str">
            <v>9GN</v>
          </cell>
          <cell r="D162">
            <v>0</v>
          </cell>
          <cell r="E162">
            <v>0</v>
          </cell>
          <cell r="F162">
            <v>25</v>
          </cell>
          <cell r="G162">
            <v>0</v>
          </cell>
          <cell r="H162">
            <v>0</v>
          </cell>
          <cell r="I162">
            <v>0</v>
          </cell>
        </row>
        <row r="163">
          <cell r="A163">
            <v>152537</v>
          </cell>
          <cell r="B163" t="str">
            <v>Daisy Read</v>
          </cell>
          <cell r="C163" t="str">
            <v>9IC</v>
          </cell>
          <cell r="D163">
            <v>0</v>
          </cell>
          <cell r="E163">
            <v>0</v>
          </cell>
          <cell r="F163">
            <v>24</v>
          </cell>
          <cell r="G163">
            <v>0</v>
          </cell>
          <cell r="H163">
            <v>0</v>
          </cell>
          <cell r="I163">
            <v>0</v>
          </cell>
        </row>
        <row r="164">
          <cell r="A164">
            <v>152528</v>
          </cell>
          <cell r="B164" t="str">
            <v>Nathaniel Lafferty</v>
          </cell>
          <cell r="C164" t="str">
            <v>9RNI</v>
          </cell>
          <cell r="D164">
            <v>0</v>
          </cell>
          <cell r="E164">
            <v>1</v>
          </cell>
          <cell r="F164">
            <v>16</v>
          </cell>
          <cell r="G164">
            <v>0</v>
          </cell>
          <cell r="H164">
            <v>0</v>
          </cell>
          <cell r="I164">
            <v>1</v>
          </cell>
        </row>
        <row r="165">
          <cell r="A165">
            <v>152600</v>
          </cell>
          <cell r="B165" t="str">
            <v>Roan Watson</v>
          </cell>
          <cell r="C165" t="str">
            <v>9AWL</v>
          </cell>
          <cell r="D165">
            <v>1</v>
          </cell>
          <cell r="E165">
            <v>1</v>
          </cell>
          <cell r="F165">
            <v>16</v>
          </cell>
          <cell r="G165">
            <v>0</v>
          </cell>
          <cell r="H165">
            <v>1</v>
          </cell>
          <cell r="I165">
            <v>1</v>
          </cell>
        </row>
        <row r="166">
          <cell r="A166">
            <v>152642</v>
          </cell>
          <cell r="B166" t="str">
            <v>Millie Nicol</v>
          </cell>
          <cell r="C166" t="str">
            <v>9GR</v>
          </cell>
          <cell r="D166">
            <v>0</v>
          </cell>
          <cell r="E166">
            <v>1</v>
          </cell>
          <cell r="F166">
            <v>19</v>
          </cell>
          <cell r="G166">
            <v>0</v>
          </cell>
          <cell r="H166">
            <v>0</v>
          </cell>
          <cell r="I166">
            <v>1</v>
          </cell>
        </row>
        <row r="167">
          <cell r="A167">
            <v>152703</v>
          </cell>
          <cell r="B167" t="str">
            <v>Miriam Vas</v>
          </cell>
          <cell r="C167" t="str">
            <v>9RNI</v>
          </cell>
          <cell r="D167">
            <v>0</v>
          </cell>
          <cell r="E167">
            <v>0</v>
          </cell>
          <cell r="F167">
            <v>25</v>
          </cell>
          <cell r="G167">
            <v>0</v>
          </cell>
          <cell r="H167">
            <v>0</v>
          </cell>
          <cell r="I167">
            <v>0</v>
          </cell>
        </row>
        <row r="168">
          <cell r="A168">
            <v>152596</v>
          </cell>
          <cell r="B168" t="str">
            <v>Hasnayn Khalil</v>
          </cell>
          <cell r="C168" t="str">
            <v>9KB</v>
          </cell>
          <cell r="D168">
            <v>0</v>
          </cell>
          <cell r="E168">
            <v>0</v>
          </cell>
          <cell r="F168">
            <v>28</v>
          </cell>
          <cell r="G168">
            <v>0</v>
          </cell>
          <cell r="H168">
            <v>0</v>
          </cell>
          <cell r="I168">
            <v>0</v>
          </cell>
        </row>
        <row r="169">
          <cell r="A169">
            <v>152611</v>
          </cell>
          <cell r="B169" t="str">
            <v>Elisha Mallari</v>
          </cell>
          <cell r="C169" t="str">
            <v>9GN</v>
          </cell>
          <cell r="D169">
            <v>0</v>
          </cell>
          <cell r="E169">
            <v>0</v>
          </cell>
          <cell r="F169">
            <v>27</v>
          </cell>
          <cell r="G169">
            <v>0</v>
          </cell>
          <cell r="H169">
            <v>0</v>
          </cell>
          <cell r="I169">
            <v>0</v>
          </cell>
        </row>
        <row r="170">
          <cell r="A170">
            <v>152682</v>
          </cell>
          <cell r="B170" t="str">
            <v>Brooke Baum</v>
          </cell>
          <cell r="C170" t="str">
            <v>9GN</v>
          </cell>
          <cell r="D170">
            <v>0</v>
          </cell>
          <cell r="E170">
            <v>0</v>
          </cell>
          <cell r="F170">
            <v>17</v>
          </cell>
          <cell r="G170">
            <v>0</v>
          </cell>
          <cell r="H170">
            <v>0</v>
          </cell>
          <cell r="I170">
            <v>0</v>
          </cell>
        </row>
        <row r="171">
          <cell r="A171">
            <v>152698</v>
          </cell>
          <cell r="B171" t="str">
            <v>Rose Saunby</v>
          </cell>
          <cell r="C171" t="str">
            <v>9JQ</v>
          </cell>
          <cell r="D171">
            <v>0</v>
          </cell>
          <cell r="E171">
            <v>0</v>
          </cell>
          <cell r="F171">
            <v>20</v>
          </cell>
          <cell r="G171">
            <v>0</v>
          </cell>
          <cell r="H171">
            <v>0</v>
          </cell>
          <cell r="I171">
            <v>0</v>
          </cell>
        </row>
        <row r="172">
          <cell r="A172">
            <v>152692</v>
          </cell>
          <cell r="B172" t="str">
            <v>William Cross</v>
          </cell>
          <cell r="C172" t="str">
            <v>9GR</v>
          </cell>
          <cell r="D172">
            <v>15</v>
          </cell>
          <cell r="E172">
            <v>2</v>
          </cell>
          <cell r="F172">
            <v>15</v>
          </cell>
          <cell r="G172">
            <v>4</v>
          </cell>
          <cell r="H172">
            <v>9</v>
          </cell>
          <cell r="I172">
            <v>0</v>
          </cell>
        </row>
        <row r="173">
          <cell r="A173">
            <v>100351</v>
          </cell>
          <cell r="B173" t="str">
            <v>Lily Rae Gillott</v>
          </cell>
          <cell r="C173" t="str">
            <v>9KB</v>
          </cell>
          <cell r="D173">
            <v>1</v>
          </cell>
          <cell r="E173">
            <v>2</v>
          </cell>
          <cell r="F173">
            <v>23</v>
          </cell>
          <cell r="G173">
            <v>0</v>
          </cell>
          <cell r="H173">
            <v>1</v>
          </cell>
          <cell r="I173">
            <v>0</v>
          </cell>
        </row>
        <row r="174">
          <cell r="A174">
            <v>160031</v>
          </cell>
          <cell r="B174" t="str">
            <v>Inácio Mariano</v>
          </cell>
          <cell r="C174" t="str">
            <v>9KB</v>
          </cell>
          <cell r="D174">
            <v>0</v>
          </cell>
          <cell r="E174">
            <v>0</v>
          </cell>
          <cell r="F174">
            <v>21</v>
          </cell>
          <cell r="G174">
            <v>0</v>
          </cell>
          <cell r="H174">
            <v>0</v>
          </cell>
          <cell r="I174">
            <v>0</v>
          </cell>
        </row>
        <row r="175">
          <cell r="A175">
            <v>152545</v>
          </cell>
          <cell r="B175" t="str">
            <v>Orla Speakman</v>
          </cell>
          <cell r="C175" t="str">
            <v>9GN</v>
          </cell>
          <cell r="D175">
            <v>0</v>
          </cell>
          <cell r="E175">
            <v>0</v>
          </cell>
          <cell r="F175">
            <v>19</v>
          </cell>
          <cell r="G175">
            <v>0</v>
          </cell>
          <cell r="H175">
            <v>0</v>
          </cell>
          <cell r="I175">
            <v>0</v>
          </cell>
        </row>
        <row r="176">
          <cell r="A176">
            <v>152551</v>
          </cell>
          <cell r="B176" t="str">
            <v>Chris Xu</v>
          </cell>
          <cell r="C176" t="str">
            <v>9JQ</v>
          </cell>
          <cell r="D176">
            <v>0</v>
          </cell>
          <cell r="E176">
            <v>0</v>
          </cell>
          <cell r="F176">
            <v>29</v>
          </cell>
          <cell r="G176">
            <v>0</v>
          </cell>
          <cell r="H176">
            <v>0</v>
          </cell>
          <cell r="I176">
            <v>0</v>
          </cell>
        </row>
        <row r="177">
          <cell r="A177">
            <v>152561</v>
          </cell>
          <cell r="B177" t="str">
            <v>Seraphine Cox</v>
          </cell>
          <cell r="C177" t="str">
            <v>9KB</v>
          </cell>
          <cell r="D177">
            <v>0</v>
          </cell>
          <cell r="E177">
            <v>2</v>
          </cell>
          <cell r="F177">
            <v>23</v>
          </cell>
          <cell r="G177">
            <v>0</v>
          </cell>
          <cell r="H177">
            <v>0</v>
          </cell>
          <cell r="I177">
            <v>2</v>
          </cell>
        </row>
        <row r="178">
          <cell r="A178">
            <v>152522</v>
          </cell>
          <cell r="B178" t="str">
            <v>Sophie Cywinska</v>
          </cell>
          <cell r="C178" t="str">
            <v>9MCO</v>
          </cell>
          <cell r="D178">
            <v>8</v>
          </cell>
          <cell r="E178">
            <v>2</v>
          </cell>
          <cell r="F178">
            <v>33</v>
          </cell>
          <cell r="G178">
            <v>1</v>
          </cell>
          <cell r="H178">
            <v>4</v>
          </cell>
          <cell r="I178">
            <v>2</v>
          </cell>
        </row>
        <row r="179">
          <cell r="A179">
            <v>152503</v>
          </cell>
          <cell r="B179" t="str">
            <v>Evie-Rose Bark</v>
          </cell>
          <cell r="C179" t="str">
            <v>9IC</v>
          </cell>
          <cell r="D179">
            <v>0</v>
          </cell>
          <cell r="E179">
            <v>0</v>
          </cell>
          <cell r="F179">
            <v>27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152652</v>
          </cell>
          <cell r="B180" t="str">
            <v>Katie Self</v>
          </cell>
          <cell r="C180" t="str">
            <v>9AWL</v>
          </cell>
          <cell r="D180">
            <v>0</v>
          </cell>
          <cell r="E180">
            <v>0</v>
          </cell>
          <cell r="F180">
            <v>23</v>
          </cell>
          <cell r="G180">
            <v>0</v>
          </cell>
          <cell r="H180">
            <v>0</v>
          </cell>
          <cell r="I180">
            <v>0</v>
          </cell>
        </row>
        <row r="181">
          <cell r="A181">
            <v>152506</v>
          </cell>
          <cell r="B181" t="str">
            <v>Abriham Araya</v>
          </cell>
          <cell r="C181" t="str">
            <v>9GR</v>
          </cell>
          <cell r="D181">
            <v>0</v>
          </cell>
          <cell r="E181">
            <v>2</v>
          </cell>
          <cell r="F181">
            <v>33</v>
          </cell>
          <cell r="G181">
            <v>0</v>
          </cell>
          <cell r="H181">
            <v>0</v>
          </cell>
          <cell r="I181">
            <v>1</v>
          </cell>
        </row>
        <row r="182">
          <cell r="A182">
            <v>152603</v>
          </cell>
          <cell r="B182" t="str">
            <v>Michael Uchendu Adiele</v>
          </cell>
          <cell r="C182" t="str">
            <v>9AWL</v>
          </cell>
          <cell r="D182">
            <v>15</v>
          </cell>
          <cell r="E182">
            <v>0</v>
          </cell>
          <cell r="F182">
            <v>12</v>
          </cell>
          <cell r="G182">
            <v>1</v>
          </cell>
          <cell r="H182">
            <v>13</v>
          </cell>
          <cell r="I182">
            <v>0</v>
          </cell>
        </row>
        <row r="183">
          <cell r="A183">
            <v>152509</v>
          </cell>
          <cell r="B183" t="str">
            <v>Archie Saxton-Clayton</v>
          </cell>
          <cell r="C183" t="str">
            <v>9JQ</v>
          </cell>
          <cell r="D183">
            <v>1</v>
          </cell>
          <cell r="E183">
            <v>0</v>
          </cell>
          <cell r="F183">
            <v>13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152562</v>
          </cell>
          <cell r="B184" t="str">
            <v>Hannah Goldberg</v>
          </cell>
          <cell r="C184" t="str">
            <v>9AWL</v>
          </cell>
          <cell r="D184">
            <v>0</v>
          </cell>
          <cell r="E184">
            <v>1</v>
          </cell>
          <cell r="F184">
            <v>16</v>
          </cell>
          <cell r="G184">
            <v>0</v>
          </cell>
          <cell r="H184">
            <v>0</v>
          </cell>
          <cell r="I184">
            <v>1</v>
          </cell>
        </row>
        <row r="185">
          <cell r="A185">
            <v>152539</v>
          </cell>
          <cell r="B185" t="str">
            <v>Eben Yekalo</v>
          </cell>
          <cell r="C185" t="str">
            <v>9AWL</v>
          </cell>
          <cell r="D185">
            <v>1</v>
          </cell>
          <cell r="E185">
            <v>0</v>
          </cell>
          <cell r="F185">
            <v>25</v>
          </cell>
          <cell r="G185">
            <v>1</v>
          </cell>
          <cell r="H185">
            <v>0</v>
          </cell>
          <cell r="I185">
            <v>0</v>
          </cell>
        </row>
        <row r="186">
          <cell r="A186">
            <v>152532</v>
          </cell>
          <cell r="B186" t="str">
            <v>Kaden Gregory</v>
          </cell>
          <cell r="C186" t="str">
            <v>9JQ</v>
          </cell>
          <cell r="D186">
            <v>16</v>
          </cell>
          <cell r="E186">
            <v>0</v>
          </cell>
          <cell r="F186">
            <v>27</v>
          </cell>
          <cell r="G186">
            <v>5</v>
          </cell>
          <cell r="H186">
            <v>4</v>
          </cell>
          <cell r="I186">
            <v>0</v>
          </cell>
        </row>
        <row r="187">
          <cell r="A187">
            <v>152633</v>
          </cell>
          <cell r="B187" t="str">
            <v>Muneeb Hussain</v>
          </cell>
          <cell r="C187" t="str">
            <v>9KB</v>
          </cell>
          <cell r="D187">
            <v>23</v>
          </cell>
          <cell r="E187">
            <v>3</v>
          </cell>
          <cell r="F187">
            <v>13</v>
          </cell>
          <cell r="G187">
            <v>1</v>
          </cell>
          <cell r="H187">
            <v>18</v>
          </cell>
          <cell r="I187">
            <v>2</v>
          </cell>
        </row>
        <row r="188">
          <cell r="A188">
            <v>152547</v>
          </cell>
          <cell r="B188" t="str">
            <v>Thomas Watmough-Cownie</v>
          </cell>
          <cell r="C188" t="str">
            <v>9AWL</v>
          </cell>
          <cell r="D188">
            <v>0</v>
          </cell>
          <cell r="E188">
            <v>1</v>
          </cell>
          <cell r="F188">
            <v>22</v>
          </cell>
          <cell r="G188">
            <v>0</v>
          </cell>
          <cell r="H188">
            <v>0</v>
          </cell>
          <cell r="I188">
            <v>1</v>
          </cell>
        </row>
        <row r="189">
          <cell r="A189">
            <v>152590</v>
          </cell>
          <cell r="B189" t="str">
            <v>Erin Walker</v>
          </cell>
          <cell r="C189" t="str">
            <v>9RNI</v>
          </cell>
          <cell r="D189">
            <v>0</v>
          </cell>
          <cell r="E189">
            <v>0</v>
          </cell>
          <cell r="F189">
            <v>19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152508</v>
          </cell>
          <cell r="B190" t="str">
            <v>Ashley Grimaldi</v>
          </cell>
          <cell r="C190" t="str">
            <v>9RNI</v>
          </cell>
          <cell r="D190">
            <v>0</v>
          </cell>
          <cell r="E190">
            <v>2</v>
          </cell>
          <cell r="F190">
            <v>8</v>
          </cell>
          <cell r="G190">
            <v>0</v>
          </cell>
          <cell r="H190">
            <v>0</v>
          </cell>
          <cell r="I190">
            <v>2</v>
          </cell>
        </row>
        <row r="191">
          <cell r="A191">
            <v>152552</v>
          </cell>
          <cell r="B191" t="str">
            <v>Jasmine Willey</v>
          </cell>
          <cell r="C191" t="str">
            <v>9KB</v>
          </cell>
          <cell r="D191">
            <v>1</v>
          </cell>
          <cell r="E191">
            <v>2</v>
          </cell>
          <cell r="F191">
            <v>17</v>
          </cell>
          <cell r="G191">
            <v>1</v>
          </cell>
          <cell r="H191">
            <v>0</v>
          </cell>
          <cell r="I191">
            <v>1</v>
          </cell>
        </row>
        <row r="192">
          <cell r="A192">
            <v>152504</v>
          </cell>
          <cell r="B192" t="str">
            <v>Eve Porter-Bailey</v>
          </cell>
          <cell r="C192" t="str">
            <v>9GR</v>
          </cell>
          <cell r="D192">
            <v>0</v>
          </cell>
          <cell r="E192">
            <v>0</v>
          </cell>
          <cell r="F192">
            <v>32</v>
          </cell>
          <cell r="G192">
            <v>0</v>
          </cell>
          <cell r="H192">
            <v>0</v>
          </cell>
          <cell r="I192">
            <v>0</v>
          </cell>
        </row>
        <row r="193">
          <cell r="A193">
            <v>152530</v>
          </cell>
          <cell r="B193" t="str">
            <v>Millie Flannery</v>
          </cell>
          <cell r="C193" t="str">
            <v>9IC</v>
          </cell>
          <cell r="D193">
            <v>0</v>
          </cell>
          <cell r="E193">
            <v>0</v>
          </cell>
          <cell r="F193">
            <v>23</v>
          </cell>
          <cell r="G193">
            <v>0</v>
          </cell>
          <cell r="H193">
            <v>0</v>
          </cell>
          <cell r="I193">
            <v>0</v>
          </cell>
        </row>
        <row r="194">
          <cell r="A194">
            <v>152607</v>
          </cell>
          <cell r="B194" t="str">
            <v>Joshua Di Maio</v>
          </cell>
          <cell r="C194" t="str">
            <v>9IC</v>
          </cell>
          <cell r="D194">
            <v>1</v>
          </cell>
          <cell r="E194">
            <v>0</v>
          </cell>
          <cell r="F194">
            <v>26</v>
          </cell>
          <cell r="G194">
            <v>0</v>
          </cell>
          <cell r="H194">
            <v>1</v>
          </cell>
          <cell r="I194">
            <v>0</v>
          </cell>
        </row>
        <row r="195">
          <cell r="A195">
            <v>152640</v>
          </cell>
          <cell r="B195" t="str">
            <v>Arabella Walton</v>
          </cell>
          <cell r="C195" t="str">
            <v>9AWL</v>
          </cell>
          <cell r="D195">
            <v>1</v>
          </cell>
          <cell r="E195">
            <v>1</v>
          </cell>
          <cell r="F195">
            <v>8</v>
          </cell>
          <cell r="G195">
            <v>0</v>
          </cell>
          <cell r="H195">
            <v>1</v>
          </cell>
          <cell r="I195">
            <v>1</v>
          </cell>
        </row>
        <row r="196">
          <cell r="A196">
            <v>152527</v>
          </cell>
          <cell r="B196" t="str">
            <v>Liliana Bagnoli</v>
          </cell>
          <cell r="C196" t="str">
            <v>9GR</v>
          </cell>
          <cell r="D196">
            <v>0</v>
          </cell>
          <cell r="E196">
            <v>0</v>
          </cell>
          <cell r="F196">
            <v>24</v>
          </cell>
          <cell r="G196">
            <v>0</v>
          </cell>
          <cell r="H196">
            <v>0</v>
          </cell>
          <cell r="I196">
            <v>0</v>
          </cell>
        </row>
        <row r="197">
          <cell r="A197">
            <v>152529</v>
          </cell>
          <cell r="B197" t="str">
            <v>Aoife Holmes</v>
          </cell>
          <cell r="C197" t="str">
            <v>9RNI</v>
          </cell>
          <cell r="D197">
            <v>0</v>
          </cell>
          <cell r="E197">
            <v>1</v>
          </cell>
          <cell r="F197">
            <v>24</v>
          </cell>
          <cell r="G197">
            <v>0</v>
          </cell>
          <cell r="H197">
            <v>0</v>
          </cell>
          <cell r="I197">
            <v>1</v>
          </cell>
        </row>
        <row r="198">
          <cell r="A198">
            <v>152569</v>
          </cell>
          <cell r="B198" t="str">
            <v>Calista Owusu Asumadu</v>
          </cell>
          <cell r="C198" t="str">
            <v>9JQ</v>
          </cell>
          <cell r="D198">
            <v>2</v>
          </cell>
          <cell r="E198">
            <v>0</v>
          </cell>
          <cell r="F198">
            <v>26</v>
          </cell>
          <cell r="G198">
            <v>0</v>
          </cell>
          <cell r="H198">
            <v>2</v>
          </cell>
          <cell r="I198">
            <v>0</v>
          </cell>
        </row>
        <row r="199">
          <cell r="A199">
            <v>152608</v>
          </cell>
          <cell r="B199" t="str">
            <v>Yoaeil Daniel</v>
          </cell>
          <cell r="C199" t="str">
            <v>9MCO</v>
          </cell>
          <cell r="D199">
            <v>2</v>
          </cell>
          <cell r="E199">
            <v>6</v>
          </cell>
          <cell r="F199">
            <v>33</v>
          </cell>
          <cell r="G199">
            <v>0</v>
          </cell>
          <cell r="H199">
            <v>2</v>
          </cell>
          <cell r="I199">
            <v>4</v>
          </cell>
        </row>
        <row r="200">
          <cell r="A200">
            <v>152614</v>
          </cell>
          <cell r="B200" t="str">
            <v>Thomas Squires</v>
          </cell>
          <cell r="C200" t="str">
            <v>9RNI</v>
          </cell>
          <cell r="D200">
            <v>14</v>
          </cell>
          <cell r="E200">
            <v>2</v>
          </cell>
          <cell r="F200">
            <v>11</v>
          </cell>
          <cell r="G200">
            <v>4</v>
          </cell>
          <cell r="H200">
            <v>7</v>
          </cell>
          <cell r="I200">
            <v>1</v>
          </cell>
        </row>
        <row r="201">
          <cell r="A201">
            <v>152540</v>
          </cell>
          <cell r="B201" t="str">
            <v>Catherine Plotnikova</v>
          </cell>
          <cell r="C201" t="str">
            <v>9GN</v>
          </cell>
          <cell r="D201">
            <v>0</v>
          </cell>
          <cell r="E201">
            <v>0</v>
          </cell>
          <cell r="F201">
            <v>27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152695</v>
          </cell>
          <cell r="B202" t="str">
            <v>Madison Bland</v>
          </cell>
          <cell r="C202" t="str">
            <v>9IC</v>
          </cell>
          <cell r="D202">
            <v>0</v>
          </cell>
          <cell r="E202">
            <v>2</v>
          </cell>
          <cell r="F202">
            <v>25</v>
          </cell>
          <cell r="G202">
            <v>0</v>
          </cell>
          <cell r="H202">
            <v>0</v>
          </cell>
          <cell r="I202">
            <v>0</v>
          </cell>
        </row>
        <row r="203">
          <cell r="A203">
            <v>152578</v>
          </cell>
          <cell r="B203" t="str">
            <v>Niamh Yates</v>
          </cell>
          <cell r="C203" t="str">
            <v>9GR</v>
          </cell>
          <cell r="D203">
            <v>0</v>
          </cell>
          <cell r="E203">
            <v>0</v>
          </cell>
          <cell r="F203">
            <v>31</v>
          </cell>
          <cell r="G203">
            <v>0</v>
          </cell>
          <cell r="H203">
            <v>0</v>
          </cell>
          <cell r="I203">
            <v>0</v>
          </cell>
        </row>
        <row r="204">
          <cell r="A204">
            <v>152657</v>
          </cell>
          <cell r="B204" t="str">
            <v>Rapheal Adesina</v>
          </cell>
          <cell r="C204" t="str">
            <v>9MCO</v>
          </cell>
          <cell r="D204">
            <v>1</v>
          </cell>
          <cell r="E204">
            <v>0</v>
          </cell>
          <cell r="F204">
            <v>49</v>
          </cell>
          <cell r="G204">
            <v>0</v>
          </cell>
          <cell r="H204">
            <v>1</v>
          </cell>
          <cell r="I204">
            <v>0</v>
          </cell>
        </row>
        <row r="205">
          <cell r="A205">
            <v>152643</v>
          </cell>
          <cell r="B205" t="str">
            <v>James Rhodes-Bellhouse</v>
          </cell>
          <cell r="C205" t="str">
            <v>9GN</v>
          </cell>
          <cell r="D205">
            <v>0</v>
          </cell>
          <cell r="E205">
            <v>0</v>
          </cell>
          <cell r="F205">
            <v>29</v>
          </cell>
          <cell r="G205">
            <v>0</v>
          </cell>
          <cell r="H205">
            <v>0</v>
          </cell>
          <cell r="I205">
            <v>0</v>
          </cell>
        </row>
        <row r="206">
          <cell r="A206">
            <v>152568</v>
          </cell>
          <cell r="B206" t="str">
            <v>Emma Edwards</v>
          </cell>
          <cell r="C206" t="str">
            <v>9KB</v>
          </cell>
          <cell r="D206">
            <v>0</v>
          </cell>
          <cell r="E206">
            <v>2</v>
          </cell>
          <cell r="F206">
            <v>3</v>
          </cell>
          <cell r="G206">
            <v>0</v>
          </cell>
          <cell r="H206">
            <v>0</v>
          </cell>
          <cell r="I206">
            <v>1</v>
          </cell>
        </row>
        <row r="207">
          <cell r="A207">
            <v>152694</v>
          </cell>
          <cell r="B207" t="str">
            <v>Daniyal Mahmood</v>
          </cell>
          <cell r="C207" t="str">
            <v>9KB</v>
          </cell>
          <cell r="D207">
            <v>16</v>
          </cell>
          <cell r="E207">
            <v>3</v>
          </cell>
          <cell r="F207">
            <v>8</v>
          </cell>
          <cell r="G207">
            <v>1</v>
          </cell>
          <cell r="H207">
            <v>14</v>
          </cell>
          <cell r="I207">
            <v>2</v>
          </cell>
        </row>
        <row r="208">
          <cell r="A208">
            <v>152629</v>
          </cell>
          <cell r="B208" t="str">
            <v>Jack Sweeting</v>
          </cell>
          <cell r="C208" t="str">
            <v>9JQ</v>
          </cell>
          <cell r="D208">
            <v>0</v>
          </cell>
          <cell r="E208">
            <v>0</v>
          </cell>
          <cell r="F208">
            <v>31</v>
          </cell>
          <cell r="G208">
            <v>0</v>
          </cell>
          <cell r="H208">
            <v>0</v>
          </cell>
          <cell r="I208">
            <v>0</v>
          </cell>
        </row>
        <row r="209">
          <cell r="A209">
            <v>152543</v>
          </cell>
          <cell r="B209" t="str">
            <v>Luca Edgeley</v>
          </cell>
          <cell r="C209" t="str">
            <v>9RNI</v>
          </cell>
          <cell r="D209">
            <v>1</v>
          </cell>
          <cell r="E209">
            <v>0</v>
          </cell>
          <cell r="F209">
            <v>18</v>
          </cell>
          <cell r="G209">
            <v>0</v>
          </cell>
          <cell r="H209">
            <v>1</v>
          </cell>
          <cell r="I209">
            <v>0</v>
          </cell>
        </row>
        <row r="210">
          <cell r="A210">
            <v>152513</v>
          </cell>
          <cell r="B210" t="str">
            <v>Ethan Enriquez</v>
          </cell>
          <cell r="C210" t="str">
            <v>9IC</v>
          </cell>
          <cell r="D210">
            <v>1</v>
          </cell>
          <cell r="E210">
            <v>0</v>
          </cell>
          <cell r="F210">
            <v>14</v>
          </cell>
          <cell r="G210">
            <v>0</v>
          </cell>
          <cell r="H210">
            <v>0</v>
          </cell>
          <cell r="I210">
            <v>0</v>
          </cell>
        </row>
        <row r="211">
          <cell r="A211">
            <v>152659</v>
          </cell>
          <cell r="B211" t="str">
            <v>Joshua Ainsworth</v>
          </cell>
          <cell r="C211" t="str">
            <v>9GN</v>
          </cell>
          <cell r="D211">
            <v>0</v>
          </cell>
          <cell r="E211">
            <v>1</v>
          </cell>
          <cell r="F211">
            <v>21</v>
          </cell>
          <cell r="G211">
            <v>0</v>
          </cell>
          <cell r="H211">
            <v>0</v>
          </cell>
          <cell r="I211">
            <v>1</v>
          </cell>
        </row>
        <row r="212">
          <cell r="A212">
            <v>152565</v>
          </cell>
          <cell r="B212" t="str">
            <v>Alissia Cotton-Dilaurenzio</v>
          </cell>
          <cell r="C212" t="str">
            <v>9RNI</v>
          </cell>
          <cell r="D212">
            <v>0</v>
          </cell>
          <cell r="E212">
            <v>1</v>
          </cell>
          <cell r="F212">
            <v>9</v>
          </cell>
          <cell r="G212">
            <v>0</v>
          </cell>
          <cell r="H212">
            <v>0</v>
          </cell>
          <cell r="I212">
            <v>1</v>
          </cell>
        </row>
        <row r="213">
          <cell r="A213">
            <v>152647</v>
          </cell>
          <cell r="B213" t="str">
            <v>Esther Shaw</v>
          </cell>
          <cell r="C213" t="str">
            <v>9GR</v>
          </cell>
          <cell r="D213">
            <v>0</v>
          </cell>
          <cell r="E213">
            <v>0</v>
          </cell>
          <cell r="F213">
            <v>32</v>
          </cell>
          <cell r="G213">
            <v>0</v>
          </cell>
          <cell r="H213">
            <v>0</v>
          </cell>
          <cell r="I213">
            <v>0</v>
          </cell>
        </row>
        <row r="214">
          <cell r="A214"/>
          <cell r="B214"/>
          <cell r="C214"/>
          <cell r="D214"/>
          <cell r="E214"/>
          <cell r="F214"/>
          <cell r="G214"/>
          <cell r="H214"/>
          <cell r="I214"/>
        </row>
      </sheetData>
      <sheetData sheetId="13"/>
      <sheetData sheetId="14">
        <row r="2">
          <cell r="A2" t="str">
            <v>8a</v>
          </cell>
          <cell r="B2">
            <v>53</v>
          </cell>
        </row>
        <row r="3">
          <cell r="A3" t="str">
            <v>8b</v>
          </cell>
          <cell r="B3">
            <v>51</v>
          </cell>
        </row>
        <row r="4">
          <cell r="A4" t="str">
            <v>8c</v>
          </cell>
          <cell r="B4">
            <v>49</v>
          </cell>
        </row>
        <row r="5">
          <cell r="A5" t="str">
            <v>7a</v>
          </cell>
          <cell r="B5">
            <v>47</v>
          </cell>
        </row>
        <row r="6">
          <cell r="A6" t="str">
            <v>7b</v>
          </cell>
          <cell r="B6">
            <v>45</v>
          </cell>
        </row>
        <row r="7">
          <cell r="A7" t="str">
            <v>7c</v>
          </cell>
          <cell r="B7">
            <v>43</v>
          </cell>
        </row>
        <row r="8">
          <cell r="A8" t="str">
            <v>6a</v>
          </cell>
          <cell r="B8">
            <v>41</v>
          </cell>
        </row>
        <row r="9">
          <cell r="A9" t="str">
            <v>6b</v>
          </cell>
          <cell r="B9">
            <v>39</v>
          </cell>
        </row>
        <row r="10">
          <cell r="A10" t="str">
            <v>6c</v>
          </cell>
          <cell r="B10">
            <v>37</v>
          </cell>
        </row>
        <row r="11">
          <cell r="A11" t="str">
            <v>5a</v>
          </cell>
          <cell r="B11">
            <v>35</v>
          </cell>
        </row>
        <row r="12">
          <cell r="A12" t="str">
            <v>5b</v>
          </cell>
          <cell r="B12">
            <v>33</v>
          </cell>
        </row>
        <row r="13">
          <cell r="A13" t="str">
            <v>5c</v>
          </cell>
          <cell r="B13">
            <v>31</v>
          </cell>
        </row>
        <row r="14">
          <cell r="A14" t="str">
            <v>4a</v>
          </cell>
          <cell r="B14">
            <v>29</v>
          </cell>
        </row>
        <row r="15">
          <cell r="A15" t="str">
            <v>4b</v>
          </cell>
          <cell r="B15">
            <v>27</v>
          </cell>
        </row>
        <row r="16">
          <cell r="A16" t="str">
            <v>4c</v>
          </cell>
          <cell r="B16">
            <v>25</v>
          </cell>
        </row>
        <row r="17">
          <cell r="A17" t="str">
            <v>3a</v>
          </cell>
          <cell r="B17">
            <v>23</v>
          </cell>
        </row>
        <row r="18">
          <cell r="A18" t="str">
            <v>3b</v>
          </cell>
          <cell r="B18">
            <v>21</v>
          </cell>
        </row>
        <row r="19">
          <cell r="A19" t="str">
            <v>3c</v>
          </cell>
          <cell r="B19">
            <v>19</v>
          </cell>
        </row>
        <row r="20">
          <cell r="A20" t="str">
            <v>2a</v>
          </cell>
          <cell r="B20">
            <v>17</v>
          </cell>
        </row>
        <row r="21">
          <cell r="A21" t="str">
            <v>2b</v>
          </cell>
          <cell r="B21">
            <v>15</v>
          </cell>
        </row>
        <row r="22">
          <cell r="A22" t="str">
            <v>2c</v>
          </cell>
          <cell r="B22">
            <v>13</v>
          </cell>
        </row>
        <row r="23">
          <cell r="A23" t="str">
            <v>1a</v>
          </cell>
          <cell r="B23">
            <v>11</v>
          </cell>
        </row>
        <row r="24">
          <cell r="A24" t="str">
            <v>1b</v>
          </cell>
          <cell r="B24">
            <v>9</v>
          </cell>
        </row>
        <row r="25">
          <cell r="A25" t="str">
            <v>1c</v>
          </cell>
          <cell r="B25">
            <v>7</v>
          </cell>
        </row>
        <row r="26">
          <cell r="A26" t="str">
            <v>A*</v>
          </cell>
          <cell r="B26">
            <v>8.5</v>
          </cell>
        </row>
        <row r="27">
          <cell r="A27" t="str">
            <v>A/A*</v>
          </cell>
          <cell r="B27">
            <v>7.75</v>
          </cell>
        </row>
        <row r="28">
          <cell r="A28" t="str">
            <v>A</v>
          </cell>
          <cell r="B28">
            <v>7</v>
          </cell>
        </row>
        <row r="29">
          <cell r="A29" t="str">
            <v>B/A</v>
          </cell>
          <cell r="B29">
            <v>6.25</v>
          </cell>
        </row>
        <row r="30">
          <cell r="A30" t="str">
            <v>B</v>
          </cell>
          <cell r="B30">
            <v>5.5</v>
          </cell>
        </row>
        <row r="31">
          <cell r="A31" t="str">
            <v>C/B</v>
          </cell>
          <cell r="B31">
            <v>4.5</v>
          </cell>
        </row>
        <row r="32">
          <cell r="A32" t="str">
            <v>C</v>
          </cell>
          <cell r="B32">
            <v>4</v>
          </cell>
        </row>
        <row r="33">
          <cell r="A33" t="str">
            <v>D/C</v>
          </cell>
          <cell r="B33">
            <v>3.5</v>
          </cell>
        </row>
        <row r="34">
          <cell r="A34" t="str">
            <v>D</v>
          </cell>
          <cell r="B34">
            <v>3</v>
          </cell>
        </row>
        <row r="35">
          <cell r="A35" t="str">
            <v>E/D</v>
          </cell>
          <cell r="B35">
            <v>2.5</v>
          </cell>
        </row>
        <row r="36">
          <cell r="A36" t="str">
            <v>E</v>
          </cell>
          <cell r="B36">
            <v>2</v>
          </cell>
        </row>
        <row r="37">
          <cell r="A37" t="str">
            <v>F/E</v>
          </cell>
          <cell r="B37">
            <v>1.75</v>
          </cell>
        </row>
        <row r="38">
          <cell r="A38" t="str">
            <v>F</v>
          </cell>
          <cell r="B38">
            <v>1.5</v>
          </cell>
        </row>
        <row r="39">
          <cell r="A39" t="str">
            <v>G/F</v>
          </cell>
          <cell r="B39">
            <v>1.25</v>
          </cell>
        </row>
        <row r="40">
          <cell r="A40" t="str">
            <v>G</v>
          </cell>
          <cell r="B40">
            <v>1</v>
          </cell>
        </row>
        <row r="41">
          <cell r="A41" t="str">
            <v>U/G</v>
          </cell>
          <cell r="B41">
            <v>0.5</v>
          </cell>
        </row>
        <row r="42">
          <cell r="A42" t="str">
            <v>U</v>
          </cell>
          <cell r="B42">
            <v>0</v>
          </cell>
        </row>
        <row r="43">
          <cell r="A43" t="str">
            <v>Dist*</v>
          </cell>
          <cell r="B43">
            <v>58</v>
          </cell>
        </row>
        <row r="44">
          <cell r="A44" t="str">
            <v>Dist</v>
          </cell>
          <cell r="B44">
            <v>52</v>
          </cell>
        </row>
        <row r="45">
          <cell r="A45" t="str">
            <v>Merit</v>
          </cell>
          <cell r="B45">
            <v>46</v>
          </cell>
        </row>
        <row r="46">
          <cell r="A46" t="str">
            <v>Pass</v>
          </cell>
          <cell r="B46">
            <v>40</v>
          </cell>
        </row>
        <row r="47">
          <cell r="A47" t="str">
            <v>Level1</v>
          </cell>
          <cell r="B47">
            <v>25</v>
          </cell>
        </row>
        <row r="48">
          <cell r="A48" t="str">
            <v>9</v>
          </cell>
          <cell r="B48">
            <v>9</v>
          </cell>
        </row>
        <row r="49">
          <cell r="A49" t="str">
            <v>8</v>
          </cell>
          <cell r="B49">
            <v>8</v>
          </cell>
        </row>
        <row r="50">
          <cell r="A50" t="str">
            <v>7</v>
          </cell>
          <cell r="B50">
            <v>7</v>
          </cell>
        </row>
        <row r="51">
          <cell r="A51" t="str">
            <v>6</v>
          </cell>
          <cell r="B51">
            <v>6</v>
          </cell>
        </row>
        <row r="52">
          <cell r="A52" t="str">
            <v>5</v>
          </cell>
          <cell r="B52">
            <v>5</v>
          </cell>
        </row>
        <row r="53">
          <cell r="A53" t="str">
            <v>4</v>
          </cell>
          <cell r="B53">
            <v>4</v>
          </cell>
        </row>
        <row r="54">
          <cell r="A54" t="str">
            <v>3</v>
          </cell>
          <cell r="B54">
            <v>3</v>
          </cell>
        </row>
        <row r="55">
          <cell r="A55" t="str">
            <v>2</v>
          </cell>
          <cell r="B55">
            <v>2</v>
          </cell>
        </row>
        <row r="56">
          <cell r="A56" t="str">
            <v>1</v>
          </cell>
          <cell r="B56">
            <v>1</v>
          </cell>
        </row>
        <row r="57">
          <cell r="A57" t="str">
            <v>8 - 9</v>
          </cell>
          <cell r="B57">
            <v>8.5</v>
          </cell>
        </row>
        <row r="58">
          <cell r="A58" t="str">
            <v>7 - 8</v>
          </cell>
          <cell r="B58">
            <v>7.5</v>
          </cell>
        </row>
        <row r="59">
          <cell r="A59" t="str">
            <v>6 - 7</v>
          </cell>
          <cell r="B59">
            <v>6.5</v>
          </cell>
        </row>
        <row r="60">
          <cell r="A60" t="str">
            <v>5 - 6</v>
          </cell>
          <cell r="B60">
            <v>5.5</v>
          </cell>
        </row>
        <row r="61">
          <cell r="A61" t="str">
            <v>4 - 5</v>
          </cell>
          <cell r="B61">
            <v>4.5</v>
          </cell>
        </row>
        <row r="62">
          <cell r="A62" t="str">
            <v>3 - 4</v>
          </cell>
          <cell r="B62">
            <v>3.5</v>
          </cell>
        </row>
        <row r="63">
          <cell r="A63" t="str">
            <v>2 - 3</v>
          </cell>
          <cell r="B63">
            <v>2.5</v>
          </cell>
        </row>
        <row r="64">
          <cell r="A64" t="str">
            <v>1 - 2</v>
          </cell>
          <cell r="B64">
            <v>1.5</v>
          </cell>
        </row>
        <row r="65">
          <cell r="A65" t="str">
            <v>F - E</v>
          </cell>
          <cell r="B65">
            <v>1.75</v>
          </cell>
        </row>
        <row r="66">
          <cell r="A66" t="str">
            <v>E - D</v>
          </cell>
          <cell r="B66">
            <v>2.5</v>
          </cell>
        </row>
        <row r="67">
          <cell r="A67" t="str">
            <v>D - C</v>
          </cell>
          <cell r="B67">
            <v>3.5</v>
          </cell>
        </row>
        <row r="68">
          <cell r="A68" t="str">
            <v>C - B</v>
          </cell>
          <cell r="B68">
            <v>4.75</v>
          </cell>
        </row>
        <row r="69">
          <cell r="A69" t="str">
            <v>B - A</v>
          </cell>
          <cell r="B69">
            <v>6.25</v>
          </cell>
        </row>
        <row r="70">
          <cell r="A70" t="str">
            <v>A - A*</v>
          </cell>
          <cell r="B70">
            <v>7.75</v>
          </cell>
        </row>
        <row r="71">
          <cell r="A71" t="str">
            <v>1 - 4</v>
          </cell>
          <cell r="B71">
            <v>2.5</v>
          </cell>
        </row>
        <row r="72">
          <cell r="A72" t="str">
            <v>4 - 5</v>
          </cell>
          <cell r="B72">
            <v>4.5</v>
          </cell>
        </row>
        <row r="73">
          <cell r="A73" t="str">
            <v>5 - 7</v>
          </cell>
          <cell r="B73">
            <v>6</v>
          </cell>
        </row>
        <row r="74">
          <cell r="A74" t="str">
            <v>7 - 9</v>
          </cell>
          <cell r="B74">
            <v>8</v>
          </cell>
        </row>
        <row r="75">
          <cell r="A75" t="str">
            <v>L2P - L2M</v>
          </cell>
          <cell r="B75">
            <v>4.75</v>
          </cell>
        </row>
        <row r="76">
          <cell r="A76" t="str">
            <v>L2M - L2D</v>
          </cell>
          <cell r="B76">
            <v>6.25</v>
          </cell>
        </row>
        <row r="77">
          <cell r="A77" t="str">
            <v>L2D - L2D*</v>
          </cell>
          <cell r="B77">
            <v>7.75</v>
          </cell>
        </row>
        <row r="78">
          <cell r="A78" t="str">
            <v>U - L1P</v>
          </cell>
          <cell r="B78">
            <v>0.625</v>
          </cell>
        </row>
        <row r="79">
          <cell r="A79" t="str">
            <v>L1P - L1M</v>
          </cell>
          <cell r="B79">
            <v>1.625</v>
          </cell>
        </row>
        <row r="80">
          <cell r="A80" t="str">
            <v>L1M - L1D</v>
          </cell>
          <cell r="B80">
            <v>2.5</v>
          </cell>
        </row>
        <row r="81">
          <cell r="A81" t="str">
            <v>L1D - L2P</v>
          </cell>
          <cell r="B81">
            <v>3.5</v>
          </cell>
        </row>
        <row r="82">
          <cell r="A82" t="str">
            <v>U - P</v>
          </cell>
          <cell r="B82">
            <v>2</v>
          </cell>
        </row>
        <row r="83">
          <cell r="A83" t="str">
            <v>P - M</v>
          </cell>
          <cell r="B83">
            <v>5.125</v>
          </cell>
        </row>
        <row r="84">
          <cell r="A84" t="str">
            <v>M - D</v>
          </cell>
          <cell r="B84">
            <v>7</v>
          </cell>
        </row>
        <row r="85">
          <cell r="A85" t="str">
            <v>8-9</v>
          </cell>
          <cell r="B85">
            <v>8.5</v>
          </cell>
        </row>
        <row r="86">
          <cell r="A86" t="str">
            <v>7-8</v>
          </cell>
          <cell r="B86">
            <v>7.5</v>
          </cell>
        </row>
        <row r="87">
          <cell r="A87" t="str">
            <v>6-7</v>
          </cell>
          <cell r="B87">
            <v>6.5</v>
          </cell>
        </row>
        <row r="88">
          <cell r="A88" t="str">
            <v>5-6</v>
          </cell>
          <cell r="B88">
            <v>5.5</v>
          </cell>
        </row>
        <row r="89">
          <cell r="A89" t="str">
            <v>4-5</v>
          </cell>
          <cell r="B89">
            <v>4.5</v>
          </cell>
        </row>
        <row r="90">
          <cell r="A90" t="str">
            <v>3-4</v>
          </cell>
          <cell r="B90">
            <v>3.5</v>
          </cell>
        </row>
        <row r="91">
          <cell r="A91" t="str">
            <v>2-3</v>
          </cell>
          <cell r="B91">
            <v>2.5</v>
          </cell>
        </row>
        <row r="92">
          <cell r="A92" t="str">
            <v>1-2</v>
          </cell>
          <cell r="B92">
            <v>1.5</v>
          </cell>
        </row>
        <row r="93">
          <cell r="A93" t="str">
            <v>F-E</v>
          </cell>
          <cell r="B93">
            <v>1.75</v>
          </cell>
        </row>
        <row r="94">
          <cell r="A94" t="str">
            <v>E-D</v>
          </cell>
          <cell r="B94">
            <v>2.5</v>
          </cell>
        </row>
        <row r="95">
          <cell r="A95" t="str">
            <v>D-C</v>
          </cell>
          <cell r="B95">
            <v>3.5</v>
          </cell>
        </row>
        <row r="96">
          <cell r="A96" t="str">
            <v>C-B</v>
          </cell>
          <cell r="B96">
            <v>4.75</v>
          </cell>
        </row>
        <row r="97">
          <cell r="A97" t="str">
            <v>B-A</v>
          </cell>
          <cell r="B97">
            <v>6.25</v>
          </cell>
        </row>
        <row r="98">
          <cell r="A98" t="str">
            <v>A-A*</v>
          </cell>
          <cell r="B98">
            <v>7.75</v>
          </cell>
        </row>
        <row r="99">
          <cell r="A99" t="str">
            <v>1-4</v>
          </cell>
          <cell r="B99">
            <v>2.5</v>
          </cell>
        </row>
        <row r="100">
          <cell r="A100" t="str">
            <v>4-5</v>
          </cell>
          <cell r="B100">
            <v>4.5</v>
          </cell>
        </row>
        <row r="101">
          <cell r="A101" t="str">
            <v>5-7</v>
          </cell>
          <cell r="B101">
            <v>6</v>
          </cell>
        </row>
        <row r="102">
          <cell r="A102" t="str">
            <v>7-9</v>
          </cell>
          <cell r="B102">
            <v>8</v>
          </cell>
        </row>
        <row r="103">
          <cell r="A103" t="str">
            <v>L2P-L2M</v>
          </cell>
          <cell r="B103">
            <v>4.75</v>
          </cell>
        </row>
        <row r="104">
          <cell r="A104" t="str">
            <v>L2M-L2D</v>
          </cell>
          <cell r="B104">
            <v>6.25</v>
          </cell>
        </row>
        <row r="105">
          <cell r="A105" t="str">
            <v>L2D-L2D*</v>
          </cell>
          <cell r="B105">
            <v>7.75</v>
          </cell>
        </row>
        <row r="106">
          <cell r="A106" t="str">
            <v>U-L1P</v>
          </cell>
          <cell r="B106">
            <v>0.625</v>
          </cell>
        </row>
        <row r="107">
          <cell r="A107" t="str">
            <v>L1P-L1M</v>
          </cell>
          <cell r="B107">
            <v>1.625</v>
          </cell>
        </row>
        <row r="108">
          <cell r="A108" t="str">
            <v>L1M-L1D</v>
          </cell>
          <cell r="B108">
            <v>2.5</v>
          </cell>
        </row>
        <row r="109">
          <cell r="A109" t="str">
            <v>L1D-L2P</v>
          </cell>
          <cell r="B109">
            <v>3.5</v>
          </cell>
        </row>
        <row r="110">
          <cell r="A110" t="str">
            <v>U-P</v>
          </cell>
          <cell r="B110">
            <v>2</v>
          </cell>
        </row>
        <row r="111">
          <cell r="A111" t="str">
            <v>P-M</v>
          </cell>
          <cell r="B111">
            <v>5.125</v>
          </cell>
        </row>
        <row r="112">
          <cell r="A112" t="str">
            <v>M-D</v>
          </cell>
          <cell r="B112">
            <v>7</v>
          </cell>
        </row>
        <row r="113">
          <cell r="A113" t="str">
            <v>U - 1</v>
          </cell>
          <cell r="B113" t="str">
            <v>0.5</v>
          </cell>
        </row>
        <row r="114">
          <cell r="A114" t="str">
            <v>U-1</v>
          </cell>
          <cell r="B114" t="str">
            <v>0.5</v>
          </cell>
        </row>
        <row r="115">
          <cell r="A115"/>
          <cell r="B115"/>
        </row>
        <row r="116">
          <cell r="A116"/>
          <cell r="B116"/>
        </row>
        <row r="117">
          <cell r="A117"/>
          <cell r="B117"/>
        </row>
        <row r="118">
          <cell r="A118"/>
          <cell r="B118"/>
        </row>
        <row r="119">
          <cell r="A119"/>
          <cell r="B119"/>
        </row>
        <row r="120">
          <cell r="A120"/>
          <cell r="B120"/>
        </row>
        <row r="121">
          <cell r="A121"/>
          <cell r="B121"/>
        </row>
        <row r="122">
          <cell r="A122"/>
          <cell r="B122"/>
        </row>
        <row r="123">
          <cell r="A123"/>
          <cell r="B123"/>
        </row>
        <row r="124">
          <cell r="A124"/>
          <cell r="B124"/>
        </row>
        <row r="125">
          <cell r="A125"/>
          <cell r="B125"/>
        </row>
        <row r="126">
          <cell r="A126"/>
          <cell r="B126"/>
        </row>
        <row r="127">
          <cell r="A127"/>
          <cell r="B127"/>
        </row>
        <row r="128">
          <cell r="A128"/>
          <cell r="B128"/>
        </row>
        <row r="129">
          <cell r="A129"/>
          <cell r="B129"/>
        </row>
        <row r="130">
          <cell r="A130"/>
          <cell r="B130"/>
        </row>
        <row r="131">
          <cell r="A131"/>
          <cell r="B131"/>
        </row>
        <row r="132">
          <cell r="A132"/>
          <cell r="B132"/>
        </row>
        <row r="133">
          <cell r="A133"/>
          <cell r="B133"/>
        </row>
        <row r="134">
          <cell r="A134"/>
          <cell r="B134"/>
        </row>
        <row r="135">
          <cell r="A135"/>
          <cell r="B135"/>
        </row>
        <row r="136">
          <cell r="A136"/>
          <cell r="B136"/>
        </row>
        <row r="137">
          <cell r="A137"/>
          <cell r="B137"/>
        </row>
        <row r="138">
          <cell r="A138"/>
          <cell r="B138"/>
        </row>
        <row r="139">
          <cell r="A139"/>
          <cell r="B139"/>
        </row>
        <row r="140">
          <cell r="A140"/>
          <cell r="B140"/>
        </row>
        <row r="141">
          <cell r="A141"/>
          <cell r="B141"/>
        </row>
        <row r="142">
          <cell r="A142"/>
          <cell r="B142"/>
        </row>
        <row r="143">
          <cell r="A143"/>
          <cell r="B143"/>
        </row>
        <row r="144">
          <cell r="A144"/>
          <cell r="B144"/>
        </row>
        <row r="145">
          <cell r="A145"/>
          <cell r="B145"/>
        </row>
        <row r="146">
          <cell r="A146"/>
          <cell r="B146"/>
        </row>
        <row r="147">
          <cell r="A147"/>
          <cell r="B147"/>
        </row>
        <row r="148">
          <cell r="A148"/>
          <cell r="B148"/>
        </row>
        <row r="149">
          <cell r="A149"/>
          <cell r="B149"/>
        </row>
        <row r="150">
          <cell r="A150"/>
          <cell r="B150"/>
        </row>
      </sheetData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GROUPDISTRIBUTION"/>
      <sheetName val="Chart2"/>
      <sheetName val="N2I and SERIOUS CONCERN(TOTALS)"/>
      <sheetName val="Chart3"/>
      <sheetName val="A2L SUMMARY"/>
      <sheetName val="BHVEXPORT"/>
      <sheetName val="Lookups"/>
      <sheetName val="End of Mon rev weeks"/>
      <sheetName val="COHORT data"/>
      <sheetName val="Y7 Student Progress Monitoring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/>
      <sheetData sheetId="12">
        <row r="1">
          <cell r="A1" t="str">
            <v>Admission Number</v>
          </cell>
          <cell r="B1" t="str">
            <v>Legal Full name</v>
          </cell>
          <cell r="C1" t="str">
            <v>Tutor Group</v>
          </cell>
          <cell r="D1" t="str">
            <v>Comm Con</v>
          </cell>
          <cell r="E1" t="str">
            <v>Pers Org</v>
          </cell>
          <cell r="F1" t="str">
            <v>Praise</v>
          </cell>
          <cell r="G1" t="str">
            <v>BOL</v>
          </cell>
          <cell r="H1" t="str">
            <v>BIL</v>
          </cell>
          <cell r="I1" t="str">
            <v>HWK</v>
          </cell>
        </row>
        <row r="2">
          <cell r="A2">
            <v>160250</v>
          </cell>
          <cell r="B2" t="str">
            <v>Ermyas Makele</v>
          </cell>
          <cell r="C2" t="str">
            <v>7FS</v>
          </cell>
          <cell r="D2">
            <v>2</v>
          </cell>
          <cell r="E2">
            <v>0</v>
          </cell>
          <cell r="F2">
            <v>19</v>
          </cell>
          <cell r="G2">
            <v>1</v>
          </cell>
          <cell r="H2">
            <v>1</v>
          </cell>
          <cell r="I2">
            <v>0</v>
          </cell>
        </row>
        <row r="3">
          <cell r="A3">
            <v>160207</v>
          </cell>
          <cell r="B3" t="str">
            <v>Summer Griffin</v>
          </cell>
          <cell r="C3" t="str">
            <v>7ET</v>
          </cell>
          <cell r="D3">
            <v>0</v>
          </cell>
          <cell r="E3">
            <v>0</v>
          </cell>
          <cell r="F3">
            <v>22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160325</v>
          </cell>
          <cell r="B4" t="str">
            <v>Harmony Sweetland</v>
          </cell>
          <cell r="C4" t="str">
            <v xml:space="preserve">7BPE </v>
          </cell>
          <cell r="D4">
            <v>0</v>
          </cell>
          <cell r="E4">
            <v>0</v>
          </cell>
          <cell r="F4">
            <v>26</v>
          </cell>
          <cell r="G4">
            <v>0</v>
          </cell>
          <cell r="H4">
            <v>0</v>
          </cell>
          <cell r="I4">
            <v>0</v>
          </cell>
        </row>
        <row r="5">
          <cell r="A5">
            <v>160212</v>
          </cell>
          <cell r="B5" t="str">
            <v>Mae Hall</v>
          </cell>
          <cell r="C5" t="str">
            <v>7LM</v>
          </cell>
          <cell r="D5">
            <v>0</v>
          </cell>
          <cell r="E5">
            <v>0</v>
          </cell>
          <cell r="F5">
            <v>19</v>
          </cell>
          <cell r="G5">
            <v>0</v>
          </cell>
          <cell r="H5">
            <v>0</v>
          </cell>
          <cell r="I5">
            <v>0</v>
          </cell>
        </row>
        <row r="6">
          <cell r="A6">
            <v>160258</v>
          </cell>
          <cell r="B6" t="str">
            <v>Joe Mason</v>
          </cell>
          <cell r="C6" t="str">
            <v xml:space="preserve">7BPE </v>
          </cell>
          <cell r="D6">
            <v>0</v>
          </cell>
          <cell r="E6">
            <v>0</v>
          </cell>
          <cell r="F6">
            <v>27</v>
          </cell>
          <cell r="G6">
            <v>0</v>
          </cell>
          <cell r="H6">
            <v>0</v>
          </cell>
          <cell r="I6">
            <v>0</v>
          </cell>
        </row>
        <row r="7">
          <cell r="A7">
            <v>160277</v>
          </cell>
          <cell r="B7" t="str">
            <v>Benedict Nwosu</v>
          </cell>
          <cell r="C7" t="str">
            <v>7YP</v>
          </cell>
          <cell r="D7">
            <v>0</v>
          </cell>
          <cell r="E7">
            <v>0</v>
          </cell>
          <cell r="F7">
            <v>31</v>
          </cell>
          <cell r="G7">
            <v>0</v>
          </cell>
          <cell r="H7">
            <v>0</v>
          </cell>
          <cell r="I7">
            <v>0</v>
          </cell>
        </row>
        <row r="8">
          <cell r="A8">
            <v>160242</v>
          </cell>
          <cell r="B8" t="str">
            <v>Adam Kucharski</v>
          </cell>
          <cell r="C8" t="str">
            <v>7FS</v>
          </cell>
          <cell r="D8">
            <v>0</v>
          </cell>
          <cell r="E8">
            <v>0</v>
          </cell>
          <cell r="F8">
            <v>20</v>
          </cell>
          <cell r="G8">
            <v>0</v>
          </cell>
          <cell r="H8">
            <v>0</v>
          </cell>
          <cell r="I8">
            <v>0</v>
          </cell>
        </row>
        <row r="9">
          <cell r="A9">
            <v>160164</v>
          </cell>
          <cell r="B9" t="str">
            <v>Kyla Bukena</v>
          </cell>
          <cell r="C9" t="str">
            <v>7WD</v>
          </cell>
          <cell r="D9">
            <v>0</v>
          </cell>
          <cell r="E9">
            <v>0</v>
          </cell>
          <cell r="F9">
            <v>38</v>
          </cell>
          <cell r="G9">
            <v>0</v>
          </cell>
          <cell r="H9">
            <v>0</v>
          </cell>
          <cell r="I9">
            <v>0</v>
          </cell>
        </row>
        <row r="10">
          <cell r="A10">
            <v>160346</v>
          </cell>
          <cell r="B10" t="str">
            <v>Jenson Woods</v>
          </cell>
          <cell r="C10" t="str">
            <v>7ET</v>
          </cell>
          <cell r="D10">
            <v>0</v>
          </cell>
          <cell r="E10">
            <v>0</v>
          </cell>
          <cell r="F10">
            <v>23</v>
          </cell>
          <cell r="G10">
            <v>0</v>
          </cell>
          <cell r="H10">
            <v>0</v>
          </cell>
          <cell r="I10">
            <v>0</v>
          </cell>
        </row>
        <row r="11">
          <cell r="A11">
            <v>160234</v>
          </cell>
          <cell r="B11" t="str">
            <v>Joshua Kay</v>
          </cell>
          <cell r="C11" t="str">
            <v>7AWH</v>
          </cell>
          <cell r="D11">
            <v>0</v>
          </cell>
          <cell r="E11">
            <v>1</v>
          </cell>
          <cell r="F11">
            <v>45</v>
          </cell>
          <cell r="G11">
            <v>0</v>
          </cell>
          <cell r="H11">
            <v>0</v>
          </cell>
          <cell r="I11">
            <v>1</v>
          </cell>
        </row>
        <row r="12">
          <cell r="A12">
            <v>160342</v>
          </cell>
          <cell r="B12" t="str">
            <v>Charles Whitham-Lakin</v>
          </cell>
          <cell r="C12" t="str">
            <v>7YP</v>
          </cell>
          <cell r="D12">
            <v>3</v>
          </cell>
          <cell r="E12">
            <v>0</v>
          </cell>
          <cell r="F12">
            <v>25</v>
          </cell>
          <cell r="G12">
            <v>0</v>
          </cell>
          <cell r="H12">
            <v>3</v>
          </cell>
          <cell r="I12">
            <v>0</v>
          </cell>
        </row>
        <row r="13">
          <cell r="A13">
            <v>160167</v>
          </cell>
          <cell r="B13" t="str">
            <v>Magnus Bushell</v>
          </cell>
          <cell r="C13" t="str">
            <v>7FS</v>
          </cell>
          <cell r="D13">
            <v>0</v>
          </cell>
          <cell r="E13">
            <v>0</v>
          </cell>
          <cell r="F13">
            <v>16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160190</v>
          </cell>
          <cell r="B14" t="str">
            <v>Alani Farleigh Pereira</v>
          </cell>
          <cell r="C14" t="str">
            <v>7YP</v>
          </cell>
          <cell r="D14">
            <v>16</v>
          </cell>
          <cell r="E14">
            <v>1</v>
          </cell>
          <cell r="F14">
            <v>17</v>
          </cell>
          <cell r="G14">
            <v>1</v>
          </cell>
          <cell r="H14">
            <v>13</v>
          </cell>
          <cell r="I14">
            <v>0</v>
          </cell>
        </row>
        <row r="15">
          <cell r="A15">
            <v>160329</v>
          </cell>
          <cell r="B15" t="str">
            <v>Silivana Tewelde</v>
          </cell>
          <cell r="C15" t="str">
            <v>7LM</v>
          </cell>
          <cell r="D15">
            <v>2</v>
          </cell>
          <cell r="E15">
            <v>0</v>
          </cell>
          <cell r="F15">
            <v>21</v>
          </cell>
          <cell r="G15">
            <v>0</v>
          </cell>
          <cell r="H15">
            <v>2</v>
          </cell>
          <cell r="I15">
            <v>0</v>
          </cell>
        </row>
        <row r="16">
          <cell r="A16">
            <v>160273</v>
          </cell>
          <cell r="B16" t="str">
            <v>Debora Musie</v>
          </cell>
          <cell r="C16" t="str">
            <v>7YP</v>
          </cell>
          <cell r="D16">
            <v>1</v>
          </cell>
          <cell r="E16">
            <v>0</v>
          </cell>
          <cell r="F16">
            <v>24</v>
          </cell>
          <cell r="G16">
            <v>0</v>
          </cell>
          <cell r="H16">
            <v>1</v>
          </cell>
          <cell r="I16">
            <v>0</v>
          </cell>
        </row>
        <row r="17">
          <cell r="A17">
            <v>160291</v>
          </cell>
          <cell r="B17" t="str">
            <v>Agnes Paul</v>
          </cell>
          <cell r="C17" t="str">
            <v xml:space="preserve">7BPE </v>
          </cell>
          <cell r="D17">
            <v>0</v>
          </cell>
          <cell r="E17">
            <v>0</v>
          </cell>
          <cell r="F17">
            <v>21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160310</v>
          </cell>
          <cell r="B18" t="str">
            <v>Faith Savage</v>
          </cell>
          <cell r="C18" t="str">
            <v>7YP</v>
          </cell>
          <cell r="D18">
            <v>1</v>
          </cell>
          <cell r="E18">
            <v>0</v>
          </cell>
          <cell r="F18">
            <v>27</v>
          </cell>
          <cell r="G18">
            <v>0</v>
          </cell>
          <cell r="H18">
            <v>1</v>
          </cell>
          <cell r="I18">
            <v>0</v>
          </cell>
        </row>
        <row r="19">
          <cell r="A19">
            <v>160202</v>
          </cell>
          <cell r="B19" t="str">
            <v>Alma Goddard</v>
          </cell>
          <cell r="C19" t="str">
            <v>7FS</v>
          </cell>
          <cell r="D19">
            <v>0</v>
          </cell>
          <cell r="E19">
            <v>0</v>
          </cell>
          <cell r="F19">
            <v>23</v>
          </cell>
          <cell r="G19">
            <v>0</v>
          </cell>
          <cell r="H19">
            <v>0</v>
          </cell>
          <cell r="I19">
            <v>0</v>
          </cell>
        </row>
        <row r="20">
          <cell r="A20">
            <v>160227</v>
          </cell>
          <cell r="B20" t="str">
            <v>Nasir Jhalli</v>
          </cell>
          <cell r="C20" t="str">
            <v>7AWH</v>
          </cell>
          <cell r="D20">
            <v>0</v>
          </cell>
          <cell r="E20">
            <v>0</v>
          </cell>
          <cell r="F20">
            <v>29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160323</v>
          </cell>
          <cell r="B21" t="str">
            <v>Isabella Stevenson</v>
          </cell>
          <cell r="C21" t="str">
            <v>7ET</v>
          </cell>
          <cell r="D21">
            <v>0</v>
          </cell>
          <cell r="E21">
            <v>0</v>
          </cell>
          <cell r="F21">
            <v>23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160156</v>
          </cell>
          <cell r="B22" t="str">
            <v>Frank Bonner</v>
          </cell>
          <cell r="C22" t="str">
            <v>7RA</v>
          </cell>
          <cell r="D22">
            <v>0</v>
          </cell>
          <cell r="E22">
            <v>0</v>
          </cell>
          <cell r="F22">
            <v>22</v>
          </cell>
          <cell r="G22">
            <v>0</v>
          </cell>
          <cell r="H22">
            <v>0</v>
          </cell>
          <cell r="I22">
            <v>0</v>
          </cell>
        </row>
        <row r="23">
          <cell r="A23">
            <v>160228</v>
          </cell>
          <cell r="B23" t="str">
            <v>Summer Johnson-Tyler</v>
          </cell>
          <cell r="C23" t="str">
            <v>7AWH</v>
          </cell>
          <cell r="D23">
            <v>0</v>
          </cell>
          <cell r="E23">
            <v>0</v>
          </cell>
          <cell r="F23">
            <v>40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160184</v>
          </cell>
          <cell r="B24" t="str">
            <v>Humphrey Doonan</v>
          </cell>
          <cell r="C24" t="str">
            <v>7FS</v>
          </cell>
          <cell r="D24">
            <v>0</v>
          </cell>
          <cell r="E24">
            <v>0</v>
          </cell>
          <cell r="F24">
            <v>27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160319</v>
          </cell>
          <cell r="B25" t="str">
            <v>Amy Spiteri Cornish</v>
          </cell>
          <cell r="C25" t="str">
            <v xml:space="preserve">7BPE </v>
          </cell>
          <cell r="D25">
            <v>0</v>
          </cell>
          <cell r="E25">
            <v>0</v>
          </cell>
          <cell r="F25">
            <v>27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160326</v>
          </cell>
          <cell r="B26" t="str">
            <v>Amelia Taheem</v>
          </cell>
          <cell r="C26" t="str">
            <v>7RA</v>
          </cell>
          <cell r="D26">
            <v>0</v>
          </cell>
          <cell r="E26">
            <v>0</v>
          </cell>
          <cell r="F26">
            <v>15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160339</v>
          </cell>
          <cell r="B27" t="str">
            <v>Robel Wami</v>
          </cell>
          <cell r="C27" t="str">
            <v xml:space="preserve">7BPE </v>
          </cell>
          <cell r="D27">
            <v>0</v>
          </cell>
          <cell r="E27">
            <v>0</v>
          </cell>
          <cell r="F27">
            <v>26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160173</v>
          </cell>
          <cell r="B28" t="str">
            <v>Callum Christer</v>
          </cell>
          <cell r="C28" t="str">
            <v>7ET</v>
          </cell>
          <cell r="D28">
            <v>1</v>
          </cell>
          <cell r="E28">
            <v>0</v>
          </cell>
          <cell r="F28">
            <v>6</v>
          </cell>
          <cell r="G28">
            <v>0</v>
          </cell>
          <cell r="H28">
            <v>1</v>
          </cell>
          <cell r="I28">
            <v>0</v>
          </cell>
        </row>
        <row r="29">
          <cell r="A29">
            <v>160286</v>
          </cell>
          <cell r="B29" t="str">
            <v>Victor Onye</v>
          </cell>
          <cell r="C29" t="str">
            <v>7AWH</v>
          </cell>
          <cell r="D29">
            <v>0</v>
          </cell>
          <cell r="E29">
            <v>4</v>
          </cell>
          <cell r="F29">
            <v>37</v>
          </cell>
          <cell r="G29">
            <v>0</v>
          </cell>
          <cell r="H29">
            <v>0</v>
          </cell>
          <cell r="I29">
            <v>3</v>
          </cell>
        </row>
        <row r="30">
          <cell r="A30">
            <v>160220</v>
          </cell>
          <cell r="B30" t="str">
            <v>Joseph Holland</v>
          </cell>
          <cell r="C30" t="str">
            <v xml:space="preserve">7BPE </v>
          </cell>
          <cell r="D30">
            <v>1</v>
          </cell>
          <cell r="E30">
            <v>0</v>
          </cell>
          <cell r="F30">
            <v>27</v>
          </cell>
          <cell r="G30">
            <v>0</v>
          </cell>
          <cell r="H30">
            <v>1</v>
          </cell>
          <cell r="I30">
            <v>0</v>
          </cell>
        </row>
        <row r="31">
          <cell r="A31">
            <v>160013</v>
          </cell>
          <cell r="B31" t="str">
            <v>Noah Abraham</v>
          </cell>
          <cell r="C31" t="str">
            <v>7LM</v>
          </cell>
          <cell r="D31">
            <v>25</v>
          </cell>
          <cell r="E31">
            <v>3</v>
          </cell>
          <cell r="F31">
            <v>9</v>
          </cell>
          <cell r="G31">
            <v>1</v>
          </cell>
          <cell r="H31">
            <v>19</v>
          </cell>
          <cell r="I31">
            <v>0</v>
          </cell>
        </row>
        <row r="32">
          <cell r="A32">
            <v>160143</v>
          </cell>
          <cell r="B32" t="str">
            <v>Freddie Askew</v>
          </cell>
          <cell r="C32" t="str">
            <v>7AWH</v>
          </cell>
          <cell r="D32">
            <v>3</v>
          </cell>
          <cell r="E32">
            <v>2</v>
          </cell>
          <cell r="F32">
            <v>33</v>
          </cell>
          <cell r="G32">
            <v>0</v>
          </cell>
          <cell r="H32">
            <v>2</v>
          </cell>
          <cell r="I32">
            <v>0</v>
          </cell>
        </row>
        <row r="33">
          <cell r="A33">
            <v>160231</v>
          </cell>
          <cell r="B33" t="str">
            <v>Avant Kandengwa</v>
          </cell>
          <cell r="C33" t="str">
            <v>7AWH</v>
          </cell>
          <cell r="D33">
            <v>0</v>
          </cell>
          <cell r="E33">
            <v>0</v>
          </cell>
          <cell r="F33">
            <v>37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160185</v>
          </cell>
          <cell r="B34" t="str">
            <v>Samuel Downing</v>
          </cell>
          <cell r="C34" t="str">
            <v>7AWH</v>
          </cell>
          <cell r="D34">
            <v>0</v>
          </cell>
          <cell r="E34">
            <v>0</v>
          </cell>
          <cell r="F34">
            <v>38</v>
          </cell>
          <cell r="G34">
            <v>0</v>
          </cell>
          <cell r="H34">
            <v>0</v>
          </cell>
          <cell r="I34">
            <v>0</v>
          </cell>
        </row>
        <row r="35">
          <cell r="A35">
            <v>160304</v>
          </cell>
          <cell r="B35" t="str">
            <v>Joseph Rundle</v>
          </cell>
          <cell r="C35" t="str">
            <v>7AWH</v>
          </cell>
          <cell r="D35">
            <v>0</v>
          </cell>
          <cell r="E35">
            <v>1</v>
          </cell>
          <cell r="F35">
            <v>41</v>
          </cell>
          <cell r="G35">
            <v>0</v>
          </cell>
          <cell r="H35">
            <v>0</v>
          </cell>
          <cell r="I35">
            <v>1</v>
          </cell>
        </row>
        <row r="36">
          <cell r="A36">
            <v>160318</v>
          </cell>
          <cell r="B36" t="str">
            <v>Henok Solomon</v>
          </cell>
          <cell r="C36" t="str">
            <v>7ET</v>
          </cell>
          <cell r="D36">
            <v>0</v>
          </cell>
          <cell r="E36">
            <v>0</v>
          </cell>
          <cell r="F36">
            <v>16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160333</v>
          </cell>
          <cell r="B37" t="str">
            <v>Ifeyinwa Ufondu</v>
          </cell>
          <cell r="C37" t="str">
            <v>7LM</v>
          </cell>
          <cell r="D37">
            <v>1</v>
          </cell>
          <cell r="E37">
            <v>0</v>
          </cell>
          <cell r="F37">
            <v>16</v>
          </cell>
          <cell r="G37">
            <v>0</v>
          </cell>
          <cell r="H37">
            <v>1</v>
          </cell>
          <cell r="I37">
            <v>0</v>
          </cell>
        </row>
        <row r="38">
          <cell r="A38">
            <v>160348</v>
          </cell>
          <cell r="B38" t="str">
            <v>Azane Wynter</v>
          </cell>
          <cell r="C38" t="str">
            <v>7YP</v>
          </cell>
          <cell r="D38">
            <v>5</v>
          </cell>
          <cell r="E38">
            <v>2</v>
          </cell>
          <cell r="F38">
            <v>25</v>
          </cell>
          <cell r="G38">
            <v>0</v>
          </cell>
          <cell r="H38">
            <v>5</v>
          </cell>
          <cell r="I38">
            <v>2</v>
          </cell>
        </row>
        <row r="39">
          <cell r="A39">
            <v>160166</v>
          </cell>
          <cell r="B39" t="str">
            <v>Hebe-Rose Burton</v>
          </cell>
          <cell r="C39" t="str">
            <v>7LM</v>
          </cell>
          <cell r="D39">
            <v>0</v>
          </cell>
          <cell r="E39">
            <v>0</v>
          </cell>
          <cell r="F39">
            <v>20</v>
          </cell>
          <cell r="G39">
            <v>0</v>
          </cell>
          <cell r="H39">
            <v>0</v>
          </cell>
          <cell r="I39">
            <v>0</v>
          </cell>
        </row>
        <row r="40">
          <cell r="A40">
            <v>160309</v>
          </cell>
          <cell r="B40" t="str">
            <v>Miguel Sanchez Parisi</v>
          </cell>
          <cell r="C40" t="str">
            <v>7RA</v>
          </cell>
          <cell r="D40">
            <v>0</v>
          </cell>
          <cell r="E40">
            <v>1</v>
          </cell>
          <cell r="F40">
            <v>26</v>
          </cell>
          <cell r="G40">
            <v>0</v>
          </cell>
          <cell r="H40">
            <v>0</v>
          </cell>
          <cell r="I40">
            <v>1</v>
          </cell>
        </row>
        <row r="41">
          <cell r="A41">
            <v>160244</v>
          </cell>
          <cell r="B41" t="str">
            <v>Rio Layne</v>
          </cell>
          <cell r="C41" t="str">
            <v>7LM</v>
          </cell>
          <cell r="D41">
            <v>4</v>
          </cell>
          <cell r="E41">
            <v>1</v>
          </cell>
          <cell r="F41">
            <v>13</v>
          </cell>
          <cell r="G41">
            <v>0</v>
          </cell>
          <cell r="H41">
            <v>3</v>
          </cell>
          <cell r="I41">
            <v>0</v>
          </cell>
        </row>
        <row r="42">
          <cell r="A42">
            <v>160194</v>
          </cell>
          <cell r="B42" t="str">
            <v>Rian Foster</v>
          </cell>
          <cell r="C42" t="str">
            <v>7YP</v>
          </cell>
          <cell r="D42">
            <v>4</v>
          </cell>
          <cell r="E42">
            <v>0</v>
          </cell>
          <cell r="F42">
            <v>26</v>
          </cell>
          <cell r="G42">
            <v>0</v>
          </cell>
          <cell r="H42">
            <v>4</v>
          </cell>
          <cell r="I42">
            <v>0</v>
          </cell>
        </row>
        <row r="43">
          <cell r="A43">
            <v>160162</v>
          </cell>
          <cell r="B43" t="str">
            <v>India Bruce</v>
          </cell>
          <cell r="C43" t="str">
            <v>7LM</v>
          </cell>
          <cell r="D43">
            <v>1</v>
          </cell>
          <cell r="E43">
            <v>0</v>
          </cell>
          <cell r="F43">
            <v>19</v>
          </cell>
          <cell r="G43">
            <v>0</v>
          </cell>
          <cell r="H43">
            <v>1</v>
          </cell>
          <cell r="I43">
            <v>0</v>
          </cell>
        </row>
        <row r="44">
          <cell r="A44">
            <v>160022</v>
          </cell>
          <cell r="B44" t="str">
            <v>Hafsa Ali</v>
          </cell>
          <cell r="C44" t="str">
            <v>7WD</v>
          </cell>
          <cell r="D44">
            <v>0</v>
          </cell>
          <cell r="E44">
            <v>0</v>
          </cell>
          <cell r="F44">
            <v>36</v>
          </cell>
          <cell r="G44">
            <v>0</v>
          </cell>
          <cell r="H44">
            <v>0</v>
          </cell>
          <cell r="I44">
            <v>0</v>
          </cell>
        </row>
        <row r="45">
          <cell r="A45">
            <v>160311</v>
          </cell>
          <cell r="B45" t="str">
            <v>Ivan Sebastian</v>
          </cell>
          <cell r="C45" t="str">
            <v>7RA</v>
          </cell>
          <cell r="D45">
            <v>1</v>
          </cell>
          <cell r="E45">
            <v>0</v>
          </cell>
          <cell r="F45">
            <v>15</v>
          </cell>
          <cell r="G45">
            <v>0</v>
          </cell>
          <cell r="H45">
            <v>1</v>
          </cell>
          <cell r="I45">
            <v>0</v>
          </cell>
        </row>
        <row r="46">
          <cell r="A46">
            <v>160178</v>
          </cell>
          <cell r="B46" t="str">
            <v>William Corcoran</v>
          </cell>
          <cell r="C46" t="str">
            <v>7ET</v>
          </cell>
          <cell r="D46">
            <v>0</v>
          </cell>
          <cell r="E46">
            <v>0</v>
          </cell>
          <cell r="F46">
            <v>18</v>
          </cell>
          <cell r="G46">
            <v>0</v>
          </cell>
          <cell r="H46">
            <v>0</v>
          </cell>
          <cell r="I46">
            <v>0</v>
          </cell>
        </row>
        <row r="47">
          <cell r="A47">
            <v>160248</v>
          </cell>
          <cell r="B47" t="str">
            <v>Tyron Maina</v>
          </cell>
          <cell r="C47" t="str">
            <v>7WD</v>
          </cell>
          <cell r="D47">
            <v>0</v>
          </cell>
          <cell r="E47">
            <v>0</v>
          </cell>
          <cell r="F47">
            <v>27</v>
          </cell>
          <cell r="G47">
            <v>0</v>
          </cell>
          <cell r="H47">
            <v>0</v>
          </cell>
          <cell r="I47">
            <v>0</v>
          </cell>
        </row>
        <row r="48">
          <cell r="A48">
            <v>160238</v>
          </cell>
          <cell r="B48" t="str">
            <v>Poppy Kirkman</v>
          </cell>
          <cell r="C48" t="str">
            <v>7WD</v>
          </cell>
          <cell r="D48">
            <v>0</v>
          </cell>
          <cell r="E48">
            <v>0</v>
          </cell>
          <cell r="F48">
            <v>35</v>
          </cell>
          <cell r="G48">
            <v>0</v>
          </cell>
          <cell r="H48">
            <v>0</v>
          </cell>
          <cell r="I48">
            <v>0</v>
          </cell>
        </row>
        <row r="49">
          <cell r="A49">
            <v>160316</v>
          </cell>
          <cell r="B49" t="str">
            <v>Bethany Simmons</v>
          </cell>
          <cell r="C49" t="str">
            <v>7FS</v>
          </cell>
          <cell r="D49">
            <v>1</v>
          </cell>
          <cell r="E49">
            <v>0</v>
          </cell>
          <cell r="F49">
            <v>15</v>
          </cell>
          <cell r="G49">
            <v>0</v>
          </cell>
          <cell r="H49">
            <v>1</v>
          </cell>
          <cell r="I49">
            <v>0</v>
          </cell>
        </row>
        <row r="50">
          <cell r="A50">
            <v>160247</v>
          </cell>
          <cell r="B50" t="str">
            <v>Naomi Lord</v>
          </cell>
          <cell r="C50" t="str">
            <v>7WD</v>
          </cell>
          <cell r="D50">
            <v>1</v>
          </cell>
          <cell r="E50">
            <v>0</v>
          </cell>
          <cell r="F50">
            <v>33</v>
          </cell>
          <cell r="G50">
            <v>0</v>
          </cell>
          <cell r="H50">
            <v>1</v>
          </cell>
          <cell r="I50">
            <v>0</v>
          </cell>
        </row>
        <row r="51">
          <cell r="A51">
            <v>160274</v>
          </cell>
          <cell r="B51" t="str">
            <v>Noah Mussie</v>
          </cell>
          <cell r="C51" t="str">
            <v>7ET</v>
          </cell>
          <cell r="D51">
            <v>0</v>
          </cell>
          <cell r="E51">
            <v>0</v>
          </cell>
          <cell r="F51">
            <v>17</v>
          </cell>
          <cell r="G51">
            <v>0</v>
          </cell>
          <cell r="H51">
            <v>0</v>
          </cell>
          <cell r="I51">
            <v>0</v>
          </cell>
        </row>
        <row r="52">
          <cell r="A52">
            <v>160338</v>
          </cell>
          <cell r="B52" t="str">
            <v>Stanley Walker</v>
          </cell>
          <cell r="C52" t="str">
            <v>7YP</v>
          </cell>
          <cell r="D52">
            <v>1</v>
          </cell>
          <cell r="E52">
            <v>0</v>
          </cell>
          <cell r="F52">
            <v>24</v>
          </cell>
          <cell r="G52">
            <v>0</v>
          </cell>
          <cell r="H52">
            <v>1</v>
          </cell>
          <cell r="I52">
            <v>0</v>
          </cell>
        </row>
        <row r="53">
          <cell r="A53">
            <v>160285</v>
          </cell>
          <cell r="B53" t="str">
            <v>Chinomso Onwuneme</v>
          </cell>
          <cell r="C53" t="str">
            <v>7LM</v>
          </cell>
          <cell r="D53">
            <v>0</v>
          </cell>
          <cell r="E53">
            <v>0</v>
          </cell>
          <cell r="F53">
            <v>21</v>
          </cell>
          <cell r="G53">
            <v>0</v>
          </cell>
          <cell r="H53">
            <v>0</v>
          </cell>
          <cell r="I53">
            <v>0</v>
          </cell>
        </row>
        <row r="54">
          <cell r="A54">
            <v>160266</v>
          </cell>
          <cell r="B54" t="str">
            <v>Adriel Mondenou</v>
          </cell>
          <cell r="C54" t="str">
            <v>7LM</v>
          </cell>
          <cell r="D54">
            <v>1</v>
          </cell>
          <cell r="E54">
            <v>1</v>
          </cell>
          <cell r="F54">
            <v>24</v>
          </cell>
          <cell r="G54">
            <v>0</v>
          </cell>
          <cell r="H54">
            <v>1</v>
          </cell>
          <cell r="I54">
            <v>0</v>
          </cell>
        </row>
        <row r="55">
          <cell r="A55">
            <v>160246</v>
          </cell>
          <cell r="B55" t="str">
            <v>Tin Hang Adam Li</v>
          </cell>
          <cell r="C55" t="str">
            <v>7RA</v>
          </cell>
          <cell r="D55">
            <v>0</v>
          </cell>
          <cell r="E55">
            <v>0</v>
          </cell>
          <cell r="F55">
            <v>12</v>
          </cell>
          <cell r="G55">
            <v>0</v>
          </cell>
          <cell r="H55">
            <v>0</v>
          </cell>
          <cell r="I55">
            <v>0</v>
          </cell>
        </row>
        <row r="56">
          <cell r="A56">
            <v>160210</v>
          </cell>
          <cell r="B56" t="str">
            <v>Thomas Hale</v>
          </cell>
          <cell r="C56" t="str">
            <v xml:space="preserve">7BPE </v>
          </cell>
          <cell r="D56">
            <v>0</v>
          </cell>
          <cell r="E56">
            <v>0</v>
          </cell>
          <cell r="F56">
            <v>24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160168</v>
          </cell>
          <cell r="B57" t="str">
            <v>Sotirios Byzyka</v>
          </cell>
          <cell r="C57" t="str">
            <v>7YP</v>
          </cell>
          <cell r="D57">
            <v>17</v>
          </cell>
          <cell r="E57">
            <v>1</v>
          </cell>
          <cell r="F57">
            <v>14</v>
          </cell>
          <cell r="G57">
            <v>0</v>
          </cell>
          <cell r="H57">
            <v>15</v>
          </cell>
          <cell r="I57">
            <v>0</v>
          </cell>
        </row>
        <row r="58">
          <cell r="A58">
            <v>160251</v>
          </cell>
          <cell r="B58" t="str">
            <v>Claudia Maltby</v>
          </cell>
          <cell r="C58" t="str">
            <v>7LM</v>
          </cell>
          <cell r="D58">
            <v>0</v>
          </cell>
          <cell r="E58">
            <v>0</v>
          </cell>
          <cell r="F58">
            <v>19</v>
          </cell>
          <cell r="G58">
            <v>0</v>
          </cell>
          <cell r="H58">
            <v>0</v>
          </cell>
          <cell r="I58">
            <v>0</v>
          </cell>
        </row>
        <row r="59">
          <cell r="A59">
            <v>160239</v>
          </cell>
          <cell r="B59" t="str">
            <v>Patrick Knapton</v>
          </cell>
          <cell r="C59" t="str">
            <v xml:space="preserve">7BPE </v>
          </cell>
          <cell r="D59">
            <v>0</v>
          </cell>
          <cell r="E59">
            <v>0</v>
          </cell>
          <cell r="F59">
            <v>27</v>
          </cell>
          <cell r="G59">
            <v>0</v>
          </cell>
          <cell r="H59">
            <v>0</v>
          </cell>
          <cell r="I59">
            <v>0</v>
          </cell>
        </row>
        <row r="60">
          <cell r="A60">
            <v>160163</v>
          </cell>
          <cell r="B60" t="str">
            <v>Elspeth Buchanan</v>
          </cell>
          <cell r="C60" t="str">
            <v>7YP</v>
          </cell>
          <cell r="D60">
            <v>0</v>
          </cell>
          <cell r="E60">
            <v>0</v>
          </cell>
          <cell r="F60">
            <v>31</v>
          </cell>
          <cell r="G60">
            <v>0</v>
          </cell>
          <cell r="H60">
            <v>0</v>
          </cell>
          <cell r="I60">
            <v>0</v>
          </cell>
        </row>
        <row r="61">
          <cell r="A61">
            <v>160213</v>
          </cell>
          <cell r="B61" t="str">
            <v>Isabelle Hambleton</v>
          </cell>
          <cell r="C61" t="str">
            <v>7WD</v>
          </cell>
          <cell r="D61">
            <v>0</v>
          </cell>
          <cell r="E61">
            <v>1</v>
          </cell>
          <cell r="F61">
            <v>33</v>
          </cell>
          <cell r="G61">
            <v>0</v>
          </cell>
          <cell r="H61">
            <v>0</v>
          </cell>
          <cell r="I61">
            <v>1</v>
          </cell>
        </row>
        <row r="62">
          <cell r="A62">
            <v>160264</v>
          </cell>
          <cell r="B62" t="str">
            <v>Dominic Molinari</v>
          </cell>
          <cell r="C62" t="str">
            <v>7LM</v>
          </cell>
          <cell r="D62">
            <v>1</v>
          </cell>
          <cell r="E62">
            <v>0</v>
          </cell>
          <cell r="F62">
            <v>20</v>
          </cell>
          <cell r="G62">
            <v>0</v>
          </cell>
          <cell r="H62">
            <v>1</v>
          </cell>
          <cell r="I62">
            <v>0</v>
          </cell>
        </row>
        <row r="63">
          <cell r="A63">
            <v>160317</v>
          </cell>
          <cell r="B63" t="str">
            <v>Dhiya Sojan</v>
          </cell>
          <cell r="C63" t="str">
            <v>7FS</v>
          </cell>
          <cell r="D63">
            <v>0</v>
          </cell>
          <cell r="E63">
            <v>0</v>
          </cell>
          <cell r="F63">
            <v>16</v>
          </cell>
          <cell r="G63">
            <v>0</v>
          </cell>
          <cell r="H63">
            <v>0</v>
          </cell>
          <cell r="I63">
            <v>0</v>
          </cell>
        </row>
        <row r="64">
          <cell r="A64">
            <v>160344</v>
          </cell>
          <cell r="B64" t="str">
            <v>Macey Wilson</v>
          </cell>
          <cell r="C64" t="str">
            <v>7AWH</v>
          </cell>
          <cell r="D64">
            <v>0</v>
          </cell>
          <cell r="E64">
            <v>0</v>
          </cell>
          <cell r="F64">
            <v>7</v>
          </cell>
          <cell r="G64">
            <v>0</v>
          </cell>
          <cell r="H64">
            <v>0</v>
          </cell>
          <cell r="I64">
            <v>0</v>
          </cell>
        </row>
        <row r="65">
          <cell r="A65">
            <v>160312</v>
          </cell>
          <cell r="B65" t="str">
            <v>Inaaya Shahid</v>
          </cell>
          <cell r="C65" t="str">
            <v xml:space="preserve">7BPE </v>
          </cell>
          <cell r="D65">
            <v>0</v>
          </cell>
          <cell r="E65">
            <v>0</v>
          </cell>
          <cell r="F65">
            <v>22</v>
          </cell>
          <cell r="G65">
            <v>0</v>
          </cell>
          <cell r="H65">
            <v>0</v>
          </cell>
          <cell r="I65">
            <v>0</v>
          </cell>
        </row>
        <row r="66">
          <cell r="A66">
            <v>160335</v>
          </cell>
          <cell r="B66" t="str">
            <v>Aidan Wade</v>
          </cell>
          <cell r="C66" t="str">
            <v>7FS</v>
          </cell>
          <cell r="D66">
            <v>0</v>
          </cell>
          <cell r="E66">
            <v>0</v>
          </cell>
          <cell r="F66">
            <v>19</v>
          </cell>
          <cell r="G66">
            <v>0</v>
          </cell>
          <cell r="H66">
            <v>0</v>
          </cell>
          <cell r="I66">
            <v>0</v>
          </cell>
        </row>
        <row r="67">
          <cell r="A67">
            <v>160322</v>
          </cell>
          <cell r="B67" t="str">
            <v>Ruby Steven</v>
          </cell>
          <cell r="C67" t="str">
            <v>7FS</v>
          </cell>
          <cell r="D67">
            <v>0</v>
          </cell>
          <cell r="E67">
            <v>0</v>
          </cell>
          <cell r="F67">
            <v>17</v>
          </cell>
          <cell r="G67">
            <v>0</v>
          </cell>
          <cell r="H67">
            <v>0</v>
          </cell>
          <cell r="I67">
            <v>0</v>
          </cell>
        </row>
        <row r="68">
          <cell r="A68">
            <v>160224</v>
          </cell>
          <cell r="B68" t="str">
            <v>Huda Ibrahim</v>
          </cell>
          <cell r="C68" t="str">
            <v>7YP</v>
          </cell>
          <cell r="D68">
            <v>0</v>
          </cell>
          <cell r="E68">
            <v>0</v>
          </cell>
          <cell r="F68">
            <v>44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160096</v>
          </cell>
          <cell r="B69" t="str">
            <v>Meerab Aqdas</v>
          </cell>
          <cell r="C69" t="str">
            <v>7AWH</v>
          </cell>
          <cell r="D69">
            <v>1</v>
          </cell>
          <cell r="E69">
            <v>1</v>
          </cell>
          <cell r="F69">
            <v>39</v>
          </cell>
          <cell r="G69">
            <v>0</v>
          </cell>
          <cell r="H69">
            <v>0</v>
          </cell>
          <cell r="I69">
            <v>1</v>
          </cell>
        </row>
        <row r="70">
          <cell r="A70">
            <v>160296</v>
          </cell>
          <cell r="B70" t="str">
            <v>Marek Pillay</v>
          </cell>
          <cell r="C70" t="str">
            <v>7ET</v>
          </cell>
          <cell r="D70">
            <v>0</v>
          </cell>
          <cell r="E70">
            <v>0</v>
          </cell>
          <cell r="F70">
            <v>17</v>
          </cell>
          <cell r="G70">
            <v>0</v>
          </cell>
          <cell r="H70">
            <v>0</v>
          </cell>
          <cell r="I70">
            <v>0</v>
          </cell>
        </row>
        <row r="71">
          <cell r="A71">
            <v>160269</v>
          </cell>
          <cell r="B71" t="str">
            <v>Kezy Muhamad</v>
          </cell>
          <cell r="C71" t="str">
            <v>7RA</v>
          </cell>
          <cell r="D71">
            <v>0</v>
          </cell>
          <cell r="E71">
            <v>0</v>
          </cell>
          <cell r="F71">
            <v>16</v>
          </cell>
          <cell r="G71">
            <v>0</v>
          </cell>
          <cell r="H71">
            <v>0</v>
          </cell>
          <cell r="I71">
            <v>0</v>
          </cell>
        </row>
        <row r="72">
          <cell r="A72">
            <v>160330</v>
          </cell>
          <cell r="B72" t="str">
            <v>Noah Thompson</v>
          </cell>
          <cell r="C72" t="str">
            <v>7YP</v>
          </cell>
          <cell r="D72">
            <v>0</v>
          </cell>
          <cell r="E72">
            <v>0</v>
          </cell>
          <cell r="F72">
            <v>23</v>
          </cell>
          <cell r="G72">
            <v>0</v>
          </cell>
          <cell r="H72">
            <v>0</v>
          </cell>
          <cell r="I72">
            <v>0</v>
          </cell>
        </row>
        <row r="73">
          <cell r="A73">
            <v>160151</v>
          </cell>
          <cell r="B73" t="str">
            <v>Holly Bell</v>
          </cell>
          <cell r="C73" t="str">
            <v>7LM</v>
          </cell>
          <cell r="D73">
            <v>0</v>
          </cell>
          <cell r="E73">
            <v>0</v>
          </cell>
          <cell r="F73">
            <v>18</v>
          </cell>
          <cell r="G73">
            <v>0</v>
          </cell>
          <cell r="H73">
            <v>0</v>
          </cell>
          <cell r="I73">
            <v>0</v>
          </cell>
        </row>
        <row r="74">
          <cell r="A74">
            <v>160334</v>
          </cell>
          <cell r="B74" t="str">
            <v>Sylvie Vas</v>
          </cell>
          <cell r="C74" t="str">
            <v>7ET</v>
          </cell>
          <cell r="D74">
            <v>0</v>
          </cell>
          <cell r="E74">
            <v>0</v>
          </cell>
          <cell r="F74">
            <v>23</v>
          </cell>
          <cell r="G74">
            <v>0</v>
          </cell>
          <cell r="H74">
            <v>0</v>
          </cell>
          <cell r="I74">
            <v>0</v>
          </cell>
        </row>
        <row r="75">
          <cell r="A75">
            <v>160284</v>
          </cell>
          <cell r="B75" t="str">
            <v>George Okoli</v>
          </cell>
          <cell r="C75" t="str">
            <v>7WD</v>
          </cell>
          <cell r="D75">
            <v>0</v>
          </cell>
          <cell r="E75">
            <v>1</v>
          </cell>
          <cell r="F75">
            <v>35</v>
          </cell>
          <cell r="G75">
            <v>0</v>
          </cell>
          <cell r="H75">
            <v>0</v>
          </cell>
          <cell r="I75">
            <v>0</v>
          </cell>
        </row>
        <row r="76">
          <cell r="A76">
            <v>160226</v>
          </cell>
          <cell r="B76" t="str">
            <v>Seya Jayasumana</v>
          </cell>
          <cell r="C76" t="str">
            <v>7LM</v>
          </cell>
          <cell r="D76">
            <v>1</v>
          </cell>
          <cell r="E76">
            <v>0</v>
          </cell>
          <cell r="F76">
            <v>16</v>
          </cell>
          <cell r="G76">
            <v>0</v>
          </cell>
          <cell r="H76">
            <v>1</v>
          </cell>
          <cell r="I76">
            <v>0</v>
          </cell>
        </row>
        <row r="77">
          <cell r="A77">
            <v>160289</v>
          </cell>
          <cell r="B77" t="str">
            <v>Stella Parnell</v>
          </cell>
          <cell r="C77" t="str">
            <v>7LM</v>
          </cell>
          <cell r="D77">
            <v>0</v>
          </cell>
          <cell r="E77">
            <v>0</v>
          </cell>
          <cell r="F77">
            <v>26</v>
          </cell>
          <cell r="G77">
            <v>0</v>
          </cell>
          <cell r="H77">
            <v>0</v>
          </cell>
          <cell r="I77">
            <v>0</v>
          </cell>
        </row>
        <row r="78">
          <cell r="A78">
            <v>160340</v>
          </cell>
          <cell r="B78" t="str">
            <v>Yi Ling Wang</v>
          </cell>
          <cell r="C78" t="str">
            <v>7ET</v>
          </cell>
          <cell r="D78">
            <v>0</v>
          </cell>
          <cell r="E78">
            <v>0</v>
          </cell>
          <cell r="F78">
            <v>19</v>
          </cell>
          <cell r="G78">
            <v>0</v>
          </cell>
          <cell r="H78">
            <v>0</v>
          </cell>
          <cell r="I78">
            <v>0</v>
          </cell>
        </row>
        <row r="79">
          <cell r="A79">
            <v>160206</v>
          </cell>
          <cell r="B79" t="str">
            <v>Cassius Green Kissoondyal</v>
          </cell>
          <cell r="C79" t="str">
            <v>7ET</v>
          </cell>
          <cell r="D79">
            <v>1</v>
          </cell>
          <cell r="E79">
            <v>0</v>
          </cell>
          <cell r="F79">
            <v>18</v>
          </cell>
          <cell r="G79">
            <v>0</v>
          </cell>
          <cell r="H79">
            <v>1</v>
          </cell>
          <cell r="I79">
            <v>0</v>
          </cell>
        </row>
        <row r="80">
          <cell r="A80">
            <v>160188</v>
          </cell>
          <cell r="B80" t="str">
            <v>Dahlia Durand</v>
          </cell>
          <cell r="C80" t="str">
            <v>7ET</v>
          </cell>
          <cell r="D80">
            <v>0</v>
          </cell>
          <cell r="E80">
            <v>0</v>
          </cell>
          <cell r="F80">
            <v>19</v>
          </cell>
          <cell r="G80">
            <v>0</v>
          </cell>
          <cell r="H80">
            <v>0</v>
          </cell>
          <cell r="I80">
            <v>0</v>
          </cell>
        </row>
        <row r="81">
          <cell r="A81">
            <v>160268</v>
          </cell>
          <cell r="B81" t="str">
            <v>Thomas Moore</v>
          </cell>
          <cell r="C81" t="str">
            <v>7LM</v>
          </cell>
          <cell r="D81">
            <v>0</v>
          </cell>
          <cell r="E81">
            <v>0</v>
          </cell>
          <cell r="F81">
            <v>17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160153</v>
          </cell>
          <cell r="B82" t="str">
            <v>Nathan Bereket</v>
          </cell>
          <cell r="C82" t="str">
            <v xml:space="preserve">7BPE </v>
          </cell>
          <cell r="D82">
            <v>1</v>
          </cell>
          <cell r="E82">
            <v>0</v>
          </cell>
          <cell r="F82">
            <v>25</v>
          </cell>
          <cell r="G82">
            <v>0</v>
          </cell>
          <cell r="H82">
            <v>1</v>
          </cell>
          <cell r="I82">
            <v>0</v>
          </cell>
        </row>
        <row r="83">
          <cell r="A83">
            <v>160308</v>
          </cell>
          <cell r="B83" t="str">
            <v>Mateusz Salata</v>
          </cell>
          <cell r="C83" t="str">
            <v>7RA</v>
          </cell>
          <cell r="D83">
            <v>0</v>
          </cell>
          <cell r="E83">
            <v>1</v>
          </cell>
          <cell r="F83">
            <v>17</v>
          </cell>
          <cell r="G83">
            <v>0</v>
          </cell>
          <cell r="H83">
            <v>0</v>
          </cell>
          <cell r="I83">
            <v>0</v>
          </cell>
        </row>
        <row r="84">
          <cell r="A84">
            <v>160198</v>
          </cell>
          <cell r="B84" t="str">
            <v>Ephrata Getahun</v>
          </cell>
          <cell r="C84" t="str">
            <v xml:space="preserve">7BPE </v>
          </cell>
          <cell r="D84">
            <v>0</v>
          </cell>
          <cell r="E84">
            <v>0</v>
          </cell>
          <cell r="F84">
            <v>23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160300</v>
          </cell>
          <cell r="B85" t="str">
            <v>Daniel Rex</v>
          </cell>
          <cell r="C85" t="str">
            <v>7ET</v>
          </cell>
          <cell r="D85">
            <v>1</v>
          </cell>
          <cell r="E85">
            <v>0</v>
          </cell>
          <cell r="F85">
            <v>15</v>
          </cell>
          <cell r="G85">
            <v>0</v>
          </cell>
          <cell r="H85">
            <v>1</v>
          </cell>
          <cell r="I85">
            <v>0</v>
          </cell>
        </row>
        <row r="86">
          <cell r="A86">
            <v>160179</v>
          </cell>
          <cell r="B86" t="str">
            <v>Thomas Cordon</v>
          </cell>
          <cell r="C86" t="str">
            <v>7WD</v>
          </cell>
          <cell r="D86">
            <v>0</v>
          </cell>
          <cell r="E86">
            <v>0</v>
          </cell>
          <cell r="F86">
            <v>36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160165</v>
          </cell>
          <cell r="B87" t="str">
            <v>William Bullivant</v>
          </cell>
          <cell r="C87" t="str">
            <v>7WD</v>
          </cell>
          <cell r="D87">
            <v>0</v>
          </cell>
          <cell r="E87">
            <v>0</v>
          </cell>
          <cell r="F87">
            <v>36</v>
          </cell>
          <cell r="G87">
            <v>0</v>
          </cell>
          <cell r="H87">
            <v>0</v>
          </cell>
          <cell r="I87">
            <v>0</v>
          </cell>
        </row>
        <row r="88">
          <cell r="A88">
            <v>160255</v>
          </cell>
          <cell r="B88" t="str">
            <v>Nina Markova</v>
          </cell>
          <cell r="C88" t="str">
            <v>7RA</v>
          </cell>
          <cell r="D88">
            <v>0</v>
          </cell>
          <cell r="E88">
            <v>2</v>
          </cell>
          <cell r="F88">
            <v>16</v>
          </cell>
          <cell r="G88">
            <v>0</v>
          </cell>
          <cell r="H88">
            <v>0</v>
          </cell>
          <cell r="I88">
            <v>1</v>
          </cell>
        </row>
        <row r="89">
          <cell r="A89">
            <v>160203</v>
          </cell>
          <cell r="B89" t="str">
            <v>Matthew Goodman</v>
          </cell>
          <cell r="C89" t="str">
            <v xml:space="preserve">7BPE </v>
          </cell>
          <cell r="D89">
            <v>0</v>
          </cell>
          <cell r="E89">
            <v>1</v>
          </cell>
          <cell r="F89">
            <v>22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160209</v>
          </cell>
          <cell r="B90" t="str">
            <v>Solyana Hadgu</v>
          </cell>
          <cell r="C90" t="str">
            <v>7LM</v>
          </cell>
          <cell r="D90">
            <v>1</v>
          </cell>
          <cell r="E90">
            <v>0</v>
          </cell>
          <cell r="F90">
            <v>16</v>
          </cell>
          <cell r="G90">
            <v>0</v>
          </cell>
          <cell r="H90">
            <v>1</v>
          </cell>
          <cell r="I90">
            <v>0</v>
          </cell>
        </row>
        <row r="91">
          <cell r="A91">
            <v>160154</v>
          </cell>
          <cell r="B91" t="str">
            <v>Victoria Bieniek</v>
          </cell>
          <cell r="C91" t="str">
            <v>7YP</v>
          </cell>
          <cell r="D91">
            <v>0</v>
          </cell>
          <cell r="E91">
            <v>0</v>
          </cell>
          <cell r="F91">
            <v>38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160195</v>
          </cell>
          <cell r="B92" t="str">
            <v>Joseph Galligan</v>
          </cell>
          <cell r="C92" t="str">
            <v>7ET</v>
          </cell>
          <cell r="D92">
            <v>1</v>
          </cell>
          <cell r="E92">
            <v>0</v>
          </cell>
          <cell r="F92">
            <v>18</v>
          </cell>
          <cell r="G92">
            <v>0</v>
          </cell>
          <cell r="H92">
            <v>1</v>
          </cell>
          <cell r="I92">
            <v>0</v>
          </cell>
        </row>
        <row r="93">
          <cell r="A93">
            <v>160197</v>
          </cell>
          <cell r="B93" t="str">
            <v>Holly George</v>
          </cell>
          <cell r="C93" t="str">
            <v>7YP</v>
          </cell>
          <cell r="D93">
            <v>0</v>
          </cell>
          <cell r="E93">
            <v>0</v>
          </cell>
          <cell r="F93">
            <v>20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160321</v>
          </cell>
          <cell r="B94" t="str">
            <v>Dylan Steenson</v>
          </cell>
          <cell r="C94" t="str">
            <v>7WD</v>
          </cell>
          <cell r="D94">
            <v>0</v>
          </cell>
          <cell r="E94">
            <v>0</v>
          </cell>
          <cell r="F94">
            <v>30</v>
          </cell>
          <cell r="G94">
            <v>0</v>
          </cell>
          <cell r="H94">
            <v>0</v>
          </cell>
          <cell r="I94">
            <v>0</v>
          </cell>
        </row>
        <row r="95">
          <cell r="A95">
            <v>160283</v>
          </cell>
          <cell r="B95" t="str">
            <v>Yorchi Okey-Umeh</v>
          </cell>
          <cell r="C95" t="str">
            <v>7RA</v>
          </cell>
          <cell r="D95">
            <v>1</v>
          </cell>
          <cell r="E95">
            <v>2</v>
          </cell>
          <cell r="F95">
            <v>20</v>
          </cell>
          <cell r="G95">
            <v>0</v>
          </cell>
          <cell r="H95">
            <v>1</v>
          </cell>
          <cell r="I95">
            <v>0</v>
          </cell>
        </row>
        <row r="96">
          <cell r="A96">
            <v>160260</v>
          </cell>
          <cell r="B96" t="str">
            <v>Simon Mehari</v>
          </cell>
          <cell r="C96" t="str">
            <v>7AWH</v>
          </cell>
          <cell r="D96">
            <v>0</v>
          </cell>
          <cell r="E96">
            <v>0</v>
          </cell>
          <cell r="F96">
            <v>38</v>
          </cell>
          <cell r="G96">
            <v>0</v>
          </cell>
          <cell r="H96">
            <v>0</v>
          </cell>
          <cell r="I96">
            <v>0</v>
          </cell>
        </row>
        <row r="97">
          <cell r="A97">
            <v>160245</v>
          </cell>
          <cell r="B97" t="str">
            <v>Annabelle Leo</v>
          </cell>
          <cell r="C97" t="str">
            <v xml:space="preserve">7BPE </v>
          </cell>
          <cell r="D97">
            <v>0</v>
          </cell>
          <cell r="E97">
            <v>0</v>
          </cell>
          <cell r="F97">
            <v>26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160192</v>
          </cell>
          <cell r="B98" t="str">
            <v>Aaron Fontanelli</v>
          </cell>
          <cell r="C98" t="str">
            <v xml:space="preserve">7BPE </v>
          </cell>
          <cell r="D98">
            <v>0</v>
          </cell>
          <cell r="E98">
            <v>0</v>
          </cell>
          <cell r="F98">
            <v>24</v>
          </cell>
          <cell r="G98">
            <v>0</v>
          </cell>
          <cell r="H98">
            <v>0</v>
          </cell>
          <cell r="I98">
            <v>0</v>
          </cell>
        </row>
        <row r="99">
          <cell r="A99">
            <v>160345</v>
          </cell>
          <cell r="B99" t="str">
            <v>Vernon Wilson</v>
          </cell>
          <cell r="C99" t="str">
            <v>7RA</v>
          </cell>
          <cell r="D99">
            <v>0</v>
          </cell>
          <cell r="E99">
            <v>0</v>
          </cell>
          <cell r="F99">
            <v>21</v>
          </cell>
          <cell r="G99">
            <v>0</v>
          </cell>
          <cell r="H99">
            <v>0</v>
          </cell>
          <cell r="I99">
            <v>0</v>
          </cell>
        </row>
        <row r="100">
          <cell r="A100">
            <v>160293</v>
          </cell>
          <cell r="B100" t="str">
            <v>Lucia Penkethman</v>
          </cell>
          <cell r="C100" t="str">
            <v>7AWH</v>
          </cell>
          <cell r="D100">
            <v>1</v>
          </cell>
          <cell r="E100">
            <v>0</v>
          </cell>
          <cell r="F100">
            <v>31</v>
          </cell>
          <cell r="G100">
            <v>0</v>
          </cell>
          <cell r="H100">
            <v>1</v>
          </cell>
          <cell r="I100">
            <v>0</v>
          </cell>
        </row>
        <row r="101">
          <cell r="A101">
            <v>160218</v>
          </cell>
          <cell r="B101" t="str">
            <v>Jack Hayes</v>
          </cell>
          <cell r="C101" t="str">
            <v>7AWH</v>
          </cell>
          <cell r="D101">
            <v>1</v>
          </cell>
          <cell r="E101">
            <v>0</v>
          </cell>
          <cell r="F101">
            <v>37</v>
          </cell>
          <cell r="G101">
            <v>0</v>
          </cell>
          <cell r="H101">
            <v>1</v>
          </cell>
          <cell r="I101">
            <v>0</v>
          </cell>
        </row>
        <row r="102">
          <cell r="A102">
            <v>160187</v>
          </cell>
          <cell r="B102" t="str">
            <v>Anannya Duarah</v>
          </cell>
          <cell r="C102" t="str">
            <v>7ET</v>
          </cell>
          <cell r="D102">
            <v>0</v>
          </cell>
          <cell r="E102">
            <v>0</v>
          </cell>
          <cell r="F102">
            <v>18</v>
          </cell>
          <cell r="G102">
            <v>0</v>
          </cell>
          <cell r="H102">
            <v>0</v>
          </cell>
          <cell r="I102">
            <v>0</v>
          </cell>
        </row>
        <row r="103">
          <cell r="A103">
            <v>160204</v>
          </cell>
          <cell r="B103" t="str">
            <v>Freya Gould</v>
          </cell>
          <cell r="C103" t="str">
            <v>7RA</v>
          </cell>
          <cell r="D103">
            <v>0</v>
          </cell>
          <cell r="E103">
            <v>0</v>
          </cell>
          <cell r="F103">
            <v>18</v>
          </cell>
          <cell r="G103">
            <v>0</v>
          </cell>
          <cell r="H103">
            <v>0</v>
          </cell>
          <cell r="I103">
            <v>0</v>
          </cell>
        </row>
        <row r="104">
          <cell r="A104">
            <v>160172</v>
          </cell>
          <cell r="B104" t="str">
            <v>Taila Chisala</v>
          </cell>
          <cell r="C104" t="str">
            <v>7LM</v>
          </cell>
          <cell r="D104">
            <v>1</v>
          </cell>
          <cell r="E104">
            <v>0</v>
          </cell>
          <cell r="F104">
            <v>22</v>
          </cell>
          <cell r="G104">
            <v>0</v>
          </cell>
          <cell r="H104">
            <v>1</v>
          </cell>
          <cell r="I104">
            <v>0</v>
          </cell>
        </row>
        <row r="105">
          <cell r="A105">
            <v>160298</v>
          </cell>
          <cell r="B105" t="str">
            <v>Abigail Ramshaw</v>
          </cell>
          <cell r="C105" t="str">
            <v>7ET</v>
          </cell>
          <cell r="D105">
            <v>0</v>
          </cell>
          <cell r="E105">
            <v>0</v>
          </cell>
          <cell r="F105">
            <v>17</v>
          </cell>
          <cell r="G105">
            <v>0</v>
          </cell>
          <cell r="H105">
            <v>0</v>
          </cell>
          <cell r="I105">
            <v>0</v>
          </cell>
        </row>
        <row r="106">
          <cell r="A106">
            <v>160223</v>
          </cell>
          <cell r="B106" t="str">
            <v>Amy Huang</v>
          </cell>
          <cell r="C106" t="str">
            <v>7WD</v>
          </cell>
          <cell r="D106">
            <v>0</v>
          </cell>
          <cell r="E106">
            <v>0</v>
          </cell>
          <cell r="F106">
            <v>26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160351</v>
          </cell>
          <cell r="B107" t="str">
            <v>Lidya Zeru</v>
          </cell>
          <cell r="C107" t="str">
            <v>7FS</v>
          </cell>
          <cell r="D107">
            <v>0</v>
          </cell>
          <cell r="E107">
            <v>0</v>
          </cell>
          <cell r="F107">
            <v>24</v>
          </cell>
          <cell r="G107">
            <v>0</v>
          </cell>
          <cell r="H107">
            <v>0</v>
          </cell>
          <cell r="I107">
            <v>0</v>
          </cell>
        </row>
        <row r="108">
          <cell r="A108">
            <v>160225</v>
          </cell>
          <cell r="B108" t="str">
            <v>Stefania Jankowska</v>
          </cell>
          <cell r="C108" t="str">
            <v>7WD</v>
          </cell>
          <cell r="D108">
            <v>0</v>
          </cell>
          <cell r="E108">
            <v>0</v>
          </cell>
          <cell r="F108">
            <v>28</v>
          </cell>
          <cell r="G108">
            <v>0</v>
          </cell>
          <cell r="H108">
            <v>0</v>
          </cell>
          <cell r="I108">
            <v>0</v>
          </cell>
        </row>
        <row r="109">
          <cell r="A109">
            <v>160177</v>
          </cell>
          <cell r="B109" t="str">
            <v>Caoimhe Conlisk</v>
          </cell>
          <cell r="C109" t="str">
            <v xml:space="preserve">7BPE </v>
          </cell>
          <cell r="D109">
            <v>0</v>
          </cell>
          <cell r="E109">
            <v>0</v>
          </cell>
          <cell r="F109">
            <v>26</v>
          </cell>
          <cell r="G109">
            <v>0</v>
          </cell>
          <cell r="H109">
            <v>0</v>
          </cell>
          <cell r="I109">
            <v>0</v>
          </cell>
        </row>
        <row r="110">
          <cell r="A110">
            <v>160230</v>
          </cell>
          <cell r="B110" t="str">
            <v>Josiane Kabeya Nkanku</v>
          </cell>
          <cell r="C110" t="str">
            <v>7YP</v>
          </cell>
          <cell r="D110">
            <v>4</v>
          </cell>
          <cell r="E110">
            <v>1</v>
          </cell>
          <cell r="F110">
            <v>23</v>
          </cell>
          <cell r="G110">
            <v>0</v>
          </cell>
          <cell r="H110">
            <v>1</v>
          </cell>
          <cell r="I110">
            <v>1</v>
          </cell>
        </row>
        <row r="111">
          <cell r="A111">
            <v>160149</v>
          </cell>
          <cell r="B111" t="str">
            <v>Jamie Barratt</v>
          </cell>
          <cell r="C111" t="str">
            <v>7WD</v>
          </cell>
          <cell r="D111">
            <v>0</v>
          </cell>
          <cell r="E111">
            <v>0</v>
          </cell>
          <cell r="F111">
            <v>37</v>
          </cell>
          <cell r="G111">
            <v>0</v>
          </cell>
          <cell r="H111">
            <v>0</v>
          </cell>
          <cell r="I111">
            <v>0</v>
          </cell>
        </row>
        <row r="112">
          <cell r="A112">
            <v>160281</v>
          </cell>
          <cell r="B112" t="str">
            <v>Amanda Obinani</v>
          </cell>
          <cell r="C112" t="str">
            <v>7FS</v>
          </cell>
          <cell r="D112">
            <v>0</v>
          </cell>
          <cell r="E112">
            <v>0</v>
          </cell>
          <cell r="F112">
            <v>15</v>
          </cell>
          <cell r="G112">
            <v>0</v>
          </cell>
          <cell r="H112">
            <v>0</v>
          </cell>
          <cell r="I112">
            <v>0</v>
          </cell>
        </row>
        <row r="113">
          <cell r="A113">
            <v>160305</v>
          </cell>
          <cell r="B113" t="str">
            <v>Maddison Rushton-Smith</v>
          </cell>
          <cell r="C113" t="str">
            <v>7LM</v>
          </cell>
          <cell r="D113">
            <v>5</v>
          </cell>
          <cell r="E113">
            <v>1</v>
          </cell>
          <cell r="F113">
            <v>15</v>
          </cell>
          <cell r="G113">
            <v>1</v>
          </cell>
          <cell r="H113">
            <v>4</v>
          </cell>
          <cell r="I113">
            <v>0</v>
          </cell>
        </row>
        <row r="114">
          <cell r="A114">
            <v>160217</v>
          </cell>
          <cell r="B114" t="str">
            <v>Ella Hawkins</v>
          </cell>
          <cell r="C114" t="str">
            <v>7FS</v>
          </cell>
          <cell r="D114">
            <v>0</v>
          </cell>
          <cell r="E114">
            <v>0</v>
          </cell>
          <cell r="F114">
            <v>14</v>
          </cell>
          <cell r="G114">
            <v>0</v>
          </cell>
          <cell r="H114">
            <v>0</v>
          </cell>
          <cell r="I114">
            <v>0</v>
          </cell>
        </row>
        <row r="115">
          <cell r="A115">
            <v>160196</v>
          </cell>
          <cell r="B115" t="str">
            <v>Ivy Gao</v>
          </cell>
          <cell r="C115" t="str">
            <v>7FS</v>
          </cell>
          <cell r="D115">
            <v>0</v>
          </cell>
          <cell r="E115">
            <v>0</v>
          </cell>
          <cell r="F115">
            <v>21</v>
          </cell>
          <cell r="G115">
            <v>0</v>
          </cell>
          <cell r="H115">
            <v>0</v>
          </cell>
          <cell r="I115">
            <v>0</v>
          </cell>
        </row>
        <row r="116">
          <cell r="A116">
            <v>160282</v>
          </cell>
          <cell r="B116" t="str">
            <v>David Odudu</v>
          </cell>
          <cell r="C116" t="str">
            <v>7FS</v>
          </cell>
          <cell r="D116">
            <v>0</v>
          </cell>
          <cell r="E116">
            <v>1</v>
          </cell>
          <cell r="F116">
            <v>23</v>
          </cell>
          <cell r="G116">
            <v>0</v>
          </cell>
          <cell r="H116">
            <v>0</v>
          </cell>
          <cell r="I116">
            <v>1</v>
          </cell>
        </row>
        <row r="117">
          <cell r="A117">
            <v>160193</v>
          </cell>
          <cell r="B117" t="str">
            <v>Ruaridh Forsythe</v>
          </cell>
          <cell r="C117" t="str">
            <v>7WD</v>
          </cell>
          <cell r="D117">
            <v>0</v>
          </cell>
          <cell r="E117">
            <v>0</v>
          </cell>
          <cell r="F117">
            <v>32</v>
          </cell>
          <cell r="G117">
            <v>0</v>
          </cell>
          <cell r="H117">
            <v>0</v>
          </cell>
          <cell r="I117">
            <v>0</v>
          </cell>
        </row>
        <row r="118">
          <cell r="A118">
            <v>160147</v>
          </cell>
          <cell r="B118" t="str">
            <v>Olivia Bancer</v>
          </cell>
          <cell r="C118" t="str">
            <v>7FS</v>
          </cell>
          <cell r="D118">
            <v>0</v>
          </cell>
          <cell r="E118">
            <v>0</v>
          </cell>
          <cell r="F118">
            <v>25</v>
          </cell>
          <cell r="G118">
            <v>0</v>
          </cell>
          <cell r="H118">
            <v>0</v>
          </cell>
          <cell r="I118">
            <v>0</v>
          </cell>
        </row>
        <row r="119">
          <cell r="A119">
            <v>160254</v>
          </cell>
          <cell r="B119" t="str">
            <v>Tadiwanashe Mapara</v>
          </cell>
          <cell r="C119" t="str">
            <v>7RA</v>
          </cell>
          <cell r="D119">
            <v>0</v>
          </cell>
          <cell r="E119">
            <v>1</v>
          </cell>
          <cell r="F119">
            <v>17</v>
          </cell>
          <cell r="G119">
            <v>0</v>
          </cell>
          <cell r="H119">
            <v>0</v>
          </cell>
          <cell r="I119">
            <v>1</v>
          </cell>
        </row>
        <row r="120">
          <cell r="A120">
            <v>160109</v>
          </cell>
          <cell r="B120" t="str">
            <v>Mohammed Asad</v>
          </cell>
          <cell r="C120" t="str">
            <v>7WD</v>
          </cell>
          <cell r="D120">
            <v>0</v>
          </cell>
          <cell r="E120">
            <v>0</v>
          </cell>
          <cell r="F120">
            <v>37</v>
          </cell>
          <cell r="G120">
            <v>0</v>
          </cell>
          <cell r="H120">
            <v>0</v>
          </cell>
          <cell r="I120">
            <v>0</v>
          </cell>
        </row>
        <row r="121">
          <cell r="A121">
            <v>160145</v>
          </cell>
          <cell r="B121" t="str">
            <v>Kadija Bah</v>
          </cell>
          <cell r="C121" t="str">
            <v>7WD</v>
          </cell>
          <cell r="D121">
            <v>0</v>
          </cell>
          <cell r="E121">
            <v>0</v>
          </cell>
          <cell r="F121">
            <v>36</v>
          </cell>
          <cell r="G121">
            <v>0</v>
          </cell>
          <cell r="H121">
            <v>0</v>
          </cell>
          <cell r="I121">
            <v>0</v>
          </cell>
        </row>
        <row r="122">
          <cell r="A122">
            <v>160240</v>
          </cell>
          <cell r="B122" t="str">
            <v>Sara Kolarczyk</v>
          </cell>
          <cell r="C122" t="str">
            <v xml:space="preserve">7BPE </v>
          </cell>
          <cell r="D122">
            <v>0</v>
          </cell>
          <cell r="E122">
            <v>0</v>
          </cell>
          <cell r="F122">
            <v>21</v>
          </cell>
          <cell r="G122">
            <v>0</v>
          </cell>
          <cell r="H122">
            <v>0</v>
          </cell>
          <cell r="I122">
            <v>0</v>
          </cell>
        </row>
        <row r="123">
          <cell r="A123">
            <v>160320</v>
          </cell>
          <cell r="B123" t="str">
            <v>Dilys Stanley</v>
          </cell>
          <cell r="C123" t="str">
            <v>7RA</v>
          </cell>
          <cell r="D123">
            <v>0</v>
          </cell>
          <cell r="E123">
            <v>0</v>
          </cell>
          <cell r="F123">
            <v>21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160294</v>
          </cell>
          <cell r="B124" t="str">
            <v>Alwyn Philip</v>
          </cell>
          <cell r="C124" t="str">
            <v>7ET</v>
          </cell>
          <cell r="D124">
            <v>1</v>
          </cell>
          <cell r="E124">
            <v>0</v>
          </cell>
          <cell r="F124">
            <v>19</v>
          </cell>
          <cell r="G124">
            <v>0</v>
          </cell>
          <cell r="H124">
            <v>1</v>
          </cell>
          <cell r="I124">
            <v>0</v>
          </cell>
        </row>
        <row r="125">
          <cell r="A125">
            <v>160257</v>
          </cell>
          <cell r="B125" t="str">
            <v>Riley Marrison</v>
          </cell>
          <cell r="C125" t="str">
            <v>7WD</v>
          </cell>
          <cell r="D125">
            <v>0</v>
          </cell>
          <cell r="E125">
            <v>1</v>
          </cell>
          <cell r="F125">
            <v>29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160350</v>
          </cell>
          <cell r="B126" t="str">
            <v>Philemon Yemane</v>
          </cell>
          <cell r="C126" t="str">
            <v>7AWH</v>
          </cell>
          <cell r="D126">
            <v>1</v>
          </cell>
          <cell r="E126">
            <v>0</v>
          </cell>
          <cell r="F126">
            <v>37</v>
          </cell>
          <cell r="G126">
            <v>0</v>
          </cell>
          <cell r="H126">
            <v>1</v>
          </cell>
          <cell r="I126">
            <v>0</v>
          </cell>
        </row>
        <row r="127">
          <cell r="A127">
            <v>160152</v>
          </cell>
          <cell r="B127" t="str">
            <v>Daniel Bellamy</v>
          </cell>
          <cell r="C127" t="str">
            <v>7FS</v>
          </cell>
          <cell r="D127">
            <v>0</v>
          </cell>
          <cell r="E127">
            <v>0</v>
          </cell>
          <cell r="F127">
            <v>20</v>
          </cell>
          <cell r="G127">
            <v>0</v>
          </cell>
          <cell r="H127">
            <v>0</v>
          </cell>
          <cell r="I127">
            <v>0</v>
          </cell>
        </row>
        <row r="128">
          <cell r="A128">
            <v>160332</v>
          </cell>
          <cell r="B128" t="str">
            <v>Kate Tsiklaury</v>
          </cell>
          <cell r="C128" t="str">
            <v>7FS</v>
          </cell>
          <cell r="D128">
            <v>0</v>
          </cell>
          <cell r="E128">
            <v>0</v>
          </cell>
          <cell r="F128">
            <v>19</v>
          </cell>
          <cell r="G128">
            <v>0</v>
          </cell>
          <cell r="H128">
            <v>0</v>
          </cell>
          <cell r="I128">
            <v>0</v>
          </cell>
        </row>
        <row r="129">
          <cell r="A129">
            <v>160189</v>
          </cell>
          <cell r="B129" t="str">
            <v>Ava Evans</v>
          </cell>
          <cell r="C129" t="str">
            <v>7WD</v>
          </cell>
          <cell r="D129">
            <v>0</v>
          </cell>
          <cell r="E129">
            <v>0</v>
          </cell>
          <cell r="F129">
            <v>38</v>
          </cell>
          <cell r="G129">
            <v>0</v>
          </cell>
          <cell r="H129">
            <v>0</v>
          </cell>
          <cell r="I129">
            <v>0</v>
          </cell>
        </row>
        <row r="130">
          <cell r="A130">
            <v>160175</v>
          </cell>
          <cell r="B130" t="str">
            <v>Oliver Clarke</v>
          </cell>
          <cell r="C130" t="str">
            <v>7YP</v>
          </cell>
          <cell r="D130">
            <v>12</v>
          </cell>
          <cell r="E130">
            <v>0</v>
          </cell>
          <cell r="F130">
            <v>19</v>
          </cell>
          <cell r="G130">
            <v>1</v>
          </cell>
          <cell r="H130">
            <v>11</v>
          </cell>
          <cell r="I130">
            <v>0</v>
          </cell>
        </row>
        <row r="131">
          <cell r="A131">
            <v>160343</v>
          </cell>
          <cell r="B131" t="str">
            <v>Molly Wildgoose</v>
          </cell>
          <cell r="C131" t="str">
            <v>7ET</v>
          </cell>
          <cell r="D131">
            <v>0</v>
          </cell>
          <cell r="E131">
            <v>0</v>
          </cell>
          <cell r="F131">
            <v>18</v>
          </cell>
          <cell r="G131">
            <v>0</v>
          </cell>
          <cell r="H131">
            <v>0</v>
          </cell>
          <cell r="I131">
            <v>0</v>
          </cell>
        </row>
        <row r="132">
          <cell r="A132">
            <v>160232</v>
          </cell>
          <cell r="B132" t="str">
            <v>Natan Karlowicz</v>
          </cell>
          <cell r="C132" t="str">
            <v xml:space="preserve">7BPE </v>
          </cell>
          <cell r="D132">
            <v>0</v>
          </cell>
          <cell r="E132">
            <v>1</v>
          </cell>
          <cell r="F132">
            <v>28</v>
          </cell>
          <cell r="G132">
            <v>0</v>
          </cell>
          <cell r="H132">
            <v>0</v>
          </cell>
          <cell r="I132">
            <v>0</v>
          </cell>
        </row>
        <row r="133">
          <cell r="A133">
            <v>160221</v>
          </cell>
          <cell r="B133" t="str">
            <v>Matilda Horridge</v>
          </cell>
          <cell r="C133" t="str">
            <v>7AWH</v>
          </cell>
          <cell r="D133">
            <v>0</v>
          </cell>
          <cell r="E133">
            <v>1</v>
          </cell>
          <cell r="F133">
            <v>38</v>
          </cell>
          <cell r="G133">
            <v>0</v>
          </cell>
          <cell r="H133">
            <v>0</v>
          </cell>
          <cell r="I133">
            <v>1</v>
          </cell>
        </row>
        <row r="134">
          <cell r="A134">
            <v>160176</v>
          </cell>
          <cell r="B134" t="str">
            <v>Maisie Coates</v>
          </cell>
          <cell r="C134" t="str">
            <v>7RA</v>
          </cell>
          <cell r="D134">
            <v>3</v>
          </cell>
          <cell r="E134">
            <v>2</v>
          </cell>
          <cell r="F134">
            <v>19</v>
          </cell>
          <cell r="G134">
            <v>0</v>
          </cell>
          <cell r="H134">
            <v>3</v>
          </cell>
          <cell r="I134">
            <v>1</v>
          </cell>
        </row>
        <row r="135">
          <cell r="A135">
            <v>160191</v>
          </cell>
          <cell r="B135" t="str">
            <v>Caoimhe Fitzpatrick</v>
          </cell>
          <cell r="C135" t="str">
            <v>7FS</v>
          </cell>
          <cell r="D135">
            <v>0</v>
          </cell>
          <cell r="E135">
            <v>0</v>
          </cell>
          <cell r="F135">
            <v>18</v>
          </cell>
          <cell r="G135">
            <v>0</v>
          </cell>
          <cell r="H135">
            <v>0</v>
          </cell>
          <cell r="I135">
            <v>0</v>
          </cell>
        </row>
        <row r="136">
          <cell r="A136">
            <v>160211</v>
          </cell>
          <cell r="B136" t="str">
            <v>Jason Hall</v>
          </cell>
          <cell r="C136" t="str">
            <v>7FS</v>
          </cell>
          <cell r="D136">
            <v>0</v>
          </cell>
          <cell r="E136">
            <v>0</v>
          </cell>
          <cell r="F136">
            <v>15</v>
          </cell>
          <cell r="G136">
            <v>0</v>
          </cell>
          <cell r="H136">
            <v>0</v>
          </cell>
          <cell r="I136">
            <v>0</v>
          </cell>
        </row>
        <row r="137">
          <cell r="A137">
            <v>160295</v>
          </cell>
          <cell r="B137" t="str">
            <v>Lilly Pickstone</v>
          </cell>
          <cell r="C137" t="str">
            <v>7FS</v>
          </cell>
          <cell r="D137">
            <v>0</v>
          </cell>
          <cell r="E137">
            <v>0</v>
          </cell>
          <cell r="F137">
            <v>17</v>
          </cell>
          <cell r="G137">
            <v>0</v>
          </cell>
          <cell r="H137">
            <v>0</v>
          </cell>
          <cell r="I137">
            <v>0</v>
          </cell>
        </row>
        <row r="138">
          <cell r="A138">
            <v>160158</v>
          </cell>
          <cell r="B138" t="str">
            <v>Alexander Bower</v>
          </cell>
          <cell r="C138" t="str">
            <v>7WD</v>
          </cell>
          <cell r="D138">
            <v>0</v>
          </cell>
          <cell r="E138">
            <v>0</v>
          </cell>
          <cell r="F138">
            <v>32</v>
          </cell>
          <cell r="G138">
            <v>0</v>
          </cell>
          <cell r="H138">
            <v>0</v>
          </cell>
          <cell r="I138">
            <v>0</v>
          </cell>
        </row>
        <row r="139">
          <cell r="A139">
            <v>160186</v>
          </cell>
          <cell r="B139" t="str">
            <v>Marc Dressler Quintana</v>
          </cell>
          <cell r="C139" t="str">
            <v>7ET</v>
          </cell>
          <cell r="D139">
            <v>0</v>
          </cell>
          <cell r="E139">
            <v>0</v>
          </cell>
          <cell r="F139">
            <v>22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160243</v>
          </cell>
          <cell r="B140" t="str">
            <v>Isabella Laing</v>
          </cell>
          <cell r="C140" t="str">
            <v xml:space="preserve">7BPE </v>
          </cell>
          <cell r="D140">
            <v>0</v>
          </cell>
          <cell r="E140">
            <v>0</v>
          </cell>
          <cell r="F140">
            <v>28</v>
          </cell>
          <cell r="G140">
            <v>0</v>
          </cell>
          <cell r="H140">
            <v>0</v>
          </cell>
          <cell r="I140">
            <v>0</v>
          </cell>
        </row>
        <row r="141">
          <cell r="A141">
            <v>160262</v>
          </cell>
          <cell r="B141" t="str">
            <v>Naomi Misghina</v>
          </cell>
          <cell r="C141" t="str">
            <v>7RA</v>
          </cell>
          <cell r="D141">
            <v>0</v>
          </cell>
          <cell r="E141">
            <v>0</v>
          </cell>
          <cell r="F141">
            <v>26</v>
          </cell>
          <cell r="G141">
            <v>0</v>
          </cell>
          <cell r="H141">
            <v>0</v>
          </cell>
          <cell r="I141">
            <v>0</v>
          </cell>
        </row>
        <row r="142">
          <cell r="A142">
            <v>160306</v>
          </cell>
          <cell r="B142" t="str">
            <v>Luca Russell</v>
          </cell>
          <cell r="C142" t="str">
            <v>7YP</v>
          </cell>
          <cell r="D142">
            <v>0</v>
          </cell>
          <cell r="E142">
            <v>0</v>
          </cell>
          <cell r="F142">
            <v>37</v>
          </cell>
          <cell r="G142">
            <v>0</v>
          </cell>
          <cell r="H142">
            <v>0</v>
          </cell>
          <cell r="I142">
            <v>0</v>
          </cell>
        </row>
        <row r="143">
          <cell r="A143">
            <v>160148</v>
          </cell>
          <cell r="B143" t="str">
            <v>Benjamin Barratt</v>
          </cell>
          <cell r="C143" t="str">
            <v>7WD</v>
          </cell>
          <cell r="D143">
            <v>0</v>
          </cell>
          <cell r="E143">
            <v>0</v>
          </cell>
          <cell r="F143">
            <v>26</v>
          </cell>
          <cell r="G143">
            <v>0</v>
          </cell>
          <cell r="H143">
            <v>0</v>
          </cell>
          <cell r="I143">
            <v>0</v>
          </cell>
        </row>
        <row r="144">
          <cell r="A144">
            <v>160292</v>
          </cell>
          <cell r="B144" t="str">
            <v>Georgina Peat</v>
          </cell>
          <cell r="C144" t="str">
            <v>7AWH</v>
          </cell>
          <cell r="D144">
            <v>0</v>
          </cell>
          <cell r="E144">
            <v>0</v>
          </cell>
          <cell r="F144">
            <v>34</v>
          </cell>
          <cell r="G144">
            <v>0</v>
          </cell>
          <cell r="H144">
            <v>0</v>
          </cell>
          <cell r="I144">
            <v>0</v>
          </cell>
        </row>
        <row r="145">
          <cell r="A145">
            <v>160252</v>
          </cell>
          <cell r="B145" t="str">
            <v>Zakariah Manur</v>
          </cell>
          <cell r="C145" t="str">
            <v>7RA</v>
          </cell>
          <cell r="D145">
            <v>5</v>
          </cell>
          <cell r="E145">
            <v>2</v>
          </cell>
          <cell r="F145">
            <v>16</v>
          </cell>
          <cell r="G145">
            <v>0</v>
          </cell>
          <cell r="H145">
            <v>5</v>
          </cell>
          <cell r="I145">
            <v>1</v>
          </cell>
        </row>
        <row r="146">
          <cell r="A146">
            <v>160180</v>
          </cell>
          <cell r="B146" t="str">
            <v>Reuben Cox</v>
          </cell>
          <cell r="C146" t="str">
            <v>7RA</v>
          </cell>
          <cell r="D146">
            <v>3</v>
          </cell>
          <cell r="E146">
            <v>2</v>
          </cell>
          <cell r="F146">
            <v>12</v>
          </cell>
          <cell r="G146">
            <v>0</v>
          </cell>
          <cell r="H146">
            <v>3</v>
          </cell>
          <cell r="I146">
            <v>1</v>
          </cell>
        </row>
        <row r="147">
          <cell r="A147">
            <v>160267</v>
          </cell>
          <cell r="B147" t="str">
            <v>Francesco Montagnoli</v>
          </cell>
          <cell r="C147" t="str">
            <v>7LM</v>
          </cell>
          <cell r="D147">
            <v>1</v>
          </cell>
          <cell r="E147">
            <v>0</v>
          </cell>
          <cell r="F147">
            <v>17</v>
          </cell>
          <cell r="G147">
            <v>0</v>
          </cell>
          <cell r="H147">
            <v>1</v>
          </cell>
          <cell r="I147">
            <v>0</v>
          </cell>
        </row>
        <row r="148">
          <cell r="A148">
            <v>160301</v>
          </cell>
          <cell r="B148" t="str">
            <v>Georgia Roberts</v>
          </cell>
          <cell r="C148" t="str">
            <v>7AWH</v>
          </cell>
          <cell r="D148">
            <v>0</v>
          </cell>
          <cell r="E148">
            <v>0</v>
          </cell>
          <cell r="F148">
            <v>37</v>
          </cell>
          <cell r="G148">
            <v>0</v>
          </cell>
          <cell r="H148">
            <v>0</v>
          </cell>
          <cell r="I148">
            <v>0</v>
          </cell>
        </row>
        <row r="149">
          <cell r="A149">
            <v>160297</v>
          </cell>
          <cell r="B149" t="str">
            <v>Phoebe Pitchfork</v>
          </cell>
          <cell r="C149" t="str">
            <v>7YP</v>
          </cell>
          <cell r="D149">
            <v>1</v>
          </cell>
          <cell r="E149">
            <v>0</v>
          </cell>
          <cell r="F149">
            <v>26</v>
          </cell>
          <cell r="G149">
            <v>0</v>
          </cell>
          <cell r="H149">
            <v>1</v>
          </cell>
          <cell r="I149">
            <v>0</v>
          </cell>
        </row>
        <row r="150">
          <cell r="A150">
            <v>160174</v>
          </cell>
          <cell r="B150" t="str">
            <v>Thomas Claeyssens</v>
          </cell>
          <cell r="C150" t="str">
            <v>7FS</v>
          </cell>
          <cell r="D150">
            <v>0</v>
          </cell>
          <cell r="E150">
            <v>0</v>
          </cell>
          <cell r="F150">
            <v>16</v>
          </cell>
          <cell r="G150">
            <v>0</v>
          </cell>
          <cell r="H150">
            <v>0</v>
          </cell>
          <cell r="I150">
            <v>0</v>
          </cell>
        </row>
        <row r="151">
          <cell r="A151">
            <v>160160</v>
          </cell>
          <cell r="B151" t="str">
            <v>Natalie Broncel</v>
          </cell>
          <cell r="C151" t="str">
            <v>7ET</v>
          </cell>
          <cell r="D151">
            <v>0</v>
          </cell>
          <cell r="E151">
            <v>0</v>
          </cell>
          <cell r="F151">
            <v>22</v>
          </cell>
          <cell r="G151">
            <v>0</v>
          </cell>
          <cell r="H151">
            <v>0</v>
          </cell>
          <cell r="I151">
            <v>0</v>
          </cell>
        </row>
        <row r="152">
          <cell r="A152">
            <v>160229</v>
          </cell>
          <cell r="B152" t="str">
            <v>Toby Jones</v>
          </cell>
          <cell r="C152" t="str">
            <v>7RA</v>
          </cell>
          <cell r="D152">
            <v>0</v>
          </cell>
          <cell r="E152">
            <v>0</v>
          </cell>
          <cell r="F152">
            <v>16</v>
          </cell>
          <cell r="G152">
            <v>0</v>
          </cell>
          <cell r="H152">
            <v>0</v>
          </cell>
          <cell r="I152">
            <v>0</v>
          </cell>
        </row>
        <row r="153">
          <cell r="A153">
            <v>160183</v>
          </cell>
          <cell r="B153" t="str">
            <v>Edith Di Maio</v>
          </cell>
          <cell r="C153" t="str">
            <v>7AWH</v>
          </cell>
          <cell r="D153">
            <v>0</v>
          </cell>
          <cell r="E153">
            <v>0</v>
          </cell>
          <cell r="F153">
            <v>33</v>
          </cell>
          <cell r="G153">
            <v>0</v>
          </cell>
          <cell r="H153">
            <v>0</v>
          </cell>
          <cell r="I153">
            <v>0</v>
          </cell>
        </row>
        <row r="154">
          <cell r="A154">
            <v>160161</v>
          </cell>
          <cell r="B154" t="str">
            <v>Daisy Brown</v>
          </cell>
          <cell r="C154" t="str">
            <v>7YP</v>
          </cell>
          <cell r="D154">
            <v>0</v>
          </cell>
          <cell r="E154">
            <v>0</v>
          </cell>
          <cell r="F154">
            <v>22</v>
          </cell>
          <cell r="G154">
            <v>0</v>
          </cell>
          <cell r="H154">
            <v>0</v>
          </cell>
          <cell r="I154">
            <v>0</v>
          </cell>
        </row>
        <row r="155">
          <cell r="A155">
            <v>160182</v>
          </cell>
          <cell r="B155" t="str">
            <v>Emma Deneka</v>
          </cell>
          <cell r="C155" t="str">
            <v>7AWH</v>
          </cell>
          <cell r="D155">
            <v>0</v>
          </cell>
          <cell r="E155">
            <v>0</v>
          </cell>
          <cell r="F155">
            <v>37</v>
          </cell>
          <cell r="G155">
            <v>0</v>
          </cell>
          <cell r="H155">
            <v>0</v>
          </cell>
          <cell r="I155">
            <v>0</v>
          </cell>
        </row>
        <row r="156">
          <cell r="A156">
            <v>160347</v>
          </cell>
          <cell r="B156" t="str">
            <v>Rosa Wrona</v>
          </cell>
          <cell r="C156" t="str">
            <v>7FS</v>
          </cell>
          <cell r="D156">
            <v>0</v>
          </cell>
          <cell r="E156">
            <v>0</v>
          </cell>
          <cell r="F156">
            <v>18</v>
          </cell>
          <cell r="G156">
            <v>0</v>
          </cell>
          <cell r="H156">
            <v>0</v>
          </cell>
          <cell r="I156">
            <v>0</v>
          </cell>
        </row>
        <row r="157">
          <cell r="A157">
            <v>160159</v>
          </cell>
          <cell r="B157" t="str">
            <v>Thomas Branney-Graveley</v>
          </cell>
          <cell r="C157" t="str">
            <v>7ET</v>
          </cell>
          <cell r="D157">
            <v>0</v>
          </cell>
          <cell r="E157">
            <v>0</v>
          </cell>
          <cell r="F157">
            <v>19</v>
          </cell>
          <cell r="G157">
            <v>0</v>
          </cell>
          <cell r="H157">
            <v>0</v>
          </cell>
          <cell r="I157">
            <v>0</v>
          </cell>
        </row>
        <row r="158">
          <cell r="A158">
            <v>160256</v>
          </cell>
          <cell r="B158" t="str">
            <v>Lauren Marks</v>
          </cell>
          <cell r="C158" t="str">
            <v>7AWH</v>
          </cell>
          <cell r="D158">
            <v>0</v>
          </cell>
          <cell r="E158">
            <v>0</v>
          </cell>
          <cell r="F158">
            <v>36</v>
          </cell>
          <cell r="G158">
            <v>0</v>
          </cell>
          <cell r="H158">
            <v>0</v>
          </cell>
          <cell r="I158">
            <v>0</v>
          </cell>
        </row>
        <row r="159">
          <cell r="A159">
            <v>160216</v>
          </cell>
          <cell r="B159" t="str">
            <v>James Harrison</v>
          </cell>
          <cell r="C159" t="str">
            <v>7ET</v>
          </cell>
          <cell r="D159">
            <v>1</v>
          </cell>
          <cell r="E159">
            <v>0</v>
          </cell>
          <cell r="F159">
            <v>13</v>
          </cell>
          <cell r="G159">
            <v>1</v>
          </cell>
          <cell r="H159">
            <v>0</v>
          </cell>
          <cell r="I159">
            <v>0</v>
          </cell>
        </row>
        <row r="160">
          <cell r="A160">
            <v>160157</v>
          </cell>
          <cell r="B160" t="str">
            <v>Somkene Bosah</v>
          </cell>
          <cell r="C160" t="str">
            <v>7YP</v>
          </cell>
          <cell r="D160">
            <v>0</v>
          </cell>
          <cell r="E160">
            <v>0</v>
          </cell>
          <cell r="F160">
            <v>25</v>
          </cell>
          <cell r="G160">
            <v>0</v>
          </cell>
          <cell r="H160">
            <v>0</v>
          </cell>
          <cell r="I160">
            <v>0</v>
          </cell>
        </row>
        <row r="161">
          <cell r="A161">
            <v>160315</v>
          </cell>
          <cell r="B161" t="str">
            <v>Nozwelo Sibanda</v>
          </cell>
          <cell r="C161" t="str">
            <v>7WD</v>
          </cell>
          <cell r="D161">
            <v>1</v>
          </cell>
          <cell r="E161">
            <v>3</v>
          </cell>
          <cell r="F161">
            <v>37</v>
          </cell>
          <cell r="G161">
            <v>0</v>
          </cell>
          <cell r="H161">
            <v>0</v>
          </cell>
          <cell r="I161">
            <v>1</v>
          </cell>
        </row>
        <row r="162">
          <cell r="A162">
            <v>160336</v>
          </cell>
          <cell r="B162" t="str">
            <v>Kienna Walford</v>
          </cell>
          <cell r="C162" t="str">
            <v>7RA</v>
          </cell>
          <cell r="D162">
            <v>3</v>
          </cell>
          <cell r="E162">
            <v>2</v>
          </cell>
          <cell r="F162">
            <v>15</v>
          </cell>
          <cell r="G162">
            <v>1</v>
          </cell>
          <cell r="H162">
            <v>2</v>
          </cell>
          <cell r="I162">
            <v>1</v>
          </cell>
        </row>
        <row r="163">
          <cell r="A163">
            <v>160259</v>
          </cell>
          <cell r="B163" t="str">
            <v>Annika Mauricio</v>
          </cell>
          <cell r="C163" t="str">
            <v>7LM</v>
          </cell>
          <cell r="D163">
            <v>0</v>
          </cell>
          <cell r="E163">
            <v>0</v>
          </cell>
          <cell r="F163">
            <v>19</v>
          </cell>
          <cell r="G163">
            <v>0</v>
          </cell>
          <cell r="H163">
            <v>0</v>
          </cell>
          <cell r="I163">
            <v>0</v>
          </cell>
        </row>
        <row r="164">
          <cell r="A164">
            <v>160241</v>
          </cell>
          <cell r="B164" t="str">
            <v>Maria Kozlowska</v>
          </cell>
          <cell r="C164" t="str">
            <v xml:space="preserve">7BPE </v>
          </cell>
          <cell r="D164">
            <v>0</v>
          </cell>
          <cell r="E164">
            <v>0</v>
          </cell>
          <cell r="F164">
            <v>32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160270</v>
          </cell>
          <cell r="B165" t="str">
            <v>Ivannah Mukoyi</v>
          </cell>
          <cell r="C165" t="str">
            <v>7ET</v>
          </cell>
          <cell r="D165">
            <v>0</v>
          </cell>
          <cell r="E165">
            <v>0</v>
          </cell>
          <cell r="F165">
            <v>19</v>
          </cell>
          <cell r="G165">
            <v>0</v>
          </cell>
          <cell r="H165">
            <v>0</v>
          </cell>
          <cell r="I165">
            <v>0</v>
          </cell>
        </row>
        <row r="166">
          <cell r="A166">
            <v>160044</v>
          </cell>
          <cell r="B166" t="str">
            <v>Matias Alsaffar</v>
          </cell>
          <cell r="C166" t="str">
            <v>7YP</v>
          </cell>
          <cell r="D166">
            <v>0</v>
          </cell>
          <cell r="E166">
            <v>0</v>
          </cell>
          <cell r="F166">
            <v>29</v>
          </cell>
          <cell r="G166">
            <v>0</v>
          </cell>
          <cell r="H166">
            <v>0</v>
          </cell>
          <cell r="I166">
            <v>0</v>
          </cell>
        </row>
        <row r="167">
          <cell r="A167">
            <v>160249</v>
          </cell>
          <cell r="B167" t="str">
            <v>Shenal Makavita</v>
          </cell>
          <cell r="C167" t="str">
            <v>7LM</v>
          </cell>
          <cell r="D167">
            <v>0</v>
          </cell>
          <cell r="E167">
            <v>0</v>
          </cell>
          <cell r="F167">
            <v>24</v>
          </cell>
          <cell r="G167">
            <v>0</v>
          </cell>
          <cell r="H167">
            <v>0</v>
          </cell>
          <cell r="I167">
            <v>0</v>
          </cell>
        </row>
        <row r="168">
          <cell r="A168">
            <v>160337</v>
          </cell>
          <cell r="B168" t="str">
            <v>Kathryn Walker</v>
          </cell>
          <cell r="C168" t="str">
            <v>7AWH</v>
          </cell>
          <cell r="D168">
            <v>0</v>
          </cell>
          <cell r="E168">
            <v>0</v>
          </cell>
          <cell r="F168">
            <v>36</v>
          </cell>
          <cell r="G168">
            <v>0</v>
          </cell>
          <cell r="H168">
            <v>0</v>
          </cell>
          <cell r="I168">
            <v>0</v>
          </cell>
        </row>
        <row r="169">
          <cell r="A169">
            <v>160299</v>
          </cell>
          <cell r="B169" t="str">
            <v>Simon Rashidsson</v>
          </cell>
          <cell r="C169" t="str">
            <v xml:space="preserve">7BPE </v>
          </cell>
          <cell r="D169">
            <v>0</v>
          </cell>
          <cell r="E169">
            <v>0</v>
          </cell>
          <cell r="F169">
            <v>24</v>
          </cell>
          <cell r="G169">
            <v>0</v>
          </cell>
          <cell r="H169">
            <v>0</v>
          </cell>
          <cell r="I169">
            <v>0</v>
          </cell>
        </row>
        <row r="170">
          <cell r="A170">
            <v>160331</v>
          </cell>
          <cell r="B170" t="str">
            <v>Christina Ti</v>
          </cell>
          <cell r="C170" t="str">
            <v>7FS</v>
          </cell>
          <cell r="D170">
            <v>0</v>
          </cell>
          <cell r="E170">
            <v>0</v>
          </cell>
          <cell r="F170">
            <v>16</v>
          </cell>
          <cell r="G170">
            <v>0</v>
          </cell>
          <cell r="H170">
            <v>0</v>
          </cell>
          <cell r="I170">
            <v>0</v>
          </cell>
        </row>
        <row r="171">
          <cell r="A171">
            <v>160020</v>
          </cell>
          <cell r="B171" t="str">
            <v>Adam Akele</v>
          </cell>
          <cell r="C171" t="str">
            <v>7LM</v>
          </cell>
          <cell r="D171">
            <v>11</v>
          </cell>
          <cell r="E171">
            <v>1</v>
          </cell>
          <cell r="F171">
            <v>17</v>
          </cell>
          <cell r="G171">
            <v>0</v>
          </cell>
          <cell r="H171">
            <v>8</v>
          </cell>
          <cell r="I171">
            <v>0</v>
          </cell>
        </row>
        <row r="172">
          <cell r="A172">
            <v>160278</v>
          </cell>
          <cell r="B172" t="str">
            <v>Courtney Nyamande</v>
          </cell>
          <cell r="C172" t="str">
            <v>7WD</v>
          </cell>
          <cell r="D172">
            <v>0</v>
          </cell>
          <cell r="E172">
            <v>2</v>
          </cell>
          <cell r="F172">
            <v>30</v>
          </cell>
          <cell r="G172">
            <v>0</v>
          </cell>
          <cell r="H172">
            <v>0</v>
          </cell>
          <cell r="I172">
            <v>0</v>
          </cell>
        </row>
        <row r="173">
          <cell r="A173">
            <v>160018</v>
          </cell>
          <cell r="B173" t="str">
            <v>Christopher Adedoyin</v>
          </cell>
          <cell r="C173" t="str">
            <v>7ET</v>
          </cell>
          <cell r="D173">
            <v>2</v>
          </cell>
          <cell r="E173">
            <v>0</v>
          </cell>
          <cell r="F173">
            <v>20</v>
          </cell>
          <cell r="G173">
            <v>0</v>
          </cell>
          <cell r="H173">
            <v>2</v>
          </cell>
          <cell r="I173">
            <v>0</v>
          </cell>
        </row>
        <row r="174">
          <cell r="A174">
            <v>160155</v>
          </cell>
          <cell r="B174" t="str">
            <v>Tephi Blythen</v>
          </cell>
          <cell r="C174" t="str">
            <v>7AWH</v>
          </cell>
          <cell r="D174">
            <v>0</v>
          </cell>
          <cell r="E174">
            <v>1</v>
          </cell>
          <cell r="F174">
            <v>40</v>
          </cell>
          <cell r="G174">
            <v>0</v>
          </cell>
          <cell r="H174">
            <v>0</v>
          </cell>
          <cell r="I174">
            <v>1</v>
          </cell>
        </row>
        <row r="175">
          <cell r="A175">
            <v>160236</v>
          </cell>
          <cell r="B175" t="str">
            <v>Menase Kassaye</v>
          </cell>
          <cell r="C175" t="str">
            <v>7WD</v>
          </cell>
          <cell r="D175">
            <v>5</v>
          </cell>
          <cell r="E175">
            <v>2</v>
          </cell>
          <cell r="F175">
            <v>27</v>
          </cell>
          <cell r="G175">
            <v>1</v>
          </cell>
          <cell r="H175">
            <v>3</v>
          </cell>
          <cell r="I175">
            <v>1</v>
          </cell>
        </row>
        <row r="176">
          <cell r="A176">
            <v>160307</v>
          </cell>
          <cell r="B176" t="str">
            <v>Chantel Rweyemamu</v>
          </cell>
          <cell r="C176" t="str">
            <v>7WD</v>
          </cell>
          <cell r="D176">
            <v>0</v>
          </cell>
          <cell r="E176">
            <v>0</v>
          </cell>
          <cell r="F176">
            <v>32</v>
          </cell>
          <cell r="G176">
            <v>0</v>
          </cell>
          <cell r="H176">
            <v>0</v>
          </cell>
          <cell r="I176">
            <v>0</v>
          </cell>
        </row>
        <row r="177">
          <cell r="A177">
            <v>160215</v>
          </cell>
          <cell r="B177" t="str">
            <v>Elliot Hargreaves</v>
          </cell>
          <cell r="C177" t="str">
            <v>7FS</v>
          </cell>
          <cell r="D177">
            <v>0</v>
          </cell>
          <cell r="E177">
            <v>0</v>
          </cell>
          <cell r="F177">
            <v>20</v>
          </cell>
          <cell r="G177">
            <v>0</v>
          </cell>
          <cell r="H177">
            <v>0</v>
          </cell>
          <cell r="I177">
            <v>0</v>
          </cell>
        </row>
        <row r="178">
          <cell r="A178">
            <v>160181</v>
          </cell>
          <cell r="B178" t="str">
            <v>Ethan Dale</v>
          </cell>
          <cell r="C178" t="str">
            <v>7LM</v>
          </cell>
          <cell r="D178">
            <v>1</v>
          </cell>
          <cell r="E178">
            <v>0</v>
          </cell>
          <cell r="F178">
            <v>25</v>
          </cell>
          <cell r="G178">
            <v>0</v>
          </cell>
          <cell r="H178">
            <v>1</v>
          </cell>
          <cell r="I178">
            <v>0</v>
          </cell>
        </row>
        <row r="179">
          <cell r="A179">
            <v>160288</v>
          </cell>
          <cell r="B179" t="str">
            <v>Amalie Pallo</v>
          </cell>
          <cell r="C179" t="str">
            <v xml:space="preserve">7BPE </v>
          </cell>
          <cell r="D179">
            <v>0</v>
          </cell>
          <cell r="E179">
            <v>0</v>
          </cell>
          <cell r="F179">
            <v>26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160263</v>
          </cell>
          <cell r="B180" t="str">
            <v>Jasper Mitchell</v>
          </cell>
          <cell r="C180" t="str">
            <v>7LM</v>
          </cell>
          <cell r="D180">
            <v>0</v>
          </cell>
          <cell r="E180">
            <v>0</v>
          </cell>
          <cell r="F180">
            <v>16</v>
          </cell>
          <cell r="G180">
            <v>0</v>
          </cell>
          <cell r="H180">
            <v>0</v>
          </cell>
          <cell r="I180">
            <v>0</v>
          </cell>
        </row>
        <row r="181">
          <cell r="A181">
            <v>160235</v>
          </cell>
          <cell r="B181" t="str">
            <v>Chloe Kenny</v>
          </cell>
          <cell r="C181" t="str">
            <v xml:space="preserve">7BPE </v>
          </cell>
          <cell r="D181">
            <v>0</v>
          </cell>
          <cell r="E181">
            <v>0</v>
          </cell>
          <cell r="F181">
            <v>27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160214</v>
          </cell>
          <cell r="B182" t="str">
            <v>Brody Hanstock</v>
          </cell>
          <cell r="C182" t="str">
            <v>7WD</v>
          </cell>
          <cell r="D182">
            <v>8</v>
          </cell>
          <cell r="E182">
            <v>0</v>
          </cell>
          <cell r="F182">
            <v>39</v>
          </cell>
          <cell r="G182">
            <v>1</v>
          </cell>
          <cell r="H182">
            <v>5</v>
          </cell>
          <cell r="I182">
            <v>0</v>
          </cell>
        </row>
        <row r="183">
          <cell r="A183">
            <v>160169</v>
          </cell>
          <cell r="B183" t="str">
            <v>Shayla Castillo Montalvan</v>
          </cell>
          <cell r="C183" t="str">
            <v>7AWH</v>
          </cell>
          <cell r="D183">
            <v>0</v>
          </cell>
          <cell r="E183">
            <v>0</v>
          </cell>
          <cell r="F183">
            <v>29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160233</v>
          </cell>
          <cell r="B184" t="str">
            <v>Hanna Kasprus</v>
          </cell>
          <cell r="C184" t="str">
            <v xml:space="preserve">7BPE </v>
          </cell>
          <cell r="D184">
            <v>0</v>
          </cell>
          <cell r="E184">
            <v>0</v>
          </cell>
          <cell r="F184">
            <v>26</v>
          </cell>
          <cell r="G184">
            <v>0</v>
          </cell>
          <cell r="H184">
            <v>0</v>
          </cell>
          <cell r="I184">
            <v>0</v>
          </cell>
        </row>
        <row r="185">
          <cell r="A185">
            <v>160349</v>
          </cell>
          <cell r="B185" t="str">
            <v>Ethan Yekalo</v>
          </cell>
          <cell r="C185" t="str">
            <v>7FS</v>
          </cell>
          <cell r="D185">
            <v>0</v>
          </cell>
          <cell r="E185">
            <v>1</v>
          </cell>
          <cell r="F185">
            <v>18</v>
          </cell>
          <cell r="G185">
            <v>0</v>
          </cell>
          <cell r="H185">
            <v>0</v>
          </cell>
          <cell r="I185">
            <v>0</v>
          </cell>
        </row>
        <row r="186">
          <cell r="A186">
            <v>160279</v>
          </cell>
          <cell r="B186" t="str">
            <v>Wezi Nyirenda</v>
          </cell>
          <cell r="C186" t="str">
            <v>7YP</v>
          </cell>
          <cell r="D186">
            <v>0</v>
          </cell>
          <cell r="E186">
            <v>0</v>
          </cell>
          <cell r="F186">
            <v>23</v>
          </cell>
          <cell r="G186">
            <v>0</v>
          </cell>
          <cell r="H186">
            <v>0</v>
          </cell>
          <cell r="I186">
            <v>0</v>
          </cell>
        </row>
        <row r="187">
          <cell r="A187">
            <v>160144</v>
          </cell>
          <cell r="B187" t="str">
            <v>Aadam Aslam</v>
          </cell>
          <cell r="C187" t="str">
            <v>7YP</v>
          </cell>
          <cell r="D187">
            <v>2</v>
          </cell>
          <cell r="E187">
            <v>1</v>
          </cell>
          <cell r="F187">
            <v>22</v>
          </cell>
          <cell r="G187">
            <v>0</v>
          </cell>
          <cell r="H187">
            <v>2</v>
          </cell>
          <cell r="I187">
            <v>1</v>
          </cell>
        </row>
        <row r="188">
          <cell r="A188">
            <v>160201</v>
          </cell>
          <cell r="B188" t="str">
            <v>Freddie Gilberthorpe</v>
          </cell>
          <cell r="C188" t="str">
            <v>7RA</v>
          </cell>
          <cell r="D188">
            <v>0</v>
          </cell>
          <cell r="E188">
            <v>1</v>
          </cell>
          <cell r="F188">
            <v>27</v>
          </cell>
          <cell r="G188">
            <v>0</v>
          </cell>
          <cell r="H188">
            <v>0</v>
          </cell>
          <cell r="I188">
            <v>0</v>
          </cell>
        </row>
        <row r="189">
          <cell r="A189">
            <v>160200</v>
          </cell>
          <cell r="B189" t="str">
            <v>Heron Ghebretensa</v>
          </cell>
          <cell r="C189" t="str">
            <v>7ET</v>
          </cell>
          <cell r="D189">
            <v>0</v>
          </cell>
          <cell r="E189">
            <v>0</v>
          </cell>
          <cell r="F189">
            <v>17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160132</v>
          </cell>
          <cell r="B190" t="str">
            <v>Joseph Ashforth-Billard</v>
          </cell>
          <cell r="C190" t="str">
            <v>7LM</v>
          </cell>
          <cell r="D190">
            <v>0</v>
          </cell>
          <cell r="E190">
            <v>0</v>
          </cell>
          <cell r="F190">
            <v>18</v>
          </cell>
          <cell r="G190">
            <v>0</v>
          </cell>
          <cell r="H190">
            <v>0</v>
          </cell>
          <cell r="I190">
            <v>0</v>
          </cell>
        </row>
        <row r="191">
          <cell r="A191">
            <v>160280</v>
          </cell>
          <cell r="B191" t="str">
            <v>Harry Oates</v>
          </cell>
          <cell r="C191" t="str">
            <v>7YP</v>
          </cell>
          <cell r="D191">
            <v>1</v>
          </cell>
          <cell r="E191">
            <v>0</v>
          </cell>
          <cell r="F191">
            <v>29</v>
          </cell>
          <cell r="G191">
            <v>0</v>
          </cell>
          <cell r="H191">
            <v>1</v>
          </cell>
          <cell r="I191">
            <v>0</v>
          </cell>
        </row>
        <row r="192">
          <cell r="A192">
            <v>160253</v>
          </cell>
          <cell r="B192" t="str">
            <v>Aiza Manzoor</v>
          </cell>
          <cell r="C192" t="str">
            <v>7ET</v>
          </cell>
          <cell r="D192">
            <v>0</v>
          </cell>
          <cell r="E192">
            <v>0</v>
          </cell>
          <cell r="F192">
            <v>22</v>
          </cell>
          <cell r="G192">
            <v>0</v>
          </cell>
          <cell r="H192">
            <v>0</v>
          </cell>
          <cell r="I192">
            <v>0</v>
          </cell>
        </row>
        <row r="193">
          <cell r="A193">
            <v>160324</v>
          </cell>
          <cell r="B193" t="str">
            <v>Reuben Straw</v>
          </cell>
          <cell r="C193" t="str">
            <v>7YP</v>
          </cell>
          <cell r="D193">
            <v>0</v>
          </cell>
          <cell r="E193">
            <v>0</v>
          </cell>
          <cell r="F193">
            <v>38</v>
          </cell>
          <cell r="G193">
            <v>0</v>
          </cell>
          <cell r="H193">
            <v>0</v>
          </cell>
          <cell r="I193">
            <v>0</v>
          </cell>
        </row>
        <row r="194">
          <cell r="A194">
            <v>160265</v>
          </cell>
          <cell r="B194" t="str">
            <v>Oliver Monaghan</v>
          </cell>
          <cell r="C194" t="str">
            <v>7RA</v>
          </cell>
          <cell r="D194">
            <v>0</v>
          </cell>
          <cell r="E194">
            <v>0</v>
          </cell>
          <cell r="F194">
            <v>18</v>
          </cell>
          <cell r="G194">
            <v>0</v>
          </cell>
          <cell r="H194">
            <v>0</v>
          </cell>
          <cell r="I194">
            <v>0</v>
          </cell>
        </row>
        <row r="195">
          <cell r="A195">
            <v>160222</v>
          </cell>
          <cell r="B195" t="str">
            <v>Emily Hristova</v>
          </cell>
          <cell r="C195" t="str">
            <v>7WD</v>
          </cell>
          <cell r="D195">
            <v>0</v>
          </cell>
          <cell r="E195">
            <v>1</v>
          </cell>
          <cell r="F195">
            <v>29</v>
          </cell>
          <cell r="G195">
            <v>0</v>
          </cell>
          <cell r="H195">
            <v>0</v>
          </cell>
          <cell r="I195">
            <v>1</v>
          </cell>
        </row>
        <row r="196">
          <cell r="A196">
            <v>160302</v>
          </cell>
          <cell r="B196" t="str">
            <v>Ava Robertson</v>
          </cell>
          <cell r="C196" t="str">
            <v xml:space="preserve">7BPE </v>
          </cell>
          <cell r="D196">
            <v>0</v>
          </cell>
          <cell r="E196">
            <v>0</v>
          </cell>
          <cell r="F196">
            <v>24</v>
          </cell>
          <cell r="G196">
            <v>0</v>
          </cell>
          <cell r="H196">
            <v>0</v>
          </cell>
          <cell r="I196">
            <v>0</v>
          </cell>
        </row>
        <row r="197">
          <cell r="A197">
            <v>160275</v>
          </cell>
          <cell r="B197" t="str">
            <v>Nina Mwitta</v>
          </cell>
          <cell r="C197" t="str">
            <v>7AWH</v>
          </cell>
          <cell r="D197">
            <v>0</v>
          </cell>
          <cell r="E197">
            <v>1</v>
          </cell>
          <cell r="F197">
            <v>36</v>
          </cell>
          <cell r="G197">
            <v>0</v>
          </cell>
          <cell r="H197">
            <v>0</v>
          </cell>
          <cell r="I197">
            <v>0</v>
          </cell>
        </row>
        <row r="198">
          <cell r="A198">
            <v>160150</v>
          </cell>
          <cell r="B198" t="str">
            <v>Rebecca Bartolozzi Ogbonna</v>
          </cell>
          <cell r="C198" t="str">
            <v>7LM</v>
          </cell>
          <cell r="D198">
            <v>1</v>
          </cell>
          <cell r="E198">
            <v>0</v>
          </cell>
          <cell r="F198">
            <v>14</v>
          </cell>
          <cell r="G198">
            <v>0</v>
          </cell>
          <cell r="H198">
            <v>1</v>
          </cell>
          <cell r="I198">
            <v>0</v>
          </cell>
        </row>
        <row r="199">
          <cell r="A199">
            <v>160219</v>
          </cell>
          <cell r="B199" t="str">
            <v>Theo Hodgkinson</v>
          </cell>
          <cell r="C199" t="str">
            <v>7WD</v>
          </cell>
          <cell r="D199">
            <v>0</v>
          </cell>
          <cell r="E199">
            <v>0</v>
          </cell>
          <cell r="F199">
            <v>31</v>
          </cell>
          <cell r="G199">
            <v>0</v>
          </cell>
          <cell r="H199">
            <v>0</v>
          </cell>
          <cell r="I199">
            <v>0</v>
          </cell>
        </row>
        <row r="200">
          <cell r="A200">
            <v>160314</v>
          </cell>
          <cell r="B200" t="str">
            <v>Lola Shirtcliffe</v>
          </cell>
          <cell r="C200" t="str">
            <v>7RA</v>
          </cell>
          <cell r="D200">
            <v>0</v>
          </cell>
          <cell r="E200">
            <v>0</v>
          </cell>
          <cell r="F200">
            <v>18</v>
          </cell>
          <cell r="G200">
            <v>0</v>
          </cell>
          <cell r="H200">
            <v>0</v>
          </cell>
          <cell r="I200">
            <v>0</v>
          </cell>
        </row>
        <row r="201">
          <cell r="A201">
            <v>160313</v>
          </cell>
          <cell r="B201" t="str">
            <v>Anns Sherin</v>
          </cell>
          <cell r="C201" t="str">
            <v>7WD</v>
          </cell>
          <cell r="D201">
            <v>0</v>
          </cell>
          <cell r="E201">
            <v>0</v>
          </cell>
          <cell r="F201">
            <v>38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160276</v>
          </cell>
          <cell r="B202" t="str">
            <v>Kamsiyochukwu Nathaniel</v>
          </cell>
          <cell r="C202" t="str">
            <v>7LM</v>
          </cell>
          <cell r="D202">
            <v>0</v>
          </cell>
          <cell r="E202">
            <v>0</v>
          </cell>
          <cell r="F202">
            <v>17</v>
          </cell>
          <cell r="G202">
            <v>0</v>
          </cell>
          <cell r="H202">
            <v>0</v>
          </cell>
          <cell r="I202">
            <v>0</v>
          </cell>
        </row>
        <row r="203">
          <cell r="A203">
            <v>160287</v>
          </cell>
          <cell r="B203" t="str">
            <v>Jake Osborne</v>
          </cell>
          <cell r="C203" t="str">
            <v>7AWH</v>
          </cell>
          <cell r="D203">
            <v>0</v>
          </cell>
          <cell r="E203">
            <v>0</v>
          </cell>
          <cell r="F203">
            <v>36</v>
          </cell>
          <cell r="G203">
            <v>0</v>
          </cell>
          <cell r="H203">
            <v>0</v>
          </cell>
          <cell r="I203">
            <v>0</v>
          </cell>
        </row>
        <row r="204">
          <cell r="A204">
            <v>160261</v>
          </cell>
          <cell r="B204" t="str">
            <v>Maria Method</v>
          </cell>
          <cell r="C204" t="str">
            <v>7AWH</v>
          </cell>
          <cell r="D204">
            <v>0</v>
          </cell>
          <cell r="E204">
            <v>1</v>
          </cell>
          <cell r="F204">
            <v>34</v>
          </cell>
          <cell r="G204">
            <v>0</v>
          </cell>
          <cell r="H204">
            <v>0</v>
          </cell>
          <cell r="I204">
            <v>1</v>
          </cell>
        </row>
        <row r="205">
          <cell r="A205">
            <v>160208</v>
          </cell>
          <cell r="B205" t="str">
            <v>Autumn Grindrod</v>
          </cell>
          <cell r="C205" t="str">
            <v>7RA</v>
          </cell>
          <cell r="D205">
            <v>0</v>
          </cell>
          <cell r="E205">
            <v>0</v>
          </cell>
          <cell r="F205">
            <v>18</v>
          </cell>
          <cell r="G205">
            <v>0</v>
          </cell>
          <cell r="H205">
            <v>0</v>
          </cell>
          <cell r="I205">
            <v>0</v>
          </cell>
        </row>
        <row r="206">
          <cell r="A206">
            <v>160290</v>
          </cell>
          <cell r="B206" t="str">
            <v>Shaun Patindol</v>
          </cell>
          <cell r="C206" t="str">
            <v xml:space="preserve">7BPE </v>
          </cell>
          <cell r="D206">
            <v>0</v>
          </cell>
          <cell r="E206">
            <v>0</v>
          </cell>
          <cell r="F206">
            <v>29</v>
          </cell>
          <cell r="G206">
            <v>0</v>
          </cell>
          <cell r="H206">
            <v>0</v>
          </cell>
          <cell r="I206">
            <v>0</v>
          </cell>
        </row>
        <row r="207">
          <cell r="A207">
            <v>160328</v>
          </cell>
          <cell r="B207" t="str">
            <v>Adona Tesfaye</v>
          </cell>
          <cell r="C207" t="str">
            <v>7ET</v>
          </cell>
          <cell r="D207">
            <v>0</v>
          </cell>
          <cell r="E207">
            <v>0</v>
          </cell>
          <cell r="F207">
            <v>20</v>
          </cell>
          <cell r="G207">
            <v>0</v>
          </cell>
          <cell r="H207">
            <v>0</v>
          </cell>
          <cell r="I207">
            <v>0</v>
          </cell>
        </row>
        <row r="208">
          <cell r="A208">
            <v>160171</v>
          </cell>
          <cell r="B208" t="str">
            <v>Anyes Chesworth</v>
          </cell>
          <cell r="C208" t="str">
            <v>7RA</v>
          </cell>
          <cell r="D208">
            <v>0</v>
          </cell>
          <cell r="E208">
            <v>0</v>
          </cell>
          <cell r="F208">
            <v>22</v>
          </cell>
          <cell r="G208">
            <v>0</v>
          </cell>
          <cell r="H208">
            <v>0</v>
          </cell>
          <cell r="I208">
            <v>0</v>
          </cell>
        </row>
        <row r="209">
          <cell r="A209">
            <v>160271</v>
          </cell>
          <cell r="B209" t="str">
            <v>Brhane Mulugeta</v>
          </cell>
          <cell r="C209" t="str">
            <v>7YP</v>
          </cell>
          <cell r="D209">
            <v>1</v>
          </cell>
          <cell r="E209">
            <v>1</v>
          </cell>
          <cell r="F209">
            <v>20</v>
          </cell>
          <cell r="G209">
            <v>0</v>
          </cell>
          <cell r="H209">
            <v>1</v>
          </cell>
          <cell r="I209">
            <v>1</v>
          </cell>
        </row>
        <row r="210">
          <cell r="A210">
            <v>160341</v>
          </cell>
          <cell r="B210" t="str">
            <v>Fontaine Whiteman</v>
          </cell>
          <cell r="C210" t="str">
            <v>7FS</v>
          </cell>
          <cell r="D210">
            <v>0</v>
          </cell>
          <cell r="E210">
            <v>0</v>
          </cell>
          <cell r="F210">
            <v>15</v>
          </cell>
          <cell r="G210">
            <v>0</v>
          </cell>
          <cell r="H210">
            <v>0</v>
          </cell>
          <cell r="I210">
            <v>0</v>
          </cell>
        </row>
        <row r="211">
          <cell r="A211">
            <v>160237</v>
          </cell>
          <cell r="B211" t="str">
            <v>Lamees Khalil</v>
          </cell>
          <cell r="C211" t="str">
            <v>7RA</v>
          </cell>
          <cell r="D211">
            <v>0</v>
          </cell>
          <cell r="E211">
            <v>1</v>
          </cell>
          <cell r="F211">
            <v>22</v>
          </cell>
          <cell r="G211">
            <v>0</v>
          </cell>
          <cell r="H211">
            <v>0</v>
          </cell>
          <cell r="I211">
            <v>0</v>
          </cell>
        </row>
        <row r="212">
          <cell r="A212">
            <v>160008</v>
          </cell>
          <cell r="B212" t="str">
            <v>Sofia Abbey</v>
          </cell>
          <cell r="C212" t="str">
            <v>7YP</v>
          </cell>
          <cell r="D212">
            <v>0</v>
          </cell>
          <cell r="E212">
            <v>0</v>
          </cell>
          <cell r="F212">
            <v>31</v>
          </cell>
          <cell r="G212">
            <v>0</v>
          </cell>
          <cell r="H212">
            <v>0</v>
          </cell>
          <cell r="I212">
            <v>0</v>
          </cell>
        </row>
        <row r="213">
          <cell r="A213">
            <v>160205</v>
          </cell>
          <cell r="B213" t="str">
            <v>Julia Gould</v>
          </cell>
          <cell r="C213" t="str">
            <v>7RA</v>
          </cell>
          <cell r="D213">
            <v>0</v>
          </cell>
          <cell r="E213">
            <v>0</v>
          </cell>
          <cell r="F213">
            <v>16</v>
          </cell>
          <cell r="G213">
            <v>0</v>
          </cell>
          <cell r="H213">
            <v>0</v>
          </cell>
          <cell r="I213">
            <v>0</v>
          </cell>
        </row>
        <row r="214">
          <cell r="A214">
            <v>160272</v>
          </cell>
          <cell r="B214" t="str">
            <v>Shona Munro-Proud</v>
          </cell>
          <cell r="C214" t="str">
            <v>7ET</v>
          </cell>
          <cell r="D214">
            <v>0</v>
          </cell>
          <cell r="E214">
            <v>0</v>
          </cell>
          <cell r="F214">
            <v>22</v>
          </cell>
          <cell r="G214">
            <v>0</v>
          </cell>
          <cell r="H214">
            <v>0</v>
          </cell>
          <cell r="I214">
            <v>0</v>
          </cell>
        </row>
        <row r="215">
          <cell r="A215">
            <v>160303</v>
          </cell>
          <cell r="B215" t="str">
            <v>Alice Rose</v>
          </cell>
          <cell r="C215" t="str">
            <v>7YP</v>
          </cell>
          <cell r="D215">
            <v>0</v>
          </cell>
          <cell r="E215">
            <v>0</v>
          </cell>
          <cell r="F215">
            <v>37</v>
          </cell>
          <cell r="G215">
            <v>0</v>
          </cell>
          <cell r="H215">
            <v>0</v>
          </cell>
          <cell r="I215">
            <v>0</v>
          </cell>
        </row>
        <row r="216">
          <cell r="A216">
            <v>160366</v>
          </cell>
          <cell r="B216" t="str">
            <v>Jeriah Mpova</v>
          </cell>
          <cell r="C216" t="str">
            <v xml:space="preserve">7BPE </v>
          </cell>
          <cell r="D216">
            <v>0</v>
          </cell>
          <cell r="E216">
            <v>0</v>
          </cell>
          <cell r="F216">
            <v>1</v>
          </cell>
          <cell r="G216">
            <v>0</v>
          </cell>
          <cell r="H216">
            <v>0</v>
          </cell>
          <cell r="I216">
            <v>0</v>
          </cell>
        </row>
        <row r="217">
          <cell r="A217">
            <v>152767</v>
          </cell>
          <cell r="B217" t="str">
            <v>Ruby-Anne Yule</v>
          </cell>
          <cell r="C217" t="str">
            <v>7TR</v>
          </cell>
          <cell r="D217">
            <v>0</v>
          </cell>
          <cell r="E217">
            <v>1</v>
          </cell>
          <cell r="F217">
            <v>109</v>
          </cell>
          <cell r="G217">
            <v>0</v>
          </cell>
          <cell r="H217">
            <v>0</v>
          </cell>
          <cell r="I217">
            <v>0</v>
          </cell>
        </row>
        <row r="218">
          <cell r="A218">
            <v>152935</v>
          </cell>
          <cell r="B218" t="str">
            <v>Sophie Russell</v>
          </cell>
          <cell r="C218" t="str">
            <v>7TR</v>
          </cell>
          <cell r="D218">
            <v>0</v>
          </cell>
          <cell r="E218">
            <v>0</v>
          </cell>
          <cell r="F218">
            <v>100</v>
          </cell>
          <cell r="G218">
            <v>0</v>
          </cell>
          <cell r="H218">
            <v>0</v>
          </cell>
          <cell r="I218">
            <v>0</v>
          </cell>
        </row>
        <row r="219">
          <cell r="E219"/>
          <cell r="G219"/>
          <cell r="H219"/>
          <cell r="I219"/>
        </row>
        <row r="220">
          <cell r="E220"/>
          <cell r="G220"/>
          <cell r="H220"/>
          <cell r="I220"/>
        </row>
        <row r="221">
          <cell r="E221"/>
          <cell r="G221"/>
          <cell r="H221"/>
          <cell r="I221"/>
        </row>
        <row r="222">
          <cell r="E222"/>
          <cell r="G222"/>
          <cell r="H222"/>
          <cell r="I222"/>
        </row>
        <row r="223">
          <cell r="E223"/>
          <cell r="G223"/>
          <cell r="H223"/>
          <cell r="I223"/>
        </row>
        <row r="224">
          <cell r="E224"/>
          <cell r="G224"/>
          <cell r="H224"/>
          <cell r="I224"/>
        </row>
        <row r="225">
          <cell r="E225"/>
          <cell r="G225"/>
          <cell r="H225"/>
          <cell r="I225"/>
        </row>
        <row r="226">
          <cell r="E226"/>
          <cell r="G226"/>
          <cell r="H226"/>
          <cell r="I226"/>
        </row>
        <row r="227">
          <cell r="E227"/>
          <cell r="G227"/>
          <cell r="H227"/>
          <cell r="I227"/>
        </row>
        <row r="228">
          <cell r="E228"/>
          <cell r="G228"/>
          <cell r="H228"/>
          <cell r="I228"/>
        </row>
        <row r="229">
          <cell r="E229"/>
          <cell r="G229"/>
          <cell r="H229"/>
          <cell r="I229"/>
        </row>
        <row r="230">
          <cell r="E230"/>
          <cell r="G230"/>
          <cell r="H230"/>
          <cell r="I230"/>
        </row>
        <row r="231">
          <cell r="E231"/>
          <cell r="G231"/>
          <cell r="H231"/>
          <cell r="I231"/>
        </row>
        <row r="232">
          <cell r="E232"/>
          <cell r="G232"/>
          <cell r="H232"/>
          <cell r="I232"/>
        </row>
        <row r="233">
          <cell r="E233"/>
          <cell r="G233"/>
          <cell r="H233"/>
          <cell r="I233"/>
        </row>
        <row r="234">
          <cell r="E234"/>
          <cell r="G234"/>
          <cell r="H234"/>
          <cell r="I234"/>
        </row>
        <row r="235">
          <cell r="E235"/>
          <cell r="G235"/>
          <cell r="H235"/>
          <cell r="I235"/>
        </row>
        <row r="236">
          <cell r="E236"/>
          <cell r="G236"/>
          <cell r="H236"/>
          <cell r="I236"/>
        </row>
        <row r="237">
          <cell r="E237"/>
          <cell r="G237"/>
          <cell r="H237"/>
          <cell r="I237"/>
        </row>
        <row r="238">
          <cell r="E238"/>
          <cell r="G238"/>
          <cell r="H238"/>
          <cell r="I238"/>
        </row>
        <row r="239">
          <cell r="E239"/>
          <cell r="G239"/>
          <cell r="H239"/>
          <cell r="I239"/>
        </row>
        <row r="240">
          <cell r="E240"/>
          <cell r="G240"/>
          <cell r="H240"/>
          <cell r="I240"/>
        </row>
        <row r="241">
          <cell r="E241"/>
          <cell r="G241"/>
          <cell r="H241"/>
          <cell r="I241"/>
        </row>
        <row r="242">
          <cell r="E242"/>
          <cell r="G242"/>
          <cell r="H242"/>
          <cell r="I242"/>
        </row>
        <row r="243">
          <cell r="E243"/>
          <cell r="G243"/>
          <cell r="H243"/>
          <cell r="I243"/>
        </row>
        <row r="244">
          <cell r="E244"/>
          <cell r="G244"/>
          <cell r="H244"/>
          <cell r="I244"/>
        </row>
        <row r="245">
          <cell r="E245"/>
          <cell r="G245"/>
          <cell r="H245"/>
          <cell r="I245"/>
        </row>
        <row r="246">
          <cell r="E246"/>
          <cell r="G246"/>
          <cell r="H246"/>
          <cell r="I246"/>
        </row>
        <row r="247">
          <cell r="E247"/>
          <cell r="G247"/>
          <cell r="H247"/>
          <cell r="I247"/>
        </row>
        <row r="248">
          <cell r="E248"/>
          <cell r="G248"/>
          <cell r="H248"/>
          <cell r="I248"/>
        </row>
        <row r="249">
          <cell r="E249"/>
          <cell r="G249"/>
          <cell r="H249"/>
          <cell r="I249"/>
        </row>
        <row r="250">
          <cell r="E250"/>
          <cell r="G250"/>
          <cell r="H250"/>
          <cell r="I250"/>
        </row>
        <row r="251">
          <cell r="E251"/>
          <cell r="G251"/>
          <cell r="H251"/>
          <cell r="I251"/>
        </row>
        <row r="252">
          <cell r="E252"/>
          <cell r="G252"/>
          <cell r="H252"/>
          <cell r="I252"/>
        </row>
        <row r="253">
          <cell r="E253"/>
          <cell r="G253"/>
          <cell r="H253"/>
          <cell r="I253"/>
        </row>
        <row r="254">
          <cell r="E254"/>
          <cell r="G254"/>
          <cell r="H254"/>
          <cell r="I254"/>
        </row>
        <row r="255">
          <cell r="E255"/>
          <cell r="G255"/>
          <cell r="H255"/>
          <cell r="I255"/>
        </row>
        <row r="256">
          <cell r="E256"/>
          <cell r="G256"/>
          <cell r="H256"/>
          <cell r="I256"/>
        </row>
        <row r="257">
          <cell r="E257"/>
          <cell r="G257"/>
          <cell r="H257"/>
          <cell r="I257"/>
        </row>
        <row r="258">
          <cell r="E258"/>
          <cell r="G258"/>
          <cell r="H258"/>
          <cell r="I258"/>
        </row>
        <row r="259">
          <cell r="E259"/>
          <cell r="G259"/>
          <cell r="H259"/>
          <cell r="I259"/>
        </row>
        <row r="260">
          <cell r="E260"/>
          <cell r="G260"/>
          <cell r="H260"/>
          <cell r="I260"/>
        </row>
        <row r="261">
          <cell r="E261"/>
          <cell r="G261"/>
          <cell r="H261"/>
          <cell r="I261"/>
        </row>
        <row r="262">
          <cell r="E262"/>
          <cell r="G262"/>
          <cell r="H262"/>
          <cell r="I262"/>
        </row>
        <row r="263">
          <cell r="E263"/>
          <cell r="G263"/>
          <cell r="H263"/>
          <cell r="I263"/>
        </row>
        <row r="264">
          <cell r="E264"/>
          <cell r="G264"/>
          <cell r="H264"/>
          <cell r="I264"/>
        </row>
        <row r="265">
          <cell r="E265"/>
          <cell r="G265"/>
          <cell r="H265"/>
          <cell r="I265"/>
        </row>
        <row r="266">
          <cell r="E266"/>
          <cell r="G266"/>
          <cell r="H266"/>
          <cell r="I266"/>
        </row>
        <row r="267">
          <cell r="E267"/>
          <cell r="G267"/>
          <cell r="H267"/>
          <cell r="I267"/>
        </row>
        <row r="268">
          <cell r="E268"/>
          <cell r="G268"/>
          <cell r="H268"/>
          <cell r="I268"/>
        </row>
        <row r="269">
          <cell r="E269"/>
          <cell r="G269"/>
          <cell r="H269"/>
          <cell r="I269"/>
        </row>
        <row r="270">
          <cell r="E270"/>
          <cell r="G270"/>
          <cell r="H270"/>
          <cell r="I270"/>
        </row>
        <row r="271">
          <cell r="E271"/>
          <cell r="G271"/>
          <cell r="H271"/>
          <cell r="I271"/>
        </row>
        <row r="272">
          <cell r="E272"/>
          <cell r="G272"/>
          <cell r="H272"/>
          <cell r="I272"/>
        </row>
        <row r="273">
          <cell r="E273"/>
          <cell r="G273"/>
          <cell r="H273"/>
          <cell r="I273"/>
        </row>
        <row r="274">
          <cell r="E274"/>
          <cell r="G274"/>
          <cell r="H274"/>
          <cell r="I274"/>
        </row>
        <row r="275">
          <cell r="E275"/>
          <cell r="G275"/>
          <cell r="H275"/>
          <cell r="I275"/>
        </row>
        <row r="276">
          <cell r="E276"/>
          <cell r="G276"/>
          <cell r="H276"/>
          <cell r="I276"/>
        </row>
        <row r="277">
          <cell r="E277"/>
          <cell r="G277"/>
          <cell r="H277"/>
          <cell r="I277"/>
        </row>
        <row r="278">
          <cell r="E278"/>
          <cell r="G278"/>
          <cell r="H278"/>
          <cell r="I278"/>
        </row>
        <row r="279">
          <cell r="E279"/>
          <cell r="G279"/>
          <cell r="H279"/>
          <cell r="I279"/>
        </row>
        <row r="280">
          <cell r="E280"/>
          <cell r="G280"/>
          <cell r="H280"/>
          <cell r="I280"/>
        </row>
        <row r="281">
          <cell r="E281"/>
          <cell r="G281"/>
          <cell r="H281"/>
          <cell r="I281"/>
        </row>
        <row r="282">
          <cell r="E282"/>
          <cell r="G282"/>
          <cell r="H282"/>
          <cell r="I282"/>
        </row>
        <row r="283">
          <cell r="E283"/>
          <cell r="G283"/>
          <cell r="H283"/>
          <cell r="I283"/>
        </row>
        <row r="284">
          <cell r="E284"/>
          <cell r="G284"/>
          <cell r="H284"/>
          <cell r="I284"/>
        </row>
        <row r="285">
          <cell r="E285"/>
          <cell r="G285"/>
          <cell r="H285"/>
          <cell r="I285"/>
        </row>
        <row r="286">
          <cell r="E286"/>
          <cell r="G286"/>
          <cell r="H286"/>
          <cell r="I286"/>
        </row>
        <row r="287">
          <cell r="E287"/>
          <cell r="G287"/>
          <cell r="H287"/>
          <cell r="I287"/>
        </row>
        <row r="288">
          <cell r="E288"/>
          <cell r="G288"/>
          <cell r="H288"/>
          <cell r="I288"/>
        </row>
        <row r="289">
          <cell r="E289"/>
          <cell r="G289"/>
          <cell r="H289"/>
          <cell r="I289"/>
        </row>
        <row r="290">
          <cell r="E290"/>
          <cell r="G290"/>
          <cell r="H290"/>
          <cell r="I290"/>
        </row>
        <row r="291">
          <cell r="E291"/>
          <cell r="G291"/>
          <cell r="H291"/>
          <cell r="I291"/>
        </row>
        <row r="292">
          <cell r="E292"/>
          <cell r="G292"/>
          <cell r="H292"/>
          <cell r="I292"/>
        </row>
        <row r="293">
          <cell r="E293"/>
          <cell r="G293"/>
          <cell r="H293"/>
          <cell r="I293"/>
        </row>
        <row r="294">
          <cell r="E294"/>
          <cell r="G294"/>
          <cell r="H294"/>
          <cell r="I294"/>
        </row>
        <row r="295">
          <cell r="E295"/>
          <cell r="G295"/>
          <cell r="H295"/>
          <cell r="I295"/>
        </row>
        <row r="296">
          <cell r="E296"/>
          <cell r="G296"/>
          <cell r="H296"/>
          <cell r="I296"/>
        </row>
        <row r="297">
          <cell r="E297"/>
          <cell r="G297"/>
          <cell r="H297"/>
          <cell r="I297"/>
        </row>
        <row r="298">
          <cell r="E298"/>
          <cell r="G298"/>
          <cell r="H298"/>
          <cell r="I298"/>
        </row>
        <row r="299">
          <cell r="E299"/>
          <cell r="G299"/>
          <cell r="H299"/>
          <cell r="I299"/>
        </row>
        <row r="300">
          <cell r="E300"/>
          <cell r="G300"/>
          <cell r="H300"/>
          <cell r="I300"/>
        </row>
        <row r="301">
          <cell r="E301"/>
          <cell r="G301"/>
          <cell r="H301"/>
          <cell r="I301"/>
        </row>
        <row r="302">
          <cell r="E302"/>
          <cell r="G302"/>
          <cell r="H302"/>
          <cell r="I302"/>
        </row>
        <row r="303">
          <cell r="E303"/>
          <cell r="G303"/>
          <cell r="H303"/>
          <cell r="I303"/>
        </row>
        <row r="304">
          <cell r="E304"/>
          <cell r="G304"/>
          <cell r="H304"/>
          <cell r="I304"/>
        </row>
        <row r="305">
          <cell r="E305"/>
          <cell r="G305"/>
          <cell r="H305"/>
          <cell r="I305"/>
        </row>
        <row r="306">
          <cell r="E306"/>
          <cell r="G306"/>
          <cell r="H306"/>
          <cell r="I306"/>
        </row>
        <row r="307">
          <cell r="E307"/>
          <cell r="G307"/>
          <cell r="H307"/>
          <cell r="I307"/>
        </row>
        <row r="308">
          <cell r="E308"/>
          <cell r="G308"/>
          <cell r="H308"/>
          <cell r="I308"/>
        </row>
        <row r="309">
          <cell r="E309"/>
          <cell r="G309"/>
          <cell r="H309"/>
          <cell r="I309"/>
        </row>
        <row r="310">
          <cell r="E310"/>
          <cell r="G310"/>
          <cell r="H310"/>
          <cell r="I310"/>
        </row>
        <row r="311">
          <cell r="E311"/>
          <cell r="G311"/>
          <cell r="H311"/>
          <cell r="I311"/>
        </row>
        <row r="312">
          <cell r="E312"/>
          <cell r="G312"/>
          <cell r="H312"/>
          <cell r="I312"/>
        </row>
        <row r="313">
          <cell r="E313"/>
          <cell r="G313"/>
          <cell r="H313"/>
          <cell r="I313"/>
        </row>
        <row r="314">
          <cell r="E314"/>
          <cell r="G314"/>
          <cell r="H314"/>
          <cell r="I314"/>
        </row>
        <row r="315">
          <cell r="E315"/>
          <cell r="G315"/>
          <cell r="H315"/>
          <cell r="I315"/>
        </row>
        <row r="316">
          <cell r="E316"/>
          <cell r="G316"/>
          <cell r="H316"/>
          <cell r="I316"/>
        </row>
        <row r="317">
          <cell r="E317"/>
          <cell r="G317"/>
          <cell r="H317"/>
          <cell r="I317"/>
        </row>
        <row r="318">
          <cell r="E318"/>
          <cell r="G318"/>
          <cell r="H318"/>
          <cell r="I318"/>
        </row>
        <row r="319">
          <cell r="E319"/>
          <cell r="G319"/>
          <cell r="H319"/>
          <cell r="I319"/>
        </row>
        <row r="320">
          <cell r="E320"/>
          <cell r="G320"/>
          <cell r="H320"/>
          <cell r="I320"/>
        </row>
        <row r="321">
          <cell r="E321"/>
          <cell r="G321"/>
          <cell r="H321"/>
          <cell r="I321"/>
        </row>
        <row r="322">
          <cell r="E322"/>
          <cell r="G322"/>
          <cell r="H322"/>
          <cell r="I322"/>
        </row>
        <row r="323">
          <cell r="E323"/>
          <cell r="G323"/>
          <cell r="H323"/>
          <cell r="I323"/>
        </row>
        <row r="324">
          <cell r="E324"/>
          <cell r="G324"/>
          <cell r="H324"/>
          <cell r="I324"/>
        </row>
        <row r="325">
          <cell r="E325"/>
          <cell r="G325"/>
          <cell r="H325"/>
          <cell r="I325"/>
        </row>
        <row r="326">
          <cell r="E326"/>
          <cell r="G326"/>
          <cell r="H326"/>
          <cell r="I326"/>
        </row>
        <row r="327">
          <cell r="E327"/>
          <cell r="G327"/>
          <cell r="H327"/>
          <cell r="I327"/>
        </row>
        <row r="328">
          <cell r="E328"/>
          <cell r="G328"/>
          <cell r="H328"/>
          <cell r="I328"/>
        </row>
        <row r="329">
          <cell r="E329"/>
          <cell r="G329"/>
          <cell r="H329"/>
          <cell r="I329"/>
        </row>
        <row r="330">
          <cell r="E330"/>
          <cell r="G330"/>
          <cell r="H330"/>
          <cell r="I330"/>
        </row>
        <row r="331">
          <cell r="E331"/>
          <cell r="G331"/>
          <cell r="H331"/>
          <cell r="I331"/>
        </row>
        <row r="332">
          <cell r="E332"/>
          <cell r="G332"/>
          <cell r="H332"/>
          <cell r="I332"/>
        </row>
        <row r="333">
          <cell r="E333"/>
          <cell r="G333"/>
          <cell r="H333"/>
          <cell r="I333"/>
        </row>
        <row r="334">
          <cell r="E334"/>
          <cell r="G334"/>
          <cell r="H334"/>
          <cell r="I334"/>
        </row>
        <row r="335">
          <cell r="E335"/>
          <cell r="G335"/>
          <cell r="H335"/>
          <cell r="I335"/>
        </row>
        <row r="336">
          <cell r="E336"/>
          <cell r="G336"/>
          <cell r="H336"/>
          <cell r="I336"/>
        </row>
        <row r="337">
          <cell r="E337"/>
          <cell r="G337"/>
          <cell r="H337"/>
          <cell r="I337"/>
        </row>
        <row r="338">
          <cell r="E338"/>
          <cell r="G338"/>
          <cell r="H338"/>
          <cell r="I338"/>
        </row>
        <row r="339">
          <cell r="E339"/>
          <cell r="G339"/>
          <cell r="H339"/>
          <cell r="I339"/>
        </row>
        <row r="340">
          <cell r="E340"/>
          <cell r="G340"/>
          <cell r="H340"/>
          <cell r="I340"/>
        </row>
        <row r="341">
          <cell r="E341"/>
          <cell r="G341"/>
          <cell r="H341"/>
          <cell r="I341"/>
        </row>
        <row r="342">
          <cell r="E342"/>
          <cell r="G342"/>
          <cell r="H342"/>
          <cell r="I342"/>
        </row>
        <row r="343">
          <cell r="E343"/>
          <cell r="G343"/>
          <cell r="H343"/>
          <cell r="I343"/>
        </row>
        <row r="344">
          <cell r="E344"/>
          <cell r="G344"/>
          <cell r="H344"/>
          <cell r="I344"/>
        </row>
        <row r="345">
          <cell r="E345"/>
          <cell r="G345"/>
          <cell r="H345"/>
          <cell r="I345"/>
        </row>
        <row r="346">
          <cell r="E346"/>
          <cell r="G346"/>
          <cell r="H346"/>
          <cell r="I346"/>
        </row>
        <row r="347">
          <cell r="E347"/>
          <cell r="G347"/>
          <cell r="H347"/>
          <cell r="I347"/>
        </row>
        <row r="348">
          <cell r="E348"/>
          <cell r="G348"/>
          <cell r="H348"/>
          <cell r="I348"/>
        </row>
        <row r="349">
          <cell r="E349"/>
          <cell r="G349"/>
          <cell r="H349"/>
          <cell r="I349"/>
        </row>
        <row r="350">
          <cell r="E350"/>
          <cell r="G350"/>
          <cell r="H350"/>
          <cell r="I350"/>
        </row>
        <row r="351">
          <cell r="E351"/>
          <cell r="G351"/>
          <cell r="H351"/>
          <cell r="I351"/>
        </row>
        <row r="352">
          <cell r="E352"/>
          <cell r="G352"/>
          <cell r="H352"/>
          <cell r="I352"/>
        </row>
        <row r="353">
          <cell r="E353"/>
          <cell r="G353"/>
          <cell r="H353"/>
          <cell r="I353"/>
        </row>
        <row r="354">
          <cell r="E354"/>
          <cell r="G354"/>
          <cell r="H354"/>
          <cell r="I354"/>
        </row>
        <row r="355">
          <cell r="E355"/>
          <cell r="G355"/>
          <cell r="H355"/>
          <cell r="I355"/>
        </row>
        <row r="356">
          <cell r="E356"/>
          <cell r="G356"/>
          <cell r="H356"/>
          <cell r="I356"/>
        </row>
        <row r="357">
          <cell r="E357"/>
          <cell r="G357"/>
          <cell r="H357"/>
          <cell r="I357"/>
        </row>
        <row r="358">
          <cell r="E358"/>
          <cell r="G358"/>
          <cell r="H358"/>
          <cell r="I358"/>
        </row>
        <row r="359">
          <cell r="E359"/>
          <cell r="G359"/>
          <cell r="H359"/>
          <cell r="I359"/>
        </row>
        <row r="360">
          <cell r="E360"/>
          <cell r="G360"/>
          <cell r="H360"/>
          <cell r="I360"/>
        </row>
        <row r="361">
          <cell r="E361"/>
          <cell r="G361"/>
          <cell r="H361"/>
          <cell r="I361"/>
        </row>
        <row r="362">
          <cell r="E362"/>
          <cell r="G362"/>
          <cell r="H362"/>
          <cell r="I362"/>
        </row>
        <row r="363">
          <cell r="E363"/>
          <cell r="G363"/>
          <cell r="H363"/>
          <cell r="I363"/>
        </row>
        <row r="364">
          <cell r="E364"/>
          <cell r="G364"/>
          <cell r="H364"/>
          <cell r="I364"/>
        </row>
        <row r="365">
          <cell r="E365"/>
          <cell r="G365"/>
          <cell r="H365"/>
          <cell r="I365"/>
        </row>
        <row r="366">
          <cell r="E366"/>
          <cell r="G366"/>
          <cell r="H366"/>
          <cell r="I366"/>
        </row>
        <row r="367">
          <cell r="E367"/>
          <cell r="G367"/>
          <cell r="H367"/>
          <cell r="I367"/>
        </row>
        <row r="368">
          <cell r="E368"/>
          <cell r="G368"/>
          <cell r="H368"/>
          <cell r="I368"/>
        </row>
        <row r="369">
          <cell r="E369"/>
          <cell r="G369"/>
          <cell r="H369"/>
          <cell r="I369"/>
        </row>
        <row r="370">
          <cell r="E370"/>
          <cell r="G370"/>
          <cell r="H370"/>
          <cell r="I370"/>
        </row>
        <row r="371">
          <cell r="E371"/>
          <cell r="G371"/>
          <cell r="H371"/>
          <cell r="I371"/>
        </row>
        <row r="372">
          <cell r="E372"/>
          <cell r="G372"/>
          <cell r="H372"/>
          <cell r="I372"/>
        </row>
        <row r="373">
          <cell r="E373"/>
          <cell r="G373"/>
          <cell r="H373"/>
          <cell r="I373"/>
        </row>
        <row r="374">
          <cell r="E374"/>
          <cell r="G374"/>
          <cell r="H374"/>
          <cell r="I374"/>
        </row>
        <row r="375">
          <cell r="E375"/>
          <cell r="G375"/>
          <cell r="H375"/>
          <cell r="I375"/>
        </row>
        <row r="376">
          <cell r="E376"/>
          <cell r="G376"/>
          <cell r="H376"/>
          <cell r="I376"/>
        </row>
        <row r="377">
          <cell r="E377"/>
          <cell r="G377"/>
          <cell r="H377"/>
          <cell r="I377"/>
        </row>
        <row r="378">
          <cell r="E378"/>
          <cell r="G378"/>
          <cell r="H378"/>
          <cell r="I378"/>
        </row>
        <row r="379">
          <cell r="E379"/>
          <cell r="G379"/>
          <cell r="H379"/>
          <cell r="I379"/>
        </row>
        <row r="380">
          <cell r="E380"/>
          <cell r="G380"/>
          <cell r="H380"/>
          <cell r="I380"/>
        </row>
        <row r="381">
          <cell r="E381"/>
          <cell r="G381"/>
          <cell r="H381"/>
          <cell r="I381"/>
        </row>
        <row r="382">
          <cell r="E382"/>
          <cell r="G382"/>
          <cell r="H382"/>
          <cell r="I382"/>
        </row>
        <row r="383">
          <cell r="E383"/>
          <cell r="G383"/>
          <cell r="H383"/>
          <cell r="I383"/>
        </row>
        <row r="384">
          <cell r="E384"/>
          <cell r="G384"/>
          <cell r="H384"/>
          <cell r="I384"/>
        </row>
        <row r="385">
          <cell r="E385"/>
          <cell r="G385"/>
          <cell r="H385"/>
          <cell r="I385"/>
        </row>
        <row r="386">
          <cell r="E386"/>
          <cell r="G386"/>
          <cell r="H386"/>
          <cell r="I386"/>
        </row>
        <row r="387">
          <cell r="E387"/>
          <cell r="G387"/>
          <cell r="H387"/>
          <cell r="I387"/>
        </row>
        <row r="388">
          <cell r="E388"/>
          <cell r="G388"/>
          <cell r="H388"/>
          <cell r="I388"/>
        </row>
        <row r="389">
          <cell r="E389"/>
          <cell r="G389"/>
          <cell r="H389"/>
          <cell r="I389"/>
        </row>
        <row r="390">
          <cell r="E390"/>
          <cell r="G390"/>
          <cell r="H390"/>
          <cell r="I390"/>
        </row>
        <row r="391">
          <cell r="E391"/>
          <cell r="G391"/>
          <cell r="H391"/>
          <cell r="I391"/>
        </row>
        <row r="392">
          <cell r="E392"/>
          <cell r="G392"/>
          <cell r="H392"/>
          <cell r="I392"/>
        </row>
        <row r="393">
          <cell r="E393"/>
          <cell r="G393"/>
          <cell r="H393"/>
          <cell r="I393"/>
        </row>
        <row r="394">
          <cell r="E394"/>
          <cell r="G394"/>
          <cell r="H394"/>
          <cell r="I394"/>
        </row>
      </sheetData>
      <sheetData sheetId="13"/>
      <sheetData sheetId="14"/>
      <sheetData sheetId="15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GROUPSUMMARY"/>
      <sheetName val="COHORTBYSUBJECT"/>
      <sheetName val="MENTORING&amp;COMMENTS"/>
      <sheetName val="CONCERNS(TOTALS)"/>
      <sheetName val="GRADES(FREQ)"/>
      <sheetName val="SUMMARY"/>
      <sheetName val="HOUSEPOINTS(DEPTASS)"/>
      <sheetName val="BHVEXPORT"/>
      <sheetName val="COHORT data"/>
      <sheetName val="Looku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L3VA"/>
      <sheetName val="SUBJECT L3VA"/>
      <sheetName val="GROUPDISTRIBUTION"/>
      <sheetName val="Chart1"/>
      <sheetName val="COHORTSUBJECTCOMPARATOR"/>
      <sheetName val="N2I and SERIOUS CONCERN(TOTALS)"/>
      <sheetName val="6THF-A2LBYSUBJECT"/>
      <sheetName val="A2L FREQ"/>
      <sheetName val="A2L SUMMARY"/>
      <sheetName val="BHVEXPORT"/>
      <sheetName val="COHORT data"/>
      <sheetName val="Lookups"/>
      <sheetName val="Char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 refreshError="1"/>
      <sheetData sheetId="12"/>
      <sheetData sheetId="13"/>
      <sheetData sheetId="14"/>
      <sheetData sheetId="15">
        <row r="2">
          <cell r="A2" t="str">
            <v>8a</v>
          </cell>
          <cell r="B2">
            <v>53</v>
          </cell>
          <cell r="C2" t="str">
            <v>8a</v>
          </cell>
        </row>
        <row r="3">
          <cell r="A3" t="str">
            <v>8b</v>
          </cell>
          <cell r="B3">
            <v>51</v>
          </cell>
          <cell r="C3" t="str">
            <v>8b</v>
          </cell>
        </row>
        <row r="4">
          <cell r="A4" t="str">
            <v>8c</v>
          </cell>
          <cell r="B4">
            <v>49</v>
          </cell>
          <cell r="C4" t="str">
            <v>8c</v>
          </cell>
        </row>
        <row r="5">
          <cell r="A5" t="str">
            <v>7a</v>
          </cell>
          <cell r="B5">
            <v>47</v>
          </cell>
          <cell r="C5" t="str">
            <v>7a</v>
          </cell>
        </row>
        <row r="6">
          <cell r="A6" t="str">
            <v>7b</v>
          </cell>
          <cell r="B6">
            <v>45</v>
          </cell>
          <cell r="C6" t="str">
            <v>7b</v>
          </cell>
        </row>
        <row r="7">
          <cell r="A7" t="str">
            <v>7c</v>
          </cell>
          <cell r="B7">
            <v>43</v>
          </cell>
          <cell r="C7" t="str">
            <v>7c</v>
          </cell>
        </row>
        <row r="8">
          <cell r="A8" t="str">
            <v>6a</v>
          </cell>
          <cell r="B8">
            <v>41</v>
          </cell>
          <cell r="C8" t="str">
            <v>6a</v>
          </cell>
        </row>
        <row r="9">
          <cell r="A9" t="str">
            <v>6b</v>
          </cell>
          <cell r="B9">
            <v>39</v>
          </cell>
          <cell r="C9" t="str">
            <v>6b</v>
          </cell>
        </row>
        <row r="10">
          <cell r="A10" t="str">
            <v>6c</v>
          </cell>
          <cell r="B10">
            <v>37</v>
          </cell>
          <cell r="C10" t="str">
            <v>6c</v>
          </cell>
        </row>
        <row r="11">
          <cell r="A11" t="str">
            <v>5a</v>
          </cell>
          <cell r="B11">
            <v>35</v>
          </cell>
          <cell r="C11" t="str">
            <v>5a</v>
          </cell>
        </row>
        <row r="12">
          <cell r="A12" t="str">
            <v>5b</v>
          </cell>
          <cell r="B12">
            <v>33</v>
          </cell>
          <cell r="C12" t="str">
            <v>5b</v>
          </cell>
        </row>
        <row r="13">
          <cell r="A13" t="str">
            <v>5c</v>
          </cell>
          <cell r="B13">
            <v>31</v>
          </cell>
          <cell r="C13" t="str">
            <v>5c</v>
          </cell>
        </row>
        <row r="14">
          <cell r="C14" t="str">
            <v>4a</v>
          </cell>
        </row>
        <row r="15">
          <cell r="A15" t="str">
            <v>4a</v>
          </cell>
          <cell r="B15">
            <v>29</v>
          </cell>
          <cell r="C15" t="str">
            <v>4b</v>
          </cell>
        </row>
        <row r="16">
          <cell r="A16" t="str">
            <v>4b</v>
          </cell>
          <cell r="B16">
            <v>27</v>
          </cell>
          <cell r="C16" t="str">
            <v>4c</v>
          </cell>
        </row>
        <row r="17">
          <cell r="A17" t="str">
            <v>4c</v>
          </cell>
          <cell r="B17">
            <v>25</v>
          </cell>
          <cell r="C17" t="str">
            <v>3a</v>
          </cell>
        </row>
        <row r="18">
          <cell r="A18" t="str">
            <v>3a</v>
          </cell>
          <cell r="B18">
            <v>23</v>
          </cell>
          <cell r="C18" t="str">
            <v>3b</v>
          </cell>
        </row>
        <row r="19">
          <cell r="A19" t="str">
            <v>3b</v>
          </cell>
          <cell r="B19">
            <v>21</v>
          </cell>
          <cell r="C19" t="str">
            <v>3c</v>
          </cell>
        </row>
        <row r="20">
          <cell r="A20" t="str">
            <v>3c</v>
          </cell>
          <cell r="B20">
            <v>19</v>
          </cell>
          <cell r="C20" t="str">
            <v>2a</v>
          </cell>
        </row>
        <row r="21">
          <cell r="A21" t="str">
            <v>2a</v>
          </cell>
          <cell r="B21">
            <v>17</v>
          </cell>
          <cell r="C21" t="str">
            <v>2b</v>
          </cell>
        </row>
        <row r="22">
          <cell r="A22" t="str">
            <v>2b</v>
          </cell>
          <cell r="B22">
            <v>15</v>
          </cell>
          <cell r="C22" t="str">
            <v>2c</v>
          </cell>
        </row>
        <row r="23">
          <cell r="A23" t="str">
            <v>2c</v>
          </cell>
          <cell r="B23">
            <v>13</v>
          </cell>
          <cell r="C23" t="str">
            <v>1a</v>
          </cell>
        </row>
        <row r="24">
          <cell r="A24" t="str">
            <v>1a</v>
          </cell>
          <cell r="B24">
            <v>11</v>
          </cell>
          <cell r="C24" t="str">
            <v>1b</v>
          </cell>
        </row>
        <row r="25">
          <cell r="A25" t="str">
            <v>1b</v>
          </cell>
          <cell r="B25">
            <v>9</v>
          </cell>
          <cell r="C25" t="str">
            <v>1c</v>
          </cell>
        </row>
        <row r="26">
          <cell r="A26" t="str">
            <v>1c</v>
          </cell>
          <cell r="B26">
            <v>7</v>
          </cell>
        </row>
        <row r="27">
          <cell r="A27" t="str">
            <v>A*</v>
          </cell>
          <cell r="B27">
            <v>60</v>
          </cell>
        </row>
        <row r="28">
          <cell r="A28" t="str">
            <v>A/A*</v>
          </cell>
          <cell r="B28">
            <v>55</v>
          </cell>
        </row>
        <row r="29">
          <cell r="A29" t="str">
            <v>A</v>
          </cell>
          <cell r="B29">
            <v>50</v>
          </cell>
          <cell r="C29">
            <v>25</v>
          </cell>
        </row>
        <row r="30">
          <cell r="A30" t="str">
            <v>B/A</v>
          </cell>
          <cell r="B30">
            <v>45</v>
          </cell>
          <cell r="C30"/>
        </row>
        <row r="31">
          <cell r="A31" t="str">
            <v>B</v>
          </cell>
          <cell r="B31">
            <v>40</v>
          </cell>
          <cell r="C31">
            <v>20</v>
          </cell>
        </row>
        <row r="32">
          <cell r="A32" t="str">
            <v>C/B</v>
          </cell>
          <cell r="B32">
            <v>35</v>
          </cell>
          <cell r="C32"/>
        </row>
        <row r="33">
          <cell r="A33" t="str">
            <v>C</v>
          </cell>
          <cell r="B33">
            <v>30</v>
          </cell>
          <cell r="C33">
            <v>15</v>
          </cell>
        </row>
        <row r="34">
          <cell r="A34" t="str">
            <v>D/C</v>
          </cell>
          <cell r="B34">
            <v>25</v>
          </cell>
          <cell r="C34"/>
        </row>
        <row r="35">
          <cell r="A35" t="str">
            <v>D</v>
          </cell>
          <cell r="B35">
            <v>20</v>
          </cell>
          <cell r="C35">
            <v>10</v>
          </cell>
        </row>
        <row r="36">
          <cell r="A36" t="str">
            <v>E/D</v>
          </cell>
          <cell r="B36">
            <v>15</v>
          </cell>
          <cell r="C36"/>
        </row>
        <row r="37">
          <cell r="A37" t="str">
            <v>E</v>
          </cell>
          <cell r="B37">
            <v>10</v>
          </cell>
          <cell r="C37">
            <v>5</v>
          </cell>
        </row>
        <row r="38">
          <cell r="A38" t="str">
            <v>U</v>
          </cell>
          <cell r="B38">
            <v>0</v>
          </cell>
          <cell r="C38">
            <v>0</v>
          </cell>
        </row>
        <row r="39">
          <cell r="A39" t="str">
            <v>A* MOCK</v>
          </cell>
          <cell r="B39">
            <v>60</v>
          </cell>
        </row>
        <row r="40">
          <cell r="A40" t="str">
            <v>A MOCK</v>
          </cell>
          <cell r="B40">
            <v>50</v>
          </cell>
        </row>
        <row r="41">
          <cell r="A41" t="str">
            <v>B MOCK</v>
          </cell>
          <cell r="B41">
            <v>40</v>
          </cell>
        </row>
        <row r="42">
          <cell r="A42" t="str">
            <v>C MOCK</v>
          </cell>
          <cell r="B42">
            <v>30</v>
          </cell>
        </row>
        <row r="43">
          <cell r="A43" t="str">
            <v>D MOCK</v>
          </cell>
          <cell r="B43">
            <v>20</v>
          </cell>
        </row>
        <row r="44">
          <cell r="A44" t="str">
            <v>E MOCK</v>
          </cell>
          <cell r="B44">
            <v>10</v>
          </cell>
        </row>
        <row r="45">
          <cell r="A45" t="str">
            <v>U MOCK</v>
          </cell>
          <cell r="B45">
            <v>0</v>
          </cell>
        </row>
        <row r="46">
          <cell r="A46" t="str">
            <v>U - E</v>
          </cell>
          <cell r="B46">
            <v>5</v>
          </cell>
        </row>
        <row r="47">
          <cell r="A47" t="str">
            <v>C - B</v>
          </cell>
          <cell r="B47">
            <v>35</v>
          </cell>
        </row>
        <row r="48">
          <cell r="A48" t="str">
            <v>B - A*</v>
          </cell>
          <cell r="B48">
            <v>50</v>
          </cell>
        </row>
        <row r="49">
          <cell r="A49" t="str">
            <v>E - C</v>
          </cell>
          <cell r="B49">
            <v>20</v>
          </cell>
        </row>
        <row r="50">
          <cell r="A50" t="str">
            <v>A - A*</v>
          </cell>
          <cell r="B50">
            <v>55</v>
          </cell>
        </row>
        <row r="51">
          <cell r="A51" t="str">
            <v>B - A</v>
          </cell>
          <cell r="B51">
            <v>45</v>
          </cell>
        </row>
        <row r="52">
          <cell r="A52" t="str">
            <v>D - C</v>
          </cell>
          <cell r="B52">
            <v>25</v>
          </cell>
        </row>
        <row r="53">
          <cell r="A53" t="str">
            <v>E - D</v>
          </cell>
          <cell r="B53">
            <v>15</v>
          </cell>
        </row>
        <row r="54">
          <cell r="A54" t="str">
            <v>U - E</v>
          </cell>
          <cell r="B54">
            <v>5</v>
          </cell>
        </row>
        <row r="55">
          <cell r="A55" t="str">
            <v>Dist*</v>
          </cell>
          <cell r="B55">
            <v>50</v>
          </cell>
        </row>
        <row r="56">
          <cell r="A56" t="str">
            <v>Dist</v>
          </cell>
          <cell r="B56">
            <v>35</v>
          </cell>
        </row>
        <row r="57">
          <cell r="A57" t="str">
            <v>Merit</v>
          </cell>
          <cell r="B57">
            <v>25</v>
          </cell>
        </row>
        <row r="58">
          <cell r="A58" t="str">
            <v>Pass</v>
          </cell>
          <cell r="B58">
            <v>15</v>
          </cell>
        </row>
        <row r="59">
          <cell r="A59" t="str">
            <v>P - M</v>
          </cell>
          <cell r="B59">
            <v>20</v>
          </cell>
        </row>
        <row r="60">
          <cell r="A60" t="str">
            <v>M - D</v>
          </cell>
          <cell r="B60">
            <v>30</v>
          </cell>
        </row>
        <row r="61">
          <cell r="A61" t="str">
            <v>D - D*</v>
          </cell>
          <cell r="B61">
            <v>42.5</v>
          </cell>
        </row>
        <row r="62">
          <cell r="A62" t="str">
            <v>U - P</v>
          </cell>
          <cell r="B62">
            <v>7.5</v>
          </cell>
        </row>
        <row r="63">
          <cell r="A63" t="str">
            <v>U-E</v>
          </cell>
          <cell r="B63">
            <v>5</v>
          </cell>
        </row>
        <row r="64">
          <cell r="A64" t="str">
            <v>C-B</v>
          </cell>
          <cell r="B64">
            <v>35</v>
          </cell>
        </row>
        <row r="65">
          <cell r="A65" t="str">
            <v>B-A*</v>
          </cell>
          <cell r="B65">
            <v>50</v>
          </cell>
        </row>
        <row r="66">
          <cell r="A66" t="str">
            <v>E-C</v>
          </cell>
          <cell r="B66">
            <v>20</v>
          </cell>
        </row>
        <row r="67">
          <cell r="A67" t="str">
            <v>A-A*</v>
          </cell>
          <cell r="B67">
            <v>55</v>
          </cell>
        </row>
        <row r="68">
          <cell r="A68" t="str">
            <v>B-A</v>
          </cell>
          <cell r="B68">
            <v>45</v>
          </cell>
        </row>
        <row r="69">
          <cell r="A69" t="str">
            <v>D-C</v>
          </cell>
          <cell r="B69">
            <v>25</v>
          </cell>
        </row>
        <row r="70">
          <cell r="A70" t="str">
            <v>E-D</v>
          </cell>
          <cell r="B70">
            <v>15</v>
          </cell>
        </row>
        <row r="71">
          <cell r="A71" t="str">
            <v>U-E</v>
          </cell>
          <cell r="B71">
            <v>5</v>
          </cell>
        </row>
        <row r="72">
          <cell r="A72" t="str">
            <v>P-M</v>
          </cell>
          <cell r="B72">
            <v>20</v>
          </cell>
        </row>
        <row r="73">
          <cell r="A73" t="str">
            <v>M-D</v>
          </cell>
          <cell r="B73">
            <v>30</v>
          </cell>
        </row>
        <row r="74">
          <cell r="A74" t="str">
            <v>D-D*</v>
          </cell>
          <cell r="B74">
            <v>42.5</v>
          </cell>
        </row>
        <row r="75">
          <cell r="A75" t="str">
            <v>U-P</v>
          </cell>
          <cell r="B75">
            <v>7.5</v>
          </cell>
        </row>
      </sheetData>
      <sheetData sheetId="1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GROUPDISTRIBUTION"/>
      <sheetName val="Chart1"/>
      <sheetName val="N2I and SERIOUS CONCERN(TOTALS)"/>
      <sheetName val="A2L FREQ"/>
      <sheetName val="A2L SUMMARY"/>
      <sheetName val="BHVEXPORT"/>
      <sheetName val="COHORT data"/>
      <sheetName val="Lookups"/>
      <sheetName val="Y8 Student Progress Monitoring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/>
      <sheetData sheetId="12">
        <row r="1">
          <cell r="A1" t="str">
            <v>Admission Number</v>
          </cell>
        </row>
      </sheetData>
      <sheetData sheetId="13"/>
      <sheetData sheetId="14">
        <row r="1">
          <cell r="J1" t="str">
            <v>PRIOR ATTAINMENT</v>
          </cell>
        </row>
        <row r="2">
          <cell r="A2" t="str">
            <v>8a</v>
          </cell>
          <cell r="B2">
            <v>53</v>
          </cell>
          <cell r="J2" t="str">
            <v>Id</v>
          </cell>
          <cell r="K2" t="str">
            <v>Name</v>
          </cell>
          <cell r="L2" t="str">
            <v>SS</v>
          </cell>
          <cell r="M2" t="str">
            <v>PRIOR</v>
          </cell>
        </row>
        <row r="3">
          <cell r="A3" t="str">
            <v>8b</v>
          </cell>
          <cell r="B3">
            <v>51</v>
          </cell>
          <cell r="J3">
            <v>152831</v>
          </cell>
          <cell r="K3" t="str">
            <v>Abraham, Olivia</v>
          </cell>
          <cell r="L3">
            <v>115</v>
          </cell>
          <cell r="M3" t="str">
            <v>H</v>
          </cell>
        </row>
        <row r="4">
          <cell r="A4" t="str">
            <v>8c</v>
          </cell>
          <cell r="B4">
            <v>49</v>
          </cell>
          <cell r="J4">
            <v>152924</v>
          </cell>
          <cell r="K4" t="str">
            <v>Ahmadi-Siahpoush, Aryana</v>
          </cell>
          <cell r="L4">
            <v>108.5</v>
          </cell>
          <cell r="M4" t="str">
            <v>M</v>
          </cell>
        </row>
        <row r="5">
          <cell r="A5" t="str">
            <v>7a</v>
          </cell>
          <cell r="B5">
            <v>47</v>
          </cell>
          <cell r="J5">
            <v>152810</v>
          </cell>
          <cell r="K5" t="str">
            <v>Akanuwe, Raphael</v>
          </cell>
          <cell r="L5">
            <v>114</v>
          </cell>
          <cell r="M5" t="str">
            <v>H</v>
          </cell>
        </row>
        <row r="6">
          <cell r="A6" t="str">
            <v>7b</v>
          </cell>
          <cell r="B6">
            <v>45</v>
          </cell>
          <cell r="J6">
            <v>152847</v>
          </cell>
          <cell r="K6" t="str">
            <v>Allen, Elyse</v>
          </cell>
          <cell r="L6">
            <v>104</v>
          </cell>
          <cell r="M6" t="str">
            <v>M</v>
          </cell>
        </row>
        <row r="7">
          <cell r="A7" t="str">
            <v>7c</v>
          </cell>
          <cell r="B7">
            <v>43</v>
          </cell>
          <cell r="J7">
            <v>152799</v>
          </cell>
          <cell r="K7" t="str">
            <v>Allen, Emily</v>
          </cell>
          <cell r="L7">
            <v>114</v>
          </cell>
          <cell r="M7" t="str">
            <v>H</v>
          </cell>
        </row>
        <row r="8">
          <cell r="A8" t="str">
            <v>6a</v>
          </cell>
          <cell r="B8">
            <v>41</v>
          </cell>
          <cell r="J8">
            <v>152853</v>
          </cell>
          <cell r="K8" t="str">
            <v>Aloba, Darasimi</v>
          </cell>
          <cell r="L8">
            <v>105.5</v>
          </cell>
          <cell r="M8" t="str">
            <v>M</v>
          </cell>
        </row>
        <row r="9">
          <cell r="A9" t="str">
            <v>6b</v>
          </cell>
          <cell r="B9">
            <v>39</v>
          </cell>
          <cell r="J9">
            <v>152923</v>
          </cell>
          <cell r="K9" t="str">
            <v>Amboe-Frou, Jean</v>
          </cell>
          <cell r="L9">
            <v>112.5</v>
          </cell>
          <cell r="M9" t="str">
            <v>H</v>
          </cell>
        </row>
        <row r="10">
          <cell r="A10" t="str">
            <v>6c</v>
          </cell>
          <cell r="B10">
            <v>37</v>
          </cell>
          <cell r="J10">
            <v>152753</v>
          </cell>
          <cell r="K10" t="str">
            <v>Amoah, Amarachi</v>
          </cell>
          <cell r="L10">
            <v>103</v>
          </cell>
          <cell r="M10" t="str">
            <v>M</v>
          </cell>
        </row>
        <row r="11">
          <cell r="A11" t="str">
            <v>5a</v>
          </cell>
          <cell r="B11">
            <v>35</v>
          </cell>
          <cell r="J11">
            <v>152745</v>
          </cell>
          <cell r="K11" t="str">
            <v>Aure, Adriano</v>
          </cell>
          <cell r="L11">
            <v>108.5</v>
          </cell>
          <cell r="M11" t="str">
            <v>M</v>
          </cell>
        </row>
        <row r="12">
          <cell r="A12" t="str">
            <v>5b</v>
          </cell>
          <cell r="B12">
            <v>33</v>
          </cell>
          <cell r="J12">
            <v>152827</v>
          </cell>
          <cell r="K12" t="str">
            <v>Azumah, Yelorm</v>
          </cell>
          <cell r="L12">
            <v>107.5</v>
          </cell>
          <cell r="M12" t="str">
            <v>M</v>
          </cell>
        </row>
        <row r="13">
          <cell r="A13" t="str">
            <v>5c</v>
          </cell>
          <cell r="B13">
            <v>31</v>
          </cell>
          <cell r="J13">
            <v>152882</v>
          </cell>
          <cell r="K13" t="str">
            <v>Bailey, Jackson</v>
          </cell>
          <cell r="L13">
            <v>106.5</v>
          </cell>
          <cell r="M13" t="str">
            <v>M</v>
          </cell>
        </row>
        <row r="14">
          <cell r="A14" t="str">
            <v>4a</v>
          </cell>
          <cell r="B14">
            <v>29</v>
          </cell>
          <cell r="J14">
            <v>152762</v>
          </cell>
          <cell r="K14" t="str">
            <v>Barnett, Lily</v>
          </cell>
          <cell r="L14">
            <v>112</v>
          </cell>
          <cell r="M14" t="str">
            <v>H</v>
          </cell>
        </row>
        <row r="15">
          <cell r="A15" t="str">
            <v>4b</v>
          </cell>
          <cell r="B15">
            <v>27</v>
          </cell>
          <cell r="J15">
            <v>152760</v>
          </cell>
          <cell r="K15" t="str">
            <v>Bingham, Harry</v>
          </cell>
          <cell r="L15">
            <v>105.5</v>
          </cell>
          <cell r="M15" t="str">
            <v>M</v>
          </cell>
        </row>
        <row r="16">
          <cell r="A16" t="str">
            <v>4c</v>
          </cell>
          <cell r="B16">
            <v>25</v>
          </cell>
          <cell r="J16">
            <v>152803</v>
          </cell>
          <cell r="K16" t="str">
            <v>Bishawu, Tyrone</v>
          </cell>
          <cell r="L16">
            <v>107.5</v>
          </cell>
          <cell r="M16" t="str">
            <v>M</v>
          </cell>
        </row>
        <row r="17">
          <cell r="A17" t="str">
            <v>3a</v>
          </cell>
          <cell r="B17">
            <v>23</v>
          </cell>
          <cell r="J17">
            <v>160010</v>
          </cell>
          <cell r="K17" t="str">
            <v>Borthwick, Beatrice</v>
          </cell>
          <cell r="L17">
            <v>104</v>
          </cell>
          <cell r="M17" t="str">
            <v>M</v>
          </cell>
        </row>
        <row r="18">
          <cell r="A18" t="str">
            <v>3b</v>
          </cell>
          <cell r="B18">
            <v>21</v>
          </cell>
          <cell r="J18">
            <v>152861</v>
          </cell>
          <cell r="K18" t="str">
            <v>Bradshaw, Megan</v>
          </cell>
          <cell r="L18">
            <v>115</v>
          </cell>
          <cell r="M18" t="str">
            <v>H</v>
          </cell>
        </row>
        <row r="19">
          <cell r="A19" t="str">
            <v>3c</v>
          </cell>
          <cell r="B19">
            <v>19</v>
          </cell>
          <cell r="J19">
            <v>152878</v>
          </cell>
          <cell r="K19" t="str">
            <v>Branney-Graveley, Orla</v>
          </cell>
          <cell r="L19">
            <v>108.5</v>
          </cell>
          <cell r="M19" t="str">
            <v>M</v>
          </cell>
        </row>
        <row r="20">
          <cell r="A20" t="str">
            <v>2a</v>
          </cell>
          <cell r="B20">
            <v>17</v>
          </cell>
          <cell r="J20">
            <v>152912</v>
          </cell>
          <cell r="K20" t="str">
            <v>Brennin, Noah</v>
          </cell>
          <cell r="L20">
            <v>118</v>
          </cell>
          <cell r="M20" t="str">
            <v>H</v>
          </cell>
        </row>
        <row r="21">
          <cell r="A21" t="str">
            <v>2b</v>
          </cell>
          <cell r="B21">
            <v>15</v>
          </cell>
          <cell r="J21">
            <v>152740</v>
          </cell>
          <cell r="K21" t="str">
            <v>Brown, Libby</v>
          </cell>
          <cell r="L21">
            <v>106</v>
          </cell>
          <cell r="M21" t="str">
            <v>M</v>
          </cell>
        </row>
        <row r="22">
          <cell r="A22" t="str">
            <v>2c</v>
          </cell>
          <cell r="B22">
            <v>13</v>
          </cell>
          <cell r="J22">
            <v>152777</v>
          </cell>
          <cell r="K22" t="str">
            <v>Brumpton, Abigail</v>
          </cell>
          <cell r="L22">
            <v>105</v>
          </cell>
          <cell r="M22" t="str">
            <v>M</v>
          </cell>
        </row>
        <row r="23">
          <cell r="A23" t="str">
            <v>1a</v>
          </cell>
          <cell r="B23">
            <v>11</v>
          </cell>
          <cell r="J23">
            <v>152786</v>
          </cell>
          <cell r="K23" t="str">
            <v>Bruno, Francesco</v>
          </cell>
          <cell r="L23">
            <v>101.5</v>
          </cell>
          <cell r="M23" t="str">
            <v>M</v>
          </cell>
        </row>
        <row r="24">
          <cell r="A24" t="str">
            <v>1b</v>
          </cell>
          <cell r="B24">
            <v>9</v>
          </cell>
          <cell r="J24">
            <v>152761</v>
          </cell>
          <cell r="K24" t="str">
            <v>Burling, Gavin</v>
          </cell>
          <cell r="L24">
            <v>107</v>
          </cell>
          <cell r="M24" t="str">
            <v>M</v>
          </cell>
        </row>
        <row r="25">
          <cell r="A25" t="str">
            <v>1c</v>
          </cell>
          <cell r="B25">
            <v>7</v>
          </cell>
          <cell r="J25">
            <v>152830</v>
          </cell>
          <cell r="K25" t="str">
            <v>Byrne, Joseph</v>
          </cell>
          <cell r="L25">
            <v>117</v>
          </cell>
          <cell r="M25" t="str">
            <v/>
          </cell>
        </row>
        <row r="26">
          <cell r="A26" t="str">
            <v>7 - 9</v>
          </cell>
          <cell r="B26">
            <v>8</v>
          </cell>
          <cell r="J26">
            <v>152812</v>
          </cell>
          <cell r="K26" t="str">
            <v>Carson, Benedict</v>
          </cell>
          <cell r="L26">
            <v>102.5</v>
          </cell>
          <cell r="M26" t="str">
            <v>M</v>
          </cell>
        </row>
        <row r="27">
          <cell r="A27" t="str">
            <v>5 - 7</v>
          </cell>
          <cell r="B27">
            <v>6</v>
          </cell>
          <cell r="J27">
            <v>152782</v>
          </cell>
          <cell r="K27" t="str">
            <v>Chapman, Levi</v>
          </cell>
          <cell r="L27">
            <v>104.5</v>
          </cell>
          <cell r="M27" t="str">
            <v>M</v>
          </cell>
        </row>
        <row r="28">
          <cell r="A28" t="str">
            <v>4 - 5</v>
          </cell>
          <cell r="B28">
            <v>4.5</v>
          </cell>
          <cell r="J28">
            <v>152837</v>
          </cell>
          <cell r="K28" t="str">
            <v>Clark, Suzie</v>
          </cell>
          <cell r="L28">
            <v>112.5</v>
          </cell>
          <cell r="M28" t="str">
            <v>H</v>
          </cell>
        </row>
        <row r="29">
          <cell r="A29" t="str">
            <v>1 - 4</v>
          </cell>
          <cell r="B29">
            <v>2.5</v>
          </cell>
          <cell r="J29">
            <v>152780</v>
          </cell>
          <cell r="K29" t="str">
            <v>Coates, Harley</v>
          </cell>
          <cell r="L29">
            <v>99.5</v>
          </cell>
          <cell r="M29" t="str">
            <v>L</v>
          </cell>
        </row>
        <row r="30">
          <cell r="A30" t="str">
            <v>7-9</v>
          </cell>
          <cell r="B30">
            <v>8</v>
          </cell>
          <cell r="J30">
            <v>152857</v>
          </cell>
          <cell r="K30" t="str">
            <v>Coefield, Patrick</v>
          </cell>
          <cell r="L30">
            <v>109</v>
          </cell>
          <cell r="M30" t="str">
            <v>M</v>
          </cell>
        </row>
        <row r="31">
          <cell r="A31" t="str">
            <v>5-7</v>
          </cell>
          <cell r="B31">
            <v>6</v>
          </cell>
          <cell r="J31">
            <v>152934</v>
          </cell>
          <cell r="K31" t="str">
            <v>Connolly, Arwen</v>
          </cell>
          <cell r="L31">
            <v>101</v>
          </cell>
          <cell r="M31" t="str">
            <v>M</v>
          </cell>
        </row>
        <row r="32">
          <cell r="A32" t="str">
            <v>4-5</v>
          </cell>
          <cell r="B32">
            <v>4.5</v>
          </cell>
          <cell r="J32">
            <v>152901</v>
          </cell>
          <cell r="K32" t="str">
            <v>Connolly, Ethan</v>
          </cell>
          <cell r="L32">
            <v>110</v>
          </cell>
          <cell r="M32" t="str">
            <v>H</v>
          </cell>
        </row>
        <row r="33">
          <cell r="A33" t="str">
            <v>1-4</v>
          </cell>
          <cell r="B33">
            <v>2.5</v>
          </cell>
          <cell r="J33">
            <v>152763</v>
          </cell>
          <cell r="K33" t="str">
            <v>Connolly, Imogen</v>
          </cell>
          <cell r="L33">
            <v>106</v>
          </cell>
          <cell r="M33" t="str">
            <v>M</v>
          </cell>
        </row>
        <row r="34">
          <cell r="J34">
            <v>152859</v>
          </cell>
          <cell r="K34" t="str">
            <v>Connolly, India</v>
          </cell>
          <cell r="L34">
            <v>110.5</v>
          </cell>
          <cell r="M34" t="str">
            <v>H</v>
          </cell>
        </row>
        <row r="35">
          <cell r="J35">
            <v>152879</v>
          </cell>
          <cell r="K35" t="str">
            <v>Cooling, Olivia</v>
          </cell>
          <cell r="L35">
            <v>100</v>
          </cell>
          <cell r="M35" t="str">
            <v>M</v>
          </cell>
        </row>
        <row r="36">
          <cell r="J36">
            <v>152849</v>
          </cell>
          <cell r="K36" t="str">
            <v>Daniel, Esey</v>
          </cell>
          <cell r="L36">
            <v>105.5</v>
          </cell>
          <cell r="M36" t="str">
            <v>M</v>
          </cell>
        </row>
        <row r="37">
          <cell r="J37">
            <v>152800</v>
          </cell>
          <cell r="K37" t="str">
            <v>Davies, Bethany</v>
          </cell>
          <cell r="L37">
            <v>110.5</v>
          </cell>
          <cell r="M37" t="str">
            <v>H</v>
          </cell>
        </row>
        <row r="38">
          <cell r="J38">
            <v>152774</v>
          </cell>
          <cell r="K38" t="str">
            <v>Disha, Thomas</v>
          </cell>
          <cell r="L38">
            <v>116</v>
          </cell>
          <cell r="M38" t="str">
            <v>H</v>
          </cell>
        </row>
        <row r="39">
          <cell r="J39">
            <v>152890</v>
          </cell>
          <cell r="K39" t="str">
            <v>Downing, Joseph</v>
          </cell>
          <cell r="L39">
            <v>105</v>
          </cell>
          <cell r="M39" t="str">
            <v>M</v>
          </cell>
        </row>
        <row r="40">
          <cell r="J40">
            <v>152892</v>
          </cell>
          <cell r="K40" t="str">
            <v>Duffy, Lana</v>
          </cell>
          <cell r="L40">
            <v>108</v>
          </cell>
          <cell r="M40" t="str">
            <v>M</v>
          </cell>
        </row>
        <row r="41">
          <cell r="J41">
            <v>152919</v>
          </cell>
          <cell r="K41" t="str">
            <v>Dumani, Sandile</v>
          </cell>
          <cell r="L41" t="str">
            <v/>
          </cell>
          <cell r="M41" t="str">
            <v/>
          </cell>
        </row>
        <row r="42">
          <cell r="J42">
            <v>152860</v>
          </cell>
          <cell r="K42" t="str">
            <v>Dunn, Alice</v>
          </cell>
          <cell r="L42">
            <v>111</v>
          </cell>
          <cell r="M42" t="str">
            <v>H</v>
          </cell>
        </row>
        <row r="43">
          <cell r="J43">
            <v>152764</v>
          </cell>
          <cell r="K43" t="str">
            <v>Dyantyi, Noble</v>
          </cell>
          <cell r="L43">
            <v>97.5</v>
          </cell>
          <cell r="M43" t="str">
            <v>L</v>
          </cell>
        </row>
        <row r="44">
          <cell r="J44">
            <v>152921</v>
          </cell>
          <cell r="K44" t="str">
            <v>Ebsworth, Ayda-Mae</v>
          </cell>
          <cell r="L44">
            <v>112.5</v>
          </cell>
          <cell r="M44" t="str">
            <v>H</v>
          </cell>
        </row>
        <row r="45">
          <cell r="J45">
            <v>152788</v>
          </cell>
          <cell r="K45" t="str">
            <v>Elliott, Lucy</v>
          </cell>
          <cell r="L45">
            <v>117</v>
          </cell>
          <cell r="M45" t="str">
            <v>H</v>
          </cell>
        </row>
        <row r="46">
          <cell r="J46">
            <v>152865</v>
          </cell>
          <cell r="K46" t="str">
            <v>Elom, Melissa</v>
          </cell>
          <cell r="L46" t="str">
            <v/>
          </cell>
          <cell r="M46" t="str">
            <v>H</v>
          </cell>
        </row>
        <row r="47">
          <cell r="J47">
            <v>152839</v>
          </cell>
          <cell r="K47" t="str">
            <v>Emmett, Matilda</v>
          </cell>
          <cell r="L47">
            <v>112</v>
          </cell>
          <cell r="M47" t="str">
            <v>H</v>
          </cell>
        </row>
        <row r="48">
          <cell r="J48">
            <v>152838</v>
          </cell>
          <cell r="K48" t="str">
            <v>Eyasue, Kalkidan</v>
          </cell>
          <cell r="L48">
            <v>103</v>
          </cell>
          <cell r="M48" t="str">
            <v>M</v>
          </cell>
        </row>
        <row r="49">
          <cell r="J49">
            <v>152835</v>
          </cell>
          <cell r="K49" t="str">
            <v>Fagan, Billy</v>
          </cell>
          <cell r="L49">
            <v>100.5</v>
          </cell>
          <cell r="M49" t="str">
            <v>M</v>
          </cell>
        </row>
        <row r="50">
          <cell r="J50">
            <v>152932</v>
          </cell>
          <cell r="K50" t="str">
            <v>Farrington, Thomas</v>
          </cell>
          <cell r="L50">
            <v>107.5</v>
          </cell>
          <cell r="M50" t="str">
            <v>M</v>
          </cell>
        </row>
        <row r="51">
          <cell r="J51">
            <v>152823</v>
          </cell>
          <cell r="K51" t="str">
            <v>Fekete, Boroka</v>
          </cell>
          <cell r="L51">
            <v>113.5</v>
          </cell>
          <cell r="M51" t="str">
            <v>H</v>
          </cell>
        </row>
        <row r="52">
          <cell r="J52">
            <v>152825</v>
          </cell>
          <cell r="K52" t="str">
            <v>Fox, Lana</v>
          </cell>
          <cell r="L52">
            <v>113</v>
          </cell>
          <cell r="M52" t="str">
            <v>H</v>
          </cell>
        </row>
        <row r="53">
          <cell r="J53">
            <v>160011</v>
          </cell>
          <cell r="K53" t="str">
            <v>Frawley, Oscar</v>
          </cell>
          <cell r="L53" t="str">
            <v/>
          </cell>
          <cell r="M53" t="str">
            <v>H</v>
          </cell>
        </row>
        <row r="54">
          <cell r="J54">
            <v>152864</v>
          </cell>
          <cell r="K54" t="str">
            <v>Freeman, Edward</v>
          </cell>
          <cell r="L54">
            <v>111</v>
          </cell>
          <cell r="M54" t="str">
            <v>H</v>
          </cell>
        </row>
        <row r="55">
          <cell r="J55">
            <v>152773</v>
          </cell>
          <cell r="K55" t="str">
            <v>Fuganti, Isaque</v>
          </cell>
          <cell r="L55">
            <v>108.5</v>
          </cell>
          <cell r="M55" t="str">
            <v>M</v>
          </cell>
        </row>
        <row r="56">
          <cell r="J56">
            <v>152792</v>
          </cell>
          <cell r="K56" t="str">
            <v>Gachia, Amani</v>
          </cell>
          <cell r="L56">
            <v>99.5</v>
          </cell>
          <cell r="M56" t="str">
            <v>L</v>
          </cell>
        </row>
        <row r="57">
          <cell r="J57">
            <v>152905</v>
          </cell>
          <cell r="K57" t="str">
            <v>Geci, Ariana</v>
          </cell>
          <cell r="L57">
            <v>99.5</v>
          </cell>
          <cell r="M57" t="str">
            <v>L</v>
          </cell>
        </row>
        <row r="58">
          <cell r="J58">
            <v>152925</v>
          </cell>
          <cell r="K58" t="str">
            <v>Gee, Samuel</v>
          </cell>
          <cell r="L58">
            <v>111</v>
          </cell>
          <cell r="M58" t="str">
            <v>H</v>
          </cell>
        </row>
        <row r="59">
          <cell r="J59">
            <v>152783</v>
          </cell>
          <cell r="K59" t="str">
            <v>Gloag, Jack</v>
          </cell>
          <cell r="L59">
            <v>118</v>
          </cell>
          <cell r="M59" t="str">
            <v>H</v>
          </cell>
        </row>
        <row r="60">
          <cell r="J60">
            <v>152880</v>
          </cell>
          <cell r="K60" t="str">
            <v>Goddard, Walt</v>
          </cell>
          <cell r="L60">
            <v>103</v>
          </cell>
          <cell r="M60" t="str">
            <v>M</v>
          </cell>
        </row>
        <row r="61">
          <cell r="J61">
            <v>152914</v>
          </cell>
          <cell r="K61" t="str">
            <v>Godwill, Chloe</v>
          </cell>
          <cell r="L61">
            <v>103.5</v>
          </cell>
          <cell r="M61" t="str">
            <v>M</v>
          </cell>
        </row>
        <row r="62">
          <cell r="J62">
            <v>152929</v>
          </cell>
          <cell r="K62" t="str">
            <v>Gordon, Shenai</v>
          </cell>
          <cell r="L62">
            <v>102</v>
          </cell>
          <cell r="M62" t="str">
            <v>M</v>
          </cell>
        </row>
        <row r="63">
          <cell r="J63">
            <v>152751</v>
          </cell>
          <cell r="K63" t="str">
            <v>Grady, Thomas</v>
          </cell>
          <cell r="L63">
            <v>113</v>
          </cell>
          <cell r="M63" t="str">
            <v>H</v>
          </cell>
        </row>
        <row r="64">
          <cell r="J64">
            <v>160002</v>
          </cell>
          <cell r="K64" t="str">
            <v>Green, Jadore</v>
          </cell>
          <cell r="L64">
            <v>105.5</v>
          </cell>
          <cell r="M64" t="str">
            <v>M</v>
          </cell>
        </row>
        <row r="65">
          <cell r="J65">
            <v>152805</v>
          </cell>
          <cell r="K65" t="str">
            <v>Grzybowski, Oscar</v>
          </cell>
          <cell r="L65">
            <v>112.5</v>
          </cell>
          <cell r="M65" t="str">
            <v>H</v>
          </cell>
        </row>
        <row r="66">
          <cell r="J66">
            <v>152845</v>
          </cell>
          <cell r="K66" t="str">
            <v>Gudgeon, Rose</v>
          </cell>
          <cell r="L66">
            <v>107.5</v>
          </cell>
          <cell r="M66" t="str">
            <v>M</v>
          </cell>
        </row>
        <row r="67">
          <cell r="J67">
            <v>152928</v>
          </cell>
          <cell r="K67" t="str">
            <v>Gulzar, Zaina</v>
          </cell>
          <cell r="L67">
            <v>108</v>
          </cell>
          <cell r="M67" t="str">
            <v>M</v>
          </cell>
        </row>
        <row r="68">
          <cell r="J68">
            <v>152875</v>
          </cell>
          <cell r="K68" t="str">
            <v>Hackwell, George</v>
          </cell>
          <cell r="L68">
            <v>105.5</v>
          </cell>
          <cell r="M68" t="str">
            <v>M</v>
          </cell>
        </row>
        <row r="69">
          <cell r="J69">
            <v>152883</v>
          </cell>
          <cell r="K69" t="str">
            <v>Hadi, Rio</v>
          </cell>
          <cell r="L69">
            <v>99.5</v>
          </cell>
          <cell r="M69" t="str">
            <v>L</v>
          </cell>
        </row>
        <row r="70">
          <cell r="J70">
            <v>152852</v>
          </cell>
          <cell r="K70" t="str">
            <v>Hambleton, Grace</v>
          </cell>
          <cell r="L70">
            <v>91.5</v>
          </cell>
          <cell r="M70" t="str">
            <v>L</v>
          </cell>
        </row>
        <row r="71">
          <cell r="J71">
            <v>152771</v>
          </cell>
          <cell r="K71" t="str">
            <v>Harrison Winks, Georgia</v>
          </cell>
          <cell r="L71">
            <v>108.5</v>
          </cell>
          <cell r="M71" t="str">
            <v>M</v>
          </cell>
        </row>
        <row r="72">
          <cell r="J72">
            <v>152741</v>
          </cell>
          <cell r="K72" t="str">
            <v>Hartley, Mischa</v>
          </cell>
          <cell r="L72">
            <v>105</v>
          </cell>
          <cell r="M72" t="str">
            <v>M</v>
          </cell>
        </row>
        <row r="73">
          <cell r="J73">
            <v>152798</v>
          </cell>
          <cell r="K73" t="str">
            <v>Hautbergue, Angelica</v>
          </cell>
          <cell r="L73">
            <v>116</v>
          </cell>
          <cell r="M73" t="str">
            <v>H</v>
          </cell>
        </row>
        <row r="74">
          <cell r="J74">
            <v>152949</v>
          </cell>
          <cell r="K74" t="str">
            <v>Hawkins, Naomi</v>
          </cell>
          <cell r="L74">
            <v>109.5</v>
          </cell>
          <cell r="M74" t="str">
            <v>M</v>
          </cell>
        </row>
        <row r="75">
          <cell r="J75">
            <v>152815</v>
          </cell>
          <cell r="K75" t="str">
            <v>Helm, Mansley</v>
          </cell>
          <cell r="L75">
            <v>110</v>
          </cell>
          <cell r="M75" t="str">
            <v>H</v>
          </cell>
        </row>
        <row r="76">
          <cell r="J76">
            <v>152881</v>
          </cell>
          <cell r="K76" t="str">
            <v>Hemmingfield, Marie</v>
          </cell>
          <cell r="L76">
            <v>111.5</v>
          </cell>
          <cell r="M76" t="str">
            <v>H</v>
          </cell>
        </row>
        <row r="77">
          <cell r="J77">
            <v>152768</v>
          </cell>
          <cell r="K77" t="str">
            <v>Henok, Daniel</v>
          </cell>
          <cell r="L77">
            <v>110.5</v>
          </cell>
          <cell r="M77" t="str">
            <v>H</v>
          </cell>
        </row>
        <row r="78">
          <cell r="J78">
            <v>152843</v>
          </cell>
          <cell r="K78" t="str">
            <v>Hogan, Archie</v>
          </cell>
          <cell r="L78">
            <v>107</v>
          </cell>
          <cell r="M78" t="str">
            <v>M</v>
          </cell>
        </row>
        <row r="79">
          <cell r="J79">
            <v>152909</v>
          </cell>
          <cell r="K79" t="str">
            <v>Hogan, Dylan</v>
          </cell>
          <cell r="L79">
            <v>105</v>
          </cell>
          <cell r="M79" t="str">
            <v>M</v>
          </cell>
        </row>
        <row r="80">
          <cell r="J80">
            <v>152867</v>
          </cell>
          <cell r="K80" t="str">
            <v>Hoggart, Isabella</v>
          </cell>
          <cell r="L80">
            <v>111.5</v>
          </cell>
          <cell r="M80" t="str">
            <v>H</v>
          </cell>
        </row>
        <row r="81">
          <cell r="J81">
            <v>152840</v>
          </cell>
          <cell r="K81" t="str">
            <v>Howden-Wake, Grace</v>
          </cell>
          <cell r="L81">
            <v>99</v>
          </cell>
          <cell r="M81" t="str">
            <v>L</v>
          </cell>
        </row>
        <row r="82">
          <cell r="J82">
            <v>152872</v>
          </cell>
          <cell r="K82" t="str">
            <v>Iampietro, Luca</v>
          </cell>
          <cell r="L82">
            <v>110.5</v>
          </cell>
          <cell r="M82" t="str">
            <v>H</v>
          </cell>
        </row>
        <row r="83">
          <cell r="J83">
            <v>152874</v>
          </cell>
          <cell r="K83" t="str">
            <v>Jaki, Zuzanna</v>
          </cell>
          <cell r="L83">
            <v>107.5</v>
          </cell>
          <cell r="M83" t="str">
            <v>M</v>
          </cell>
        </row>
        <row r="84">
          <cell r="J84">
            <v>152797</v>
          </cell>
          <cell r="K84" t="str">
            <v>Jeje, Oluwafolawemi</v>
          </cell>
          <cell r="L84">
            <v>110.5</v>
          </cell>
          <cell r="M84" t="str">
            <v>H</v>
          </cell>
        </row>
        <row r="85">
          <cell r="J85">
            <v>152850</v>
          </cell>
          <cell r="K85" t="str">
            <v>Jokonya, Tadiwanashe</v>
          </cell>
          <cell r="L85">
            <v>97</v>
          </cell>
          <cell r="M85" t="str">
            <v>L</v>
          </cell>
        </row>
        <row r="86">
          <cell r="J86">
            <v>152884</v>
          </cell>
          <cell r="K86" t="str">
            <v>Jones Avila, Rafael</v>
          </cell>
          <cell r="L86">
            <v>100.5</v>
          </cell>
          <cell r="M86" t="str">
            <v>M</v>
          </cell>
        </row>
        <row r="87">
          <cell r="J87">
            <v>152794</v>
          </cell>
          <cell r="K87" t="str">
            <v>Kabbie, Kaleb</v>
          </cell>
          <cell r="L87">
            <v>93.5</v>
          </cell>
          <cell r="M87" t="str">
            <v>L</v>
          </cell>
        </row>
        <row r="88">
          <cell r="J88">
            <v>152855</v>
          </cell>
          <cell r="K88" t="str">
            <v>Kabunga, Daniel</v>
          </cell>
          <cell r="L88">
            <v>109</v>
          </cell>
          <cell r="M88" t="str">
            <v>M</v>
          </cell>
        </row>
        <row r="89">
          <cell r="J89">
            <v>152916</v>
          </cell>
          <cell r="K89" t="str">
            <v>Kazadi, Oliver</v>
          </cell>
          <cell r="L89">
            <v>112.5</v>
          </cell>
          <cell r="M89" t="str">
            <v>H</v>
          </cell>
        </row>
        <row r="90">
          <cell r="J90">
            <v>152887</v>
          </cell>
          <cell r="K90" t="str">
            <v>Khan, Inaya</v>
          </cell>
          <cell r="L90">
            <v>100.5</v>
          </cell>
          <cell r="M90" t="str">
            <v>M</v>
          </cell>
        </row>
        <row r="91">
          <cell r="J91">
            <v>152885</v>
          </cell>
          <cell r="K91" t="str">
            <v>Kiket-Makoubi, Inkeprokpa</v>
          </cell>
          <cell r="L91">
            <v>116</v>
          </cell>
          <cell r="M91" t="str">
            <v>H</v>
          </cell>
        </row>
        <row r="92">
          <cell r="J92">
            <v>152922</v>
          </cell>
          <cell r="K92" t="str">
            <v>King, Sarah</v>
          </cell>
          <cell r="L92">
            <v>112.5</v>
          </cell>
          <cell r="M92" t="str">
            <v>H</v>
          </cell>
        </row>
        <row r="93">
          <cell r="J93">
            <v>152902</v>
          </cell>
          <cell r="K93" t="str">
            <v>King-Smith, Leo</v>
          </cell>
          <cell r="L93">
            <v>116.5</v>
          </cell>
          <cell r="M93" t="str">
            <v>H</v>
          </cell>
        </row>
        <row r="94">
          <cell r="J94">
            <v>152876</v>
          </cell>
          <cell r="K94" t="str">
            <v>Kirby, Caleb</v>
          </cell>
          <cell r="L94">
            <v>112</v>
          </cell>
          <cell r="M94" t="str">
            <v>H</v>
          </cell>
        </row>
        <row r="95">
          <cell r="J95">
            <v>152811</v>
          </cell>
          <cell r="K95" t="str">
            <v>Kirkman, Harry</v>
          </cell>
          <cell r="L95">
            <v>107.5</v>
          </cell>
          <cell r="M95" t="str">
            <v>M</v>
          </cell>
        </row>
        <row r="96">
          <cell r="J96">
            <v>152918</v>
          </cell>
          <cell r="K96" t="str">
            <v>Kowalski, Marcel</v>
          </cell>
          <cell r="L96">
            <v>104.5</v>
          </cell>
          <cell r="M96" t="str">
            <v>M</v>
          </cell>
        </row>
        <row r="97">
          <cell r="J97">
            <v>152747</v>
          </cell>
          <cell r="K97" t="str">
            <v>Lagason, Jakob</v>
          </cell>
          <cell r="L97">
            <v>119</v>
          </cell>
          <cell r="M97" t="str">
            <v/>
          </cell>
        </row>
        <row r="98">
          <cell r="J98">
            <v>152779</v>
          </cell>
          <cell r="K98" t="str">
            <v>Lake, Samuel</v>
          </cell>
          <cell r="L98">
            <v>117</v>
          </cell>
          <cell r="M98" t="str">
            <v/>
          </cell>
        </row>
        <row r="99">
          <cell r="J99">
            <v>152748</v>
          </cell>
          <cell r="K99" t="str">
            <v>Leadley, Daisy</v>
          </cell>
          <cell r="L99">
            <v>103.5</v>
          </cell>
          <cell r="M99" t="str">
            <v>M</v>
          </cell>
        </row>
        <row r="100">
          <cell r="J100">
            <v>152809</v>
          </cell>
          <cell r="K100" t="str">
            <v>Ledger, Arianna</v>
          </cell>
          <cell r="L100">
            <v>103</v>
          </cell>
          <cell r="M100" t="str">
            <v>M</v>
          </cell>
        </row>
        <row r="101">
          <cell r="J101">
            <v>152814</v>
          </cell>
          <cell r="K101" t="str">
            <v>Lin, Queenie</v>
          </cell>
          <cell r="L101">
            <v>113.5</v>
          </cell>
          <cell r="M101" t="str">
            <v>H</v>
          </cell>
        </row>
        <row r="102">
          <cell r="J102">
            <v>160001</v>
          </cell>
          <cell r="K102" t="str">
            <v>Loh, Caleb</v>
          </cell>
          <cell r="L102">
            <v>119</v>
          </cell>
          <cell r="M102" t="str">
            <v>H</v>
          </cell>
        </row>
        <row r="103">
          <cell r="J103">
            <v>152772</v>
          </cell>
          <cell r="K103" t="str">
            <v>Loxley-Teasdale, Erin</v>
          </cell>
          <cell r="L103">
            <v>111</v>
          </cell>
          <cell r="M103" t="str">
            <v>H</v>
          </cell>
        </row>
        <row r="104">
          <cell r="J104">
            <v>152804</v>
          </cell>
          <cell r="K104" t="str">
            <v>Lutakome, Whitney</v>
          </cell>
          <cell r="L104">
            <v>111</v>
          </cell>
          <cell r="M104" t="str">
            <v>H</v>
          </cell>
        </row>
        <row r="105">
          <cell r="J105">
            <v>152787</v>
          </cell>
          <cell r="K105" t="str">
            <v>Machon, Charlie</v>
          </cell>
          <cell r="L105">
            <v>103</v>
          </cell>
          <cell r="M105" t="str">
            <v>M</v>
          </cell>
        </row>
        <row r="106">
          <cell r="J106">
            <v>152939</v>
          </cell>
          <cell r="K106" t="str">
            <v>Maheswara, Sava</v>
          </cell>
          <cell r="L106">
            <v>95</v>
          </cell>
          <cell r="M106" t="str">
            <v>L</v>
          </cell>
        </row>
        <row r="107">
          <cell r="J107">
            <v>152807</v>
          </cell>
          <cell r="K107" t="str">
            <v>Mahoney, Lewis</v>
          </cell>
          <cell r="L107">
            <v>116</v>
          </cell>
          <cell r="M107" t="str">
            <v/>
          </cell>
        </row>
        <row r="108">
          <cell r="J108">
            <v>152816</v>
          </cell>
          <cell r="K108" t="str">
            <v>Makanjuola, Oluwademilade</v>
          </cell>
          <cell r="L108">
            <v>114.5</v>
          </cell>
          <cell r="M108" t="str">
            <v>H</v>
          </cell>
        </row>
        <row r="109">
          <cell r="J109">
            <v>152848</v>
          </cell>
          <cell r="K109" t="str">
            <v>Makele, Evan</v>
          </cell>
          <cell r="L109">
            <v>105</v>
          </cell>
          <cell r="M109" t="str">
            <v>M</v>
          </cell>
        </row>
        <row r="110">
          <cell r="J110">
            <v>152789</v>
          </cell>
          <cell r="K110" t="str">
            <v>Mansergh, Joshua</v>
          </cell>
          <cell r="L110">
            <v>119</v>
          </cell>
          <cell r="M110" t="str">
            <v>H</v>
          </cell>
        </row>
        <row r="111">
          <cell r="J111">
            <v>152900</v>
          </cell>
          <cell r="K111" t="str">
            <v>Marples, Shay</v>
          </cell>
          <cell r="L111">
            <v>106.5</v>
          </cell>
          <cell r="M111" t="str">
            <v>M</v>
          </cell>
        </row>
        <row r="112">
          <cell r="J112">
            <v>152791</v>
          </cell>
          <cell r="K112" t="str">
            <v>Marshall, Alison</v>
          </cell>
          <cell r="L112">
            <v>116</v>
          </cell>
          <cell r="M112" t="str">
            <v>H</v>
          </cell>
        </row>
        <row r="113">
          <cell r="J113">
            <v>152758</v>
          </cell>
          <cell r="K113" t="str">
            <v>Marshall, Beatrice</v>
          </cell>
          <cell r="L113">
            <v>113.5</v>
          </cell>
          <cell r="M113" t="str">
            <v>H</v>
          </cell>
        </row>
        <row r="114">
          <cell r="J114">
            <v>152889</v>
          </cell>
          <cell r="K114" t="str">
            <v>Martin, Isabel</v>
          </cell>
          <cell r="L114">
            <v>113.5</v>
          </cell>
          <cell r="M114" t="str">
            <v>H</v>
          </cell>
        </row>
        <row r="115">
          <cell r="J115">
            <v>152895</v>
          </cell>
          <cell r="K115" t="str">
            <v>Matischen, Mateo</v>
          </cell>
          <cell r="L115">
            <v>103.5</v>
          </cell>
          <cell r="M115" t="str">
            <v>M</v>
          </cell>
        </row>
        <row r="116">
          <cell r="J116">
            <v>160009</v>
          </cell>
          <cell r="K116" t="str">
            <v>Matthews, Skyler</v>
          </cell>
          <cell r="L116" t="str">
            <v/>
          </cell>
          <cell r="M116" t="str">
            <v>H</v>
          </cell>
        </row>
        <row r="117">
          <cell r="J117">
            <v>152854</v>
          </cell>
          <cell r="K117" t="str">
            <v>Mazhindu, Takudzwa</v>
          </cell>
          <cell r="L117">
            <v>107</v>
          </cell>
          <cell r="M117" t="str">
            <v>M</v>
          </cell>
        </row>
        <row r="118">
          <cell r="J118">
            <v>152915</v>
          </cell>
          <cell r="K118" t="str">
            <v>Mbah, Joseph</v>
          </cell>
          <cell r="L118">
            <v>100.5</v>
          </cell>
          <cell r="M118" t="str">
            <v>M</v>
          </cell>
        </row>
        <row r="119">
          <cell r="J119">
            <v>152818</v>
          </cell>
          <cell r="K119" t="str">
            <v>Mbukanma, Christiana</v>
          </cell>
          <cell r="L119">
            <v>99.5</v>
          </cell>
          <cell r="M119" t="str">
            <v>L</v>
          </cell>
        </row>
        <row r="120">
          <cell r="J120">
            <v>152873</v>
          </cell>
          <cell r="K120" t="str">
            <v>McDonagh-Hutton, Daisy</v>
          </cell>
          <cell r="L120">
            <v>105</v>
          </cell>
          <cell r="M120" t="str">
            <v>M</v>
          </cell>
        </row>
        <row r="121">
          <cell r="J121">
            <v>152940</v>
          </cell>
          <cell r="K121" t="str">
            <v>McDonagh-Hutton, Matilda</v>
          </cell>
          <cell r="L121">
            <v>103.5</v>
          </cell>
          <cell r="M121" t="str">
            <v>M</v>
          </cell>
        </row>
        <row r="122">
          <cell r="J122">
            <v>152744</v>
          </cell>
          <cell r="K122" t="str">
            <v>McDonald-Jaffier, Amaya</v>
          </cell>
          <cell r="L122">
            <v>105</v>
          </cell>
          <cell r="M122" t="str">
            <v>M</v>
          </cell>
        </row>
        <row r="123">
          <cell r="J123">
            <v>152941</v>
          </cell>
          <cell r="K123" t="str">
            <v>McKinney, Ingrid</v>
          </cell>
          <cell r="L123">
            <v>109</v>
          </cell>
          <cell r="M123" t="str">
            <v>M</v>
          </cell>
        </row>
        <row r="124">
          <cell r="J124">
            <v>152888</v>
          </cell>
          <cell r="K124" t="str">
            <v>Medhanie, Sesen</v>
          </cell>
          <cell r="L124">
            <v>107</v>
          </cell>
          <cell r="M124" t="str">
            <v>M</v>
          </cell>
        </row>
        <row r="125">
          <cell r="J125">
            <v>152894</v>
          </cell>
          <cell r="K125" t="str">
            <v>Monaghan, Elizabeth</v>
          </cell>
          <cell r="L125">
            <v>116</v>
          </cell>
          <cell r="M125" t="str">
            <v>H</v>
          </cell>
        </row>
        <row r="126">
          <cell r="J126">
            <v>152784</v>
          </cell>
          <cell r="K126" t="str">
            <v>Monfredi, Max</v>
          </cell>
          <cell r="L126">
            <v>107</v>
          </cell>
          <cell r="M126" t="str">
            <v>M</v>
          </cell>
        </row>
        <row r="127">
          <cell r="J127">
            <v>152863</v>
          </cell>
          <cell r="K127" t="str">
            <v>Moreira Chaves, Erick</v>
          </cell>
          <cell r="L127">
            <v>110</v>
          </cell>
          <cell r="M127" t="str">
            <v>H</v>
          </cell>
        </row>
        <row r="128">
          <cell r="J128">
            <v>152813</v>
          </cell>
          <cell r="K128" t="str">
            <v>Mountain-Freeman, Maria</v>
          </cell>
          <cell r="L128">
            <v>105.5</v>
          </cell>
          <cell r="M128" t="str">
            <v>M</v>
          </cell>
        </row>
        <row r="129">
          <cell r="J129">
            <v>152930</v>
          </cell>
          <cell r="K129" t="str">
            <v>Mulcrone, Liam</v>
          </cell>
          <cell r="L129">
            <v>105.5</v>
          </cell>
          <cell r="M129" t="str">
            <v>M</v>
          </cell>
        </row>
        <row r="130">
          <cell r="J130">
            <v>152802</v>
          </cell>
          <cell r="K130" t="str">
            <v>Mulqueen, Connell</v>
          </cell>
          <cell r="L130">
            <v>103.5</v>
          </cell>
          <cell r="M130" t="str">
            <v>M</v>
          </cell>
        </row>
        <row r="131">
          <cell r="J131">
            <v>152826</v>
          </cell>
          <cell r="K131" t="str">
            <v>Murray, Harmony</v>
          </cell>
          <cell r="L131" t="str">
            <v/>
          </cell>
          <cell r="M131" t="str">
            <v>H</v>
          </cell>
        </row>
        <row r="132">
          <cell r="J132">
            <v>152755</v>
          </cell>
          <cell r="K132" t="str">
            <v>Musie, Yobel</v>
          </cell>
          <cell r="L132">
            <v>101.5</v>
          </cell>
          <cell r="M132" t="str">
            <v>M</v>
          </cell>
        </row>
        <row r="133">
          <cell r="J133">
            <v>152898</v>
          </cell>
          <cell r="K133" t="str">
            <v>Musunga, Kydan</v>
          </cell>
          <cell r="L133">
            <v>102.5</v>
          </cell>
          <cell r="M133" t="str">
            <v>M</v>
          </cell>
        </row>
        <row r="134">
          <cell r="J134">
            <v>152829</v>
          </cell>
          <cell r="K134" t="str">
            <v>Navarro, Vincent</v>
          </cell>
          <cell r="L134">
            <v>115</v>
          </cell>
          <cell r="M134" t="str">
            <v>H</v>
          </cell>
        </row>
        <row r="135">
          <cell r="J135">
            <v>152769</v>
          </cell>
          <cell r="K135" t="str">
            <v>Nazir, Inaya</v>
          </cell>
          <cell r="L135">
            <v>108.5</v>
          </cell>
          <cell r="M135" t="str">
            <v>M</v>
          </cell>
        </row>
        <row r="136">
          <cell r="J136">
            <v>152886</v>
          </cell>
          <cell r="K136" t="str">
            <v>Nazir, Ummihani</v>
          </cell>
          <cell r="L136">
            <v>106</v>
          </cell>
          <cell r="M136" t="str">
            <v>M</v>
          </cell>
        </row>
        <row r="137">
          <cell r="J137">
            <v>152822</v>
          </cell>
          <cell r="K137" t="str">
            <v>Negash, Yosan</v>
          </cell>
          <cell r="L137">
            <v>104</v>
          </cell>
          <cell r="M137" t="str">
            <v>M</v>
          </cell>
        </row>
        <row r="138">
          <cell r="J138">
            <v>152910</v>
          </cell>
          <cell r="K138" t="str">
            <v>Nettle, Jake</v>
          </cell>
          <cell r="L138">
            <v>112</v>
          </cell>
          <cell r="M138" t="str">
            <v>H</v>
          </cell>
        </row>
        <row r="139">
          <cell r="J139">
            <v>152841</v>
          </cell>
          <cell r="K139" t="str">
            <v>Newbould, Seth</v>
          </cell>
          <cell r="L139">
            <v>102</v>
          </cell>
          <cell r="M139" t="str">
            <v>M</v>
          </cell>
        </row>
        <row r="140">
          <cell r="J140">
            <v>160003</v>
          </cell>
          <cell r="K140" t="str">
            <v>Newnes, Eric</v>
          </cell>
          <cell r="L140">
            <v>104.5</v>
          </cell>
          <cell r="M140" t="str">
            <v>M</v>
          </cell>
        </row>
        <row r="141">
          <cell r="J141">
            <v>152947</v>
          </cell>
          <cell r="K141" t="str">
            <v>Nisar, Aneesah</v>
          </cell>
          <cell r="L141">
            <v>98</v>
          </cell>
          <cell r="M141" t="str">
            <v>L</v>
          </cell>
        </row>
        <row r="142">
          <cell r="J142">
            <v>152908</v>
          </cell>
          <cell r="K142" t="str">
            <v>Njagi Muteti, Mwaniki</v>
          </cell>
          <cell r="L142">
            <v>105</v>
          </cell>
          <cell r="M142" t="str">
            <v>M</v>
          </cell>
        </row>
        <row r="143">
          <cell r="J143">
            <v>152775</v>
          </cell>
          <cell r="K143" t="str">
            <v>Nolan, Louis</v>
          </cell>
          <cell r="L143">
            <v>103.5</v>
          </cell>
          <cell r="M143" t="str">
            <v>M</v>
          </cell>
        </row>
        <row r="144">
          <cell r="J144">
            <v>152943</v>
          </cell>
          <cell r="K144" t="str">
            <v>O'Shea, Cian</v>
          </cell>
          <cell r="L144">
            <v>107.5</v>
          </cell>
          <cell r="M144" t="str">
            <v>M</v>
          </cell>
        </row>
        <row r="145">
          <cell r="J145">
            <v>160141</v>
          </cell>
          <cell r="K145" t="str">
            <v>Ojimah, Isaac</v>
          </cell>
          <cell r="L145">
            <v>0</v>
          </cell>
          <cell r="M145">
            <v>0</v>
          </cell>
        </row>
        <row r="146">
          <cell r="J146">
            <v>152795</v>
          </cell>
          <cell r="K146" t="str">
            <v>Owen, Samuel</v>
          </cell>
          <cell r="L146">
            <v>114.5</v>
          </cell>
          <cell r="M146" t="str">
            <v>H</v>
          </cell>
        </row>
        <row r="147">
          <cell r="J147">
            <v>152790</v>
          </cell>
          <cell r="K147" t="str">
            <v>Owusu-Sekyere, Benjamin</v>
          </cell>
          <cell r="L147">
            <v>106</v>
          </cell>
          <cell r="M147" t="str">
            <v>H</v>
          </cell>
        </row>
        <row r="148">
          <cell r="J148">
            <v>152776</v>
          </cell>
          <cell r="K148" t="str">
            <v>Oxley, Eibhear</v>
          </cell>
          <cell r="L148">
            <v>96.5</v>
          </cell>
          <cell r="M148" t="str">
            <v>M</v>
          </cell>
        </row>
        <row r="149">
          <cell r="J149">
            <v>152808</v>
          </cell>
          <cell r="K149" t="str">
            <v>Oxspring, Jacob</v>
          </cell>
          <cell r="L149">
            <v>116</v>
          </cell>
          <cell r="M149" t="str">
            <v>H</v>
          </cell>
        </row>
        <row r="150">
          <cell r="J150">
            <v>152832</v>
          </cell>
          <cell r="K150" t="str">
            <v>Oyaole, Eghogho</v>
          </cell>
          <cell r="L150">
            <v>109</v>
          </cell>
          <cell r="M150" t="str">
            <v>H</v>
          </cell>
        </row>
        <row r="151">
          <cell r="J151">
            <v>160006</v>
          </cell>
          <cell r="K151" t="str">
            <v>Page, Emily</v>
          </cell>
          <cell r="L151">
            <v>109.5</v>
          </cell>
          <cell r="M151" t="str">
            <v>H</v>
          </cell>
        </row>
        <row r="152">
          <cell r="J152">
            <v>152846</v>
          </cell>
          <cell r="K152" t="str">
            <v>Pickering, Caolan</v>
          </cell>
          <cell r="L152">
            <v>110</v>
          </cell>
          <cell r="M152" t="str">
            <v>H</v>
          </cell>
        </row>
        <row r="153">
          <cell r="J153">
            <v>152817</v>
          </cell>
          <cell r="K153" t="str">
            <v>Pinto, Lishal</v>
          </cell>
          <cell r="L153">
            <v>103.5</v>
          </cell>
          <cell r="M153" t="str">
            <v>M</v>
          </cell>
        </row>
        <row r="154">
          <cell r="J154">
            <v>152766</v>
          </cell>
          <cell r="K154" t="str">
            <v>Plotnikov, Dmitriy</v>
          </cell>
          <cell r="L154">
            <v>102.5</v>
          </cell>
          <cell r="M154" t="str">
            <v>M</v>
          </cell>
        </row>
        <row r="155">
          <cell r="J155">
            <v>152796</v>
          </cell>
          <cell r="K155" t="str">
            <v>Poirrier, Lucy</v>
          </cell>
          <cell r="L155">
            <v>105</v>
          </cell>
          <cell r="M155" t="str">
            <v>M</v>
          </cell>
        </row>
        <row r="156">
          <cell r="J156">
            <v>152743</v>
          </cell>
          <cell r="K156" t="str">
            <v>Poulton, Eden</v>
          </cell>
          <cell r="L156">
            <v>105</v>
          </cell>
          <cell r="M156" t="str">
            <v>M</v>
          </cell>
        </row>
        <row r="157">
          <cell r="J157">
            <v>152770</v>
          </cell>
          <cell r="K157" t="str">
            <v>Ramshaw, Sophia</v>
          </cell>
          <cell r="L157">
            <v>113.5</v>
          </cell>
          <cell r="M157" t="str">
            <v>H</v>
          </cell>
        </row>
        <row r="158">
          <cell r="J158">
            <v>160000</v>
          </cell>
          <cell r="K158" t="str">
            <v>Reid, Evie</v>
          </cell>
          <cell r="L158">
            <v>109</v>
          </cell>
          <cell r="M158" t="str">
            <v>H</v>
          </cell>
        </row>
        <row r="159">
          <cell r="J159">
            <v>152920</v>
          </cell>
          <cell r="K159" t="str">
            <v>Resom, Lulya</v>
          </cell>
          <cell r="L159">
            <v>102.5</v>
          </cell>
          <cell r="M159" t="str">
            <v>M</v>
          </cell>
        </row>
        <row r="160">
          <cell r="J160">
            <v>152746</v>
          </cell>
          <cell r="K160" t="str">
            <v>Revill, Louis</v>
          </cell>
          <cell r="L160">
            <v>102.5</v>
          </cell>
          <cell r="M160" t="str">
            <v>M</v>
          </cell>
        </row>
        <row r="161">
          <cell r="J161">
            <v>100358</v>
          </cell>
          <cell r="K161" t="str">
            <v>Richmond, Hannah</v>
          </cell>
          <cell r="L161">
            <v>103</v>
          </cell>
          <cell r="M161" t="str">
            <v>M</v>
          </cell>
        </row>
        <row r="162">
          <cell r="J162">
            <v>152862</v>
          </cell>
          <cell r="K162" t="str">
            <v>Roebuck, Bailey</v>
          </cell>
          <cell r="L162">
            <v>98.5</v>
          </cell>
          <cell r="M162" t="str">
            <v>M</v>
          </cell>
        </row>
        <row r="163">
          <cell r="J163">
            <v>152931</v>
          </cell>
          <cell r="K163" t="str">
            <v>Rowe, Fletcher</v>
          </cell>
          <cell r="L163">
            <v>105</v>
          </cell>
          <cell r="M163" t="str">
            <v>M</v>
          </cell>
        </row>
        <row r="164">
          <cell r="J164">
            <v>152938</v>
          </cell>
          <cell r="K164" t="str">
            <v>Roxby, Emily</v>
          </cell>
          <cell r="L164">
            <v>113.5</v>
          </cell>
          <cell r="M164" t="str">
            <v>H</v>
          </cell>
        </row>
        <row r="165">
          <cell r="J165">
            <v>152935</v>
          </cell>
          <cell r="K165" t="str">
            <v>Russell, Sophie</v>
          </cell>
          <cell r="L165">
            <v>115</v>
          </cell>
          <cell r="M165" t="str">
            <v>H</v>
          </cell>
        </row>
        <row r="166">
          <cell r="J166">
            <v>152793</v>
          </cell>
          <cell r="K166" t="str">
            <v>Rutty, Marley</v>
          </cell>
          <cell r="L166" t="str">
            <v/>
          </cell>
          <cell r="M166" t="str">
            <v>H</v>
          </cell>
        </row>
        <row r="167">
          <cell r="J167">
            <v>152897</v>
          </cell>
          <cell r="K167" t="str">
            <v>Sanchez-Diaz, Amaira</v>
          </cell>
          <cell r="L167">
            <v>105</v>
          </cell>
          <cell r="M167" t="str">
            <v>M</v>
          </cell>
        </row>
        <row r="168">
          <cell r="J168">
            <v>152801</v>
          </cell>
          <cell r="K168" t="str">
            <v>Sanyika, Charles</v>
          </cell>
          <cell r="L168">
            <v>111</v>
          </cell>
          <cell r="M168" t="str">
            <v>H</v>
          </cell>
        </row>
        <row r="169">
          <cell r="J169">
            <v>152869</v>
          </cell>
          <cell r="K169" t="str">
            <v>Schofield, Isobella</v>
          </cell>
          <cell r="L169">
            <v>99.5</v>
          </cell>
          <cell r="M169" t="str">
            <v>M</v>
          </cell>
        </row>
        <row r="170">
          <cell r="J170">
            <v>152946</v>
          </cell>
          <cell r="K170" t="str">
            <v>Scott, Faye</v>
          </cell>
          <cell r="L170">
            <v>106.5</v>
          </cell>
          <cell r="M170" t="str">
            <v>H</v>
          </cell>
        </row>
        <row r="171">
          <cell r="J171">
            <v>152759</v>
          </cell>
          <cell r="K171" t="str">
            <v>Selamyihun, Biruk</v>
          </cell>
          <cell r="L171">
            <v>102.5</v>
          </cell>
          <cell r="M171" t="str">
            <v>M</v>
          </cell>
        </row>
        <row r="172">
          <cell r="J172">
            <v>152821</v>
          </cell>
          <cell r="K172" t="str">
            <v>Shabere, Hannah</v>
          </cell>
          <cell r="L172">
            <v>93</v>
          </cell>
          <cell r="M172" t="str">
            <v>M</v>
          </cell>
        </row>
        <row r="173">
          <cell r="J173">
            <v>152926</v>
          </cell>
          <cell r="K173" t="str">
            <v>Siameli, Valeria</v>
          </cell>
          <cell r="L173">
            <v>104</v>
          </cell>
          <cell r="M173" t="str">
            <v>M</v>
          </cell>
        </row>
        <row r="174">
          <cell r="J174">
            <v>152842</v>
          </cell>
          <cell r="K174" t="str">
            <v>Sibanda, Kirsten</v>
          </cell>
          <cell r="L174">
            <v>105.5</v>
          </cell>
          <cell r="M174" t="str">
            <v>H</v>
          </cell>
        </row>
        <row r="175">
          <cell r="J175">
            <v>152927</v>
          </cell>
          <cell r="K175" t="str">
            <v>Skoczylas, Miriam</v>
          </cell>
          <cell r="L175">
            <v>95.5</v>
          </cell>
          <cell r="M175" t="str">
            <v>M</v>
          </cell>
        </row>
        <row r="176">
          <cell r="J176">
            <v>152904</v>
          </cell>
          <cell r="K176" t="str">
            <v>Smith, Jacob</v>
          </cell>
          <cell r="L176">
            <v>99.5</v>
          </cell>
          <cell r="M176" t="str">
            <v>M</v>
          </cell>
        </row>
        <row r="177">
          <cell r="J177">
            <v>152858</v>
          </cell>
          <cell r="K177" t="str">
            <v>Smith, Sophie</v>
          </cell>
          <cell r="L177">
            <v>109</v>
          </cell>
          <cell r="M177" t="str">
            <v>H</v>
          </cell>
        </row>
        <row r="178">
          <cell r="J178">
            <v>152785</v>
          </cell>
          <cell r="K178" t="str">
            <v>Sollazzo, Gabriella</v>
          </cell>
          <cell r="L178">
            <v>104.5</v>
          </cell>
          <cell r="M178" t="str">
            <v>M</v>
          </cell>
        </row>
        <row r="179">
          <cell r="J179">
            <v>152871</v>
          </cell>
          <cell r="K179" t="str">
            <v>Stevens, Jessica</v>
          </cell>
          <cell r="L179">
            <v>111.5</v>
          </cell>
          <cell r="M179" t="str">
            <v>H</v>
          </cell>
        </row>
        <row r="180">
          <cell r="J180">
            <v>152891</v>
          </cell>
          <cell r="K180" t="str">
            <v>Stones, Lily</v>
          </cell>
          <cell r="L180" t="str">
            <v/>
          </cell>
          <cell r="M180" t="str">
            <v/>
          </cell>
        </row>
        <row r="181">
          <cell r="J181">
            <v>152856</v>
          </cell>
          <cell r="K181" t="str">
            <v>SWIFT, Isabel</v>
          </cell>
          <cell r="L181">
            <v>106</v>
          </cell>
          <cell r="M181" t="str">
            <v>H</v>
          </cell>
        </row>
        <row r="182">
          <cell r="J182">
            <v>152913</v>
          </cell>
          <cell r="K182" t="str">
            <v>Szabra, Bartlomiej</v>
          </cell>
          <cell r="L182">
            <v>113.5</v>
          </cell>
          <cell r="M182" t="str">
            <v>H</v>
          </cell>
        </row>
        <row r="183">
          <cell r="J183">
            <v>152936</v>
          </cell>
          <cell r="K183" t="str">
            <v>Szczegielniak, Nikola</v>
          </cell>
          <cell r="L183">
            <v>117.5</v>
          </cell>
          <cell r="M183" t="str">
            <v>H</v>
          </cell>
        </row>
        <row r="184">
          <cell r="J184">
            <v>160007</v>
          </cell>
          <cell r="K184" t="str">
            <v>Teklu, Dibora</v>
          </cell>
          <cell r="L184">
            <v>112</v>
          </cell>
          <cell r="M184" t="str">
            <v>H</v>
          </cell>
        </row>
        <row r="185">
          <cell r="J185">
            <v>152948</v>
          </cell>
          <cell r="K185" t="str">
            <v>Temelso, Nahom</v>
          </cell>
          <cell r="L185">
            <v>100</v>
          </cell>
          <cell r="M185" t="str">
            <v>M</v>
          </cell>
        </row>
        <row r="186">
          <cell r="J186">
            <v>152754</v>
          </cell>
          <cell r="K186" t="str">
            <v>Thomas, Joshua</v>
          </cell>
          <cell r="L186">
            <v>115</v>
          </cell>
          <cell r="M186" t="str">
            <v>H</v>
          </cell>
        </row>
        <row r="187">
          <cell r="J187">
            <v>152903</v>
          </cell>
          <cell r="K187" t="str">
            <v>Thomas, Maiya</v>
          </cell>
          <cell r="L187">
            <v>116</v>
          </cell>
          <cell r="M187" t="str">
            <v>H</v>
          </cell>
        </row>
        <row r="188">
          <cell r="J188">
            <v>152836</v>
          </cell>
          <cell r="K188" t="str">
            <v>Thompson, Harvey</v>
          </cell>
          <cell r="L188">
            <v>95.5</v>
          </cell>
          <cell r="M188" t="str">
            <v>M</v>
          </cell>
        </row>
        <row r="189">
          <cell r="J189">
            <v>152819</v>
          </cell>
          <cell r="K189" t="str">
            <v>Thompson, Neriah</v>
          </cell>
          <cell r="L189" t="str">
            <v/>
          </cell>
          <cell r="M189" t="str">
            <v>H</v>
          </cell>
        </row>
        <row r="190">
          <cell r="J190">
            <v>152742</v>
          </cell>
          <cell r="K190" t="str">
            <v>Tijo, Jayden</v>
          </cell>
          <cell r="L190">
            <v>107.5</v>
          </cell>
          <cell r="M190" t="str">
            <v>H</v>
          </cell>
        </row>
        <row r="191">
          <cell r="J191">
            <v>152866</v>
          </cell>
          <cell r="K191" t="str">
            <v>Todd, Joseph</v>
          </cell>
          <cell r="L191">
            <v>115</v>
          </cell>
          <cell r="M191" t="str">
            <v>H</v>
          </cell>
        </row>
        <row r="192">
          <cell r="J192">
            <v>152933</v>
          </cell>
          <cell r="K192" t="str">
            <v>Tomczak, Marta</v>
          </cell>
          <cell r="L192">
            <v>106.5</v>
          </cell>
          <cell r="M192" t="str">
            <v>H</v>
          </cell>
        </row>
        <row r="193">
          <cell r="J193">
            <v>152778</v>
          </cell>
          <cell r="K193" t="str">
            <v>Trigueiros, Barbara</v>
          </cell>
          <cell r="L193">
            <v>111</v>
          </cell>
          <cell r="M193" t="str">
            <v>H</v>
          </cell>
        </row>
        <row r="194">
          <cell r="J194">
            <v>152781</v>
          </cell>
          <cell r="K194" t="str">
            <v>Tsang, Naomi</v>
          </cell>
          <cell r="L194">
            <v>111.5</v>
          </cell>
          <cell r="M194" t="str">
            <v>H</v>
          </cell>
        </row>
        <row r="195">
          <cell r="J195">
            <v>152937</v>
          </cell>
          <cell r="K195" t="str">
            <v>Turner, Isaac</v>
          </cell>
          <cell r="L195">
            <v>102.5</v>
          </cell>
          <cell r="M195" t="str">
            <v>M</v>
          </cell>
        </row>
        <row r="196">
          <cell r="J196">
            <v>152877</v>
          </cell>
          <cell r="K196" t="str">
            <v>Ufondu, Kenechukwu</v>
          </cell>
          <cell r="L196">
            <v>105.5</v>
          </cell>
          <cell r="M196" t="str">
            <v>H</v>
          </cell>
        </row>
        <row r="197">
          <cell r="J197">
            <v>160004</v>
          </cell>
          <cell r="K197" t="str">
            <v>Ugonna, Toben</v>
          </cell>
          <cell r="L197">
            <v>119</v>
          </cell>
          <cell r="M197" t="str">
            <v>H</v>
          </cell>
        </row>
        <row r="198">
          <cell r="J198">
            <v>152945</v>
          </cell>
          <cell r="K198" t="str">
            <v>Ukanga, Semaekediong</v>
          </cell>
          <cell r="L198">
            <v>112</v>
          </cell>
          <cell r="M198" t="str">
            <v>H</v>
          </cell>
        </row>
        <row r="199">
          <cell r="J199">
            <v>152765</v>
          </cell>
          <cell r="K199" t="str">
            <v>Ulhaq, Haris</v>
          </cell>
          <cell r="L199">
            <v>109</v>
          </cell>
          <cell r="M199" t="str">
            <v>H</v>
          </cell>
        </row>
        <row r="200">
          <cell r="J200">
            <v>152899</v>
          </cell>
          <cell r="K200" t="str">
            <v>Uwaoma, Chidera</v>
          </cell>
          <cell r="L200">
            <v>110.5</v>
          </cell>
          <cell r="M200" t="str">
            <v>H</v>
          </cell>
        </row>
        <row r="201">
          <cell r="J201">
            <v>160353</v>
          </cell>
          <cell r="K201" t="str">
            <v>Voisey, Milly</v>
          </cell>
          <cell r="L201" t="str">
            <v/>
          </cell>
          <cell r="M201" t="str">
            <v/>
          </cell>
        </row>
        <row r="202">
          <cell r="J202">
            <v>152824</v>
          </cell>
          <cell r="K202" t="str">
            <v>Wadhio, Bakhtawar</v>
          </cell>
          <cell r="L202">
            <v>105.5</v>
          </cell>
          <cell r="M202" t="str">
            <v>H</v>
          </cell>
        </row>
        <row r="203">
          <cell r="J203">
            <v>152833</v>
          </cell>
          <cell r="K203" t="str">
            <v>Waller, Lilly</v>
          </cell>
          <cell r="L203">
            <v>99</v>
          </cell>
          <cell r="M203" t="str">
            <v>M</v>
          </cell>
        </row>
        <row r="204">
          <cell r="J204">
            <v>152870</v>
          </cell>
          <cell r="K204" t="str">
            <v>Watson, George</v>
          </cell>
          <cell r="L204">
            <v>111.5</v>
          </cell>
          <cell r="M204" t="str">
            <v>H</v>
          </cell>
        </row>
        <row r="205">
          <cell r="J205">
            <v>152944</v>
          </cell>
          <cell r="K205" t="str">
            <v>Watson, Thomas</v>
          </cell>
          <cell r="L205">
            <v>93.5</v>
          </cell>
          <cell r="M205" t="str">
            <v>M</v>
          </cell>
        </row>
        <row r="206">
          <cell r="J206">
            <v>152806</v>
          </cell>
          <cell r="K206" t="str">
            <v>Wilkins, Lilly</v>
          </cell>
          <cell r="L206" t="str">
            <v/>
          </cell>
          <cell r="M206" t="str">
            <v>H</v>
          </cell>
        </row>
        <row r="207">
          <cell r="J207">
            <v>152942</v>
          </cell>
          <cell r="K207" t="str">
            <v>Williams, Zachary</v>
          </cell>
          <cell r="L207">
            <v>106</v>
          </cell>
          <cell r="M207" t="str">
            <v>H</v>
          </cell>
        </row>
        <row r="208">
          <cell r="J208">
            <v>152828</v>
          </cell>
          <cell r="K208" t="str">
            <v>Wilson, Jacob</v>
          </cell>
          <cell r="L208">
            <v>101</v>
          </cell>
          <cell r="M208" t="str">
            <v>M</v>
          </cell>
        </row>
        <row r="209">
          <cell r="J209">
            <v>152951</v>
          </cell>
          <cell r="K209" t="str">
            <v>Woodcock, Samuel</v>
          </cell>
          <cell r="L209">
            <v>115</v>
          </cell>
          <cell r="M209" t="str">
            <v>H</v>
          </cell>
        </row>
        <row r="210">
          <cell r="J210">
            <v>152752</v>
          </cell>
          <cell r="K210" t="str">
            <v>Wood-Willoughby, Jack</v>
          </cell>
          <cell r="L210">
            <v>93</v>
          </cell>
          <cell r="M210" t="str">
            <v>M</v>
          </cell>
        </row>
        <row r="211">
          <cell r="J211">
            <v>152950</v>
          </cell>
          <cell r="K211" t="str">
            <v>Wu, Yuxiang</v>
          </cell>
          <cell r="L211">
            <v>113</v>
          </cell>
          <cell r="M211" t="str">
            <v>H</v>
          </cell>
        </row>
        <row r="212">
          <cell r="J212">
            <v>152820</v>
          </cell>
          <cell r="K212" t="str">
            <v>Yaqoob, Yusuf</v>
          </cell>
          <cell r="L212">
            <v>99.5</v>
          </cell>
          <cell r="M212" t="str">
            <v>M</v>
          </cell>
        </row>
        <row r="213">
          <cell r="J213">
            <v>152917</v>
          </cell>
          <cell r="K213" t="str">
            <v>Yeboah, Quincy</v>
          </cell>
          <cell r="L213">
            <v>102</v>
          </cell>
          <cell r="M213" t="str">
            <v>M</v>
          </cell>
        </row>
        <row r="214">
          <cell r="J214">
            <v>152868</v>
          </cell>
          <cell r="K214" t="str">
            <v>Yohannes, Leah</v>
          </cell>
          <cell r="L214">
            <v>113</v>
          </cell>
          <cell r="M214" t="str">
            <v>H</v>
          </cell>
        </row>
        <row r="215">
          <cell r="J215">
            <v>152767</v>
          </cell>
          <cell r="K215" t="str">
            <v>Yule, Ruby-Anne</v>
          </cell>
          <cell r="L215">
            <v>93.5</v>
          </cell>
          <cell r="M215" t="str">
            <v>M</v>
          </cell>
        </row>
        <row r="216">
          <cell r="J216">
            <v>152906</v>
          </cell>
          <cell r="K216" t="str">
            <v>Zaheer, Areeb</v>
          </cell>
          <cell r="L216" t="str">
            <v/>
          </cell>
          <cell r="M216" t="str">
            <v>H</v>
          </cell>
        </row>
        <row r="217">
          <cell r="J217">
            <v>152844</v>
          </cell>
          <cell r="K217" t="str">
            <v>Zormpas, Loukas</v>
          </cell>
          <cell r="L217">
            <v>107.5</v>
          </cell>
          <cell r="M217" t="str">
            <v>H</v>
          </cell>
        </row>
        <row r="218"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</row>
        <row r="219"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</row>
        <row r="220"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</row>
        <row r="221"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</row>
        <row r="222"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</row>
        <row r="223"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</row>
        <row r="224"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</row>
        <row r="225"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</row>
        <row r="226"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</row>
        <row r="227"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</row>
        <row r="228"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</row>
        <row r="229"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</row>
        <row r="230"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</row>
        <row r="231"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</row>
      </sheetData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C2141-43AF-4E9F-9B36-76350DF4F874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1280-66E7-4B41-A11F-A358785DB18B}">
  <sheetPr codeName="Sheet7"/>
  <dimension ref="A1:DA215"/>
  <sheetViews>
    <sheetView zoomScale="70" zoomScaleNormal="70" workbookViewId="0">
      <pane xSplit="29" ySplit="1" topLeftCell="AD2" activePane="bottomRight" state="frozen"/>
      <selection pane="topRight" activeCell="AD1" sqref="AD1"/>
      <selection pane="bottomLeft" activeCell="A2" sqref="A2"/>
      <selection pane="bottomRight" activeCell="B17" sqref="B17"/>
    </sheetView>
  </sheetViews>
  <sheetFormatPr defaultRowHeight="15" x14ac:dyDescent="0.25"/>
  <cols>
    <col min="1" max="1" width="8.42578125" style="54" customWidth="1"/>
    <col min="2" max="2" width="35.28515625" style="22" customWidth="1"/>
    <col min="3" max="3" width="8.42578125" style="22" bestFit="1" customWidth="1"/>
    <col min="4" max="5" width="8.42578125" style="55" hidden="1" customWidth="1"/>
    <col min="6" max="6" width="40.28515625" style="22" hidden="1" customWidth="1"/>
    <col min="7" max="10" width="8.42578125" style="55" hidden="1" customWidth="1"/>
    <col min="11" max="11" width="8.42578125" style="56" hidden="1" customWidth="1"/>
    <col min="12" max="12" width="8.42578125" style="54" hidden="1" customWidth="1"/>
    <col min="13" max="13" width="11.28515625" style="57" hidden="1" customWidth="1"/>
    <col min="14" max="14" width="8.42578125" style="58" hidden="1" customWidth="1"/>
    <col min="15" max="17" width="8.42578125" style="22" hidden="1" customWidth="1"/>
    <col min="18" max="18" width="11.28515625" style="55" hidden="1" customWidth="1"/>
    <col min="19" max="20" width="8.42578125" style="22" hidden="1" customWidth="1"/>
    <col min="21" max="28" width="11.28515625" style="22" hidden="1" customWidth="1"/>
    <col min="29" max="29" width="9.85546875" style="22" customWidth="1"/>
    <col min="30" max="30" width="13.28515625" style="59" customWidth="1"/>
    <col min="31" max="31" width="6.42578125" style="58" customWidth="1"/>
    <col min="32" max="32" width="13.28515625" style="59" customWidth="1"/>
    <col min="33" max="33" width="6.42578125" style="58" customWidth="1"/>
    <col min="34" max="34" width="13.28515625" style="59" customWidth="1"/>
    <col min="35" max="35" width="6.42578125" style="58" customWidth="1"/>
    <col min="36" max="36" width="13.28515625" style="59" customWidth="1"/>
    <col min="37" max="37" width="6.42578125" style="58" customWidth="1"/>
    <col min="38" max="38" width="13.28515625" style="59" customWidth="1"/>
    <col min="39" max="39" width="6.42578125" style="58" customWidth="1"/>
    <col min="40" max="40" width="13.28515625" style="59" customWidth="1"/>
    <col min="41" max="41" width="6.42578125" style="58" customWidth="1"/>
    <col min="42" max="42" width="13.28515625" style="59" customWidth="1"/>
    <col min="43" max="43" width="6.42578125" style="58" customWidth="1"/>
    <col min="44" max="44" width="13.28515625" style="59" customWidth="1"/>
    <col min="45" max="45" width="6.42578125" style="58" customWidth="1"/>
    <col min="46" max="46" width="13.28515625" style="59" customWidth="1"/>
    <col min="47" max="47" width="6.42578125" style="58" customWidth="1"/>
    <col min="48" max="48" width="13.28515625" style="59" customWidth="1"/>
    <col min="49" max="49" width="6.42578125" style="58" customWidth="1"/>
    <col min="50" max="50" width="13.28515625" style="59" customWidth="1"/>
    <col min="51" max="51" width="6.42578125" style="58" customWidth="1"/>
    <col min="52" max="52" width="13.28515625" style="59" customWidth="1"/>
    <col min="53" max="53" width="6.42578125" style="58" customWidth="1"/>
    <col min="54" max="54" width="13.28515625" style="59" customWidth="1"/>
    <col min="55" max="55" width="6.42578125" style="58" customWidth="1"/>
    <col min="56" max="56" width="13.28515625" style="59" customWidth="1"/>
    <col min="57" max="57" width="6.42578125" style="58" customWidth="1"/>
    <col min="58" max="58" width="13.28515625" style="59" customWidth="1"/>
    <col min="59" max="59" width="6.42578125" style="58" customWidth="1"/>
    <col min="60" max="63" width="6" style="22" bestFit="1" customWidth="1"/>
    <col min="64" max="64" width="9" style="22" bestFit="1" customWidth="1"/>
    <col min="65" max="69" width="6" style="22" bestFit="1" customWidth="1"/>
    <col min="70" max="70" width="9" style="22" bestFit="1" customWidth="1"/>
    <col min="71" max="75" width="6" style="22" bestFit="1" customWidth="1"/>
    <col min="76" max="76" width="9" style="22" bestFit="1" customWidth="1"/>
    <col min="77" max="81" width="6" style="22" bestFit="1" customWidth="1"/>
    <col min="82" max="82" width="9" style="22" bestFit="1" customWidth="1"/>
    <col min="83" max="87" width="6" style="22" bestFit="1" customWidth="1"/>
    <col min="88" max="88" width="9" style="22" bestFit="1" customWidth="1"/>
    <col min="89" max="93" width="6" style="22" bestFit="1" customWidth="1"/>
    <col min="94" max="94" width="11" style="22" bestFit="1" customWidth="1"/>
    <col min="95" max="99" width="6" style="22" bestFit="1" customWidth="1"/>
    <col min="100" max="100" width="9" style="22" bestFit="1" customWidth="1"/>
    <col min="101" max="105" width="6" style="22" bestFit="1" customWidth="1"/>
    <col min="106" max="106" width="4.42578125" style="22" bestFit="1" customWidth="1"/>
    <col min="107" max="114" width="6.7109375" style="22" bestFit="1" customWidth="1"/>
    <col min="115" max="115" width="5.7109375" style="22" bestFit="1" customWidth="1"/>
    <col min="116" max="116" width="6.42578125" style="22" bestFit="1" customWidth="1"/>
    <col min="117" max="117" width="6.28515625" style="22" bestFit="1" customWidth="1"/>
    <col min="118" max="118" width="5.5703125" style="22" bestFit="1" customWidth="1"/>
    <col min="119" max="119" width="4.5703125" style="22" bestFit="1" customWidth="1"/>
    <col min="120" max="120" width="10.42578125" style="22" bestFit="1" customWidth="1"/>
    <col min="121" max="121" width="6.5703125" style="22" bestFit="1" customWidth="1"/>
    <col min="122" max="122" width="12.42578125" style="22" bestFit="1" customWidth="1"/>
    <col min="123" max="16384" width="9.140625" style="22"/>
  </cols>
  <sheetData>
    <row r="1" spans="1:105" s="23" customFormat="1" ht="183" customHeight="1" thickBot="1" x14ac:dyDescent="0.3">
      <c r="A1" s="1" t="s">
        <v>2</v>
      </c>
      <c r="B1" s="2" t="s">
        <v>3</v>
      </c>
      <c r="C1" s="3" t="s">
        <v>15</v>
      </c>
      <c r="D1" s="4" t="s">
        <v>16</v>
      </c>
      <c r="E1" s="5" t="s">
        <v>17</v>
      </c>
      <c r="F1" s="2" t="s">
        <v>18</v>
      </c>
      <c r="G1" s="5" t="s">
        <v>19</v>
      </c>
      <c r="H1" s="5" t="s">
        <v>20</v>
      </c>
      <c r="I1" s="3" t="s">
        <v>21</v>
      </c>
      <c r="J1" s="5" t="s">
        <v>0</v>
      </c>
      <c r="K1" s="6" t="s">
        <v>22</v>
      </c>
      <c r="L1" s="7" t="s">
        <v>23</v>
      </c>
      <c r="M1" s="8" t="s">
        <v>24</v>
      </c>
      <c r="N1" s="9" t="s">
        <v>25</v>
      </c>
      <c r="O1" s="10" t="s">
        <v>26</v>
      </c>
      <c r="P1" s="11" t="s">
        <v>27</v>
      </c>
      <c r="Q1" s="12" t="s">
        <v>28</v>
      </c>
      <c r="R1" s="13" t="s">
        <v>29</v>
      </c>
      <c r="S1" s="14" t="s">
        <v>1</v>
      </c>
      <c r="T1" s="15" t="s">
        <v>5</v>
      </c>
      <c r="U1" s="16" t="s">
        <v>30</v>
      </c>
      <c r="V1" s="16" t="s">
        <v>31</v>
      </c>
      <c r="W1" s="16" t="s">
        <v>32</v>
      </c>
      <c r="X1" s="17" t="s">
        <v>33</v>
      </c>
      <c r="Y1" s="18" t="s">
        <v>34</v>
      </c>
      <c r="Z1" s="19" t="s">
        <v>35</v>
      </c>
      <c r="AA1" s="19" t="s">
        <v>36</v>
      </c>
      <c r="AB1" s="19" t="s">
        <v>37</v>
      </c>
      <c r="AC1" s="162" t="s">
        <v>1854</v>
      </c>
      <c r="AD1" s="20" t="s">
        <v>38</v>
      </c>
      <c r="AE1" s="21" t="s">
        <v>39</v>
      </c>
      <c r="AF1" s="20" t="s">
        <v>40</v>
      </c>
      <c r="AG1" s="21" t="s">
        <v>41</v>
      </c>
      <c r="AH1" s="20" t="s">
        <v>42</v>
      </c>
      <c r="AI1" s="21" t="s">
        <v>43</v>
      </c>
      <c r="AJ1" s="20" t="s">
        <v>44</v>
      </c>
      <c r="AK1" s="21" t="s">
        <v>45</v>
      </c>
      <c r="AL1" s="20" t="s">
        <v>46</v>
      </c>
      <c r="AM1" s="21" t="s">
        <v>47</v>
      </c>
      <c r="AN1" s="20" t="s">
        <v>48</v>
      </c>
      <c r="AO1" s="21" t="s">
        <v>49</v>
      </c>
      <c r="AP1" s="20" t="s">
        <v>50</v>
      </c>
      <c r="AQ1" s="21" t="s">
        <v>51</v>
      </c>
      <c r="AR1" s="20" t="s">
        <v>52</v>
      </c>
      <c r="AS1" s="21" t="s">
        <v>53</v>
      </c>
      <c r="AT1" s="20" t="s">
        <v>54</v>
      </c>
      <c r="AU1" s="21" t="s">
        <v>55</v>
      </c>
      <c r="AV1" s="20" t="s">
        <v>56</v>
      </c>
      <c r="AW1" s="21" t="s">
        <v>57</v>
      </c>
      <c r="AX1" s="20" t="s">
        <v>58</v>
      </c>
      <c r="AY1" s="21" t="s">
        <v>59</v>
      </c>
      <c r="AZ1" s="20" t="s">
        <v>60</v>
      </c>
      <c r="BA1" s="21" t="s">
        <v>61</v>
      </c>
      <c r="BB1" s="20" t="s">
        <v>62</v>
      </c>
      <c r="BC1" s="21" t="s">
        <v>63</v>
      </c>
      <c r="BD1" s="20" t="s">
        <v>64</v>
      </c>
      <c r="BE1" s="21" t="s">
        <v>65</v>
      </c>
      <c r="BF1" s="20" t="s">
        <v>66</v>
      </c>
      <c r="BG1" s="21" t="s">
        <v>67</v>
      </c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</row>
    <row r="2" spans="1:105" s="44" customFormat="1" x14ac:dyDescent="0.25">
      <c r="A2" s="24">
        <v>160008</v>
      </c>
      <c r="B2" s="25" t="s">
        <v>68</v>
      </c>
      <c r="C2" s="26" t="s">
        <v>69</v>
      </c>
      <c r="D2" s="27" t="s">
        <v>70</v>
      </c>
      <c r="E2" s="28" t="s">
        <v>14</v>
      </c>
      <c r="F2" s="25" t="s">
        <v>71</v>
      </c>
      <c r="G2" s="28" t="s">
        <v>14</v>
      </c>
      <c r="H2" s="28" t="s">
        <v>14</v>
      </c>
      <c r="I2" s="29" t="s">
        <v>14</v>
      </c>
      <c r="J2" s="28" t="s">
        <v>14</v>
      </c>
      <c r="K2" s="30" t="s">
        <v>1850</v>
      </c>
      <c r="L2" s="31" t="s">
        <v>1841</v>
      </c>
      <c r="M2" s="32" t="str">
        <f>IFERROR(VLOOKUP(A2,Lookups!#REF!,3,FALSE),"")</f>
        <v/>
      </c>
      <c r="N2" s="33">
        <v>31</v>
      </c>
      <c r="O2" s="34">
        <v>0</v>
      </c>
      <c r="P2" s="35">
        <v>0</v>
      </c>
      <c r="Q2" s="36">
        <v>100</v>
      </c>
      <c r="R2" s="37">
        <v>0</v>
      </c>
      <c r="S2" s="38">
        <f t="shared" ref="S2:S65" si="0">COUNTIF($AD2:$BK2,"Outstanding")</f>
        <v>1</v>
      </c>
      <c r="T2" s="39">
        <f t="shared" ref="T2:T65" si="1">COUNTIF($AD2:$BK2,"Good")</f>
        <v>12</v>
      </c>
      <c r="U2" s="40">
        <f t="shared" ref="U2:U65" si="2">COUNTIF($AD2:$BK2,"N2Improve - Engagement")</f>
        <v>0</v>
      </c>
      <c r="V2" s="40">
        <f t="shared" ref="V2:V65" si="3">COUNTIF($AD2:$BK2,"N2Improve - Community Conduct")</f>
        <v>0</v>
      </c>
      <c r="W2" s="40">
        <f t="shared" ref="W2:W65" si="4">COUNTIF($AD2:$BK2,"N2Improve - Personal Org.")</f>
        <v>0</v>
      </c>
      <c r="X2" s="40">
        <f>SUM(U2:W2)</f>
        <v>0</v>
      </c>
      <c r="Y2" s="40">
        <f t="shared" ref="Y2:Y65" si="5">COUNTIF($AD2:$BK2,"Serious Conc - Engagement")</f>
        <v>0</v>
      </c>
      <c r="Z2" s="40">
        <f t="shared" ref="Z2:Z65" si="6">COUNTIF($AD2:$BK2,"Serious Conc - Comm. Concern")</f>
        <v>0</v>
      </c>
      <c r="AA2" s="40">
        <f t="shared" ref="AA2:AA65" si="7">COUNTIF($AD2:$BK2,"Serious Conc - Personal Org.")</f>
        <v>0</v>
      </c>
      <c r="AB2" s="40">
        <f>SUM(Y2:AA2)</f>
        <v>0</v>
      </c>
      <c r="AC2" s="41">
        <f>COUNTIF(AD2:BG2,"*still*")</f>
        <v>0</v>
      </c>
      <c r="AD2" s="42" t="s">
        <v>5</v>
      </c>
      <c r="AE2" s="43" t="s">
        <v>72</v>
      </c>
      <c r="AF2" s="42" t="s">
        <v>5</v>
      </c>
      <c r="AG2" s="43" t="s">
        <v>73</v>
      </c>
      <c r="AH2" s="42"/>
      <c r="AI2" s="43"/>
      <c r="AJ2" s="42" t="s">
        <v>5</v>
      </c>
      <c r="AK2" s="43" t="s">
        <v>74</v>
      </c>
      <c r="AL2" s="42" t="s">
        <v>5</v>
      </c>
      <c r="AM2" s="43" t="s">
        <v>75</v>
      </c>
      <c r="AN2" s="42"/>
      <c r="AO2" s="43"/>
      <c r="AP2" s="42" t="s">
        <v>5</v>
      </c>
      <c r="AQ2" s="43" t="s">
        <v>76</v>
      </c>
      <c r="AR2" s="42" t="s">
        <v>5</v>
      </c>
      <c r="AS2" s="43" t="s">
        <v>77</v>
      </c>
      <c r="AT2" s="42" t="s">
        <v>5</v>
      </c>
      <c r="AU2" s="43" t="s">
        <v>78</v>
      </c>
      <c r="AV2" s="42" t="s">
        <v>5</v>
      </c>
      <c r="AW2" s="43" t="s">
        <v>79</v>
      </c>
      <c r="AX2" s="42" t="s">
        <v>5</v>
      </c>
      <c r="AY2" s="43" t="s">
        <v>80</v>
      </c>
      <c r="AZ2" s="42" t="s">
        <v>5</v>
      </c>
      <c r="BA2" s="43" t="s">
        <v>81</v>
      </c>
      <c r="BB2" s="42" t="s">
        <v>5</v>
      </c>
      <c r="BC2" s="43" t="s">
        <v>82</v>
      </c>
      <c r="BD2" s="42" t="s">
        <v>1</v>
      </c>
      <c r="BE2" s="43" t="s">
        <v>83</v>
      </c>
      <c r="BF2" s="42" t="s">
        <v>5</v>
      </c>
      <c r="BG2" s="43" t="s">
        <v>84</v>
      </c>
    </row>
    <row r="3" spans="1:105" s="44" customFormat="1" x14ac:dyDescent="0.25">
      <c r="A3" s="24">
        <v>160013</v>
      </c>
      <c r="B3" s="25" t="s">
        <v>85</v>
      </c>
      <c r="C3" s="26" t="s">
        <v>86</v>
      </c>
      <c r="D3" s="27" t="s">
        <v>12</v>
      </c>
      <c r="E3" s="28" t="s">
        <v>87</v>
      </c>
      <c r="F3" s="25" t="s">
        <v>88</v>
      </c>
      <c r="G3" s="28" t="s">
        <v>14</v>
      </c>
      <c r="H3" s="28" t="s">
        <v>87</v>
      </c>
      <c r="I3" s="29" t="s">
        <v>14</v>
      </c>
      <c r="J3" s="28" t="s">
        <v>6</v>
      </c>
      <c r="K3" s="30" t="s">
        <v>1850</v>
      </c>
      <c r="L3" s="31" t="s">
        <v>1842</v>
      </c>
      <c r="M3" s="45" t="str">
        <f>IFERROR(VLOOKUP(A3,Lookups!#REF!,3,FALSE),"")</f>
        <v/>
      </c>
      <c r="N3" s="46">
        <v>9</v>
      </c>
      <c r="O3" s="47">
        <v>25</v>
      </c>
      <c r="P3" s="48">
        <v>3</v>
      </c>
      <c r="Q3" s="36">
        <v>93.62</v>
      </c>
      <c r="R3" s="37">
        <v>7</v>
      </c>
      <c r="S3" s="38">
        <f t="shared" si="0"/>
        <v>0</v>
      </c>
      <c r="T3" s="39">
        <f t="shared" si="1"/>
        <v>4</v>
      </c>
      <c r="U3" s="40">
        <f t="shared" si="2"/>
        <v>5</v>
      </c>
      <c r="V3" s="40">
        <f t="shared" si="3"/>
        <v>3</v>
      </c>
      <c r="W3" s="40">
        <f t="shared" si="4"/>
        <v>0</v>
      </c>
      <c r="X3" s="40">
        <f t="shared" ref="X3:X66" si="8">SUM(U3:W3)</f>
        <v>8</v>
      </c>
      <c r="Y3" s="40">
        <f t="shared" si="5"/>
        <v>1</v>
      </c>
      <c r="Z3" s="40">
        <f t="shared" si="6"/>
        <v>0</v>
      </c>
      <c r="AA3" s="40">
        <f t="shared" si="7"/>
        <v>0</v>
      </c>
      <c r="AB3" s="40">
        <f t="shared" ref="AB3:AB66" si="9">SUM(Y3:AA3)</f>
        <v>1</v>
      </c>
      <c r="AC3" s="41">
        <f t="shared" ref="AC3:AC66" si="10">COUNTIF(AD3:BG3,"*still*")</f>
        <v>0</v>
      </c>
      <c r="AD3" s="49" t="s">
        <v>5</v>
      </c>
      <c r="AE3" s="50" t="s">
        <v>89</v>
      </c>
      <c r="AF3" s="49" t="s">
        <v>30</v>
      </c>
      <c r="AG3" s="50" t="s">
        <v>90</v>
      </c>
      <c r="AH3" s="49"/>
      <c r="AI3" s="50"/>
      <c r="AJ3" s="49" t="s">
        <v>34</v>
      </c>
      <c r="AK3" s="50" t="s">
        <v>91</v>
      </c>
      <c r="AL3" s="49" t="s">
        <v>31</v>
      </c>
      <c r="AM3" s="50" t="s">
        <v>84</v>
      </c>
      <c r="AN3" s="49"/>
      <c r="AO3" s="50"/>
      <c r="AP3" s="49" t="s">
        <v>30</v>
      </c>
      <c r="AQ3" s="50" t="s">
        <v>92</v>
      </c>
      <c r="AR3" s="49" t="s">
        <v>30</v>
      </c>
      <c r="AS3" s="50" t="s">
        <v>93</v>
      </c>
      <c r="AT3" s="49" t="s">
        <v>5</v>
      </c>
      <c r="AU3" s="50" t="s">
        <v>78</v>
      </c>
      <c r="AV3" s="49" t="s">
        <v>5</v>
      </c>
      <c r="AW3" s="50" t="s">
        <v>94</v>
      </c>
      <c r="AX3" s="49" t="s">
        <v>30</v>
      </c>
      <c r="AY3" s="50" t="s">
        <v>95</v>
      </c>
      <c r="AZ3" s="49" t="s">
        <v>31</v>
      </c>
      <c r="BA3" s="50" t="s">
        <v>96</v>
      </c>
      <c r="BB3" s="49" t="s">
        <v>5</v>
      </c>
      <c r="BC3" s="50" t="s">
        <v>97</v>
      </c>
      <c r="BD3" s="49" t="s">
        <v>31</v>
      </c>
      <c r="BE3" s="50" t="s">
        <v>98</v>
      </c>
      <c r="BF3" s="49" t="s">
        <v>30</v>
      </c>
      <c r="BG3" s="50" t="s">
        <v>84</v>
      </c>
    </row>
    <row r="4" spans="1:105" s="44" customFormat="1" x14ac:dyDescent="0.25">
      <c r="A4" s="24">
        <v>160018</v>
      </c>
      <c r="B4" s="25" t="s">
        <v>99</v>
      </c>
      <c r="C4" s="26" t="s">
        <v>100</v>
      </c>
      <c r="D4" s="27" t="s">
        <v>12</v>
      </c>
      <c r="E4" s="28" t="s">
        <v>14</v>
      </c>
      <c r="F4" s="25" t="s">
        <v>88</v>
      </c>
      <c r="G4" s="28" t="s">
        <v>14</v>
      </c>
      <c r="H4" s="28" t="s">
        <v>14</v>
      </c>
      <c r="I4" s="29" t="s">
        <v>14</v>
      </c>
      <c r="J4" s="28" t="s">
        <v>6</v>
      </c>
      <c r="K4" s="30" t="s">
        <v>1850</v>
      </c>
      <c r="L4" s="31" t="s">
        <v>1843</v>
      </c>
      <c r="M4" s="45" t="str">
        <f>IFERROR(VLOOKUP(A4,Lookups!#REF!,3,FALSE),"")</f>
        <v/>
      </c>
      <c r="N4" s="46">
        <v>20</v>
      </c>
      <c r="O4" s="47">
        <v>2</v>
      </c>
      <c r="P4" s="48">
        <v>0</v>
      </c>
      <c r="Q4" s="36">
        <v>100</v>
      </c>
      <c r="R4" s="37">
        <v>0</v>
      </c>
      <c r="S4" s="38">
        <f t="shared" si="0"/>
        <v>1</v>
      </c>
      <c r="T4" s="39">
        <f t="shared" si="1"/>
        <v>12</v>
      </c>
      <c r="U4" s="40">
        <f t="shared" si="2"/>
        <v>0</v>
      </c>
      <c r="V4" s="40">
        <f t="shared" si="3"/>
        <v>0</v>
      </c>
      <c r="W4" s="40">
        <f t="shared" si="4"/>
        <v>0</v>
      </c>
      <c r="X4" s="40">
        <f t="shared" si="8"/>
        <v>0</v>
      </c>
      <c r="Y4" s="40">
        <f t="shared" si="5"/>
        <v>0</v>
      </c>
      <c r="Z4" s="40">
        <f t="shared" si="6"/>
        <v>0</v>
      </c>
      <c r="AA4" s="40">
        <f t="shared" si="7"/>
        <v>0</v>
      </c>
      <c r="AB4" s="40">
        <f t="shared" si="9"/>
        <v>0</v>
      </c>
      <c r="AC4" s="41">
        <f t="shared" si="10"/>
        <v>0</v>
      </c>
      <c r="AD4" s="49" t="s">
        <v>5</v>
      </c>
      <c r="AE4" s="50" t="s">
        <v>72</v>
      </c>
      <c r="AF4" s="49"/>
      <c r="AG4" s="50"/>
      <c r="AH4" s="49" t="s">
        <v>5</v>
      </c>
      <c r="AI4" s="50" t="s">
        <v>101</v>
      </c>
      <c r="AJ4" s="49" t="s">
        <v>5</v>
      </c>
      <c r="AK4" s="50" t="s">
        <v>102</v>
      </c>
      <c r="AL4" s="49" t="s">
        <v>5</v>
      </c>
      <c r="AM4" s="50" t="s">
        <v>76</v>
      </c>
      <c r="AN4" s="49" t="s">
        <v>5</v>
      </c>
      <c r="AO4" s="50" t="s">
        <v>103</v>
      </c>
      <c r="AP4" s="49" t="s">
        <v>1</v>
      </c>
      <c r="AQ4" s="50" t="s">
        <v>92</v>
      </c>
      <c r="AR4" s="49" t="s">
        <v>5</v>
      </c>
      <c r="AS4" s="50" t="s">
        <v>104</v>
      </c>
      <c r="AT4" s="49" t="s">
        <v>5</v>
      </c>
      <c r="AU4" s="50" t="s">
        <v>105</v>
      </c>
      <c r="AV4" s="49" t="s">
        <v>5</v>
      </c>
      <c r="AW4" s="50" t="s">
        <v>106</v>
      </c>
      <c r="AX4" s="49" t="s">
        <v>5</v>
      </c>
      <c r="AY4" s="50" t="s">
        <v>80</v>
      </c>
      <c r="AZ4" s="49" t="s">
        <v>5</v>
      </c>
      <c r="BA4" s="50" t="s">
        <v>107</v>
      </c>
      <c r="BB4" s="49" t="s">
        <v>5</v>
      </c>
      <c r="BC4" s="50" t="s">
        <v>108</v>
      </c>
      <c r="BD4" s="49" t="s">
        <v>5</v>
      </c>
      <c r="BE4" s="50" t="s">
        <v>109</v>
      </c>
      <c r="BF4" s="49"/>
      <c r="BG4" s="50"/>
    </row>
    <row r="5" spans="1:105" s="44" customFormat="1" x14ac:dyDescent="0.25">
      <c r="A5" s="24">
        <v>160020</v>
      </c>
      <c r="B5" s="25" t="s">
        <v>110</v>
      </c>
      <c r="C5" s="26" t="s">
        <v>86</v>
      </c>
      <c r="D5" s="27" t="s">
        <v>12</v>
      </c>
      <c r="E5" s="28" t="s">
        <v>87</v>
      </c>
      <c r="F5" s="25" t="s">
        <v>88</v>
      </c>
      <c r="G5" s="28" t="s">
        <v>87</v>
      </c>
      <c r="H5" s="28" t="s">
        <v>87</v>
      </c>
      <c r="I5" s="29" t="s">
        <v>14</v>
      </c>
      <c r="J5" s="28" t="s">
        <v>14</v>
      </c>
      <c r="K5" s="30" t="s">
        <v>1850</v>
      </c>
      <c r="L5" s="31" t="s">
        <v>1844</v>
      </c>
      <c r="M5" s="45" t="str">
        <f>IFERROR(VLOOKUP(A5,Lookups!#REF!,3,FALSE),"")</f>
        <v/>
      </c>
      <c r="N5" s="46">
        <v>17</v>
      </c>
      <c r="O5" s="47">
        <v>11</v>
      </c>
      <c r="P5" s="48">
        <v>1</v>
      </c>
      <c r="Q5" s="36">
        <v>95.74</v>
      </c>
      <c r="R5" s="37">
        <v>5</v>
      </c>
      <c r="S5" s="38">
        <f t="shared" si="0"/>
        <v>0</v>
      </c>
      <c r="T5" s="39">
        <f t="shared" si="1"/>
        <v>8</v>
      </c>
      <c r="U5" s="40">
        <f t="shared" si="2"/>
        <v>4</v>
      </c>
      <c r="V5" s="40">
        <f t="shared" si="3"/>
        <v>1</v>
      </c>
      <c r="W5" s="40">
        <f t="shared" si="4"/>
        <v>0</v>
      </c>
      <c r="X5" s="40">
        <f t="shared" si="8"/>
        <v>5</v>
      </c>
      <c r="Y5" s="40">
        <f t="shared" si="5"/>
        <v>0</v>
      </c>
      <c r="Z5" s="40">
        <f t="shared" si="6"/>
        <v>0</v>
      </c>
      <c r="AA5" s="40">
        <f t="shared" si="7"/>
        <v>0</v>
      </c>
      <c r="AB5" s="40">
        <f t="shared" si="9"/>
        <v>0</v>
      </c>
      <c r="AC5" s="41">
        <f t="shared" si="10"/>
        <v>0</v>
      </c>
      <c r="AD5" s="49" t="s">
        <v>5</v>
      </c>
      <c r="AE5" s="50" t="s">
        <v>89</v>
      </c>
      <c r="AF5" s="49" t="s">
        <v>5</v>
      </c>
      <c r="AG5" s="50" t="s">
        <v>73</v>
      </c>
      <c r="AH5" s="49"/>
      <c r="AI5" s="50"/>
      <c r="AJ5" s="49" t="s">
        <v>30</v>
      </c>
      <c r="AK5" s="50" t="s">
        <v>111</v>
      </c>
      <c r="AL5" s="49" t="s">
        <v>30</v>
      </c>
      <c r="AM5" s="50" t="s">
        <v>84</v>
      </c>
      <c r="AN5" s="49"/>
      <c r="AO5" s="50"/>
      <c r="AP5" s="49" t="s">
        <v>5</v>
      </c>
      <c r="AQ5" s="50" t="s">
        <v>92</v>
      </c>
      <c r="AR5" s="49" t="s">
        <v>30</v>
      </c>
      <c r="AS5" s="50" t="s">
        <v>93</v>
      </c>
      <c r="AT5" s="49" t="s">
        <v>5</v>
      </c>
      <c r="AU5" s="50" t="s">
        <v>78</v>
      </c>
      <c r="AV5" s="49" t="s">
        <v>5</v>
      </c>
      <c r="AW5" s="50" t="s">
        <v>112</v>
      </c>
      <c r="AX5" s="49" t="s">
        <v>30</v>
      </c>
      <c r="AY5" s="50" t="s">
        <v>95</v>
      </c>
      <c r="AZ5" s="49" t="s">
        <v>5</v>
      </c>
      <c r="BA5" s="50" t="s">
        <v>96</v>
      </c>
      <c r="BB5" s="49" t="s">
        <v>5</v>
      </c>
      <c r="BC5" s="50" t="s">
        <v>97</v>
      </c>
      <c r="BD5" s="49" t="s">
        <v>31</v>
      </c>
      <c r="BE5" s="50" t="s">
        <v>98</v>
      </c>
      <c r="BF5" s="49" t="s">
        <v>5</v>
      </c>
      <c r="BG5" s="50" t="s">
        <v>84</v>
      </c>
    </row>
    <row r="6" spans="1:105" s="44" customFormat="1" x14ac:dyDescent="0.25">
      <c r="A6" s="24">
        <v>160022</v>
      </c>
      <c r="B6" s="25" t="s">
        <v>113</v>
      </c>
      <c r="C6" s="26" t="s">
        <v>114</v>
      </c>
      <c r="D6" s="27" t="s">
        <v>70</v>
      </c>
      <c r="E6" s="28" t="s">
        <v>14</v>
      </c>
      <c r="F6" s="25" t="s">
        <v>115</v>
      </c>
      <c r="G6" s="28" t="s">
        <v>87</v>
      </c>
      <c r="H6" s="28" t="s">
        <v>14</v>
      </c>
      <c r="I6" s="29" t="s">
        <v>14</v>
      </c>
      <c r="J6" s="28" t="s">
        <v>14</v>
      </c>
      <c r="K6" s="30" t="s">
        <v>1850</v>
      </c>
      <c r="L6" s="31" t="s">
        <v>1845</v>
      </c>
      <c r="M6" s="45" t="str">
        <f>IFERROR(VLOOKUP(A6,Lookups!#REF!,3,FALSE),"")</f>
        <v/>
      </c>
      <c r="N6" s="46">
        <v>36</v>
      </c>
      <c r="O6" s="47">
        <v>0</v>
      </c>
      <c r="P6" s="48">
        <v>0</v>
      </c>
      <c r="Q6" s="36">
        <v>100</v>
      </c>
      <c r="R6" s="37">
        <v>0</v>
      </c>
      <c r="S6" s="38">
        <f t="shared" si="0"/>
        <v>0</v>
      </c>
      <c r="T6" s="39">
        <f t="shared" si="1"/>
        <v>13</v>
      </c>
      <c r="U6" s="40">
        <f t="shared" si="2"/>
        <v>0</v>
      </c>
      <c r="V6" s="40">
        <f t="shared" si="3"/>
        <v>0</v>
      </c>
      <c r="W6" s="40">
        <f t="shared" si="4"/>
        <v>0</v>
      </c>
      <c r="X6" s="40">
        <f t="shared" si="8"/>
        <v>0</v>
      </c>
      <c r="Y6" s="40">
        <f t="shared" si="5"/>
        <v>0</v>
      </c>
      <c r="Z6" s="40">
        <f t="shared" si="6"/>
        <v>0</v>
      </c>
      <c r="AA6" s="40">
        <f t="shared" si="7"/>
        <v>0</v>
      </c>
      <c r="AB6" s="40">
        <f t="shared" si="9"/>
        <v>0</v>
      </c>
      <c r="AC6" s="41">
        <f t="shared" si="10"/>
        <v>0</v>
      </c>
      <c r="AD6" s="49" t="s">
        <v>5</v>
      </c>
      <c r="AE6" s="50" t="s">
        <v>116</v>
      </c>
      <c r="AF6" s="49" t="s">
        <v>5</v>
      </c>
      <c r="AG6" s="50" t="s">
        <v>117</v>
      </c>
      <c r="AH6" s="49"/>
      <c r="AI6" s="50"/>
      <c r="AJ6" s="49" t="s">
        <v>5</v>
      </c>
      <c r="AK6" s="50" t="s">
        <v>118</v>
      </c>
      <c r="AL6" s="49" t="s">
        <v>5</v>
      </c>
      <c r="AM6" s="50" t="s">
        <v>112</v>
      </c>
      <c r="AN6" s="49"/>
      <c r="AO6" s="50"/>
      <c r="AP6" s="49" t="s">
        <v>5</v>
      </c>
      <c r="AQ6" s="50" t="s">
        <v>119</v>
      </c>
      <c r="AR6" s="49" t="s">
        <v>5</v>
      </c>
      <c r="AS6" s="50" t="s">
        <v>120</v>
      </c>
      <c r="AT6" s="49" t="s">
        <v>5</v>
      </c>
      <c r="AU6" s="50" t="s">
        <v>78</v>
      </c>
      <c r="AV6" s="49" t="s">
        <v>5</v>
      </c>
      <c r="AW6" s="50" t="s">
        <v>94</v>
      </c>
      <c r="AX6" s="49" t="s">
        <v>5</v>
      </c>
      <c r="AY6" s="50" t="s">
        <v>95</v>
      </c>
      <c r="AZ6" s="49" t="s">
        <v>5</v>
      </c>
      <c r="BA6" s="50" t="s">
        <v>121</v>
      </c>
      <c r="BB6" s="49" t="s">
        <v>5</v>
      </c>
      <c r="BC6" s="50" t="s">
        <v>122</v>
      </c>
      <c r="BD6" s="49" t="s">
        <v>5</v>
      </c>
      <c r="BE6" s="50" t="s">
        <v>123</v>
      </c>
      <c r="BF6" s="49" t="s">
        <v>5</v>
      </c>
      <c r="BG6" s="50" t="s">
        <v>124</v>
      </c>
    </row>
    <row r="7" spans="1:105" s="44" customFormat="1" x14ac:dyDescent="0.25">
      <c r="A7" s="24">
        <v>160044</v>
      </c>
      <c r="B7" s="25" t="s">
        <v>125</v>
      </c>
      <c r="C7" s="26" t="s">
        <v>69</v>
      </c>
      <c r="D7" s="27" t="s">
        <v>12</v>
      </c>
      <c r="E7" s="28" t="s">
        <v>14</v>
      </c>
      <c r="F7" s="25" t="s">
        <v>126</v>
      </c>
      <c r="G7" s="28" t="s">
        <v>87</v>
      </c>
      <c r="H7" s="28" t="s">
        <v>14</v>
      </c>
      <c r="I7" s="29" t="s">
        <v>14</v>
      </c>
      <c r="J7" s="28" t="s">
        <v>14</v>
      </c>
      <c r="K7" s="30" t="s">
        <v>1850</v>
      </c>
      <c r="L7" s="31" t="s">
        <v>1844</v>
      </c>
      <c r="M7" s="45" t="str">
        <f>IFERROR(VLOOKUP(A7,Lookups!#REF!,3,FALSE),"")</f>
        <v/>
      </c>
      <c r="N7" s="46">
        <v>29</v>
      </c>
      <c r="O7" s="47">
        <v>0</v>
      </c>
      <c r="P7" s="48">
        <v>0</v>
      </c>
      <c r="Q7" s="36">
        <v>100</v>
      </c>
      <c r="R7" s="37">
        <v>0</v>
      </c>
      <c r="S7" s="38">
        <f t="shared" si="0"/>
        <v>2</v>
      </c>
      <c r="T7" s="39">
        <f t="shared" si="1"/>
        <v>11</v>
      </c>
      <c r="U7" s="40">
        <f t="shared" si="2"/>
        <v>0</v>
      </c>
      <c r="V7" s="40">
        <f t="shared" si="3"/>
        <v>0</v>
      </c>
      <c r="W7" s="40">
        <f t="shared" si="4"/>
        <v>0</v>
      </c>
      <c r="X7" s="40">
        <f t="shared" si="8"/>
        <v>0</v>
      </c>
      <c r="Y7" s="40">
        <f t="shared" si="5"/>
        <v>0</v>
      </c>
      <c r="Z7" s="40">
        <f t="shared" si="6"/>
        <v>0</v>
      </c>
      <c r="AA7" s="40">
        <f t="shared" si="7"/>
        <v>0</v>
      </c>
      <c r="AB7" s="40">
        <f t="shared" si="9"/>
        <v>0</v>
      </c>
      <c r="AC7" s="41">
        <f t="shared" si="10"/>
        <v>0</v>
      </c>
      <c r="AD7" s="49" t="s">
        <v>5</v>
      </c>
      <c r="AE7" s="50" t="s">
        <v>116</v>
      </c>
      <c r="AF7" s="49"/>
      <c r="AG7" s="50"/>
      <c r="AH7" s="49" t="s">
        <v>1</v>
      </c>
      <c r="AI7" s="50" t="s">
        <v>101</v>
      </c>
      <c r="AJ7" s="49" t="s">
        <v>5</v>
      </c>
      <c r="AK7" s="50" t="s">
        <v>127</v>
      </c>
      <c r="AL7" s="49" t="s">
        <v>5</v>
      </c>
      <c r="AM7" s="50" t="s">
        <v>75</v>
      </c>
      <c r="AN7" s="49"/>
      <c r="AO7" s="50"/>
      <c r="AP7" s="49" t="s">
        <v>5</v>
      </c>
      <c r="AQ7" s="50" t="s">
        <v>76</v>
      </c>
      <c r="AR7" s="49" t="s">
        <v>5</v>
      </c>
      <c r="AS7" s="50" t="s">
        <v>77</v>
      </c>
      <c r="AT7" s="49" t="s">
        <v>5</v>
      </c>
      <c r="AU7" s="50" t="s">
        <v>78</v>
      </c>
      <c r="AV7" s="49" t="s">
        <v>5</v>
      </c>
      <c r="AW7" s="50" t="s">
        <v>94</v>
      </c>
      <c r="AX7" s="49" t="s">
        <v>5</v>
      </c>
      <c r="AY7" s="50" t="s">
        <v>80</v>
      </c>
      <c r="AZ7" s="49" t="s">
        <v>1</v>
      </c>
      <c r="BA7" s="50" t="s">
        <v>96</v>
      </c>
      <c r="BB7" s="49" t="s">
        <v>5</v>
      </c>
      <c r="BC7" s="50" t="s">
        <v>82</v>
      </c>
      <c r="BD7" s="49" t="s">
        <v>5</v>
      </c>
      <c r="BE7" s="50" t="s">
        <v>83</v>
      </c>
      <c r="BF7" s="49" t="s">
        <v>5</v>
      </c>
      <c r="BG7" s="50" t="s">
        <v>84</v>
      </c>
    </row>
    <row r="8" spans="1:105" s="44" customFormat="1" x14ac:dyDescent="0.25">
      <c r="A8" s="24">
        <v>160096</v>
      </c>
      <c r="B8" s="25" t="s">
        <v>128</v>
      </c>
      <c r="C8" s="26" t="s">
        <v>129</v>
      </c>
      <c r="D8" s="27" t="s">
        <v>70</v>
      </c>
      <c r="E8" s="28" t="s">
        <v>14</v>
      </c>
      <c r="F8" s="25" t="s">
        <v>115</v>
      </c>
      <c r="G8" s="28" t="s">
        <v>87</v>
      </c>
      <c r="H8" s="28" t="s">
        <v>14</v>
      </c>
      <c r="I8" s="29" t="s">
        <v>14</v>
      </c>
      <c r="J8" s="28" t="s">
        <v>14</v>
      </c>
      <c r="K8" s="30" t="s">
        <v>1850</v>
      </c>
      <c r="L8" s="31" t="s">
        <v>1844</v>
      </c>
      <c r="M8" s="45" t="str">
        <f>IFERROR(VLOOKUP(A8,Lookups!#REF!,3,FALSE),"")</f>
        <v/>
      </c>
      <c r="N8" s="46">
        <v>39</v>
      </c>
      <c r="O8" s="47">
        <v>1</v>
      </c>
      <c r="P8" s="48">
        <v>1</v>
      </c>
      <c r="Q8" s="36">
        <v>100</v>
      </c>
      <c r="R8" s="37">
        <v>1</v>
      </c>
      <c r="S8" s="38">
        <f t="shared" si="0"/>
        <v>1</v>
      </c>
      <c r="T8" s="39">
        <f t="shared" si="1"/>
        <v>12</v>
      </c>
      <c r="U8" s="40">
        <f t="shared" si="2"/>
        <v>0</v>
      </c>
      <c r="V8" s="40">
        <f t="shared" si="3"/>
        <v>0</v>
      </c>
      <c r="W8" s="40">
        <f t="shared" si="4"/>
        <v>0</v>
      </c>
      <c r="X8" s="40">
        <f t="shared" si="8"/>
        <v>0</v>
      </c>
      <c r="Y8" s="40">
        <f t="shared" si="5"/>
        <v>0</v>
      </c>
      <c r="Z8" s="40">
        <f t="shared" si="6"/>
        <v>0</v>
      </c>
      <c r="AA8" s="40">
        <f t="shared" si="7"/>
        <v>0</v>
      </c>
      <c r="AB8" s="40">
        <f t="shared" si="9"/>
        <v>0</v>
      </c>
      <c r="AC8" s="41">
        <f t="shared" si="10"/>
        <v>0</v>
      </c>
      <c r="AD8" s="49" t="s">
        <v>5</v>
      </c>
      <c r="AE8" s="50" t="s">
        <v>89</v>
      </c>
      <c r="AF8" s="49"/>
      <c r="AG8" s="50"/>
      <c r="AH8" s="49" t="s">
        <v>5</v>
      </c>
      <c r="AI8" s="50" t="s">
        <v>101</v>
      </c>
      <c r="AJ8" s="49" t="s">
        <v>5</v>
      </c>
      <c r="AK8" s="50" t="s">
        <v>118</v>
      </c>
      <c r="AL8" s="49" t="s">
        <v>5</v>
      </c>
      <c r="AM8" s="50" t="s">
        <v>74</v>
      </c>
      <c r="AN8" s="49" t="s">
        <v>5</v>
      </c>
      <c r="AO8" s="50" t="s">
        <v>130</v>
      </c>
      <c r="AP8" s="49" t="s">
        <v>5</v>
      </c>
      <c r="AQ8" s="50" t="s">
        <v>131</v>
      </c>
      <c r="AR8" s="49" t="s">
        <v>5</v>
      </c>
      <c r="AS8" s="50" t="s">
        <v>132</v>
      </c>
      <c r="AT8" s="49" t="s">
        <v>5</v>
      </c>
      <c r="AU8" s="50" t="s">
        <v>105</v>
      </c>
      <c r="AV8" s="49" t="s">
        <v>1</v>
      </c>
      <c r="AW8" s="50" t="s">
        <v>79</v>
      </c>
      <c r="AX8" s="49" t="s">
        <v>5</v>
      </c>
      <c r="AY8" s="50" t="s">
        <v>80</v>
      </c>
      <c r="AZ8" s="49" t="s">
        <v>5</v>
      </c>
      <c r="BA8" s="50" t="s">
        <v>81</v>
      </c>
      <c r="BB8" s="49" t="s">
        <v>5</v>
      </c>
      <c r="BC8" s="50" t="s">
        <v>108</v>
      </c>
      <c r="BD8" s="49" t="s">
        <v>5</v>
      </c>
      <c r="BE8" s="50" t="s">
        <v>133</v>
      </c>
      <c r="BF8" s="49"/>
      <c r="BG8" s="50"/>
    </row>
    <row r="9" spans="1:105" s="44" customFormat="1" x14ac:dyDescent="0.25">
      <c r="A9" s="24">
        <v>160109</v>
      </c>
      <c r="B9" s="25" t="s">
        <v>134</v>
      </c>
      <c r="C9" s="26" t="s">
        <v>114</v>
      </c>
      <c r="D9" s="27" t="s">
        <v>12</v>
      </c>
      <c r="E9" s="28" t="s">
        <v>14</v>
      </c>
      <c r="F9" s="25" t="s">
        <v>115</v>
      </c>
      <c r="G9" s="28" t="s">
        <v>14</v>
      </c>
      <c r="H9" s="28" t="s">
        <v>14</v>
      </c>
      <c r="I9" s="29" t="s">
        <v>14</v>
      </c>
      <c r="J9" s="28" t="s">
        <v>14</v>
      </c>
      <c r="K9" s="30" t="s">
        <v>1850</v>
      </c>
      <c r="L9" s="31" t="s">
        <v>1846</v>
      </c>
      <c r="M9" s="45" t="str">
        <f>IFERROR(VLOOKUP(A9,Lookups!#REF!,3,FALSE),"")</f>
        <v/>
      </c>
      <c r="N9" s="46">
        <v>37</v>
      </c>
      <c r="O9" s="47">
        <v>0</v>
      </c>
      <c r="P9" s="48">
        <v>0</v>
      </c>
      <c r="Q9" s="36">
        <v>100</v>
      </c>
      <c r="R9" s="37">
        <v>0</v>
      </c>
      <c r="S9" s="38">
        <f t="shared" si="0"/>
        <v>0</v>
      </c>
      <c r="T9" s="39">
        <f t="shared" si="1"/>
        <v>13</v>
      </c>
      <c r="U9" s="40">
        <f t="shared" si="2"/>
        <v>0</v>
      </c>
      <c r="V9" s="40">
        <f t="shared" si="3"/>
        <v>0</v>
      </c>
      <c r="W9" s="40">
        <f t="shared" si="4"/>
        <v>0</v>
      </c>
      <c r="X9" s="40">
        <f t="shared" si="8"/>
        <v>0</v>
      </c>
      <c r="Y9" s="40">
        <f t="shared" si="5"/>
        <v>0</v>
      </c>
      <c r="Z9" s="40">
        <f t="shared" si="6"/>
        <v>0</v>
      </c>
      <c r="AA9" s="40">
        <f t="shared" si="7"/>
        <v>0</v>
      </c>
      <c r="AB9" s="40">
        <f t="shared" si="9"/>
        <v>0</v>
      </c>
      <c r="AC9" s="41">
        <f t="shared" si="10"/>
        <v>0</v>
      </c>
      <c r="AD9" s="49" t="s">
        <v>5</v>
      </c>
      <c r="AE9" s="50" t="s">
        <v>116</v>
      </c>
      <c r="AF9" s="49" t="s">
        <v>5</v>
      </c>
      <c r="AG9" s="50" t="s">
        <v>135</v>
      </c>
      <c r="AH9" s="49"/>
      <c r="AI9" s="50"/>
      <c r="AJ9" s="49" t="s">
        <v>5</v>
      </c>
      <c r="AK9" s="50" t="s">
        <v>118</v>
      </c>
      <c r="AL9" s="49" t="s">
        <v>5</v>
      </c>
      <c r="AM9" s="50" t="s">
        <v>112</v>
      </c>
      <c r="AN9" s="49"/>
      <c r="AO9" s="50"/>
      <c r="AP9" s="49" t="s">
        <v>5</v>
      </c>
      <c r="AQ9" s="50" t="s">
        <v>119</v>
      </c>
      <c r="AR9" s="49" t="s">
        <v>5</v>
      </c>
      <c r="AS9" s="50" t="s">
        <v>120</v>
      </c>
      <c r="AT9" s="49" t="s">
        <v>5</v>
      </c>
      <c r="AU9" s="50" t="s">
        <v>78</v>
      </c>
      <c r="AV9" s="49" t="s">
        <v>5</v>
      </c>
      <c r="AW9" s="50" t="s">
        <v>136</v>
      </c>
      <c r="AX9" s="49" t="s">
        <v>5</v>
      </c>
      <c r="AY9" s="50" t="s">
        <v>95</v>
      </c>
      <c r="AZ9" s="49" t="s">
        <v>5</v>
      </c>
      <c r="BA9" s="50" t="s">
        <v>96</v>
      </c>
      <c r="BB9" s="49" t="s">
        <v>5</v>
      </c>
      <c r="BC9" s="50" t="s">
        <v>122</v>
      </c>
      <c r="BD9" s="49" t="s">
        <v>5</v>
      </c>
      <c r="BE9" s="50" t="s">
        <v>137</v>
      </c>
      <c r="BF9" s="49" t="s">
        <v>5</v>
      </c>
      <c r="BG9" s="50" t="s">
        <v>124</v>
      </c>
    </row>
    <row r="10" spans="1:105" s="44" customFormat="1" x14ac:dyDescent="0.25">
      <c r="A10" s="24">
        <v>160132</v>
      </c>
      <c r="B10" s="25" t="s">
        <v>138</v>
      </c>
      <c r="C10" s="26" t="s">
        <v>86</v>
      </c>
      <c r="D10" s="27" t="s">
        <v>12</v>
      </c>
      <c r="E10" s="28" t="s">
        <v>87</v>
      </c>
      <c r="F10" s="25" t="s">
        <v>71</v>
      </c>
      <c r="G10" s="28" t="s">
        <v>14</v>
      </c>
      <c r="H10" s="28" t="s">
        <v>87</v>
      </c>
      <c r="I10" s="29" t="s">
        <v>14</v>
      </c>
      <c r="J10" s="28" t="s">
        <v>4</v>
      </c>
      <c r="K10" s="30" t="s">
        <v>1850</v>
      </c>
      <c r="L10" s="31" t="s">
        <v>1847</v>
      </c>
      <c r="M10" s="45" t="str">
        <f>IFERROR(VLOOKUP(A10,Lookups!#REF!,3,FALSE),"")</f>
        <v/>
      </c>
      <c r="N10" s="46">
        <v>18</v>
      </c>
      <c r="O10" s="47">
        <v>0</v>
      </c>
      <c r="P10" s="48">
        <v>0</v>
      </c>
      <c r="Q10" s="36">
        <v>95.74</v>
      </c>
      <c r="R10" s="37">
        <v>2</v>
      </c>
      <c r="S10" s="38">
        <f t="shared" si="0"/>
        <v>0</v>
      </c>
      <c r="T10" s="39">
        <f t="shared" si="1"/>
        <v>13</v>
      </c>
      <c r="U10" s="40">
        <f t="shared" si="2"/>
        <v>0</v>
      </c>
      <c r="V10" s="40">
        <f t="shared" si="3"/>
        <v>0</v>
      </c>
      <c r="W10" s="40">
        <f t="shared" si="4"/>
        <v>0</v>
      </c>
      <c r="X10" s="40">
        <f t="shared" si="8"/>
        <v>0</v>
      </c>
      <c r="Y10" s="40">
        <f t="shared" si="5"/>
        <v>0</v>
      </c>
      <c r="Z10" s="40">
        <f t="shared" si="6"/>
        <v>0</v>
      </c>
      <c r="AA10" s="40">
        <f t="shared" si="7"/>
        <v>0</v>
      </c>
      <c r="AB10" s="40">
        <f t="shared" si="9"/>
        <v>0</v>
      </c>
      <c r="AC10" s="41">
        <f t="shared" si="10"/>
        <v>0</v>
      </c>
      <c r="AD10" s="49" t="s">
        <v>5</v>
      </c>
      <c r="AE10" s="50" t="s">
        <v>72</v>
      </c>
      <c r="AF10" s="49"/>
      <c r="AG10" s="50"/>
      <c r="AH10" s="49" t="s">
        <v>5</v>
      </c>
      <c r="AI10" s="50" t="s">
        <v>101</v>
      </c>
      <c r="AJ10" s="49" t="s">
        <v>5</v>
      </c>
      <c r="AK10" s="50" t="s">
        <v>74</v>
      </c>
      <c r="AL10" s="49" t="s">
        <v>5</v>
      </c>
      <c r="AM10" s="50" t="s">
        <v>84</v>
      </c>
      <c r="AN10" s="49"/>
      <c r="AO10" s="50"/>
      <c r="AP10" s="49" t="s">
        <v>5</v>
      </c>
      <c r="AQ10" s="50" t="s">
        <v>92</v>
      </c>
      <c r="AR10" s="49" t="s">
        <v>5</v>
      </c>
      <c r="AS10" s="50" t="s">
        <v>93</v>
      </c>
      <c r="AT10" s="49" t="s">
        <v>5</v>
      </c>
      <c r="AU10" s="50" t="s">
        <v>78</v>
      </c>
      <c r="AV10" s="49" t="s">
        <v>5</v>
      </c>
      <c r="AW10" s="50" t="s">
        <v>139</v>
      </c>
      <c r="AX10" s="49" t="s">
        <v>5</v>
      </c>
      <c r="AY10" s="50" t="s">
        <v>95</v>
      </c>
      <c r="AZ10" s="49" t="s">
        <v>5</v>
      </c>
      <c r="BA10" s="50" t="s">
        <v>96</v>
      </c>
      <c r="BB10" s="49" t="s">
        <v>5</v>
      </c>
      <c r="BC10" s="50" t="s">
        <v>108</v>
      </c>
      <c r="BD10" s="49" t="s">
        <v>5</v>
      </c>
      <c r="BE10" s="50" t="s">
        <v>140</v>
      </c>
      <c r="BF10" s="49" t="s">
        <v>5</v>
      </c>
      <c r="BG10" s="50" t="s">
        <v>84</v>
      </c>
    </row>
    <row r="11" spans="1:105" s="44" customFormat="1" x14ac:dyDescent="0.25">
      <c r="A11" s="24">
        <v>160143</v>
      </c>
      <c r="B11" s="25" t="s">
        <v>141</v>
      </c>
      <c r="C11" s="26" t="s">
        <v>129</v>
      </c>
      <c r="D11" s="27" t="s">
        <v>12</v>
      </c>
      <c r="E11" s="28" t="s">
        <v>14</v>
      </c>
      <c r="F11" s="25" t="s">
        <v>71</v>
      </c>
      <c r="G11" s="28" t="s">
        <v>14</v>
      </c>
      <c r="H11" s="28" t="s">
        <v>14</v>
      </c>
      <c r="I11" s="29" t="s">
        <v>14</v>
      </c>
      <c r="J11" s="28" t="s">
        <v>4</v>
      </c>
      <c r="K11" s="30" t="s">
        <v>1850</v>
      </c>
      <c r="L11" s="31" t="s">
        <v>1843</v>
      </c>
      <c r="M11" s="45" t="str">
        <f>IFERROR(VLOOKUP(A11,Lookups!#REF!,3,FALSE),"")</f>
        <v/>
      </c>
      <c r="N11" s="46">
        <v>33</v>
      </c>
      <c r="O11" s="47">
        <v>3</v>
      </c>
      <c r="P11" s="48">
        <v>2</v>
      </c>
      <c r="Q11" s="36">
        <v>97.87</v>
      </c>
      <c r="R11" s="37">
        <v>5</v>
      </c>
      <c r="S11" s="38">
        <f t="shared" si="0"/>
        <v>0</v>
      </c>
      <c r="T11" s="39">
        <f t="shared" si="1"/>
        <v>10</v>
      </c>
      <c r="U11" s="40">
        <f t="shared" si="2"/>
        <v>1</v>
      </c>
      <c r="V11" s="40">
        <f t="shared" si="3"/>
        <v>1</v>
      </c>
      <c r="W11" s="40">
        <f t="shared" si="4"/>
        <v>1</v>
      </c>
      <c r="X11" s="40">
        <f t="shared" si="8"/>
        <v>3</v>
      </c>
      <c r="Y11" s="40">
        <f t="shared" si="5"/>
        <v>0</v>
      </c>
      <c r="Z11" s="40">
        <f t="shared" si="6"/>
        <v>0</v>
      </c>
      <c r="AA11" s="40">
        <f t="shared" si="7"/>
        <v>0</v>
      </c>
      <c r="AB11" s="40">
        <f t="shared" si="9"/>
        <v>0</v>
      </c>
      <c r="AC11" s="41">
        <f t="shared" si="10"/>
        <v>0</v>
      </c>
      <c r="AD11" s="49" t="s">
        <v>5</v>
      </c>
      <c r="AE11" s="50" t="s">
        <v>89</v>
      </c>
      <c r="AF11" s="49" t="s">
        <v>5</v>
      </c>
      <c r="AG11" s="50" t="s">
        <v>90</v>
      </c>
      <c r="AH11" s="49"/>
      <c r="AI11" s="50"/>
      <c r="AJ11" s="49" t="s">
        <v>30</v>
      </c>
      <c r="AK11" s="50" t="s">
        <v>142</v>
      </c>
      <c r="AL11" s="49" t="s">
        <v>5</v>
      </c>
      <c r="AM11" s="50" t="s">
        <v>143</v>
      </c>
      <c r="AN11" s="49" t="s">
        <v>32</v>
      </c>
      <c r="AO11" s="50" t="s">
        <v>130</v>
      </c>
      <c r="AP11" s="49" t="s">
        <v>5</v>
      </c>
      <c r="AQ11" s="50" t="s">
        <v>144</v>
      </c>
      <c r="AR11" s="49" t="s">
        <v>5</v>
      </c>
      <c r="AS11" s="50" t="s">
        <v>132</v>
      </c>
      <c r="AT11" s="49" t="s">
        <v>5</v>
      </c>
      <c r="AU11" s="50" t="s">
        <v>105</v>
      </c>
      <c r="AV11" s="49" t="s">
        <v>5</v>
      </c>
      <c r="AW11" s="50" t="s">
        <v>139</v>
      </c>
      <c r="AX11" s="49" t="s">
        <v>5</v>
      </c>
      <c r="AY11" s="50" t="s">
        <v>80</v>
      </c>
      <c r="AZ11" s="49" t="s">
        <v>31</v>
      </c>
      <c r="BA11" s="50" t="s">
        <v>107</v>
      </c>
      <c r="BB11" s="49" t="s">
        <v>5</v>
      </c>
      <c r="BC11" s="50" t="s">
        <v>108</v>
      </c>
      <c r="BD11" s="49" t="s">
        <v>5</v>
      </c>
      <c r="BE11" s="50" t="s">
        <v>133</v>
      </c>
      <c r="BF11" s="49"/>
      <c r="BG11" s="50"/>
    </row>
    <row r="12" spans="1:105" s="44" customFormat="1" x14ac:dyDescent="0.25">
      <c r="A12" s="24">
        <v>160144</v>
      </c>
      <c r="B12" s="25" t="s">
        <v>145</v>
      </c>
      <c r="C12" s="26" t="s">
        <v>69</v>
      </c>
      <c r="D12" s="27" t="s">
        <v>12</v>
      </c>
      <c r="E12" s="28" t="s">
        <v>14</v>
      </c>
      <c r="F12" s="25" t="s">
        <v>146</v>
      </c>
      <c r="G12" s="28" t="s">
        <v>14</v>
      </c>
      <c r="H12" s="28" t="s">
        <v>14</v>
      </c>
      <c r="I12" s="29" t="s">
        <v>14</v>
      </c>
      <c r="J12" s="28" t="s">
        <v>14</v>
      </c>
      <c r="K12" s="30" t="s">
        <v>1850</v>
      </c>
      <c r="L12" s="31" t="s">
        <v>1842</v>
      </c>
      <c r="M12" s="45" t="str">
        <f>IFERROR(VLOOKUP(A12,Lookups!#REF!,3,FALSE),"")</f>
        <v/>
      </c>
      <c r="N12" s="46">
        <v>22</v>
      </c>
      <c r="O12" s="47">
        <v>2</v>
      </c>
      <c r="P12" s="48">
        <v>1</v>
      </c>
      <c r="Q12" s="36">
        <v>100</v>
      </c>
      <c r="R12" s="37">
        <v>0</v>
      </c>
      <c r="S12" s="38">
        <f t="shared" si="0"/>
        <v>1</v>
      </c>
      <c r="T12" s="39">
        <f t="shared" si="1"/>
        <v>11</v>
      </c>
      <c r="U12" s="40">
        <f t="shared" si="2"/>
        <v>0</v>
      </c>
      <c r="V12" s="40">
        <f t="shared" si="3"/>
        <v>1</v>
      </c>
      <c r="W12" s="40">
        <f t="shared" si="4"/>
        <v>0</v>
      </c>
      <c r="X12" s="40">
        <f t="shared" si="8"/>
        <v>1</v>
      </c>
      <c r="Y12" s="40">
        <f t="shared" si="5"/>
        <v>0</v>
      </c>
      <c r="Z12" s="40">
        <f t="shared" si="6"/>
        <v>0</v>
      </c>
      <c r="AA12" s="40">
        <f t="shared" si="7"/>
        <v>0</v>
      </c>
      <c r="AB12" s="40">
        <f t="shared" si="9"/>
        <v>0</v>
      </c>
      <c r="AC12" s="41">
        <f t="shared" si="10"/>
        <v>0</v>
      </c>
      <c r="AD12" s="49" t="s">
        <v>5</v>
      </c>
      <c r="AE12" s="50" t="s">
        <v>116</v>
      </c>
      <c r="AF12" s="49" t="s">
        <v>5</v>
      </c>
      <c r="AG12" s="50" t="s">
        <v>117</v>
      </c>
      <c r="AH12" s="49"/>
      <c r="AI12" s="50"/>
      <c r="AJ12" s="49" t="s">
        <v>5</v>
      </c>
      <c r="AK12" s="50" t="s">
        <v>74</v>
      </c>
      <c r="AL12" s="49" t="s">
        <v>5</v>
      </c>
      <c r="AM12" s="50" t="s">
        <v>75</v>
      </c>
      <c r="AN12" s="49"/>
      <c r="AO12" s="50"/>
      <c r="AP12" s="49" t="s">
        <v>5</v>
      </c>
      <c r="AQ12" s="50" t="s">
        <v>131</v>
      </c>
      <c r="AR12" s="49" t="s">
        <v>5</v>
      </c>
      <c r="AS12" s="50" t="s">
        <v>77</v>
      </c>
      <c r="AT12" s="49" t="s">
        <v>5</v>
      </c>
      <c r="AU12" s="50" t="s">
        <v>78</v>
      </c>
      <c r="AV12" s="49" t="s">
        <v>5</v>
      </c>
      <c r="AW12" s="50" t="s">
        <v>94</v>
      </c>
      <c r="AX12" s="49" t="s">
        <v>5</v>
      </c>
      <c r="AY12" s="50" t="s">
        <v>80</v>
      </c>
      <c r="AZ12" s="49" t="s">
        <v>1</v>
      </c>
      <c r="BA12" s="50" t="s">
        <v>96</v>
      </c>
      <c r="BB12" s="49" t="s">
        <v>31</v>
      </c>
      <c r="BC12" s="50" t="s">
        <v>82</v>
      </c>
      <c r="BD12" s="49" t="s">
        <v>5</v>
      </c>
      <c r="BE12" s="50" t="s">
        <v>83</v>
      </c>
      <c r="BF12" s="49" t="s">
        <v>5</v>
      </c>
      <c r="BG12" s="50" t="s">
        <v>84</v>
      </c>
    </row>
    <row r="13" spans="1:105" s="44" customFormat="1" x14ac:dyDescent="0.25">
      <c r="A13" s="24">
        <v>160145</v>
      </c>
      <c r="B13" s="25" t="s">
        <v>147</v>
      </c>
      <c r="C13" s="26" t="s">
        <v>114</v>
      </c>
      <c r="D13" s="27" t="s">
        <v>70</v>
      </c>
      <c r="E13" s="28" t="s">
        <v>87</v>
      </c>
      <c r="F13" s="25" t="s">
        <v>88</v>
      </c>
      <c r="G13" s="28" t="s">
        <v>14</v>
      </c>
      <c r="H13" s="28" t="s">
        <v>87</v>
      </c>
      <c r="I13" s="29" t="s">
        <v>14</v>
      </c>
      <c r="J13" s="28" t="s">
        <v>14</v>
      </c>
      <c r="K13" s="30" t="s">
        <v>1850</v>
      </c>
      <c r="L13" s="31" t="s">
        <v>1846</v>
      </c>
      <c r="M13" s="45" t="str">
        <f>IFERROR(VLOOKUP(A13,Lookups!#REF!,3,FALSE),"")</f>
        <v/>
      </c>
      <c r="N13" s="46">
        <v>36</v>
      </c>
      <c r="O13" s="47">
        <v>0</v>
      </c>
      <c r="P13" s="48">
        <v>0</v>
      </c>
      <c r="Q13" s="36">
        <v>97.87</v>
      </c>
      <c r="R13" s="37">
        <v>1</v>
      </c>
      <c r="S13" s="38">
        <f t="shared" si="0"/>
        <v>2</v>
      </c>
      <c r="T13" s="39">
        <f t="shared" si="1"/>
        <v>11</v>
      </c>
      <c r="U13" s="40">
        <f t="shared" si="2"/>
        <v>0</v>
      </c>
      <c r="V13" s="40">
        <f t="shared" si="3"/>
        <v>0</v>
      </c>
      <c r="W13" s="40">
        <f t="shared" si="4"/>
        <v>0</v>
      </c>
      <c r="X13" s="40">
        <f t="shared" si="8"/>
        <v>0</v>
      </c>
      <c r="Y13" s="40">
        <f t="shared" si="5"/>
        <v>0</v>
      </c>
      <c r="Z13" s="40">
        <f t="shared" si="6"/>
        <v>0</v>
      </c>
      <c r="AA13" s="40">
        <f t="shared" si="7"/>
        <v>0</v>
      </c>
      <c r="AB13" s="40">
        <f t="shared" si="9"/>
        <v>0</v>
      </c>
      <c r="AC13" s="41">
        <f t="shared" si="10"/>
        <v>0</v>
      </c>
      <c r="AD13" s="49" t="s">
        <v>5</v>
      </c>
      <c r="AE13" s="50" t="s">
        <v>116</v>
      </c>
      <c r="AF13" s="49" t="s">
        <v>5</v>
      </c>
      <c r="AG13" s="50" t="s">
        <v>90</v>
      </c>
      <c r="AH13" s="49"/>
      <c r="AI13" s="50"/>
      <c r="AJ13" s="49" t="s">
        <v>5</v>
      </c>
      <c r="AK13" s="50" t="s">
        <v>118</v>
      </c>
      <c r="AL13" s="49" t="s">
        <v>1</v>
      </c>
      <c r="AM13" s="50" t="s">
        <v>112</v>
      </c>
      <c r="AN13" s="49"/>
      <c r="AO13" s="50"/>
      <c r="AP13" s="49" t="s">
        <v>5</v>
      </c>
      <c r="AQ13" s="50" t="s">
        <v>119</v>
      </c>
      <c r="AR13" s="49" t="s">
        <v>5</v>
      </c>
      <c r="AS13" s="50" t="s">
        <v>120</v>
      </c>
      <c r="AT13" s="49" t="s">
        <v>5</v>
      </c>
      <c r="AU13" s="50" t="s">
        <v>78</v>
      </c>
      <c r="AV13" s="49" t="s">
        <v>1</v>
      </c>
      <c r="AW13" s="50" t="s">
        <v>136</v>
      </c>
      <c r="AX13" s="49" t="s">
        <v>5</v>
      </c>
      <c r="AY13" s="50" t="s">
        <v>95</v>
      </c>
      <c r="AZ13" s="49" t="s">
        <v>5</v>
      </c>
      <c r="BA13" s="50" t="s">
        <v>121</v>
      </c>
      <c r="BB13" s="49" t="s">
        <v>5</v>
      </c>
      <c r="BC13" s="50" t="s">
        <v>122</v>
      </c>
      <c r="BD13" s="49" t="s">
        <v>5</v>
      </c>
      <c r="BE13" s="50" t="s">
        <v>123</v>
      </c>
      <c r="BF13" s="49" t="s">
        <v>5</v>
      </c>
      <c r="BG13" s="50" t="s">
        <v>124</v>
      </c>
    </row>
    <row r="14" spans="1:105" s="44" customFormat="1" x14ac:dyDescent="0.25">
      <c r="A14" s="24">
        <v>160147</v>
      </c>
      <c r="B14" s="25" t="s">
        <v>148</v>
      </c>
      <c r="C14" s="26" t="s">
        <v>149</v>
      </c>
      <c r="D14" s="27" t="s">
        <v>70</v>
      </c>
      <c r="E14" s="28" t="s">
        <v>14</v>
      </c>
      <c r="F14" s="25" t="s">
        <v>150</v>
      </c>
      <c r="G14" s="28" t="s">
        <v>87</v>
      </c>
      <c r="H14" s="28" t="s">
        <v>14</v>
      </c>
      <c r="I14" s="29" t="s">
        <v>14</v>
      </c>
      <c r="J14" s="28" t="s">
        <v>14</v>
      </c>
      <c r="K14" s="30" t="s">
        <v>1850</v>
      </c>
      <c r="L14" s="31" t="s">
        <v>1841</v>
      </c>
      <c r="M14" s="45" t="str">
        <f>IFERROR(VLOOKUP(A14,Lookups!#REF!,3,FALSE),"")</f>
        <v/>
      </c>
      <c r="N14" s="46">
        <v>25</v>
      </c>
      <c r="O14" s="47">
        <v>0</v>
      </c>
      <c r="P14" s="48">
        <v>0</v>
      </c>
      <c r="Q14" s="36">
        <v>100</v>
      </c>
      <c r="R14" s="37">
        <v>0</v>
      </c>
      <c r="S14" s="38">
        <f t="shared" si="0"/>
        <v>2</v>
      </c>
      <c r="T14" s="39">
        <f t="shared" si="1"/>
        <v>11</v>
      </c>
      <c r="U14" s="40">
        <f t="shared" si="2"/>
        <v>0</v>
      </c>
      <c r="V14" s="40">
        <f t="shared" si="3"/>
        <v>0</v>
      </c>
      <c r="W14" s="40">
        <f t="shared" si="4"/>
        <v>0</v>
      </c>
      <c r="X14" s="40">
        <f t="shared" si="8"/>
        <v>0</v>
      </c>
      <c r="Y14" s="40">
        <f t="shared" si="5"/>
        <v>0</v>
      </c>
      <c r="Z14" s="40">
        <f t="shared" si="6"/>
        <v>0</v>
      </c>
      <c r="AA14" s="40">
        <f t="shared" si="7"/>
        <v>0</v>
      </c>
      <c r="AB14" s="40">
        <f t="shared" si="9"/>
        <v>0</v>
      </c>
      <c r="AC14" s="41">
        <f t="shared" si="10"/>
        <v>0</v>
      </c>
      <c r="AD14" s="49" t="s">
        <v>5</v>
      </c>
      <c r="AE14" s="50" t="s">
        <v>116</v>
      </c>
      <c r="AF14" s="49" t="s">
        <v>5</v>
      </c>
      <c r="AG14" s="50" t="s">
        <v>135</v>
      </c>
      <c r="AH14" s="49"/>
      <c r="AI14" s="50"/>
      <c r="AJ14" s="49" t="s">
        <v>5</v>
      </c>
      <c r="AK14" s="50" t="s">
        <v>151</v>
      </c>
      <c r="AL14" s="49" t="s">
        <v>1</v>
      </c>
      <c r="AM14" s="50" t="s">
        <v>78</v>
      </c>
      <c r="AN14" s="49"/>
      <c r="AO14" s="50"/>
      <c r="AP14" s="49" t="s">
        <v>5</v>
      </c>
      <c r="AQ14" s="50" t="s">
        <v>131</v>
      </c>
      <c r="AR14" s="49" t="s">
        <v>1</v>
      </c>
      <c r="AS14" s="50" t="s">
        <v>104</v>
      </c>
      <c r="AT14" s="49" t="s">
        <v>5</v>
      </c>
      <c r="AU14" s="50" t="s">
        <v>105</v>
      </c>
      <c r="AV14" s="49" t="s">
        <v>5</v>
      </c>
      <c r="AW14" s="50" t="s">
        <v>79</v>
      </c>
      <c r="AX14" s="49" t="s">
        <v>5</v>
      </c>
      <c r="AY14" s="50" t="s">
        <v>80</v>
      </c>
      <c r="AZ14" s="49" t="s">
        <v>5</v>
      </c>
      <c r="BA14" s="50" t="s">
        <v>152</v>
      </c>
      <c r="BB14" s="49" t="s">
        <v>5</v>
      </c>
      <c r="BC14" s="50" t="s">
        <v>153</v>
      </c>
      <c r="BD14" s="49" t="s">
        <v>5</v>
      </c>
      <c r="BE14" s="50" t="s">
        <v>154</v>
      </c>
      <c r="BF14" s="49" t="s">
        <v>5</v>
      </c>
      <c r="BG14" s="50" t="s">
        <v>103</v>
      </c>
    </row>
    <row r="15" spans="1:105" s="44" customFormat="1" x14ac:dyDescent="0.25">
      <c r="A15" s="24">
        <v>160148</v>
      </c>
      <c r="B15" s="25" t="s">
        <v>155</v>
      </c>
      <c r="C15" s="26" t="s">
        <v>114</v>
      </c>
      <c r="D15" s="27" t="s">
        <v>12</v>
      </c>
      <c r="E15" s="28" t="s">
        <v>14</v>
      </c>
      <c r="F15" s="25" t="s">
        <v>71</v>
      </c>
      <c r="G15" s="28" t="s">
        <v>14</v>
      </c>
      <c r="H15" s="28" t="s">
        <v>14</v>
      </c>
      <c r="I15" s="29" t="s">
        <v>14</v>
      </c>
      <c r="J15" s="28" t="s">
        <v>14</v>
      </c>
      <c r="K15" s="30" t="s">
        <v>1850</v>
      </c>
      <c r="L15" s="31" t="s">
        <v>1842</v>
      </c>
      <c r="M15" s="45" t="str">
        <f>IFERROR(VLOOKUP(A15,Lookups!#REF!,3,FALSE),"")</f>
        <v/>
      </c>
      <c r="N15" s="46">
        <v>26</v>
      </c>
      <c r="O15" s="47">
        <v>0</v>
      </c>
      <c r="P15" s="48">
        <v>0</v>
      </c>
      <c r="Q15" s="36">
        <v>82.98</v>
      </c>
      <c r="R15" s="37">
        <v>0</v>
      </c>
      <c r="S15" s="38">
        <f t="shared" si="0"/>
        <v>0</v>
      </c>
      <c r="T15" s="39">
        <f t="shared" si="1"/>
        <v>13</v>
      </c>
      <c r="U15" s="40">
        <f t="shared" si="2"/>
        <v>0</v>
      </c>
      <c r="V15" s="40">
        <f t="shared" si="3"/>
        <v>0</v>
      </c>
      <c r="W15" s="40">
        <f t="shared" si="4"/>
        <v>0</v>
      </c>
      <c r="X15" s="40">
        <f t="shared" si="8"/>
        <v>0</v>
      </c>
      <c r="Y15" s="40">
        <f t="shared" si="5"/>
        <v>0</v>
      </c>
      <c r="Z15" s="40">
        <f t="shared" si="6"/>
        <v>0</v>
      </c>
      <c r="AA15" s="40">
        <f t="shared" si="7"/>
        <v>0</v>
      </c>
      <c r="AB15" s="40">
        <f t="shared" si="9"/>
        <v>0</v>
      </c>
      <c r="AC15" s="41">
        <f t="shared" si="10"/>
        <v>0</v>
      </c>
      <c r="AD15" s="49" t="s">
        <v>5</v>
      </c>
      <c r="AE15" s="50" t="s">
        <v>116</v>
      </c>
      <c r="AF15" s="49" t="s">
        <v>5</v>
      </c>
      <c r="AG15" s="50" t="s">
        <v>73</v>
      </c>
      <c r="AH15" s="49"/>
      <c r="AI15" s="50"/>
      <c r="AJ15" s="49" t="s">
        <v>5</v>
      </c>
      <c r="AK15" s="50" t="s">
        <v>118</v>
      </c>
      <c r="AL15" s="49" t="s">
        <v>5</v>
      </c>
      <c r="AM15" s="50" t="s">
        <v>112</v>
      </c>
      <c r="AN15" s="49"/>
      <c r="AO15" s="50"/>
      <c r="AP15" s="49" t="s">
        <v>5</v>
      </c>
      <c r="AQ15" s="50" t="s">
        <v>119</v>
      </c>
      <c r="AR15" s="49" t="s">
        <v>5</v>
      </c>
      <c r="AS15" s="50" t="s">
        <v>120</v>
      </c>
      <c r="AT15" s="49" t="s">
        <v>5</v>
      </c>
      <c r="AU15" s="50" t="s">
        <v>78</v>
      </c>
      <c r="AV15" s="49" t="s">
        <v>5</v>
      </c>
      <c r="AW15" s="50" t="s">
        <v>94</v>
      </c>
      <c r="AX15" s="49" t="s">
        <v>5</v>
      </c>
      <c r="AY15" s="50" t="s">
        <v>95</v>
      </c>
      <c r="AZ15" s="49" t="s">
        <v>5</v>
      </c>
      <c r="BA15" s="50" t="s">
        <v>96</v>
      </c>
      <c r="BB15" s="49" t="s">
        <v>5</v>
      </c>
      <c r="BC15" s="50" t="s">
        <v>122</v>
      </c>
      <c r="BD15" s="49" t="s">
        <v>5</v>
      </c>
      <c r="BE15" s="50" t="s">
        <v>123</v>
      </c>
      <c r="BF15" s="49" t="s">
        <v>5</v>
      </c>
      <c r="BG15" s="50" t="s">
        <v>124</v>
      </c>
    </row>
    <row r="16" spans="1:105" s="44" customFormat="1" x14ac:dyDescent="0.25">
      <c r="A16" s="24">
        <v>160149</v>
      </c>
      <c r="B16" s="25" t="s">
        <v>156</v>
      </c>
      <c r="C16" s="26" t="s">
        <v>114</v>
      </c>
      <c r="D16" s="27" t="s">
        <v>12</v>
      </c>
      <c r="E16" s="28" t="s">
        <v>14</v>
      </c>
      <c r="F16" s="25" t="s">
        <v>71</v>
      </c>
      <c r="G16" s="28" t="s">
        <v>14</v>
      </c>
      <c r="H16" s="28" t="s">
        <v>14</v>
      </c>
      <c r="I16" s="29" t="s">
        <v>14</v>
      </c>
      <c r="J16" s="28" t="s">
        <v>14</v>
      </c>
      <c r="K16" s="30" t="s">
        <v>1850</v>
      </c>
      <c r="L16" s="31" t="s">
        <v>1842</v>
      </c>
      <c r="M16" s="45" t="str">
        <f>IFERROR(VLOOKUP(A16,Lookups!#REF!,3,FALSE),"")</f>
        <v/>
      </c>
      <c r="N16" s="46">
        <v>37</v>
      </c>
      <c r="O16" s="47">
        <v>0</v>
      </c>
      <c r="P16" s="48">
        <v>0</v>
      </c>
      <c r="Q16" s="36">
        <v>95.83</v>
      </c>
      <c r="R16" s="37">
        <v>1</v>
      </c>
      <c r="S16" s="38">
        <f t="shared" si="0"/>
        <v>2</v>
      </c>
      <c r="T16" s="39">
        <f t="shared" si="1"/>
        <v>11</v>
      </c>
      <c r="U16" s="40">
        <f t="shared" si="2"/>
        <v>0</v>
      </c>
      <c r="V16" s="40">
        <f t="shared" si="3"/>
        <v>0</v>
      </c>
      <c r="W16" s="40">
        <f t="shared" si="4"/>
        <v>0</v>
      </c>
      <c r="X16" s="40">
        <f t="shared" si="8"/>
        <v>0</v>
      </c>
      <c r="Y16" s="40">
        <f t="shared" si="5"/>
        <v>0</v>
      </c>
      <c r="Z16" s="40">
        <f t="shared" si="6"/>
        <v>0</v>
      </c>
      <c r="AA16" s="40">
        <f t="shared" si="7"/>
        <v>0</v>
      </c>
      <c r="AB16" s="40">
        <f t="shared" si="9"/>
        <v>0</v>
      </c>
      <c r="AC16" s="41">
        <f t="shared" si="10"/>
        <v>0</v>
      </c>
      <c r="AD16" s="49" t="s">
        <v>5</v>
      </c>
      <c r="AE16" s="50" t="s">
        <v>116</v>
      </c>
      <c r="AF16" s="49"/>
      <c r="AG16" s="50"/>
      <c r="AH16" s="49" t="s">
        <v>5</v>
      </c>
      <c r="AI16" s="50" t="s">
        <v>101</v>
      </c>
      <c r="AJ16" s="49" t="s">
        <v>5</v>
      </c>
      <c r="AK16" s="50" t="s">
        <v>118</v>
      </c>
      <c r="AL16" s="49" t="s">
        <v>1</v>
      </c>
      <c r="AM16" s="50" t="s">
        <v>112</v>
      </c>
      <c r="AN16" s="49"/>
      <c r="AO16" s="50"/>
      <c r="AP16" s="49" t="s">
        <v>5</v>
      </c>
      <c r="AQ16" s="50" t="s">
        <v>119</v>
      </c>
      <c r="AR16" s="49" t="s">
        <v>5</v>
      </c>
      <c r="AS16" s="50" t="s">
        <v>120</v>
      </c>
      <c r="AT16" s="49" t="s">
        <v>1</v>
      </c>
      <c r="AU16" s="50" t="s">
        <v>78</v>
      </c>
      <c r="AV16" s="49" t="s">
        <v>5</v>
      </c>
      <c r="AW16" s="50" t="s">
        <v>94</v>
      </c>
      <c r="AX16" s="49" t="s">
        <v>5</v>
      </c>
      <c r="AY16" s="50" t="s">
        <v>95</v>
      </c>
      <c r="AZ16" s="49" t="s">
        <v>5</v>
      </c>
      <c r="BA16" s="50" t="s">
        <v>96</v>
      </c>
      <c r="BB16" s="49" t="s">
        <v>5</v>
      </c>
      <c r="BC16" s="50" t="s">
        <v>122</v>
      </c>
      <c r="BD16" s="49" t="s">
        <v>5</v>
      </c>
      <c r="BE16" s="50" t="s">
        <v>123</v>
      </c>
      <c r="BF16" s="49" t="s">
        <v>5</v>
      </c>
      <c r="BG16" s="50" t="s">
        <v>124</v>
      </c>
    </row>
    <row r="17" spans="1:59" s="44" customFormat="1" x14ac:dyDescent="0.25">
      <c r="A17" s="24">
        <v>160150</v>
      </c>
      <c r="B17" s="25" t="s">
        <v>157</v>
      </c>
      <c r="C17" s="26" t="s">
        <v>86</v>
      </c>
      <c r="D17" s="27" t="s">
        <v>70</v>
      </c>
      <c r="E17" s="28" t="s">
        <v>14</v>
      </c>
      <c r="F17" s="25" t="s">
        <v>158</v>
      </c>
      <c r="G17" s="28" t="s">
        <v>87</v>
      </c>
      <c r="H17" s="28" t="s">
        <v>14</v>
      </c>
      <c r="I17" s="29" t="s">
        <v>14</v>
      </c>
      <c r="J17" s="28" t="s">
        <v>14</v>
      </c>
      <c r="K17" s="30" t="s">
        <v>1850</v>
      </c>
      <c r="L17" s="31" t="s">
        <v>1841</v>
      </c>
      <c r="M17" s="45" t="str">
        <f>IFERROR(VLOOKUP(A17,Lookups!#REF!,3,FALSE),"")</f>
        <v/>
      </c>
      <c r="N17" s="46">
        <v>14</v>
      </c>
      <c r="O17" s="47">
        <v>1</v>
      </c>
      <c r="P17" s="48">
        <v>0</v>
      </c>
      <c r="Q17" s="36">
        <v>100</v>
      </c>
      <c r="R17" s="37">
        <v>1</v>
      </c>
      <c r="S17" s="38">
        <f t="shared" si="0"/>
        <v>0</v>
      </c>
      <c r="T17" s="39">
        <f t="shared" si="1"/>
        <v>13</v>
      </c>
      <c r="U17" s="40">
        <f t="shared" si="2"/>
        <v>0</v>
      </c>
      <c r="V17" s="40">
        <f t="shared" si="3"/>
        <v>0</v>
      </c>
      <c r="W17" s="40">
        <f t="shared" si="4"/>
        <v>0</v>
      </c>
      <c r="X17" s="40">
        <f t="shared" si="8"/>
        <v>0</v>
      </c>
      <c r="Y17" s="40">
        <f t="shared" si="5"/>
        <v>0</v>
      </c>
      <c r="Z17" s="40">
        <f t="shared" si="6"/>
        <v>0</v>
      </c>
      <c r="AA17" s="40">
        <f t="shared" si="7"/>
        <v>0</v>
      </c>
      <c r="AB17" s="40">
        <f t="shared" si="9"/>
        <v>0</v>
      </c>
      <c r="AC17" s="41">
        <f t="shared" si="10"/>
        <v>0</v>
      </c>
      <c r="AD17" s="49" t="s">
        <v>5</v>
      </c>
      <c r="AE17" s="50" t="s">
        <v>72</v>
      </c>
      <c r="AF17" s="49" t="s">
        <v>5</v>
      </c>
      <c r="AG17" s="50" t="s">
        <v>135</v>
      </c>
      <c r="AH17" s="49"/>
      <c r="AI17" s="50"/>
      <c r="AJ17" s="49" t="s">
        <v>5</v>
      </c>
      <c r="AK17" s="50" t="s">
        <v>91</v>
      </c>
      <c r="AL17" s="49" t="s">
        <v>5</v>
      </c>
      <c r="AM17" s="50" t="s">
        <v>84</v>
      </c>
      <c r="AN17" s="49"/>
      <c r="AO17" s="50"/>
      <c r="AP17" s="49" t="s">
        <v>5</v>
      </c>
      <c r="AQ17" s="50" t="s">
        <v>92</v>
      </c>
      <c r="AR17" s="49" t="s">
        <v>5</v>
      </c>
      <c r="AS17" s="50" t="s">
        <v>93</v>
      </c>
      <c r="AT17" s="49" t="s">
        <v>5</v>
      </c>
      <c r="AU17" s="50" t="s">
        <v>78</v>
      </c>
      <c r="AV17" s="49" t="s">
        <v>5</v>
      </c>
      <c r="AW17" s="50" t="s">
        <v>94</v>
      </c>
      <c r="AX17" s="49" t="s">
        <v>5</v>
      </c>
      <c r="AY17" s="50" t="s">
        <v>95</v>
      </c>
      <c r="AZ17" s="49" t="s">
        <v>5</v>
      </c>
      <c r="BA17" s="50" t="s">
        <v>81</v>
      </c>
      <c r="BB17" s="49" t="s">
        <v>5</v>
      </c>
      <c r="BC17" s="50" t="s">
        <v>97</v>
      </c>
      <c r="BD17" s="49" t="s">
        <v>5</v>
      </c>
      <c r="BE17" s="50" t="s">
        <v>98</v>
      </c>
      <c r="BF17" s="49" t="s">
        <v>5</v>
      </c>
      <c r="BG17" s="50" t="s">
        <v>84</v>
      </c>
    </row>
    <row r="18" spans="1:59" s="44" customFormat="1" x14ac:dyDescent="0.25">
      <c r="A18" s="24">
        <v>160151</v>
      </c>
      <c r="B18" s="25" t="s">
        <v>159</v>
      </c>
      <c r="C18" s="26" t="s">
        <v>86</v>
      </c>
      <c r="D18" s="27" t="s">
        <v>70</v>
      </c>
      <c r="E18" s="28" t="s">
        <v>14</v>
      </c>
      <c r="F18" s="25" t="s">
        <v>71</v>
      </c>
      <c r="G18" s="28" t="s">
        <v>14</v>
      </c>
      <c r="H18" s="28" t="s">
        <v>14</v>
      </c>
      <c r="I18" s="29" t="s">
        <v>14</v>
      </c>
      <c r="J18" s="28" t="s">
        <v>14</v>
      </c>
      <c r="K18" s="30" t="s">
        <v>1850</v>
      </c>
      <c r="L18" s="31" t="s">
        <v>1844</v>
      </c>
      <c r="M18" s="45" t="str">
        <f>IFERROR(VLOOKUP(A18,Lookups!#REF!,3,FALSE),"")</f>
        <v/>
      </c>
      <c r="N18" s="46">
        <v>18</v>
      </c>
      <c r="O18" s="47">
        <v>0</v>
      </c>
      <c r="P18" s="48">
        <v>0</v>
      </c>
      <c r="Q18" s="36">
        <v>95.83</v>
      </c>
      <c r="R18" s="37">
        <v>2</v>
      </c>
      <c r="S18" s="38">
        <f t="shared" si="0"/>
        <v>0</v>
      </c>
      <c r="T18" s="39">
        <f t="shared" si="1"/>
        <v>13</v>
      </c>
      <c r="U18" s="40">
        <f t="shared" si="2"/>
        <v>0</v>
      </c>
      <c r="V18" s="40">
        <f t="shared" si="3"/>
        <v>0</v>
      </c>
      <c r="W18" s="40">
        <f t="shared" si="4"/>
        <v>0</v>
      </c>
      <c r="X18" s="40">
        <f t="shared" si="8"/>
        <v>0</v>
      </c>
      <c r="Y18" s="40">
        <f t="shared" si="5"/>
        <v>0</v>
      </c>
      <c r="Z18" s="40">
        <f t="shared" si="6"/>
        <v>0</v>
      </c>
      <c r="AA18" s="40">
        <f t="shared" si="7"/>
        <v>0</v>
      </c>
      <c r="AB18" s="40">
        <f t="shared" si="9"/>
        <v>0</v>
      </c>
      <c r="AC18" s="41">
        <f t="shared" si="10"/>
        <v>0</v>
      </c>
      <c r="AD18" s="49" t="s">
        <v>5</v>
      </c>
      <c r="AE18" s="50" t="s">
        <v>72</v>
      </c>
      <c r="AF18" s="49" t="s">
        <v>5</v>
      </c>
      <c r="AG18" s="50" t="s">
        <v>90</v>
      </c>
      <c r="AH18" s="49"/>
      <c r="AI18" s="50"/>
      <c r="AJ18" s="49" t="s">
        <v>5</v>
      </c>
      <c r="AK18" s="50" t="s">
        <v>111</v>
      </c>
      <c r="AL18" s="49" t="s">
        <v>5</v>
      </c>
      <c r="AM18" s="50" t="s">
        <v>84</v>
      </c>
      <c r="AN18" s="49"/>
      <c r="AO18" s="50"/>
      <c r="AP18" s="49" t="s">
        <v>5</v>
      </c>
      <c r="AQ18" s="50" t="s">
        <v>92</v>
      </c>
      <c r="AR18" s="49" t="s">
        <v>5</v>
      </c>
      <c r="AS18" s="50" t="s">
        <v>93</v>
      </c>
      <c r="AT18" s="49" t="s">
        <v>5</v>
      </c>
      <c r="AU18" s="50" t="s">
        <v>78</v>
      </c>
      <c r="AV18" s="49" t="s">
        <v>5</v>
      </c>
      <c r="AW18" s="50" t="s">
        <v>94</v>
      </c>
      <c r="AX18" s="49" t="s">
        <v>5</v>
      </c>
      <c r="AY18" s="50" t="s">
        <v>95</v>
      </c>
      <c r="AZ18" s="49" t="s">
        <v>5</v>
      </c>
      <c r="BA18" s="50" t="s">
        <v>81</v>
      </c>
      <c r="BB18" s="49" t="s">
        <v>5</v>
      </c>
      <c r="BC18" s="50" t="s">
        <v>97</v>
      </c>
      <c r="BD18" s="49" t="s">
        <v>5</v>
      </c>
      <c r="BE18" s="50" t="s">
        <v>98</v>
      </c>
      <c r="BF18" s="49" t="s">
        <v>5</v>
      </c>
      <c r="BG18" s="50" t="s">
        <v>84</v>
      </c>
    </row>
    <row r="19" spans="1:59" s="44" customFormat="1" x14ac:dyDescent="0.25">
      <c r="A19" s="24">
        <v>160152</v>
      </c>
      <c r="B19" s="25" t="s">
        <v>160</v>
      </c>
      <c r="C19" s="26" t="s">
        <v>149</v>
      </c>
      <c r="D19" s="27" t="s">
        <v>12</v>
      </c>
      <c r="E19" s="28" t="s">
        <v>14</v>
      </c>
      <c r="F19" s="25" t="s">
        <v>71</v>
      </c>
      <c r="G19" s="28" t="s">
        <v>14</v>
      </c>
      <c r="H19" s="28" t="s">
        <v>14</v>
      </c>
      <c r="I19" s="29" t="s">
        <v>14</v>
      </c>
      <c r="J19" s="28" t="s">
        <v>14</v>
      </c>
      <c r="K19" s="30" t="s">
        <v>1850</v>
      </c>
      <c r="L19" s="31" t="s">
        <v>1842</v>
      </c>
      <c r="M19" s="45" t="str">
        <f>IFERROR(VLOOKUP(A19,Lookups!#REF!,3,FALSE),"")</f>
        <v/>
      </c>
      <c r="N19" s="46">
        <v>20</v>
      </c>
      <c r="O19" s="47">
        <v>0</v>
      </c>
      <c r="P19" s="48">
        <v>0</v>
      </c>
      <c r="Q19" s="36">
        <v>100</v>
      </c>
      <c r="R19" s="37">
        <v>0</v>
      </c>
      <c r="S19" s="38">
        <f t="shared" si="0"/>
        <v>2</v>
      </c>
      <c r="T19" s="39">
        <f t="shared" si="1"/>
        <v>11</v>
      </c>
      <c r="U19" s="40">
        <f t="shared" si="2"/>
        <v>0</v>
      </c>
      <c r="V19" s="40">
        <f t="shared" si="3"/>
        <v>0</v>
      </c>
      <c r="W19" s="40">
        <f t="shared" si="4"/>
        <v>0</v>
      </c>
      <c r="X19" s="40">
        <f t="shared" si="8"/>
        <v>0</v>
      </c>
      <c r="Y19" s="40">
        <f t="shared" si="5"/>
        <v>0</v>
      </c>
      <c r="Z19" s="40">
        <f t="shared" si="6"/>
        <v>0</v>
      </c>
      <c r="AA19" s="40">
        <f t="shared" si="7"/>
        <v>0</v>
      </c>
      <c r="AB19" s="40">
        <f t="shared" si="9"/>
        <v>0</v>
      </c>
      <c r="AC19" s="41">
        <f t="shared" si="10"/>
        <v>0</v>
      </c>
      <c r="AD19" s="49" t="s">
        <v>5</v>
      </c>
      <c r="AE19" s="50" t="s">
        <v>72</v>
      </c>
      <c r="AF19" s="49" t="s">
        <v>5</v>
      </c>
      <c r="AG19" s="50" t="s">
        <v>90</v>
      </c>
      <c r="AH19" s="49"/>
      <c r="AI19" s="50"/>
      <c r="AJ19" s="49" t="s">
        <v>5</v>
      </c>
      <c r="AK19" s="50" t="s">
        <v>91</v>
      </c>
      <c r="AL19" s="49" t="s">
        <v>1</v>
      </c>
      <c r="AM19" s="50" t="s">
        <v>78</v>
      </c>
      <c r="AN19" s="49"/>
      <c r="AO19" s="50"/>
      <c r="AP19" s="49" t="s">
        <v>5</v>
      </c>
      <c r="AQ19" s="50" t="s">
        <v>131</v>
      </c>
      <c r="AR19" s="49" t="s">
        <v>5</v>
      </c>
      <c r="AS19" s="50" t="s">
        <v>104</v>
      </c>
      <c r="AT19" s="49" t="s">
        <v>5</v>
      </c>
      <c r="AU19" s="50" t="s">
        <v>105</v>
      </c>
      <c r="AV19" s="49" t="s">
        <v>1</v>
      </c>
      <c r="AW19" s="50" t="s">
        <v>79</v>
      </c>
      <c r="AX19" s="49" t="s">
        <v>5</v>
      </c>
      <c r="AY19" s="50" t="s">
        <v>80</v>
      </c>
      <c r="AZ19" s="49" t="s">
        <v>5</v>
      </c>
      <c r="BA19" s="50" t="s">
        <v>107</v>
      </c>
      <c r="BB19" s="49" t="s">
        <v>5</v>
      </c>
      <c r="BC19" s="50" t="s">
        <v>153</v>
      </c>
      <c r="BD19" s="49" t="s">
        <v>5</v>
      </c>
      <c r="BE19" s="50" t="s">
        <v>154</v>
      </c>
      <c r="BF19" s="49" t="s">
        <v>5</v>
      </c>
      <c r="BG19" s="50" t="s">
        <v>103</v>
      </c>
    </row>
    <row r="20" spans="1:59" s="44" customFormat="1" x14ac:dyDescent="0.25">
      <c r="A20" s="24">
        <v>160153</v>
      </c>
      <c r="B20" s="25" t="s">
        <v>161</v>
      </c>
      <c r="C20" s="26" t="s">
        <v>162</v>
      </c>
      <c r="D20" s="27" t="s">
        <v>12</v>
      </c>
      <c r="E20" s="28" t="s">
        <v>87</v>
      </c>
      <c r="F20" s="25" t="s">
        <v>88</v>
      </c>
      <c r="G20" s="28" t="s">
        <v>87</v>
      </c>
      <c r="H20" s="28" t="s">
        <v>87</v>
      </c>
      <c r="I20" s="29" t="s">
        <v>14</v>
      </c>
      <c r="J20" s="28" t="s">
        <v>6</v>
      </c>
      <c r="K20" s="30" t="s">
        <v>1850</v>
      </c>
      <c r="L20" s="31" t="s">
        <v>1844</v>
      </c>
      <c r="M20" s="45" t="str">
        <f>IFERROR(VLOOKUP(A20,Lookups!#REF!,3,FALSE),"")</f>
        <v/>
      </c>
      <c r="N20" s="46">
        <v>25</v>
      </c>
      <c r="O20" s="47">
        <v>1</v>
      </c>
      <c r="P20" s="48">
        <v>0</v>
      </c>
      <c r="Q20" s="36">
        <v>100</v>
      </c>
      <c r="R20" s="37">
        <v>3</v>
      </c>
      <c r="S20" s="38">
        <f t="shared" si="0"/>
        <v>0</v>
      </c>
      <c r="T20" s="39">
        <f t="shared" si="1"/>
        <v>9</v>
      </c>
      <c r="U20" s="40">
        <f t="shared" si="2"/>
        <v>2</v>
      </c>
      <c r="V20" s="40">
        <f t="shared" si="3"/>
        <v>1</v>
      </c>
      <c r="W20" s="40">
        <f t="shared" si="4"/>
        <v>1</v>
      </c>
      <c r="X20" s="40">
        <f t="shared" si="8"/>
        <v>4</v>
      </c>
      <c r="Y20" s="40">
        <f t="shared" si="5"/>
        <v>0</v>
      </c>
      <c r="Z20" s="40">
        <f t="shared" si="6"/>
        <v>0</v>
      </c>
      <c r="AA20" s="40">
        <f t="shared" si="7"/>
        <v>0</v>
      </c>
      <c r="AB20" s="40">
        <f t="shared" si="9"/>
        <v>0</v>
      </c>
      <c r="AC20" s="41">
        <f t="shared" si="10"/>
        <v>0</v>
      </c>
      <c r="AD20" s="49" t="s">
        <v>5</v>
      </c>
      <c r="AE20" s="50" t="s">
        <v>72</v>
      </c>
      <c r="AF20" s="49"/>
      <c r="AG20" s="50"/>
      <c r="AH20" s="49" t="s">
        <v>31</v>
      </c>
      <c r="AI20" s="50" t="s">
        <v>101</v>
      </c>
      <c r="AJ20" s="49" t="s">
        <v>5</v>
      </c>
      <c r="AK20" s="50" t="s">
        <v>127</v>
      </c>
      <c r="AL20" s="49" t="s">
        <v>32</v>
      </c>
      <c r="AM20" s="50" t="s">
        <v>72</v>
      </c>
      <c r="AN20" s="49" t="s">
        <v>5</v>
      </c>
      <c r="AO20" s="50" t="s">
        <v>143</v>
      </c>
      <c r="AP20" s="49" t="s">
        <v>5</v>
      </c>
      <c r="AQ20" s="50" t="s">
        <v>131</v>
      </c>
      <c r="AR20" s="49" t="s">
        <v>5</v>
      </c>
      <c r="AS20" s="50" t="s">
        <v>104</v>
      </c>
      <c r="AT20" s="49" t="s">
        <v>5</v>
      </c>
      <c r="AU20" s="50" t="s">
        <v>163</v>
      </c>
      <c r="AV20" s="49" t="s">
        <v>5</v>
      </c>
      <c r="AW20" s="50" t="s">
        <v>106</v>
      </c>
      <c r="AX20" s="49" t="s">
        <v>5</v>
      </c>
      <c r="AY20" s="50" t="s">
        <v>95</v>
      </c>
      <c r="AZ20" s="49" t="s">
        <v>30</v>
      </c>
      <c r="BA20" s="50" t="s">
        <v>107</v>
      </c>
      <c r="BB20" s="49" t="s">
        <v>30</v>
      </c>
      <c r="BC20" s="50" t="s">
        <v>153</v>
      </c>
      <c r="BD20" s="49" t="s">
        <v>5</v>
      </c>
      <c r="BE20" s="50" t="s">
        <v>164</v>
      </c>
      <c r="BF20" s="49"/>
      <c r="BG20" s="50"/>
    </row>
    <row r="21" spans="1:59" s="44" customFormat="1" x14ac:dyDescent="0.25">
      <c r="A21" s="24">
        <v>160154</v>
      </c>
      <c r="B21" s="25" t="s">
        <v>165</v>
      </c>
      <c r="C21" s="26" t="s">
        <v>69</v>
      </c>
      <c r="D21" s="27" t="s">
        <v>70</v>
      </c>
      <c r="E21" s="28" t="s">
        <v>14</v>
      </c>
      <c r="F21" s="25" t="s">
        <v>150</v>
      </c>
      <c r="G21" s="28" t="s">
        <v>87</v>
      </c>
      <c r="H21" s="28" t="s">
        <v>14</v>
      </c>
      <c r="I21" s="29" t="s">
        <v>14</v>
      </c>
      <c r="J21" s="28" t="s">
        <v>14</v>
      </c>
      <c r="K21" s="30" t="s">
        <v>1850</v>
      </c>
      <c r="L21" s="31" t="s">
        <v>1842</v>
      </c>
      <c r="M21" s="45" t="str">
        <f>IFERROR(VLOOKUP(A21,Lookups!#REF!,3,FALSE),"")</f>
        <v/>
      </c>
      <c r="N21" s="46">
        <v>38</v>
      </c>
      <c r="O21" s="47">
        <v>0</v>
      </c>
      <c r="P21" s="48">
        <v>0</v>
      </c>
      <c r="Q21" s="36">
        <v>100</v>
      </c>
      <c r="R21" s="37">
        <v>0</v>
      </c>
      <c r="S21" s="38">
        <f t="shared" si="0"/>
        <v>2</v>
      </c>
      <c r="T21" s="39">
        <f t="shared" si="1"/>
        <v>11</v>
      </c>
      <c r="U21" s="40">
        <f t="shared" si="2"/>
        <v>0</v>
      </c>
      <c r="V21" s="40">
        <f t="shared" si="3"/>
        <v>0</v>
      </c>
      <c r="W21" s="40">
        <f t="shared" si="4"/>
        <v>0</v>
      </c>
      <c r="X21" s="40">
        <f t="shared" si="8"/>
        <v>0</v>
      </c>
      <c r="Y21" s="40">
        <f t="shared" si="5"/>
        <v>0</v>
      </c>
      <c r="Z21" s="40">
        <f t="shared" si="6"/>
        <v>0</v>
      </c>
      <c r="AA21" s="40">
        <f t="shared" si="7"/>
        <v>0</v>
      </c>
      <c r="AB21" s="40">
        <f t="shared" si="9"/>
        <v>0</v>
      </c>
      <c r="AC21" s="41">
        <f t="shared" si="10"/>
        <v>0</v>
      </c>
      <c r="AD21" s="49" t="s">
        <v>5</v>
      </c>
      <c r="AE21" s="50" t="s">
        <v>116</v>
      </c>
      <c r="AF21" s="49" t="s">
        <v>5</v>
      </c>
      <c r="AG21" s="50" t="s">
        <v>135</v>
      </c>
      <c r="AH21" s="49"/>
      <c r="AI21" s="50"/>
      <c r="AJ21" s="49" t="s">
        <v>5</v>
      </c>
      <c r="AK21" s="50" t="s">
        <v>74</v>
      </c>
      <c r="AL21" s="49" t="s">
        <v>1</v>
      </c>
      <c r="AM21" s="50" t="s">
        <v>75</v>
      </c>
      <c r="AN21" s="49"/>
      <c r="AO21" s="50"/>
      <c r="AP21" s="49" t="s">
        <v>5</v>
      </c>
      <c r="AQ21" s="50" t="s">
        <v>131</v>
      </c>
      <c r="AR21" s="49" t="s">
        <v>5</v>
      </c>
      <c r="AS21" s="50" t="s">
        <v>120</v>
      </c>
      <c r="AT21" s="49" t="s">
        <v>5</v>
      </c>
      <c r="AU21" s="50" t="s">
        <v>78</v>
      </c>
      <c r="AV21" s="49" t="s">
        <v>5</v>
      </c>
      <c r="AW21" s="50" t="s">
        <v>94</v>
      </c>
      <c r="AX21" s="49" t="s">
        <v>5</v>
      </c>
      <c r="AY21" s="50" t="s">
        <v>80</v>
      </c>
      <c r="AZ21" s="49" t="s">
        <v>5</v>
      </c>
      <c r="BA21" s="50" t="s">
        <v>81</v>
      </c>
      <c r="BB21" s="49" t="s">
        <v>5</v>
      </c>
      <c r="BC21" s="50" t="s">
        <v>82</v>
      </c>
      <c r="BD21" s="49" t="s">
        <v>1</v>
      </c>
      <c r="BE21" s="50" t="s">
        <v>83</v>
      </c>
      <c r="BF21" s="49" t="s">
        <v>5</v>
      </c>
      <c r="BG21" s="50" t="s">
        <v>84</v>
      </c>
    </row>
    <row r="22" spans="1:59" s="44" customFormat="1" x14ac:dyDescent="0.25">
      <c r="A22" s="24">
        <v>160155</v>
      </c>
      <c r="B22" s="25" t="s">
        <v>166</v>
      </c>
      <c r="C22" s="26" t="s">
        <v>129</v>
      </c>
      <c r="D22" s="27" t="s">
        <v>70</v>
      </c>
      <c r="E22" s="28" t="s">
        <v>14</v>
      </c>
      <c r="F22" s="25" t="s">
        <v>71</v>
      </c>
      <c r="G22" s="28" t="s">
        <v>14</v>
      </c>
      <c r="H22" s="28" t="s">
        <v>14</v>
      </c>
      <c r="I22" s="29" t="s">
        <v>14</v>
      </c>
      <c r="J22" s="28" t="s">
        <v>14</v>
      </c>
      <c r="K22" s="30" t="s">
        <v>1850</v>
      </c>
      <c r="L22" s="31" t="s">
        <v>1842</v>
      </c>
      <c r="M22" s="45" t="str">
        <f>IFERROR(VLOOKUP(A22,Lookups!#REF!,3,FALSE),"")</f>
        <v/>
      </c>
      <c r="N22" s="46">
        <v>40</v>
      </c>
      <c r="O22" s="47">
        <v>0</v>
      </c>
      <c r="P22" s="48">
        <v>1</v>
      </c>
      <c r="Q22" s="36">
        <v>97.87</v>
      </c>
      <c r="R22" s="37">
        <v>0</v>
      </c>
      <c r="S22" s="38">
        <f t="shared" si="0"/>
        <v>1</v>
      </c>
      <c r="T22" s="39">
        <f t="shared" si="1"/>
        <v>12</v>
      </c>
      <c r="U22" s="40">
        <f t="shared" si="2"/>
        <v>0</v>
      </c>
      <c r="V22" s="40">
        <f t="shared" si="3"/>
        <v>0</v>
      </c>
      <c r="W22" s="40">
        <f t="shared" si="4"/>
        <v>0</v>
      </c>
      <c r="X22" s="40">
        <f t="shared" si="8"/>
        <v>0</v>
      </c>
      <c r="Y22" s="40">
        <f t="shared" si="5"/>
        <v>0</v>
      </c>
      <c r="Z22" s="40">
        <f t="shared" si="6"/>
        <v>0</v>
      </c>
      <c r="AA22" s="40">
        <f t="shared" si="7"/>
        <v>0</v>
      </c>
      <c r="AB22" s="40">
        <f t="shared" si="9"/>
        <v>0</v>
      </c>
      <c r="AC22" s="41">
        <f t="shared" si="10"/>
        <v>0</v>
      </c>
      <c r="AD22" s="49" t="s">
        <v>5</v>
      </c>
      <c r="AE22" s="50" t="s">
        <v>89</v>
      </c>
      <c r="AF22" s="49" t="s">
        <v>5</v>
      </c>
      <c r="AG22" s="50" t="s">
        <v>135</v>
      </c>
      <c r="AH22" s="49"/>
      <c r="AI22" s="50"/>
      <c r="AJ22" s="49" t="s">
        <v>5</v>
      </c>
      <c r="AK22" s="50" t="s">
        <v>118</v>
      </c>
      <c r="AL22" s="49" t="s">
        <v>5</v>
      </c>
      <c r="AM22" s="50" t="s">
        <v>74</v>
      </c>
      <c r="AN22" s="49" t="s">
        <v>5</v>
      </c>
      <c r="AO22" s="50" t="s">
        <v>130</v>
      </c>
      <c r="AP22" s="49" t="s">
        <v>5</v>
      </c>
      <c r="AQ22" s="50" t="s">
        <v>131</v>
      </c>
      <c r="AR22" s="49" t="s">
        <v>5</v>
      </c>
      <c r="AS22" s="50" t="s">
        <v>132</v>
      </c>
      <c r="AT22" s="49" t="s">
        <v>5</v>
      </c>
      <c r="AU22" s="50" t="s">
        <v>105</v>
      </c>
      <c r="AV22" s="49" t="s">
        <v>1</v>
      </c>
      <c r="AW22" s="50" t="s">
        <v>112</v>
      </c>
      <c r="AX22" s="49" t="s">
        <v>5</v>
      </c>
      <c r="AY22" s="50" t="s">
        <v>80</v>
      </c>
      <c r="AZ22" s="49" t="s">
        <v>5</v>
      </c>
      <c r="BA22" s="50" t="s">
        <v>81</v>
      </c>
      <c r="BB22" s="49" t="s">
        <v>5</v>
      </c>
      <c r="BC22" s="50" t="s">
        <v>108</v>
      </c>
      <c r="BD22" s="49" t="s">
        <v>5</v>
      </c>
      <c r="BE22" s="50" t="s">
        <v>133</v>
      </c>
      <c r="BF22" s="49"/>
      <c r="BG22" s="50"/>
    </row>
    <row r="23" spans="1:59" s="44" customFormat="1" x14ac:dyDescent="0.25">
      <c r="A23" s="24">
        <v>160156</v>
      </c>
      <c r="B23" s="25" t="s">
        <v>167</v>
      </c>
      <c r="C23" s="26" t="s">
        <v>168</v>
      </c>
      <c r="D23" s="27" t="s">
        <v>12</v>
      </c>
      <c r="E23" s="28" t="s">
        <v>14</v>
      </c>
      <c r="F23" s="25" t="s">
        <v>71</v>
      </c>
      <c r="G23" s="28" t="s">
        <v>14</v>
      </c>
      <c r="H23" s="28" t="s">
        <v>14</v>
      </c>
      <c r="I23" s="29" t="s">
        <v>14</v>
      </c>
      <c r="J23" s="28" t="s">
        <v>14</v>
      </c>
      <c r="K23" s="30" t="s">
        <v>1850</v>
      </c>
      <c r="L23" s="31" t="s">
        <v>1841</v>
      </c>
      <c r="M23" s="45" t="str">
        <f>IFERROR(VLOOKUP(A23,Lookups!#REF!,3,FALSE),"")</f>
        <v/>
      </c>
      <c r="N23" s="46">
        <v>22</v>
      </c>
      <c r="O23" s="47">
        <v>0</v>
      </c>
      <c r="P23" s="48">
        <v>0</v>
      </c>
      <c r="Q23" s="36">
        <v>100</v>
      </c>
      <c r="R23" s="37">
        <v>0</v>
      </c>
      <c r="S23" s="38">
        <f t="shared" si="0"/>
        <v>4</v>
      </c>
      <c r="T23" s="39">
        <f t="shared" si="1"/>
        <v>9</v>
      </c>
      <c r="U23" s="40">
        <f t="shared" si="2"/>
        <v>0</v>
      </c>
      <c r="V23" s="40">
        <f t="shared" si="3"/>
        <v>0</v>
      </c>
      <c r="W23" s="40">
        <f t="shared" si="4"/>
        <v>0</v>
      </c>
      <c r="X23" s="40">
        <f t="shared" si="8"/>
        <v>0</v>
      </c>
      <c r="Y23" s="40">
        <f t="shared" si="5"/>
        <v>0</v>
      </c>
      <c r="Z23" s="40">
        <f t="shared" si="6"/>
        <v>0</v>
      </c>
      <c r="AA23" s="40">
        <f t="shared" si="7"/>
        <v>0</v>
      </c>
      <c r="AB23" s="40">
        <f t="shared" si="9"/>
        <v>0</v>
      </c>
      <c r="AC23" s="41">
        <f t="shared" si="10"/>
        <v>0</v>
      </c>
      <c r="AD23" s="49" t="s">
        <v>5</v>
      </c>
      <c r="AE23" s="50" t="s">
        <v>116</v>
      </c>
      <c r="AF23" s="49" t="s">
        <v>5</v>
      </c>
      <c r="AG23" s="50" t="s">
        <v>90</v>
      </c>
      <c r="AH23" s="49"/>
      <c r="AI23" s="50"/>
      <c r="AJ23" s="49" t="s">
        <v>5</v>
      </c>
      <c r="AK23" s="50" t="s">
        <v>169</v>
      </c>
      <c r="AL23" s="49" t="s">
        <v>5</v>
      </c>
      <c r="AM23" s="50" t="s">
        <v>170</v>
      </c>
      <c r="AN23" s="49" t="s">
        <v>5</v>
      </c>
      <c r="AO23" s="50" t="s">
        <v>75</v>
      </c>
      <c r="AP23" s="49" t="s">
        <v>1</v>
      </c>
      <c r="AQ23" s="50" t="s">
        <v>92</v>
      </c>
      <c r="AR23" s="49" t="s">
        <v>5</v>
      </c>
      <c r="AS23" s="50" t="s">
        <v>120</v>
      </c>
      <c r="AT23" s="49" t="s">
        <v>5</v>
      </c>
      <c r="AU23" s="50" t="s">
        <v>78</v>
      </c>
      <c r="AV23" s="49" t="s">
        <v>1</v>
      </c>
      <c r="AW23" s="50" t="s">
        <v>79</v>
      </c>
      <c r="AX23" s="49" t="s">
        <v>5</v>
      </c>
      <c r="AY23" s="50" t="s">
        <v>95</v>
      </c>
      <c r="AZ23" s="49" t="s">
        <v>1</v>
      </c>
      <c r="BA23" s="50" t="s">
        <v>96</v>
      </c>
      <c r="BB23" s="49" t="s">
        <v>5</v>
      </c>
      <c r="BC23" s="50" t="s">
        <v>82</v>
      </c>
      <c r="BD23" s="49" t="s">
        <v>1</v>
      </c>
      <c r="BE23" s="50" t="s">
        <v>170</v>
      </c>
      <c r="BF23" s="49"/>
      <c r="BG23" s="50"/>
    </row>
    <row r="24" spans="1:59" s="44" customFormat="1" x14ac:dyDescent="0.25">
      <c r="A24" s="24">
        <v>160157</v>
      </c>
      <c r="B24" s="25" t="s">
        <v>171</v>
      </c>
      <c r="C24" s="26" t="s">
        <v>69</v>
      </c>
      <c r="D24" s="27" t="s">
        <v>70</v>
      </c>
      <c r="E24" s="28" t="s">
        <v>87</v>
      </c>
      <c r="F24" s="25" t="s">
        <v>88</v>
      </c>
      <c r="G24" s="28" t="s">
        <v>87</v>
      </c>
      <c r="H24" s="28" t="s">
        <v>87</v>
      </c>
      <c r="I24" s="29" t="s">
        <v>14</v>
      </c>
      <c r="J24" s="28" t="s">
        <v>14</v>
      </c>
      <c r="K24" s="30" t="s">
        <v>1850</v>
      </c>
      <c r="L24" s="31" t="s">
        <v>1842</v>
      </c>
      <c r="M24" s="45" t="str">
        <f>IFERROR(VLOOKUP(A24,Lookups!#REF!,3,FALSE),"")</f>
        <v/>
      </c>
      <c r="N24" s="46">
        <v>25</v>
      </c>
      <c r="O24" s="47">
        <v>0</v>
      </c>
      <c r="P24" s="48">
        <v>0</v>
      </c>
      <c r="Q24" s="36">
        <v>100</v>
      </c>
      <c r="R24" s="37">
        <v>0</v>
      </c>
      <c r="S24" s="38">
        <f t="shared" si="0"/>
        <v>0</v>
      </c>
      <c r="T24" s="39">
        <f t="shared" si="1"/>
        <v>13</v>
      </c>
      <c r="U24" s="40">
        <f t="shared" si="2"/>
        <v>0</v>
      </c>
      <c r="V24" s="40">
        <f t="shared" si="3"/>
        <v>0</v>
      </c>
      <c r="W24" s="40">
        <f t="shared" si="4"/>
        <v>0</v>
      </c>
      <c r="X24" s="40">
        <f t="shared" si="8"/>
        <v>0</v>
      </c>
      <c r="Y24" s="40">
        <f t="shared" si="5"/>
        <v>0</v>
      </c>
      <c r="Z24" s="40">
        <f t="shared" si="6"/>
        <v>0</v>
      </c>
      <c r="AA24" s="40">
        <f t="shared" si="7"/>
        <v>0</v>
      </c>
      <c r="AB24" s="40">
        <f t="shared" si="9"/>
        <v>0</v>
      </c>
      <c r="AC24" s="41">
        <f t="shared" si="10"/>
        <v>0</v>
      </c>
      <c r="AD24" s="49" t="s">
        <v>5</v>
      </c>
      <c r="AE24" s="50" t="s">
        <v>116</v>
      </c>
      <c r="AF24" s="49" t="s">
        <v>5</v>
      </c>
      <c r="AG24" s="50" t="s">
        <v>90</v>
      </c>
      <c r="AH24" s="49"/>
      <c r="AI24" s="50"/>
      <c r="AJ24" s="49" t="s">
        <v>5</v>
      </c>
      <c r="AK24" s="50" t="s">
        <v>127</v>
      </c>
      <c r="AL24" s="49" t="s">
        <v>5</v>
      </c>
      <c r="AM24" s="50" t="s">
        <v>75</v>
      </c>
      <c r="AN24" s="49"/>
      <c r="AO24" s="50"/>
      <c r="AP24" s="49" t="s">
        <v>5</v>
      </c>
      <c r="AQ24" s="50" t="s">
        <v>131</v>
      </c>
      <c r="AR24" s="49" t="s">
        <v>5</v>
      </c>
      <c r="AS24" s="50" t="s">
        <v>120</v>
      </c>
      <c r="AT24" s="49" t="s">
        <v>5</v>
      </c>
      <c r="AU24" s="50" t="s">
        <v>78</v>
      </c>
      <c r="AV24" s="49" t="s">
        <v>5</v>
      </c>
      <c r="AW24" s="50" t="s">
        <v>94</v>
      </c>
      <c r="AX24" s="49" t="s">
        <v>5</v>
      </c>
      <c r="AY24" s="50" t="s">
        <v>80</v>
      </c>
      <c r="AZ24" s="49" t="s">
        <v>5</v>
      </c>
      <c r="BA24" s="50" t="s">
        <v>81</v>
      </c>
      <c r="BB24" s="49" t="s">
        <v>5</v>
      </c>
      <c r="BC24" s="50" t="s">
        <v>82</v>
      </c>
      <c r="BD24" s="49" t="s">
        <v>5</v>
      </c>
      <c r="BE24" s="50" t="s">
        <v>83</v>
      </c>
      <c r="BF24" s="49" t="s">
        <v>5</v>
      </c>
      <c r="BG24" s="50" t="s">
        <v>84</v>
      </c>
    </row>
    <row r="25" spans="1:59" s="44" customFormat="1" x14ac:dyDescent="0.25">
      <c r="A25" s="24">
        <v>160158</v>
      </c>
      <c r="B25" s="25" t="s">
        <v>172</v>
      </c>
      <c r="C25" s="26" t="s">
        <v>114</v>
      </c>
      <c r="D25" s="27" t="s">
        <v>12</v>
      </c>
      <c r="E25" s="28" t="s">
        <v>14</v>
      </c>
      <c r="F25" s="25" t="s">
        <v>71</v>
      </c>
      <c r="G25" s="28" t="s">
        <v>14</v>
      </c>
      <c r="H25" s="28" t="s">
        <v>14</v>
      </c>
      <c r="I25" s="29" t="s">
        <v>14</v>
      </c>
      <c r="J25" s="28" t="s">
        <v>14</v>
      </c>
      <c r="K25" s="30" t="s">
        <v>1850</v>
      </c>
      <c r="L25" s="31" t="s">
        <v>1842</v>
      </c>
      <c r="M25" s="45" t="str">
        <f>IFERROR(VLOOKUP(A25,Lookups!#REF!,3,FALSE),"")</f>
        <v/>
      </c>
      <c r="N25" s="46">
        <v>32</v>
      </c>
      <c r="O25" s="47">
        <v>0</v>
      </c>
      <c r="P25" s="48">
        <v>0</v>
      </c>
      <c r="Q25" s="36">
        <v>100</v>
      </c>
      <c r="R25" s="37">
        <v>1</v>
      </c>
      <c r="S25" s="38">
        <f t="shared" si="0"/>
        <v>1</v>
      </c>
      <c r="T25" s="39">
        <f t="shared" si="1"/>
        <v>12</v>
      </c>
      <c r="U25" s="40">
        <f t="shared" si="2"/>
        <v>0</v>
      </c>
      <c r="V25" s="40">
        <f t="shared" si="3"/>
        <v>0</v>
      </c>
      <c r="W25" s="40">
        <f t="shared" si="4"/>
        <v>0</v>
      </c>
      <c r="X25" s="40">
        <f t="shared" si="8"/>
        <v>0</v>
      </c>
      <c r="Y25" s="40">
        <f t="shared" si="5"/>
        <v>0</v>
      </c>
      <c r="Z25" s="40">
        <f t="shared" si="6"/>
        <v>0</v>
      </c>
      <c r="AA25" s="40">
        <f t="shared" si="7"/>
        <v>0</v>
      </c>
      <c r="AB25" s="40">
        <f t="shared" si="9"/>
        <v>0</v>
      </c>
      <c r="AC25" s="41">
        <f t="shared" si="10"/>
        <v>0</v>
      </c>
      <c r="AD25" s="49" t="s">
        <v>5</v>
      </c>
      <c r="AE25" s="50" t="s">
        <v>116</v>
      </c>
      <c r="AF25" s="49" t="s">
        <v>5</v>
      </c>
      <c r="AG25" s="50" t="s">
        <v>117</v>
      </c>
      <c r="AH25" s="49"/>
      <c r="AI25" s="50"/>
      <c r="AJ25" s="49" t="s">
        <v>5</v>
      </c>
      <c r="AK25" s="50" t="s">
        <v>118</v>
      </c>
      <c r="AL25" s="49" t="s">
        <v>5</v>
      </c>
      <c r="AM25" s="50" t="s">
        <v>112</v>
      </c>
      <c r="AN25" s="49"/>
      <c r="AO25" s="50"/>
      <c r="AP25" s="49" t="s">
        <v>1</v>
      </c>
      <c r="AQ25" s="50" t="s">
        <v>119</v>
      </c>
      <c r="AR25" s="49" t="s">
        <v>5</v>
      </c>
      <c r="AS25" s="50" t="s">
        <v>120</v>
      </c>
      <c r="AT25" s="49" t="s">
        <v>5</v>
      </c>
      <c r="AU25" s="50" t="s">
        <v>78</v>
      </c>
      <c r="AV25" s="49" t="s">
        <v>5</v>
      </c>
      <c r="AW25" s="50" t="s">
        <v>94</v>
      </c>
      <c r="AX25" s="49" t="s">
        <v>5</v>
      </c>
      <c r="AY25" s="50" t="s">
        <v>95</v>
      </c>
      <c r="AZ25" s="49" t="s">
        <v>5</v>
      </c>
      <c r="BA25" s="50" t="s">
        <v>96</v>
      </c>
      <c r="BB25" s="49" t="s">
        <v>5</v>
      </c>
      <c r="BC25" s="50" t="s">
        <v>122</v>
      </c>
      <c r="BD25" s="49" t="s">
        <v>5</v>
      </c>
      <c r="BE25" s="50" t="s">
        <v>137</v>
      </c>
      <c r="BF25" s="49" t="s">
        <v>5</v>
      </c>
      <c r="BG25" s="50" t="s">
        <v>124</v>
      </c>
    </row>
    <row r="26" spans="1:59" s="44" customFormat="1" x14ac:dyDescent="0.25">
      <c r="A26" s="24">
        <v>160159</v>
      </c>
      <c r="B26" s="25" t="s">
        <v>173</v>
      </c>
      <c r="C26" s="26" t="s">
        <v>100</v>
      </c>
      <c r="D26" s="27" t="s">
        <v>12</v>
      </c>
      <c r="E26" s="28" t="s">
        <v>14</v>
      </c>
      <c r="F26" s="25" t="s">
        <v>71</v>
      </c>
      <c r="G26" s="28" t="s">
        <v>14</v>
      </c>
      <c r="H26" s="28" t="s">
        <v>14</v>
      </c>
      <c r="I26" s="29" t="s">
        <v>14</v>
      </c>
      <c r="J26" s="28" t="s">
        <v>14</v>
      </c>
      <c r="K26" s="30" t="s">
        <v>1850</v>
      </c>
      <c r="L26" s="31" t="s">
        <v>1844</v>
      </c>
      <c r="M26" s="45" t="str">
        <f>IFERROR(VLOOKUP(A26,Lookups!#REF!,3,FALSE),"")</f>
        <v/>
      </c>
      <c r="N26" s="46">
        <v>19</v>
      </c>
      <c r="O26" s="47">
        <v>0</v>
      </c>
      <c r="P26" s="48">
        <v>0</v>
      </c>
      <c r="Q26" s="36">
        <v>91.67</v>
      </c>
      <c r="R26" s="37">
        <v>0</v>
      </c>
      <c r="S26" s="38">
        <f t="shared" si="0"/>
        <v>1</v>
      </c>
      <c r="T26" s="39">
        <f t="shared" si="1"/>
        <v>12</v>
      </c>
      <c r="U26" s="40">
        <f t="shared" si="2"/>
        <v>0</v>
      </c>
      <c r="V26" s="40">
        <f t="shared" si="3"/>
        <v>0</v>
      </c>
      <c r="W26" s="40">
        <f t="shared" si="4"/>
        <v>0</v>
      </c>
      <c r="X26" s="40">
        <f t="shared" si="8"/>
        <v>0</v>
      </c>
      <c r="Y26" s="40">
        <f t="shared" si="5"/>
        <v>0</v>
      </c>
      <c r="Z26" s="40">
        <f t="shared" si="6"/>
        <v>0</v>
      </c>
      <c r="AA26" s="40">
        <f t="shared" si="7"/>
        <v>0</v>
      </c>
      <c r="AB26" s="40">
        <f t="shared" si="9"/>
        <v>0</v>
      </c>
      <c r="AC26" s="41">
        <f t="shared" si="10"/>
        <v>0</v>
      </c>
      <c r="AD26" s="49" t="s">
        <v>5</v>
      </c>
      <c r="AE26" s="50" t="s">
        <v>72</v>
      </c>
      <c r="AF26" s="49" t="s">
        <v>5</v>
      </c>
      <c r="AG26" s="50" t="s">
        <v>117</v>
      </c>
      <c r="AH26" s="49"/>
      <c r="AI26" s="50"/>
      <c r="AJ26" s="49" t="s">
        <v>5</v>
      </c>
      <c r="AK26" s="50" t="s">
        <v>102</v>
      </c>
      <c r="AL26" s="49" t="s">
        <v>5</v>
      </c>
      <c r="AM26" s="50" t="s">
        <v>76</v>
      </c>
      <c r="AN26" s="49" t="s">
        <v>5</v>
      </c>
      <c r="AO26" s="50" t="s">
        <v>103</v>
      </c>
      <c r="AP26" s="49" t="s">
        <v>5</v>
      </c>
      <c r="AQ26" s="50" t="s">
        <v>92</v>
      </c>
      <c r="AR26" s="49" t="s">
        <v>5</v>
      </c>
      <c r="AS26" s="50" t="s">
        <v>104</v>
      </c>
      <c r="AT26" s="49" t="s">
        <v>5</v>
      </c>
      <c r="AU26" s="50" t="s">
        <v>105</v>
      </c>
      <c r="AV26" s="49" t="s">
        <v>1</v>
      </c>
      <c r="AW26" s="50" t="s">
        <v>106</v>
      </c>
      <c r="AX26" s="49" t="s">
        <v>5</v>
      </c>
      <c r="AY26" s="50" t="s">
        <v>80</v>
      </c>
      <c r="AZ26" s="49" t="s">
        <v>5</v>
      </c>
      <c r="BA26" s="50" t="s">
        <v>107</v>
      </c>
      <c r="BB26" s="49" t="s">
        <v>5</v>
      </c>
      <c r="BC26" s="50" t="s">
        <v>108</v>
      </c>
      <c r="BD26" s="49" t="s">
        <v>5</v>
      </c>
      <c r="BE26" s="50" t="s">
        <v>109</v>
      </c>
      <c r="BF26" s="49"/>
      <c r="BG26" s="50"/>
    </row>
    <row r="27" spans="1:59" s="44" customFormat="1" x14ac:dyDescent="0.25">
      <c r="A27" s="24">
        <v>160160</v>
      </c>
      <c r="B27" s="25" t="s">
        <v>174</v>
      </c>
      <c r="C27" s="26" t="s">
        <v>100</v>
      </c>
      <c r="D27" s="27" t="s">
        <v>70</v>
      </c>
      <c r="E27" s="28" t="s">
        <v>14</v>
      </c>
      <c r="F27" s="25" t="s">
        <v>150</v>
      </c>
      <c r="G27" s="28" t="s">
        <v>87</v>
      </c>
      <c r="H27" s="28" t="s">
        <v>14</v>
      </c>
      <c r="I27" s="29" t="s">
        <v>14</v>
      </c>
      <c r="J27" s="28" t="s">
        <v>14</v>
      </c>
      <c r="K27" s="30" t="s">
        <v>1850</v>
      </c>
      <c r="L27" s="31" t="s">
        <v>1845</v>
      </c>
      <c r="M27" s="45" t="str">
        <f>IFERROR(VLOOKUP(A27,Lookups!#REF!,3,FALSE),"")</f>
        <v/>
      </c>
      <c r="N27" s="46">
        <v>22</v>
      </c>
      <c r="O27" s="47">
        <v>0</v>
      </c>
      <c r="P27" s="48">
        <v>0</v>
      </c>
      <c r="Q27" s="36">
        <v>100</v>
      </c>
      <c r="R27" s="37">
        <v>1</v>
      </c>
      <c r="S27" s="38">
        <f t="shared" si="0"/>
        <v>0</v>
      </c>
      <c r="T27" s="39">
        <f t="shared" si="1"/>
        <v>13</v>
      </c>
      <c r="U27" s="40">
        <f t="shared" si="2"/>
        <v>0</v>
      </c>
      <c r="V27" s="40">
        <f t="shared" si="3"/>
        <v>0</v>
      </c>
      <c r="W27" s="40">
        <f t="shared" si="4"/>
        <v>0</v>
      </c>
      <c r="X27" s="40">
        <f t="shared" si="8"/>
        <v>0</v>
      </c>
      <c r="Y27" s="40">
        <f t="shared" si="5"/>
        <v>0</v>
      </c>
      <c r="Z27" s="40">
        <f t="shared" si="6"/>
        <v>0</v>
      </c>
      <c r="AA27" s="40">
        <f t="shared" si="7"/>
        <v>0</v>
      </c>
      <c r="AB27" s="40">
        <f t="shared" si="9"/>
        <v>0</v>
      </c>
      <c r="AC27" s="41">
        <f t="shared" si="10"/>
        <v>0</v>
      </c>
      <c r="AD27" s="49" t="s">
        <v>5</v>
      </c>
      <c r="AE27" s="50" t="s">
        <v>72</v>
      </c>
      <c r="AF27" s="49" t="s">
        <v>5</v>
      </c>
      <c r="AG27" s="50" t="s">
        <v>135</v>
      </c>
      <c r="AH27" s="49"/>
      <c r="AI27" s="50"/>
      <c r="AJ27" s="49" t="s">
        <v>5</v>
      </c>
      <c r="AK27" s="50" t="s">
        <v>102</v>
      </c>
      <c r="AL27" s="49" t="s">
        <v>5</v>
      </c>
      <c r="AM27" s="50" t="s">
        <v>76</v>
      </c>
      <c r="AN27" s="49" t="s">
        <v>5</v>
      </c>
      <c r="AO27" s="50" t="s">
        <v>103</v>
      </c>
      <c r="AP27" s="49" t="s">
        <v>5</v>
      </c>
      <c r="AQ27" s="50" t="s">
        <v>92</v>
      </c>
      <c r="AR27" s="49" t="s">
        <v>5</v>
      </c>
      <c r="AS27" s="50" t="s">
        <v>104</v>
      </c>
      <c r="AT27" s="49" t="s">
        <v>5</v>
      </c>
      <c r="AU27" s="50" t="s">
        <v>105</v>
      </c>
      <c r="AV27" s="49" t="s">
        <v>5</v>
      </c>
      <c r="AW27" s="50" t="s">
        <v>106</v>
      </c>
      <c r="AX27" s="49" t="s">
        <v>5</v>
      </c>
      <c r="AY27" s="50" t="s">
        <v>80</v>
      </c>
      <c r="AZ27" s="49" t="s">
        <v>5</v>
      </c>
      <c r="BA27" s="50" t="s">
        <v>121</v>
      </c>
      <c r="BB27" s="49" t="s">
        <v>5</v>
      </c>
      <c r="BC27" s="50" t="s">
        <v>108</v>
      </c>
      <c r="BD27" s="49" t="s">
        <v>5</v>
      </c>
      <c r="BE27" s="50" t="s">
        <v>109</v>
      </c>
      <c r="BF27" s="49"/>
      <c r="BG27" s="50"/>
    </row>
    <row r="28" spans="1:59" s="44" customFormat="1" x14ac:dyDescent="0.25">
      <c r="A28" s="24">
        <v>160161</v>
      </c>
      <c r="B28" s="25" t="s">
        <v>175</v>
      </c>
      <c r="C28" s="26" t="s">
        <v>69</v>
      </c>
      <c r="D28" s="27" t="s">
        <v>70</v>
      </c>
      <c r="E28" s="28" t="s">
        <v>14</v>
      </c>
      <c r="F28" s="25" t="s">
        <v>71</v>
      </c>
      <c r="G28" s="28" t="s">
        <v>14</v>
      </c>
      <c r="H28" s="28" t="s">
        <v>14</v>
      </c>
      <c r="I28" s="29" t="s">
        <v>14</v>
      </c>
      <c r="J28" s="28" t="s">
        <v>4</v>
      </c>
      <c r="K28" s="30" t="s">
        <v>1850</v>
      </c>
      <c r="L28" s="31" t="s">
        <v>1406</v>
      </c>
      <c r="M28" s="45" t="str">
        <f>IFERROR(VLOOKUP(A28,Lookups!#REF!,3,FALSE),"")</f>
        <v/>
      </c>
      <c r="N28" s="46">
        <v>22</v>
      </c>
      <c r="O28" s="47">
        <v>0</v>
      </c>
      <c r="P28" s="48">
        <v>0</v>
      </c>
      <c r="Q28" s="36">
        <v>97.92</v>
      </c>
      <c r="R28" s="37">
        <v>0</v>
      </c>
      <c r="S28" s="38">
        <f t="shared" si="0"/>
        <v>0</v>
      </c>
      <c r="T28" s="39">
        <f t="shared" si="1"/>
        <v>13</v>
      </c>
      <c r="U28" s="40">
        <f t="shared" si="2"/>
        <v>0</v>
      </c>
      <c r="V28" s="40">
        <f t="shared" si="3"/>
        <v>0</v>
      </c>
      <c r="W28" s="40">
        <f t="shared" si="4"/>
        <v>0</v>
      </c>
      <c r="X28" s="40">
        <f t="shared" si="8"/>
        <v>0</v>
      </c>
      <c r="Y28" s="40">
        <f t="shared" si="5"/>
        <v>0</v>
      </c>
      <c r="Z28" s="40">
        <f t="shared" si="6"/>
        <v>0</v>
      </c>
      <c r="AA28" s="40">
        <f t="shared" si="7"/>
        <v>0</v>
      </c>
      <c r="AB28" s="40">
        <f t="shared" si="9"/>
        <v>0</v>
      </c>
      <c r="AC28" s="41">
        <f t="shared" si="10"/>
        <v>0</v>
      </c>
      <c r="AD28" s="49" t="s">
        <v>5</v>
      </c>
      <c r="AE28" s="50" t="s">
        <v>72</v>
      </c>
      <c r="AF28" s="49" t="s">
        <v>5</v>
      </c>
      <c r="AG28" s="50" t="s">
        <v>73</v>
      </c>
      <c r="AH28" s="49"/>
      <c r="AI28" s="50"/>
      <c r="AJ28" s="49" t="s">
        <v>5</v>
      </c>
      <c r="AK28" s="50" t="s">
        <v>127</v>
      </c>
      <c r="AL28" s="49" t="s">
        <v>5</v>
      </c>
      <c r="AM28" s="50" t="s">
        <v>75</v>
      </c>
      <c r="AN28" s="49"/>
      <c r="AO28" s="50"/>
      <c r="AP28" s="49" t="s">
        <v>5</v>
      </c>
      <c r="AQ28" s="50" t="s">
        <v>76</v>
      </c>
      <c r="AR28" s="49" t="s">
        <v>5</v>
      </c>
      <c r="AS28" s="50" t="s">
        <v>120</v>
      </c>
      <c r="AT28" s="49" t="s">
        <v>5</v>
      </c>
      <c r="AU28" s="50" t="s">
        <v>78</v>
      </c>
      <c r="AV28" s="49" t="s">
        <v>5</v>
      </c>
      <c r="AW28" s="50" t="s">
        <v>139</v>
      </c>
      <c r="AX28" s="49" t="s">
        <v>5</v>
      </c>
      <c r="AY28" s="50" t="s">
        <v>80</v>
      </c>
      <c r="AZ28" s="49" t="s">
        <v>5</v>
      </c>
      <c r="BA28" s="50" t="s">
        <v>81</v>
      </c>
      <c r="BB28" s="49" t="s">
        <v>5</v>
      </c>
      <c r="BC28" s="50" t="s">
        <v>82</v>
      </c>
      <c r="BD28" s="49" t="s">
        <v>5</v>
      </c>
      <c r="BE28" s="50" t="s">
        <v>83</v>
      </c>
      <c r="BF28" s="49" t="s">
        <v>5</v>
      </c>
      <c r="BG28" s="50" t="s">
        <v>84</v>
      </c>
    </row>
    <row r="29" spans="1:59" s="44" customFormat="1" x14ac:dyDescent="0.25">
      <c r="A29" s="24">
        <v>160162</v>
      </c>
      <c r="B29" s="25" t="s">
        <v>176</v>
      </c>
      <c r="C29" s="26" t="s">
        <v>86</v>
      </c>
      <c r="D29" s="27" t="s">
        <v>70</v>
      </c>
      <c r="E29" s="28" t="s">
        <v>14</v>
      </c>
      <c r="F29" s="25" t="s">
        <v>71</v>
      </c>
      <c r="G29" s="28" t="s">
        <v>14</v>
      </c>
      <c r="H29" s="28" t="s">
        <v>14</v>
      </c>
      <c r="I29" s="29" t="s">
        <v>14</v>
      </c>
      <c r="J29" s="28" t="s">
        <v>14</v>
      </c>
      <c r="K29" s="30" t="s">
        <v>1850</v>
      </c>
      <c r="L29" s="31" t="s">
        <v>1842</v>
      </c>
      <c r="M29" s="45" t="str">
        <f>IFERROR(VLOOKUP(A29,Lookups!#REF!,3,FALSE),"")</f>
        <v/>
      </c>
      <c r="N29" s="46">
        <v>19</v>
      </c>
      <c r="O29" s="47">
        <v>1</v>
      </c>
      <c r="P29" s="48">
        <v>0</v>
      </c>
      <c r="Q29" s="36">
        <v>100</v>
      </c>
      <c r="R29" s="37">
        <v>0</v>
      </c>
      <c r="S29" s="38">
        <f t="shared" si="0"/>
        <v>2</v>
      </c>
      <c r="T29" s="39">
        <f t="shared" si="1"/>
        <v>11</v>
      </c>
      <c r="U29" s="40">
        <f t="shared" si="2"/>
        <v>0</v>
      </c>
      <c r="V29" s="40">
        <f t="shared" si="3"/>
        <v>0</v>
      </c>
      <c r="W29" s="40">
        <f t="shared" si="4"/>
        <v>0</v>
      </c>
      <c r="X29" s="40">
        <f t="shared" si="8"/>
        <v>0</v>
      </c>
      <c r="Y29" s="40">
        <f t="shared" si="5"/>
        <v>0</v>
      </c>
      <c r="Z29" s="40">
        <f t="shared" si="6"/>
        <v>0</v>
      </c>
      <c r="AA29" s="40">
        <f t="shared" si="7"/>
        <v>0</v>
      </c>
      <c r="AB29" s="40">
        <f t="shared" si="9"/>
        <v>0</v>
      </c>
      <c r="AC29" s="41">
        <f t="shared" si="10"/>
        <v>0</v>
      </c>
      <c r="AD29" s="49" t="s">
        <v>5</v>
      </c>
      <c r="AE29" s="50" t="s">
        <v>89</v>
      </c>
      <c r="AF29" s="49" t="s">
        <v>5</v>
      </c>
      <c r="AG29" s="50" t="s">
        <v>73</v>
      </c>
      <c r="AH29" s="49"/>
      <c r="AI29" s="50"/>
      <c r="AJ29" s="49" t="s">
        <v>5</v>
      </c>
      <c r="AK29" s="50" t="s">
        <v>91</v>
      </c>
      <c r="AL29" s="49" t="s">
        <v>5</v>
      </c>
      <c r="AM29" s="50" t="s">
        <v>84</v>
      </c>
      <c r="AN29" s="49"/>
      <c r="AO29" s="50"/>
      <c r="AP29" s="49" t="s">
        <v>1</v>
      </c>
      <c r="AQ29" s="50" t="s">
        <v>92</v>
      </c>
      <c r="AR29" s="49" t="s">
        <v>5</v>
      </c>
      <c r="AS29" s="50" t="s">
        <v>93</v>
      </c>
      <c r="AT29" s="49" t="s">
        <v>5</v>
      </c>
      <c r="AU29" s="50" t="s">
        <v>78</v>
      </c>
      <c r="AV29" s="49" t="s">
        <v>5</v>
      </c>
      <c r="AW29" s="50" t="s">
        <v>112</v>
      </c>
      <c r="AX29" s="49" t="s">
        <v>1</v>
      </c>
      <c r="AY29" s="50" t="s">
        <v>95</v>
      </c>
      <c r="AZ29" s="49" t="s">
        <v>5</v>
      </c>
      <c r="BA29" s="50" t="s">
        <v>81</v>
      </c>
      <c r="BB29" s="49" t="s">
        <v>5</v>
      </c>
      <c r="BC29" s="50" t="s">
        <v>108</v>
      </c>
      <c r="BD29" s="49" t="s">
        <v>5</v>
      </c>
      <c r="BE29" s="50" t="s">
        <v>98</v>
      </c>
      <c r="BF29" s="49" t="s">
        <v>5</v>
      </c>
      <c r="BG29" s="50" t="s">
        <v>84</v>
      </c>
    </row>
    <row r="30" spans="1:59" s="44" customFormat="1" x14ac:dyDescent="0.25">
      <c r="A30" s="24">
        <v>160163</v>
      </c>
      <c r="B30" s="25" t="s">
        <v>177</v>
      </c>
      <c r="C30" s="26" t="s">
        <v>69</v>
      </c>
      <c r="D30" s="27" t="s">
        <v>70</v>
      </c>
      <c r="E30" s="28" t="s">
        <v>14</v>
      </c>
      <c r="F30" s="25" t="s">
        <v>71</v>
      </c>
      <c r="G30" s="28" t="s">
        <v>14</v>
      </c>
      <c r="H30" s="28" t="s">
        <v>14</v>
      </c>
      <c r="I30" s="29" t="s">
        <v>14</v>
      </c>
      <c r="J30" s="28" t="s">
        <v>14</v>
      </c>
      <c r="K30" s="30" t="s">
        <v>1850</v>
      </c>
      <c r="L30" s="31" t="s">
        <v>1844</v>
      </c>
      <c r="M30" s="45" t="str">
        <f>IFERROR(VLOOKUP(A30,Lookups!#REF!,3,FALSE),"")</f>
        <v/>
      </c>
      <c r="N30" s="46">
        <v>31</v>
      </c>
      <c r="O30" s="47">
        <v>0</v>
      </c>
      <c r="P30" s="48">
        <v>0</v>
      </c>
      <c r="Q30" s="36">
        <v>100</v>
      </c>
      <c r="R30" s="37">
        <v>0</v>
      </c>
      <c r="S30" s="38">
        <f t="shared" si="0"/>
        <v>2</v>
      </c>
      <c r="T30" s="39">
        <f t="shared" si="1"/>
        <v>11</v>
      </c>
      <c r="U30" s="40">
        <f t="shared" si="2"/>
        <v>0</v>
      </c>
      <c r="V30" s="40">
        <f t="shared" si="3"/>
        <v>0</v>
      </c>
      <c r="W30" s="40">
        <f t="shared" si="4"/>
        <v>0</v>
      </c>
      <c r="X30" s="40">
        <f t="shared" si="8"/>
        <v>0</v>
      </c>
      <c r="Y30" s="40">
        <f t="shared" si="5"/>
        <v>0</v>
      </c>
      <c r="Z30" s="40">
        <f t="shared" si="6"/>
        <v>0</v>
      </c>
      <c r="AA30" s="40">
        <f t="shared" si="7"/>
        <v>0</v>
      </c>
      <c r="AB30" s="40">
        <f t="shared" si="9"/>
        <v>0</v>
      </c>
      <c r="AC30" s="41">
        <f t="shared" si="10"/>
        <v>0</v>
      </c>
      <c r="AD30" s="49" t="s">
        <v>5</v>
      </c>
      <c r="AE30" s="50" t="s">
        <v>116</v>
      </c>
      <c r="AF30" s="49"/>
      <c r="AG30" s="50"/>
      <c r="AH30" s="49" t="s">
        <v>5</v>
      </c>
      <c r="AI30" s="50" t="s">
        <v>101</v>
      </c>
      <c r="AJ30" s="49" t="s">
        <v>5</v>
      </c>
      <c r="AK30" s="50" t="s">
        <v>127</v>
      </c>
      <c r="AL30" s="49" t="s">
        <v>5</v>
      </c>
      <c r="AM30" s="50" t="s">
        <v>75</v>
      </c>
      <c r="AN30" s="49"/>
      <c r="AO30" s="50"/>
      <c r="AP30" s="49" t="s">
        <v>5</v>
      </c>
      <c r="AQ30" s="50" t="s">
        <v>76</v>
      </c>
      <c r="AR30" s="49" t="s">
        <v>5</v>
      </c>
      <c r="AS30" s="50" t="s">
        <v>120</v>
      </c>
      <c r="AT30" s="49" t="s">
        <v>5</v>
      </c>
      <c r="AU30" s="50" t="s">
        <v>78</v>
      </c>
      <c r="AV30" s="49" t="s">
        <v>1</v>
      </c>
      <c r="AW30" s="50" t="s">
        <v>112</v>
      </c>
      <c r="AX30" s="49" t="s">
        <v>5</v>
      </c>
      <c r="AY30" s="50" t="s">
        <v>80</v>
      </c>
      <c r="AZ30" s="49" t="s">
        <v>5</v>
      </c>
      <c r="BA30" s="50" t="s">
        <v>81</v>
      </c>
      <c r="BB30" s="49" t="s">
        <v>5</v>
      </c>
      <c r="BC30" s="50" t="s">
        <v>82</v>
      </c>
      <c r="BD30" s="49" t="s">
        <v>1</v>
      </c>
      <c r="BE30" s="50" t="s">
        <v>83</v>
      </c>
      <c r="BF30" s="49" t="s">
        <v>5</v>
      </c>
      <c r="BG30" s="50" t="s">
        <v>84</v>
      </c>
    </row>
    <row r="31" spans="1:59" s="44" customFormat="1" x14ac:dyDescent="0.25">
      <c r="A31" s="24">
        <v>160164</v>
      </c>
      <c r="B31" s="25" t="s">
        <v>178</v>
      </c>
      <c r="C31" s="26" t="s">
        <v>114</v>
      </c>
      <c r="D31" s="27" t="s">
        <v>70</v>
      </c>
      <c r="E31" s="28" t="s">
        <v>87</v>
      </c>
      <c r="F31" s="25" t="s">
        <v>179</v>
      </c>
      <c r="G31" s="28" t="s">
        <v>14</v>
      </c>
      <c r="H31" s="28" t="s">
        <v>87</v>
      </c>
      <c r="I31" s="29" t="s">
        <v>14</v>
      </c>
      <c r="J31" s="28" t="s">
        <v>14</v>
      </c>
      <c r="K31" s="30" t="s">
        <v>1850</v>
      </c>
      <c r="L31" s="31" t="s">
        <v>1844</v>
      </c>
      <c r="M31" s="45" t="str">
        <f>IFERROR(VLOOKUP(A31,Lookups!#REF!,3,FALSE),"")</f>
        <v/>
      </c>
      <c r="N31" s="46">
        <v>38</v>
      </c>
      <c r="O31" s="47">
        <v>0</v>
      </c>
      <c r="P31" s="48">
        <v>0</v>
      </c>
      <c r="Q31" s="36">
        <v>100</v>
      </c>
      <c r="R31" s="37">
        <v>2</v>
      </c>
      <c r="S31" s="38">
        <f t="shared" si="0"/>
        <v>2</v>
      </c>
      <c r="T31" s="39">
        <f t="shared" si="1"/>
        <v>11</v>
      </c>
      <c r="U31" s="40">
        <f t="shared" si="2"/>
        <v>0</v>
      </c>
      <c r="V31" s="40">
        <f t="shared" si="3"/>
        <v>0</v>
      </c>
      <c r="W31" s="40">
        <f t="shared" si="4"/>
        <v>0</v>
      </c>
      <c r="X31" s="40">
        <f t="shared" si="8"/>
        <v>0</v>
      </c>
      <c r="Y31" s="40">
        <f t="shared" si="5"/>
        <v>0</v>
      </c>
      <c r="Z31" s="40">
        <f t="shared" si="6"/>
        <v>0</v>
      </c>
      <c r="AA31" s="40">
        <f t="shared" si="7"/>
        <v>0</v>
      </c>
      <c r="AB31" s="40">
        <f t="shared" si="9"/>
        <v>0</v>
      </c>
      <c r="AC31" s="41">
        <f t="shared" si="10"/>
        <v>0</v>
      </c>
      <c r="AD31" s="49" t="s">
        <v>5</v>
      </c>
      <c r="AE31" s="50" t="s">
        <v>116</v>
      </c>
      <c r="AF31" s="49" t="s">
        <v>1</v>
      </c>
      <c r="AG31" s="50" t="s">
        <v>135</v>
      </c>
      <c r="AH31" s="49"/>
      <c r="AI31" s="50"/>
      <c r="AJ31" s="49" t="s">
        <v>5</v>
      </c>
      <c r="AK31" s="50" t="s">
        <v>118</v>
      </c>
      <c r="AL31" s="49" t="s">
        <v>5</v>
      </c>
      <c r="AM31" s="50" t="s">
        <v>112</v>
      </c>
      <c r="AN31" s="49"/>
      <c r="AO31" s="50"/>
      <c r="AP31" s="49" t="s">
        <v>5</v>
      </c>
      <c r="AQ31" s="50" t="s">
        <v>119</v>
      </c>
      <c r="AR31" s="49" t="s">
        <v>5</v>
      </c>
      <c r="AS31" s="50" t="s">
        <v>120</v>
      </c>
      <c r="AT31" s="49" t="s">
        <v>5</v>
      </c>
      <c r="AU31" s="50" t="s">
        <v>78</v>
      </c>
      <c r="AV31" s="49" t="s">
        <v>5</v>
      </c>
      <c r="AW31" s="50" t="s">
        <v>112</v>
      </c>
      <c r="AX31" s="49" t="s">
        <v>5</v>
      </c>
      <c r="AY31" s="50" t="s">
        <v>95</v>
      </c>
      <c r="AZ31" s="49" t="s">
        <v>1</v>
      </c>
      <c r="BA31" s="50" t="s">
        <v>121</v>
      </c>
      <c r="BB31" s="49" t="s">
        <v>5</v>
      </c>
      <c r="BC31" s="50" t="s">
        <v>122</v>
      </c>
      <c r="BD31" s="49" t="s">
        <v>5</v>
      </c>
      <c r="BE31" s="50" t="s">
        <v>123</v>
      </c>
      <c r="BF31" s="49" t="s">
        <v>5</v>
      </c>
      <c r="BG31" s="50" t="s">
        <v>124</v>
      </c>
    </row>
    <row r="32" spans="1:59" s="44" customFormat="1" x14ac:dyDescent="0.25">
      <c r="A32" s="24">
        <v>160165</v>
      </c>
      <c r="B32" s="25" t="s">
        <v>180</v>
      </c>
      <c r="C32" s="26" t="s">
        <v>114</v>
      </c>
      <c r="D32" s="27" t="s">
        <v>12</v>
      </c>
      <c r="E32" s="28" t="s">
        <v>14</v>
      </c>
      <c r="F32" s="25" t="s">
        <v>71</v>
      </c>
      <c r="G32" s="28" t="s">
        <v>14</v>
      </c>
      <c r="H32" s="28" t="s">
        <v>14</v>
      </c>
      <c r="I32" s="29" t="s">
        <v>14</v>
      </c>
      <c r="J32" s="28" t="s">
        <v>14</v>
      </c>
      <c r="K32" s="30" t="s">
        <v>1850</v>
      </c>
      <c r="L32" s="31" t="s">
        <v>1842</v>
      </c>
      <c r="M32" s="45" t="str">
        <f>IFERROR(VLOOKUP(A32,Lookups!#REF!,3,FALSE),"")</f>
        <v/>
      </c>
      <c r="N32" s="46">
        <v>36</v>
      </c>
      <c r="O32" s="47">
        <v>0</v>
      </c>
      <c r="P32" s="48">
        <v>0</v>
      </c>
      <c r="Q32" s="36">
        <v>100</v>
      </c>
      <c r="R32" s="37">
        <v>0</v>
      </c>
      <c r="S32" s="38">
        <f t="shared" si="0"/>
        <v>1</v>
      </c>
      <c r="T32" s="39">
        <f t="shared" si="1"/>
        <v>12</v>
      </c>
      <c r="U32" s="40">
        <f t="shared" si="2"/>
        <v>0</v>
      </c>
      <c r="V32" s="40">
        <f t="shared" si="3"/>
        <v>0</v>
      </c>
      <c r="W32" s="40">
        <f t="shared" si="4"/>
        <v>0</v>
      </c>
      <c r="X32" s="40">
        <f t="shared" si="8"/>
        <v>0</v>
      </c>
      <c r="Y32" s="40">
        <f t="shared" si="5"/>
        <v>0</v>
      </c>
      <c r="Z32" s="40">
        <f t="shared" si="6"/>
        <v>0</v>
      </c>
      <c r="AA32" s="40">
        <f t="shared" si="7"/>
        <v>0</v>
      </c>
      <c r="AB32" s="40">
        <f t="shared" si="9"/>
        <v>0</v>
      </c>
      <c r="AC32" s="41">
        <f t="shared" si="10"/>
        <v>0</v>
      </c>
      <c r="AD32" s="49" t="s">
        <v>5</v>
      </c>
      <c r="AE32" s="50" t="s">
        <v>116</v>
      </c>
      <c r="AF32" s="49" t="s">
        <v>5</v>
      </c>
      <c r="AG32" s="50" t="s">
        <v>90</v>
      </c>
      <c r="AH32" s="49"/>
      <c r="AI32" s="50"/>
      <c r="AJ32" s="49" t="s">
        <v>5</v>
      </c>
      <c r="AK32" s="50" t="s">
        <v>118</v>
      </c>
      <c r="AL32" s="49" t="s">
        <v>5</v>
      </c>
      <c r="AM32" s="50" t="s">
        <v>112</v>
      </c>
      <c r="AN32" s="49"/>
      <c r="AO32" s="50"/>
      <c r="AP32" s="49" t="s">
        <v>5</v>
      </c>
      <c r="AQ32" s="50" t="s">
        <v>119</v>
      </c>
      <c r="AR32" s="49" t="s">
        <v>5</v>
      </c>
      <c r="AS32" s="50" t="s">
        <v>120</v>
      </c>
      <c r="AT32" s="49" t="s">
        <v>5</v>
      </c>
      <c r="AU32" s="50" t="s">
        <v>78</v>
      </c>
      <c r="AV32" s="49" t="s">
        <v>1</v>
      </c>
      <c r="AW32" s="50" t="s">
        <v>136</v>
      </c>
      <c r="AX32" s="49" t="s">
        <v>5</v>
      </c>
      <c r="AY32" s="50" t="s">
        <v>95</v>
      </c>
      <c r="AZ32" s="49" t="s">
        <v>5</v>
      </c>
      <c r="BA32" s="50" t="s">
        <v>96</v>
      </c>
      <c r="BB32" s="49" t="s">
        <v>5</v>
      </c>
      <c r="BC32" s="50" t="s">
        <v>122</v>
      </c>
      <c r="BD32" s="49" t="s">
        <v>5</v>
      </c>
      <c r="BE32" s="50" t="s">
        <v>123</v>
      </c>
      <c r="BF32" s="49" t="s">
        <v>5</v>
      </c>
      <c r="BG32" s="50" t="s">
        <v>124</v>
      </c>
    </row>
    <row r="33" spans="1:59" s="44" customFormat="1" x14ac:dyDescent="0.25">
      <c r="A33" s="24">
        <v>160166</v>
      </c>
      <c r="B33" s="25" t="s">
        <v>181</v>
      </c>
      <c r="C33" s="26" t="s">
        <v>86</v>
      </c>
      <c r="D33" s="27" t="s">
        <v>70</v>
      </c>
      <c r="E33" s="28" t="s">
        <v>14</v>
      </c>
      <c r="F33" s="25" t="s">
        <v>71</v>
      </c>
      <c r="G33" s="28" t="s">
        <v>14</v>
      </c>
      <c r="H33" s="28" t="s">
        <v>14</v>
      </c>
      <c r="I33" s="29" t="s">
        <v>14</v>
      </c>
      <c r="J33" s="28" t="s">
        <v>14</v>
      </c>
      <c r="K33" s="30" t="s">
        <v>1850</v>
      </c>
      <c r="L33" s="31" t="s">
        <v>1844</v>
      </c>
      <c r="M33" s="45" t="str">
        <f>IFERROR(VLOOKUP(A33,Lookups!#REF!,3,FALSE),"")</f>
        <v/>
      </c>
      <c r="N33" s="46">
        <v>20</v>
      </c>
      <c r="O33" s="47">
        <v>0</v>
      </c>
      <c r="P33" s="48">
        <v>0</v>
      </c>
      <c r="Q33" s="36">
        <v>95.74</v>
      </c>
      <c r="R33" s="37">
        <v>0</v>
      </c>
      <c r="S33" s="38">
        <f t="shared" si="0"/>
        <v>5</v>
      </c>
      <c r="T33" s="39">
        <f t="shared" si="1"/>
        <v>8</v>
      </c>
      <c r="U33" s="40">
        <f t="shared" si="2"/>
        <v>0</v>
      </c>
      <c r="V33" s="40">
        <f t="shared" si="3"/>
        <v>0</v>
      </c>
      <c r="W33" s="40">
        <f t="shared" si="4"/>
        <v>0</v>
      </c>
      <c r="X33" s="40">
        <f t="shared" si="8"/>
        <v>0</v>
      </c>
      <c r="Y33" s="40">
        <f t="shared" si="5"/>
        <v>0</v>
      </c>
      <c r="Z33" s="40">
        <f t="shared" si="6"/>
        <v>0</v>
      </c>
      <c r="AA33" s="40">
        <f t="shared" si="7"/>
        <v>0</v>
      </c>
      <c r="AB33" s="40">
        <f t="shared" si="9"/>
        <v>0</v>
      </c>
      <c r="AC33" s="41">
        <f t="shared" si="10"/>
        <v>0</v>
      </c>
      <c r="AD33" s="49" t="s">
        <v>5</v>
      </c>
      <c r="AE33" s="50" t="s">
        <v>72</v>
      </c>
      <c r="AF33" s="49"/>
      <c r="AG33" s="50"/>
      <c r="AH33" s="49" t="s">
        <v>1</v>
      </c>
      <c r="AI33" s="50" t="s">
        <v>101</v>
      </c>
      <c r="AJ33" s="49" t="s">
        <v>5</v>
      </c>
      <c r="AK33" s="50" t="s">
        <v>91</v>
      </c>
      <c r="AL33" s="49" t="s">
        <v>5</v>
      </c>
      <c r="AM33" s="50" t="s">
        <v>84</v>
      </c>
      <c r="AN33" s="49"/>
      <c r="AO33" s="50"/>
      <c r="AP33" s="49" t="s">
        <v>1</v>
      </c>
      <c r="AQ33" s="50" t="s">
        <v>92</v>
      </c>
      <c r="AR33" s="49" t="s">
        <v>5</v>
      </c>
      <c r="AS33" s="50" t="s">
        <v>93</v>
      </c>
      <c r="AT33" s="49" t="s">
        <v>5</v>
      </c>
      <c r="AU33" s="50" t="s">
        <v>78</v>
      </c>
      <c r="AV33" s="49" t="s">
        <v>1</v>
      </c>
      <c r="AW33" s="50" t="s">
        <v>112</v>
      </c>
      <c r="AX33" s="49" t="s">
        <v>1</v>
      </c>
      <c r="AY33" s="50" t="s">
        <v>95</v>
      </c>
      <c r="AZ33" s="49" t="s">
        <v>5</v>
      </c>
      <c r="BA33" s="50" t="s">
        <v>81</v>
      </c>
      <c r="BB33" s="49" t="s">
        <v>5</v>
      </c>
      <c r="BC33" s="50" t="s">
        <v>97</v>
      </c>
      <c r="BD33" s="49" t="s">
        <v>1</v>
      </c>
      <c r="BE33" s="50" t="s">
        <v>98</v>
      </c>
      <c r="BF33" s="49" t="s">
        <v>5</v>
      </c>
      <c r="BG33" s="50" t="s">
        <v>84</v>
      </c>
    </row>
    <row r="34" spans="1:59" s="44" customFormat="1" x14ac:dyDescent="0.25">
      <c r="A34" s="24">
        <v>160167</v>
      </c>
      <c r="B34" s="25" t="s">
        <v>182</v>
      </c>
      <c r="C34" s="26" t="s">
        <v>149</v>
      </c>
      <c r="D34" s="27" t="s">
        <v>12</v>
      </c>
      <c r="E34" s="28" t="s">
        <v>14</v>
      </c>
      <c r="F34" s="25" t="s">
        <v>71</v>
      </c>
      <c r="G34" s="28" t="s">
        <v>14</v>
      </c>
      <c r="H34" s="28" t="s">
        <v>14</v>
      </c>
      <c r="I34" s="29" t="s">
        <v>14</v>
      </c>
      <c r="J34" s="28" t="s">
        <v>14</v>
      </c>
      <c r="K34" s="30" t="s">
        <v>1850</v>
      </c>
      <c r="L34" s="31" t="s">
        <v>1842</v>
      </c>
      <c r="M34" s="45" t="str">
        <f>IFERROR(VLOOKUP(A34,Lookups!#REF!,3,FALSE),"")</f>
        <v/>
      </c>
      <c r="N34" s="46">
        <v>16</v>
      </c>
      <c r="O34" s="47">
        <v>0</v>
      </c>
      <c r="P34" s="48">
        <v>0</v>
      </c>
      <c r="Q34" s="36">
        <v>97.87</v>
      </c>
      <c r="R34" s="37">
        <v>0</v>
      </c>
      <c r="S34" s="38">
        <f t="shared" si="0"/>
        <v>4</v>
      </c>
      <c r="T34" s="39">
        <f t="shared" si="1"/>
        <v>9</v>
      </c>
      <c r="U34" s="40">
        <f t="shared" si="2"/>
        <v>0</v>
      </c>
      <c r="V34" s="40">
        <f t="shared" si="3"/>
        <v>0</v>
      </c>
      <c r="W34" s="40">
        <f t="shared" si="4"/>
        <v>0</v>
      </c>
      <c r="X34" s="40">
        <f t="shared" si="8"/>
        <v>0</v>
      </c>
      <c r="Y34" s="40">
        <f t="shared" si="5"/>
        <v>0</v>
      </c>
      <c r="Z34" s="40">
        <f t="shared" si="6"/>
        <v>0</v>
      </c>
      <c r="AA34" s="40">
        <f t="shared" si="7"/>
        <v>0</v>
      </c>
      <c r="AB34" s="40">
        <f t="shared" si="9"/>
        <v>0</v>
      </c>
      <c r="AC34" s="41">
        <f t="shared" si="10"/>
        <v>0</v>
      </c>
      <c r="AD34" s="49" t="s">
        <v>5</v>
      </c>
      <c r="AE34" s="50" t="s">
        <v>116</v>
      </c>
      <c r="AF34" s="49" t="s">
        <v>1</v>
      </c>
      <c r="AG34" s="50" t="s">
        <v>73</v>
      </c>
      <c r="AH34" s="49"/>
      <c r="AI34" s="50"/>
      <c r="AJ34" s="49" t="s">
        <v>5</v>
      </c>
      <c r="AK34" s="50" t="s">
        <v>151</v>
      </c>
      <c r="AL34" s="49" t="s">
        <v>5</v>
      </c>
      <c r="AM34" s="50" t="s">
        <v>78</v>
      </c>
      <c r="AN34" s="49"/>
      <c r="AO34" s="50"/>
      <c r="AP34" s="49" t="s">
        <v>1</v>
      </c>
      <c r="AQ34" s="50" t="s">
        <v>131</v>
      </c>
      <c r="AR34" s="49" t="s">
        <v>1</v>
      </c>
      <c r="AS34" s="50" t="s">
        <v>104</v>
      </c>
      <c r="AT34" s="49" t="s">
        <v>5</v>
      </c>
      <c r="AU34" s="50" t="s">
        <v>105</v>
      </c>
      <c r="AV34" s="49" t="s">
        <v>5</v>
      </c>
      <c r="AW34" s="50" t="s">
        <v>94</v>
      </c>
      <c r="AX34" s="49" t="s">
        <v>5</v>
      </c>
      <c r="AY34" s="50" t="s">
        <v>80</v>
      </c>
      <c r="AZ34" s="49" t="s">
        <v>5</v>
      </c>
      <c r="BA34" s="50" t="s">
        <v>107</v>
      </c>
      <c r="BB34" s="49" t="s">
        <v>5</v>
      </c>
      <c r="BC34" s="50" t="s">
        <v>153</v>
      </c>
      <c r="BD34" s="49" t="s">
        <v>1</v>
      </c>
      <c r="BE34" s="50" t="s">
        <v>154</v>
      </c>
      <c r="BF34" s="49" t="s">
        <v>5</v>
      </c>
      <c r="BG34" s="50" t="s">
        <v>103</v>
      </c>
    </row>
    <row r="35" spans="1:59" s="44" customFormat="1" x14ac:dyDescent="0.25">
      <c r="A35" s="24">
        <v>160168</v>
      </c>
      <c r="B35" s="25" t="s">
        <v>183</v>
      </c>
      <c r="C35" s="26" t="s">
        <v>69</v>
      </c>
      <c r="D35" s="27" t="s">
        <v>12</v>
      </c>
      <c r="E35" s="28" t="s">
        <v>14</v>
      </c>
      <c r="F35" s="25" t="s">
        <v>184</v>
      </c>
      <c r="G35" s="28" t="s">
        <v>87</v>
      </c>
      <c r="H35" s="28" t="s">
        <v>14</v>
      </c>
      <c r="I35" s="29" t="s">
        <v>14</v>
      </c>
      <c r="J35" s="28" t="s">
        <v>14</v>
      </c>
      <c r="K35" s="30" t="s">
        <v>1850</v>
      </c>
      <c r="L35" s="31" t="s">
        <v>1848</v>
      </c>
      <c r="M35" s="45" t="str">
        <f>IFERROR(VLOOKUP(A35,Lookups!#REF!,3,FALSE),"")</f>
        <v/>
      </c>
      <c r="N35" s="46">
        <v>14</v>
      </c>
      <c r="O35" s="47">
        <v>17</v>
      </c>
      <c r="P35" s="48">
        <v>1</v>
      </c>
      <c r="Q35" s="36">
        <v>97.92</v>
      </c>
      <c r="R35" s="37">
        <v>3</v>
      </c>
      <c r="S35" s="38">
        <f t="shared" si="0"/>
        <v>0</v>
      </c>
      <c r="T35" s="39">
        <f t="shared" si="1"/>
        <v>9</v>
      </c>
      <c r="U35" s="40">
        <f t="shared" si="2"/>
        <v>1</v>
      </c>
      <c r="V35" s="40">
        <f t="shared" si="3"/>
        <v>3</v>
      </c>
      <c r="W35" s="40">
        <f t="shared" si="4"/>
        <v>0</v>
      </c>
      <c r="X35" s="40">
        <f t="shared" si="8"/>
        <v>4</v>
      </c>
      <c r="Y35" s="40">
        <f t="shared" si="5"/>
        <v>0</v>
      </c>
      <c r="Z35" s="40">
        <f t="shared" si="6"/>
        <v>0</v>
      </c>
      <c r="AA35" s="40">
        <f t="shared" si="7"/>
        <v>0</v>
      </c>
      <c r="AB35" s="40">
        <f t="shared" si="9"/>
        <v>0</v>
      </c>
      <c r="AC35" s="41">
        <f t="shared" si="10"/>
        <v>0</v>
      </c>
      <c r="AD35" s="49" t="s">
        <v>5</v>
      </c>
      <c r="AE35" s="50" t="s">
        <v>116</v>
      </c>
      <c r="AF35" s="49" t="s">
        <v>5</v>
      </c>
      <c r="AG35" s="50" t="s">
        <v>117</v>
      </c>
      <c r="AH35" s="49"/>
      <c r="AI35" s="50"/>
      <c r="AJ35" s="49" t="s">
        <v>31</v>
      </c>
      <c r="AK35" s="50" t="s">
        <v>74</v>
      </c>
      <c r="AL35" s="49" t="s">
        <v>5</v>
      </c>
      <c r="AM35" s="50" t="s">
        <v>75</v>
      </c>
      <c r="AN35" s="49"/>
      <c r="AO35" s="50"/>
      <c r="AP35" s="49" t="s">
        <v>5</v>
      </c>
      <c r="AQ35" s="50" t="s">
        <v>131</v>
      </c>
      <c r="AR35" s="49" t="s">
        <v>31</v>
      </c>
      <c r="AS35" s="50" t="s">
        <v>77</v>
      </c>
      <c r="AT35" s="49" t="s">
        <v>5</v>
      </c>
      <c r="AU35" s="50" t="s">
        <v>78</v>
      </c>
      <c r="AV35" s="49" t="s">
        <v>5</v>
      </c>
      <c r="AW35" s="50" t="s">
        <v>106</v>
      </c>
      <c r="AX35" s="49" t="s">
        <v>5</v>
      </c>
      <c r="AY35" s="50" t="s">
        <v>80</v>
      </c>
      <c r="AZ35" s="49" t="s">
        <v>5</v>
      </c>
      <c r="BA35" s="50" t="s">
        <v>96</v>
      </c>
      <c r="BB35" s="49" t="s">
        <v>30</v>
      </c>
      <c r="BC35" s="50" t="s">
        <v>82</v>
      </c>
      <c r="BD35" s="49" t="s">
        <v>31</v>
      </c>
      <c r="BE35" s="50" t="s">
        <v>83</v>
      </c>
      <c r="BF35" s="49" t="s">
        <v>5</v>
      </c>
      <c r="BG35" s="50" t="s">
        <v>84</v>
      </c>
    </row>
    <row r="36" spans="1:59" s="44" customFormat="1" x14ac:dyDescent="0.25">
      <c r="A36" s="24">
        <v>160169</v>
      </c>
      <c r="B36" s="25" t="s">
        <v>185</v>
      </c>
      <c r="C36" s="26" t="s">
        <v>129</v>
      </c>
      <c r="D36" s="27" t="s">
        <v>70</v>
      </c>
      <c r="E36" s="28" t="s">
        <v>14</v>
      </c>
      <c r="F36" s="25" t="s">
        <v>184</v>
      </c>
      <c r="G36" s="28" t="s">
        <v>87</v>
      </c>
      <c r="H36" s="28" t="s">
        <v>14</v>
      </c>
      <c r="I36" s="29" t="s">
        <v>14</v>
      </c>
      <c r="J36" s="28" t="s">
        <v>14</v>
      </c>
      <c r="K36" s="30" t="s">
        <v>1850</v>
      </c>
      <c r="L36" s="31" t="s">
        <v>1844</v>
      </c>
      <c r="M36" s="45" t="str">
        <f>IFERROR(VLOOKUP(A36,Lookups!#REF!,3,FALSE),"")</f>
        <v/>
      </c>
      <c r="N36" s="46">
        <v>29</v>
      </c>
      <c r="O36" s="47">
        <v>0</v>
      </c>
      <c r="P36" s="48">
        <v>0</v>
      </c>
      <c r="Q36" s="36">
        <v>93.62</v>
      </c>
      <c r="R36" s="37">
        <v>1</v>
      </c>
      <c r="S36" s="38">
        <f t="shared" si="0"/>
        <v>2</v>
      </c>
      <c r="T36" s="39">
        <f t="shared" si="1"/>
        <v>11</v>
      </c>
      <c r="U36" s="40">
        <f t="shared" si="2"/>
        <v>0</v>
      </c>
      <c r="V36" s="40">
        <f t="shared" si="3"/>
        <v>0</v>
      </c>
      <c r="W36" s="40">
        <f t="shared" si="4"/>
        <v>0</v>
      </c>
      <c r="X36" s="40">
        <f t="shared" si="8"/>
        <v>0</v>
      </c>
      <c r="Y36" s="40">
        <f t="shared" si="5"/>
        <v>0</v>
      </c>
      <c r="Z36" s="40">
        <f t="shared" si="6"/>
        <v>0</v>
      </c>
      <c r="AA36" s="40">
        <f t="shared" si="7"/>
        <v>0</v>
      </c>
      <c r="AB36" s="40">
        <f t="shared" si="9"/>
        <v>0</v>
      </c>
      <c r="AC36" s="41">
        <f t="shared" si="10"/>
        <v>0</v>
      </c>
      <c r="AD36" s="49" t="s">
        <v>5</v>
      </c>
      <c r="AE36" s="50" t="s">
        <v>89</v>
      </c>
      <c r="AF36" s="49" t="s">
        <v>5</v>
      </c>
      <c r="AG36" s="50" t="s">
        <v>90</v>
      </c>
      <c r="AH36" s="49"/>
      <c r="AI36" s="50"/>
      <c r="AJ36" s="49" t="s">
        <v>5</v>
      </c>
      <c r="AK36" s="50" t="s">
        <v>118</v>
      </c>
      <c r="AL36" s="49" t="s">
        <v>5</v>
      </c>
      <c r="AM36" s="50" t="s">
        <v>74</v>
      </c>
      <c r="AN36" s="49" t="s">
        <v>5</v>
      </c>
      <c r="AO36" s="50" t="s">
        <v>130</v>
      </c>
      <c r="AP36" s="49" t="s">
        <v>5</v>
      </c>
      <c r="AQ36" s="50" t="s">
        <v>131</v>
      </c>
      <c r="AR36" s="49" t="s">
        <v>5</v>
      </c>
      <c r="AS36" s="50" t="s">
        <v>132</v>
      </c>
      <c r="AT36" s="49" t="s">
        <v>5</v>
      </c>
      <c r="AU36" s="50" t="s">
        <v>105</v>
      </c>
      <c r="AV36" s="49" t="s">
        <v>1</v>
      </c>
      <c r="AW36" s="50" t="s">
        <v>112</v>
      </c>
      <c r="AX36" s="49" t="s">
        <v>1</v>
      </c>
      <c r="AY36" s="50" t="s">
        <v>80</v>
      </c>
      <c r="AZ36" s="49" t="s">
        <v>5</v>
      </c>
      <c r="BA36" s="50" t="s">
        <v>81</v>
      </c>
      <c r="BB36" s="49" t="s">
        <v>5</v>
      </c>
      <c r="BC36" s="50" t="s">
        <v>108</v>
      </c>
      <c r="BD36" s="49" t="s">
        <v>5</v>
      </c>
      <c r="BE36" s="50" t="s">
        <v>133</v>
      </c>
      <c r="BF36" s="49"/>
      <c r="BG36" s="50"/>
    </row>
    <row r="37" spans="1:59" s="44" customFormat="1" x14ac:dyDescent="0.25">
      <c r="A37" s="24">
        <v>160171</v>
      </c>
      <c r="B37" s="25" t="s">
        <v>186</v>
      </c>
      <c r="C37" s="26" t="s">
        <v>168</v>
      </c>
      <c r="D37" s="27" t="s">
        <v>70</v>
      </c>
      <c r="E37" s="28" t="s">
        <v>14</v>
      </c>
      <c r="F37" s="25" t="s">
        <v>71</v>
      </c>
      <c r="G37" s="28" t="s">
        <v>14</v>
      </c>
      <c r="H37" s="28" t="s">
        <v>14</v>
      </c>
      <c r="I37" s="29" t="s">
        <v>14</v>
      </c>
      <c r="J37" s="28" t="s">
        <v>14</v>
      </c>
      <c r="K37" s="30" t="s">
        <v>1850</v>
      </c>
      <c r="L37" s="31" t="s">
        <v>1842</v>
      </c>
      <c r="M37" s="45" t="str">
        <f>IFERROR(VLOOKUP(A37,Lookups!#REF!,3,FALSE),"")</f>
        <v/>
      </c>
      <c r="N37" s="46">
        <v>22</v>
      </c>
      <c r="O37" s="47">
        <v>0</v>
      </c>
      <c r="P37" s="48">
        <v>0</v>
      </c>
      <c r="Q37" s="36">
        <v>97.87</v>
      </c>
      <c r="R37" s="37">
        <v>0</v>
      </c>
      <c r="S37" s="38">
        <f t="shared" si="0"/>
        <v>2</v>
      </c>
      <c r="T37" s="39">
        <f t="shared" si="1"/>
        <v>11</v>
      </c>
      <c r="U37" s="40">
        <f t="shared" si="2"/>
        <v>0</v>
      </c>
      <c r="V37" s="40">
        <f t="shared" si="3"/>
        <v>0</v>
      </c>
      <c r="W37" s="40">
        <f t="shared" si="4"/>
        <v>0</v>
      </c>
      <c r="X37" s="40">
        <f t="shared" si="8"/>
        <v>0</v>
      </c>
      <c r="Y37" s="40">
        <f t="shared" si="5"/>
        <v>0</v>
      </c>
      <c r="Z37" s="40">
        <f t="shared" si="6"/>
        <v>0</v>
      </c>
      <c r="AA37" s="40">
        <f t="shared" si="7"/>
        <v>0</v>
      </c>
      <c r="AB37" s="40">
        <f t="shared" si="9"/>
        <v>0</v>
      </c>
      <c r="AC37" s="41">
        <f t="shared" si="10"/>
        <v>0</v>
      </c>
      <c r="AD37" s="49" t="s">
        <v>5</v>
      </c>
      <c r="AE37" s="50" t="s">
        <v>116</v>
      </c>
      <c r="AF37" s="49" t="s">
        <v>5</v>
      </c>
      <c r="AG37" s="50" t="s">
        <v>73</v>
      </c>
      <c r="AH37" s="49"/>
      <c r="AI37" s="50"/>
      <c r="AJ37" s="49" t="s">
        <v>5</v>
      </c>
      <c r="AK37" s="50" t="s">
        <v>169</v>
      </c>
      <c r="AL37" s="49" t="s">
        <v>5</v>
      </c>
      <c r="AM37" s="50" t="s">
        <v>170</v>
      </c>
      <c r="AN37" s="49" t="s">
        <v>5</v>
      </c>
      <c r="AO37" s="50" t="s">
        <v>75</v>
      </c>
      <c r="AP37" s="49" t="s">
        <v>5</v>
      </c>
      <c r="AQ37" s="50" t="s">
        <v>92</v>
      </c>
      <c r="AR37" s="49" t="s">
        <v>5</v>
      </c>
      <c r="AS37" s="50" t="s">
        <v>120</v>
      </c>
      <c r="AT37" s="49" t="s">
        <v>5</v>
      </c>
      <c r="AU37" s="50" t="s">
        <v>78</v>
      </c>
      <c r="AV37" s="49" t="s">
        <v>1</v>
      </c>
      <c r="AW37" s="50" t="s">
        <v>79</v>
      </c>
      <c r="AX37" s="49" t="s">
        <v>1</v>
      </c>
      <c r="AY37" s="50" t="s">
        <v>95</v>
      </c>
      <c r="AZ37" s="49" t="s">
        <v>5</v>
      </c>
      <c r="BA37" s="50" t="s">
        <v>152</v>
      </c>
      <c r="BB37" s="49" t="s">
        <v>5</v>
      </c>
      <c r="BC37" s="50" t="s">
        <v>82</v>
      </c>
      <c r="BD37" s="49" t="s">
        <v>5</v>
      </c>
      <c r="BE37" s="50" t="s">
        <v>170</v>
      </c>
      <c r="BF37" s="49"/>
      <c r="BG37" s="50"/>
    </row>
    <row r="38" spans="1:59" s="44" customFormat="1" x14ac:dyDescent="0.25">
      <c r="A38" s="24">
        <v>160172</v>
      </c>
      <c r="B38" s="25" t="s">
        <v>187</v>
      </c>
      <c r="C38" s="26" t="s">
        <v>86</v>
      </c>
      <c r="D38" s="27" t="s">
        <v>70</v>
      </c>
      <c r="E38" s="28" t="s">
        <v>14</v>
      </c>
      <c r="F38" s="25" t="s">
        <v>88</v>
      </c>
      <c r="G38" s="28" t="s">
        <v>87</v>
      </c>
      <c r="H38" s="28" t="s">
        <v>14</v>
      </c>
      <c r="I38" s="29" t="s">
        <v>14</v>
      </c>
      <c r="J38" s="28" t="s">
        <v>14</v>
      </c>
      <c r="K38" s="30" t="s">
        <v>1850</v>
      </c>
      <c r="L38" s="31" t="s">
        <v>1842</v>
      </c>
      <c r="M38" s="45" t="str">
        <f>IFERROR(VLOOKUP(A38,Lookups!#REF!,3,FALSE),"")</f>
        <v/>
      </c>
      <c r="N38" s="46">
        <v>22</v>
      </c>
      <c r="O38" s="47">
        <v>1</v>
      </c>
      <c r="P38" s="48">
        <v>0</v>
      </c>
      <c r="Q38" s="36">
        <v>100</v>
      </c>
      <c r="R38" s="37">
        <v>1</v>
      </c>
      <c r="S38" s="38">
        <f t="shared" si="0"/>
        <v>2</v>
      </c>
      <c r="T38" s="39">
        <f t="shared" si="1"/>
        <v>11</v>
      </c>
      <c r="U38" s="40">
        <f t="shared" si="2"/>
        <v>0</v>
      </c>
      <c r="V38" s="40">
        <f t="shared" si="3"/>
        <v>0</v>
      </c>
      <c r="W38" s="40">
        <f t="shared" si="4"/>
        <v>0</v>
      </c>
      <c r="X38" s="40">
        <f t="shared" si="8"/>
        <v>0</v>
      </c>
      <c r="Y38" s="40">
        <f t="shared" si="5"/>
        <v>0</v>
      </c>
      <c r="Z38" s="40">
        <f t="shared" si="6"/>
        <v>0</v>
      </c>
      <c r="AA38" s="40">
        <f t="shared" si="7"/>
        <v>0</v>
      </c>
      <c r="AB38" s="40">
        <f t="shared" si="9"/>
        <v>0</v>
      </c>
      <c r="AC38" s="41">
        <f t="shared" si="10"/>
        <v>0</v>
      </c>
      <c r="AD38" s="49" t="s">
        <v>5</v>
      </c>
      <c r="AE38" s="50" t="s">
        <v>89</v>
      </c>
      <c r="AF38" s="49" t="s">
        <v>5</v>
      </c>
      <c r="AG38" s="50" t="s">
        <v>117</v>
      </c>
      <c r="AH38" s="49"/>
      <c r="AI38" s="50"/>
      <c r="AJ38" s="49" t="s">
        <v>5</v>
      </c>
      <c r="AK38" s="50" t="s">
        <v>91</v>
      </c>
      <c r="AL38" s="49" t="s">
        <v>5</v>
      </c>
      <c r="AM38" s="50" t="s">
        <v>84</v>
      </c>
      <c r="AN38" s="49"/>
      <c r="AO38" s="50"/>
      <c r="AP38" s="49" t="s">
        <v>5</v>
      </c>
      <c r="AQ38" s="50" t="s">
        <v>92</v>
      </c>
      <c r="AR38" s="49" t="s">
        <v>5</v>
      </c>
      <c r="AS38" s="50" t="s">
        <v>93</v>
      </c>
      <c r="AT38" s="49" t="s">
        <v>5</v>
      </c>
      <c r="AU38" s="50" t="s">
        <v>78</v>
      </c>
      <c r="AV38" s="49" t="s">
        <v>1</v>
      </c>
      <c r="AW38" s="50" t="s">
        <v>136</v>
      </c>
      <c r="AX38" s="49" t="s">
        <v>5</v>
      </c>
      <c r="AY38" s="50" t="s">
        <v>95</v>
      </c>
      <c r="AZ38" s="49" t="s">
        <v>5</v>
      </c>
      <c r="BA38" s="50" t="s">
        <v>81</v>
      </c>
      <c r="BB38" s="49" t="s">
        <v>5</v>
      </c>
      <c r="BC38" s="50" t="s">
        <v>108</v>
      </c>
      <c r="BD38" s="49" t="s">
        <v>1</v>
      </c>
      <c r="BE38" s="50" t="s">
        <v>98</v>
      </c>
      <c r="BF38" s="49" t="s">
        <v>5</v>
      </c>
      <c r="BG38" s="50" t="s">
        <v>84</v>
      </c>
    </row>
    <row r="39" spans="1:59" s="44" customFormat="1" x14ac:dyDescent="0.25">
      <c r="A39" s="24">
        <v>160173</v>
      </c>
      <c r="B39" s="25" t="s">
        <v>188</v>
      </c>
      <c r="C39" s="26" t="s">
        <v>100</v>
      </c>
      <c r="D39" s="27" t="s">
        <v>12</v>
      </c>
      <c r="E39" s="28" t="s">
        <v>14</v>
      </c>
      <c r="F39" s="25" t="s">
        <v>71</v>
      </c>
      <c r="G39" s="28" t="s">
        <v>14</v>
      </c>
      <c r="H39" s="28" t="s">
        <v>87</v>
      </c>
      <c r="I39" s="29" t="s">
        <v>14</v>
      </c>
      <c r="J39" s="28" t="s">
        <v>4</v>
      </c>
      <c r="K39" s="30" t="s">
        <v>1850</v>
      </c>
      <c r="L39" s="31" t="s">
        <v>1406</v>
      </c>
      <c r="M39" s="45" t="str">
        <f>IFERROR(VLOOKUP(A39,Lookups!#REF!,3,FALSE),"")</f>
        <v/>
      </c>
      <c r="N39" s="46">
        <v>6</v>
      </c>
      <c r="O39" s="47">
        <v>1</v>
      </c>
      <c r="P39" s="48">
        <v>0</v>
      </c>
      <c r="Q39" s="36">
        <v>71.11</v>
      </c>
      <c r="R39" s="37">
        <v>0</v>
      </c>
      <c r="S39" s="38">
        <f t="shared" si="0"/>
        <v>0</v>
      </c>
      <c r="T39" s="39">
        <f t="shared" si="1"/>
        <v>11</v>
      </c>
      <c r="U39" s="40">
        <f t="shared" si="2"/>
        <v>0</v>
      </c>
      <c r="V39" s="40">
        <f t="shared" si="3"/>
        <v>0</v>
      </c>
      <c r="W39" s="40">
        <f t="shared" si="4"/>
        <v>0</v>
      </c>
      <c r="X39" s="40">
        <f t="shared" si="8"/>
        <v>0</v>
      </c>
      <c r="Y39" s="40">
        <f t="shared" si="5"/>
        <v>0</v>
      </c>
      <c r="Z39" s="40">
        <f t="shared" si="6"/>
        <v>0</v>
      </c>
      <c r="AA39" s="40">
        <f t="shared" si="7"/>
        <v>0</v>
      </c>
      <c r="AB39" s="40">
        <f t="shared" si="9"/>
        <v>0</v>
      </c>
      <c r="AC39" s="41">
        <f t="shared" si="10"/>
        <v>0</v>
      </c>
      <c r="AD39" s="49" t="s">
        <v>5</v>
      </c>
      <c r="AE39" s="50" t="s">
        <v>72</v>
      </c>
      <c r="AF39" s="49" t="s">
        <v>5</v>
      </c>
      <c r="AG39" s="50" t="s">
        <v>90</v>
      </c>
      <c r="AH39" s="49"/>
      <c r="AI39" s="50"/>
      <c r="AJ39" s="49" t="s">
        <v>5</v>
      </c>
      <c r="AK39" s="50" t="s">
        <v>74</v>
      </c>
      <c r="AL39" s="49" t="s">
        <v>5</v>
      </c>
      <c r="AM39" s="50" t="s">
        <v>76</v>
      </c>
      <c r="AN39" s="49" t="s">
        <v>5</v>
      </c>
      <c r="AO39" s="50" t="s">
        <v>103</v>
      </c>
      <c r="AP39" s="49" t="s">
        <v>5</v>
      </c>
      <c r="AQ39" s="50" t="s">
        <v>92</v>
      </c>
      <c r="AR39" s="49" t="s">
        <v>5</v>
      </c>
      <c r="AS39" s="50" t="s">
        <v>120</v>
      </c>
      <c r="AT39" s="49" t="s">
        <v>5</v>
      </c>
      <c r="AU39" s="50" t="s">
        <v>105</v>
      </c>
      <c r="AV39" s="49" t="s">
        <v>5</v>
      </c>
      <c r="AW39" s="50" t="s">
        <v>139</v>
      </c>
      <c r="AX39" s="49" t="s">
        <v>189</v>
      </c>
      <c r="AY39" s="50" t="s">
        <v>80</v>
      </c>
      <c r="AZ39" s="49"/>
      <c r="BA39" s="50" t="s">
        <v>107</v>
      </c>
      <c r="BB39" s="49" t="s">
        <v>5</v>
      </c>
      <c r="BC39" s="50" t="s">
        <v>108</v>
      </c>
      <c r="BD39" s="49" t="s">
        <v>5</v>
      </c>
      <c r="BE39" s="50" t="s">
        <v>140</v>
      </c>
      <c r="BF39" s="49"/>
      <c r="BG39" s="50"/>
    </row>
    <row r="40" spans="1:59" s="44" customFormat="1" x14ac:dyDescent="0.25">
      <c r="A40" s="24">
        <v>160174</v>
      </c>
      <c r="B40" s="25" t="s">
        <v>190</v>
      </c>
      <c r="C40" s="26" t="s">
        <v>149</v>
      </c>
      <c r="D40" s="27" t="s">
        <v>12</v>
      </c>
      <c r="E40" s="28" t="s">
        <v>14</v>
      </c>
      <c r="F40" s="25" t="s">
        <v>146</v>
      </c>
      <c r="G40" s="28" t="s">
        <v>14</v>
      </c>
      <c r="H40" s="28" t="s">
        <v>14</v>
      </c>
      <c r="I40" s="29" t="s">
        <v>14</v>
      </c>
      <c r="J40" s="28" t="s">
        <v>14</v>
      </c>
      <c r="K40" s="30" t="s">
        <v>1850</v>
      </c>
      <c r="L40" s="31" t="s">
        <v>1842</v>
      </c>
      <c r="M40" s="45" t="str">
        <f>IFERROR(VLOOKUP(A40,Lookups!#REF!,3,FALSE),"")</f>
        <v/>
      </c>
      <c r="N40" s="46">
        <v>16</v>
      </c>
      <c r="O40" s="47">
        <v>0</v>
      </c>
      <c r="P40" s="48">
        <v>0</v>
      </c>
      <c r="Q40" s="36">
        <v>87.23</v>
      </c>
      <c r="R40" s="37">
        <v>0</v>
      </c>
      <c r="S40" s="38">
        <f t="shared" si="0"/>
        <v>5</v>
      </c>
      <c r="T40" s="39">
        <f t="shared" si="1"/>
        <v>8</v>
      </c>
      <c r="U40" s="40">
        <f t="shared" si="2"/>
        <v>0</v>
      </c>
      <c r="V40" s="40">
        <f t="shared" si="3"/>
        <v>0</v>
      </c>
      <c r="W40" s="40">
        <f t="shared" si="4"/>
        <v>0</v>
      </c>
      <c r="X40" s="40">
        <f t="shared" si="8"/>
        <v>0</v>
      </c>
      <c r="Y40" s="40">
        <f t="shared" si="5"/>
        <v>0</v>
      </c>
      <c r="Z40" s="40">
        <f t="shared" si="6"/>
        <v>0</v>
      </c>
      <c r="AA40" s="40">
        <f t="shared" si="7"/>
        <v>0</v>
      </c>
      <c r="AB40" s="40">
        <f t="shared" si="9"/>
        <v>0</v>
      </c>
      <c r="AC40" s="41">
        <f t="shared" si="10"/>
        <v>0</v>
      </c>
      <c r="AD40" s="49" t="s">
        <v>5</v>
      </c>
      <c r="AE40" s="50" t="s">
        <v>72</v>
      </c>
      <c r="AF40" s="49"/>
      <c r="AG40" s="50"/>
      <c r="AH40" s="49" t="s">
        <v>5</v>
      </c>
      <c r="AI40" s="50" t="s">
        <v>101</v>
      </c>
      <c r="AJ40" s="49" t="s">
        <v>5</v>
      </c>
      <c r="AK40" s="50" t="s">
        <v>151</v>
      </c>
      <c r="AL40" s="49" t="s">
        <v>5</v>
      </c>
      <c r="AM40" s="50" t="s">
        <v>78</v>
      </c>
      <c r="AN40" s="49"/>
      <c r="AO40" s="50"/>
      <c r="AP40" s="49" t="s">
        <v>1</v>
      </c>
      <c r="AQ40" s="50" t="s">
        <v>131</v>
      </c>
      <c r="AR40" s="49" t="s">
        <v>1</v>
      </c>
      <c r="AS40" s="50" t="s">
        <v>104</v>
      </c>
      <c r="AT40" s="49" t="s">
        <v>5</v>
      </c>
      <c r="AU40" s="50" t="s">
        <v>105</v>
      </c>
      <c r="AV40" s="49" t="s">
        <v>5</v>
      </c>
      <c r="AW40" s="50" t="s">
        <v>94</v>
      </c>
      <c r="AX40" s="49" t="s">
        <v>1</v>
      </c>
      <c r="AY40" s="50" t="s">
        <v>80</v>
      </c>
      <c r="AZ40" s="49" t="s">
        <v>1</v>
      </c>
      <c r="BA40" s="50" t="s">
        <v>107</v>
      </c>
      <c r="BB40" s="49" t="s">
        <v>1</v>
      </c>
      <c r="BC40" s="50" t="s">
        <v>153</v>
      </c>
      <c r="BD40" s="49" t="s">
        <v>5</v>
      </c>
      <c r="BE40" s="50" t="s">
        <v>154</v>
      </c>
      <c r="BF40" s="49" t="s">
        <v>5</v>
      </c>
      <c r="BG40" s="50" t="s">
        <v>103</v>
      </c>
    </row>
    <row r="41" spans="1:59" s="44" customFormat="1" x14ac:dyDescent="0.25">
      <c r="A41" s="24">
        <v>160175</v>
      </c>
      <c r="B41" s="25" t="s">
        <v>191</v>
      </c>
      <c r="C41" s="26" t="s">
        <v>69</v>
      </c>
      <c r="D41" s="27" t="s">
        <v>12</v>
      </c>
      <c r="E41" s="28" t="s">
        <v>14</v>
      </c>
      <c r="F41" s="25" t="s">
        <v>71</v>
      </c>
      <c r="G41" s="28" t="s">
        <v>14</v>
      </c>
      <c r="H41" s="28" t="s">
        <v>14</v>
      </c>
      <c r="I41" s="29" t="s">
        <v>14</v>
      </c>
      <c r="J41" s="28" t="s">
        <v>14</v>
      </c>
      <c r="K41" s="30" t="s">
        <v>1850</v>
      </c>
      <c r="L41" s="31" t="s">
        <v>1842</v>
      </c>
      <c r="M41" s="45" t="str">
        <f>IFERROR(VLOOKUP(A41,Lookups!#REF!,3,FALSE),"")</f>
        <v/>
      </c>
      <c r="N41" s="46">
        <v>19</v>
      </c>
      <c r="O41" s="47">
        <v>12</v>
      </c>
      <c r="P41" s="48">
        <v>0</v>
      </c>
      <c r="Q41" s="36">
        <v>100</v>
      </c>
      <c r="R41" s="37">
        <v>3</v>
      </c>
      <c r="S41" s="38">
        <f t="shared" si="0"/>
        <v>1</v>
      </c>
      <c r="T41" s="39">
        <f t="shared" si="1"/>
        <v>10</v>
      </c>
      <c r="U41" s="40">
        <f t="shared" si="2"/>
        <v>0</v>
      </c>
      <c r="V41" s="40">
        <f t="shared" si="3"/>
        <v>2</v>
      </c>
      <c r="W41" s="40">
        <f t="shared" si="4"/>
        <v>0</v>
      </c>
      <c r="X41" s="40">
        <f t="shared" si="8"/>
        <v>2</v>
      </c>
      <c r="Y41" s="40">
        <f t="shared" si="5"/>
        <v>0</v>
      </c>
      <c r="Z41" s="40">
        <f t="shared" si="6"/>
        <v>0</v>
      </c>
      <c r="AA41" s="40">
        <f t="shared" si="7"/>
        <v>0</v>
      </c>
      <c r="AB41" s="40">
        <f t="shared" si="9"/>
        <v>0</v>
      </c>
      <c r="AC41" s="41">
        <f t="shared" si="10"/>
        <v>0</v>
      </c>
      <c r="AD41" s="49" t="s">
        <v>5</v>
      </c>
      <c r="AE41" s="50" t="s">
        <v>72</v>
      </c>
      <c r="AF41" s="49" t="s">
        <v>5</v>
      </c>
      <c r="AG41" s="50" t="s">
        <v>90</v>
      </c>
      <c r="AH41" s="49"/>
      <c r="AI41" s="50"/>
      <c r="AJ41" s="49" t="s">
        <v>31</v>
      </c>
      <c r="AK41" s="50" t="s">
        <v>74</v>
      </c>
      <c r="AL41" s="49" t="s">
        <v>5</v>
      </c>
      <c r="AM41" s="50" t="s">
        <v>75</v>
      </c>
      <c r="AN41" s="49"/>
      <c r="AO41" s="50"/>
      <c r="AP41" s="49" t="s">
        <v>5</v>
      </c>
      <c r="AQ41" s="50" t="s">
        <v>76</v>
      </c>
      <c r="AR41" s="49" t="s">
        <v>31</v>
      </c>
      <c r="AS41" s="50" t="s">
        <v>120</v>
      </c>
      <c r="AT41" s="49" t="s">
        <v>5</v>
      </c>
      <c r="AU41" s="50" t="s">
        <v>78</v>
      </c>
      <c r="AV41" s="49" t="s">
        <v>5</v>
      </c>
      <c r="AW41" s="50" t="s">
        <v>94</v>
      </c>
      <c r="AX41" s="49" t="s">
        <v>5</v>
      </c>
      <c r="AY41" s="50" t="s">
        <v>80</v>
      </c>
      <c r="AZ41" s="49" t="s">
        <v>1</v>
      </c>
      <c r="BA41" s="50" t="s">
        <v>96</v>
      </c>
      <c r="BB41" s="49" t="s">
        <v>5</v>
      </c>
      <c r="BC41" s="50" t="s">
        <v>82</v>
      </c>
      <c r="BD41" s="49" t="s">
        <v>5</v>
      </c>
      <c r="BE41" s="50" t="s">
        <v>83</v>
      </c>
      <c r="BF41" s="49" t="s">
        <v>5</v>
      </c>
      <c r="BG41" s="50" t="s">
        <v>84</v>
      </c>
    </row>
    <row r="42" spans="1:59" s="44" customFormat="1" x14ac:dyDescent="0.25">
      <c r="A42" s="24">
        <v>160176</v>
      </c>
      <c r="B42" s="25" t="s">
        <v>192</v>
      </c>
      <c r="C42" s="26" t="s">
        <v>168</v>
      </c>
      <c r="D42" s="27" t="s">
        <v>70</v>
      </c>
      <c r="E42" s="28" t="s">
        <v>14</v>
      </c>
      <c r="F42" s="25" t="s">
        <v>71</v>
      </c>
      <c r="G42" s="28" t="s">
        <v>14</v>
      </c>
      <c r="H42" s="28" t="s">
        <v>87</v>
      </c>
      <c r="I42" s="29" t="s">
        <v>87</v>
      </c>
      <c r="J42" s="28" t="s">
        <v>14</v>
      </c>
      <c r="K42" s="30" t="s">
        <v>1850</v>
      </c>
      <c r="L42" s="31" t="s">
        <v>1848</v>
      </c>
      <c r="M42" s="45" t="str">
        <f>IFERROR(VLOOKUP(A42,Lookups!#REF!,3,FALSE),"")</f>
        <v/>
      </c>
      <c r="N42" s="46">
        <v>19</v>
      </c>
      <c r="O42" s="47">
        <v>3</v>
      </c>
      <c r="P42" s="48">
        <v>2</v>
      </c>
      <c r="Q42" s="36">
        <v>97.87</v>
      </c>
      <c r="R42" s="37">
        <v>0</v>
      </c>
      <c r="S42" s="38">
        <f t="shared" si="0"/>
        <v>0</v>
      </c>
      <c r="T42" s="39">
        <f t="shared" si="1"/>
        <v>10</v>
      </c>
      <c r="U42" s="40">
        <f t="shared" si="2"/>
        <v>2</v>
      </c>
      <c r="V42" s="40">
        <f t="shared" si="3"/>
        <v>1</v>
      </c>
      <c r="W42" s="40">
        <f t="shared" si="4"/>
        <v>0</v>
      </c>
      <c r="X42" s="40">
        <f t="shared" si="8"/>
        <v>3</v>
      </c>
      <c r="Y42" s="40">
        <f t="shared" si="5"/>
        <v>0</v>
      </c>
      <c r="Z42" s="40">
        <f t="shared" si="6"/>
        <v>0</v>
      </c>
      <c r="AA42" s="40">
        <f t="shared" si="7"/>
        <v>0</v>
      </c>
      <c r="AB42" s="40">
        <f t="shared" si="9"/>
        <v>0</v>
      </c>
      <c r="AC42" s="41">
        <f t="shared" si="10"/>
        <v>0</v>
      </c>
      <c r="AD42" s="49" t="s">
        <v>5</v>
      </c>
      <c r="AE42" s="50" t="s">
        <v>116</v>
      </c>
      <c r="AF42" s="49"/>
      <c r="AG42" s="50"/>
      <c r="AH42" s="49" t="s">
        <v>5</v>
      </c>
      <c r="AI42" s="50" t="s">
        <v>101</v>
      </c>
      <c r="AJ42" s="49" t="s">
        <v>5</v>
      </c>
      <c r="AK42" s="50" t="s">
        <v>169</v>
      </c>
      <c r="AL42" s="49" t="s">
        <v>30</v>
      </c>
      <c r="AM42" s="50" t="s">
        <v>170</v>
      </c>
      <c r="AN42" s="49" t="s">
        <v>5</v>
      </c>
      <c r="AO42" s="50" t="s">
        <v>75</v>
      </c>
      <c r="AP42" s="49" t="s">
        <v>5</v>
      </c>
      <c r="AQ42" s="50" t="s">
        <v>131</v>
      </c>
      <c r="AR42" s="49" t="s">
        <v>5</v>
      </c>
      <c r="AS42" s="50" t="s">
        <v>120</v>
      </c>
      <c r="AT42" s="49" t="s">
        <v>5</v>
      </c>
      <c r="AU42" s="50" t="s">
        <v>78</v>
      </c>
      <c r="AV42" s="49" t="s">
        <v>5</v>
      </c>
      <c r="AW42" s="50" t="s">
        <v>106</v>
      </c>
      <c r="AX42" s="49" t="s">
        <v>30</v>
      </c>
      <c r="AY42" s="50" t="s">
        <v>95</v>
      </c>
      <c r="AZ42" s="49" t="s">
        <v>5</v>
      </c>
      <c r="BA42" s="50" t="s">
        <v>152</v>
      </c>
      <c r="BB42" s="49" t="s">
        <v>31</v>
      </c>
      <c r="BC42" s="50" t="s">
        <v>82</v>
      </c>
      <c r="BD42" s="49" t="s">
        <v>5</v>
      </c>
      <c r="BE42" s="50" t="s">
        <v>170</v>
      </c>
      <c r="BF42" s="49"/>
      <c r="BG42" s="50"/>
    </row>
    <row r="43" spans="1:59" s="44" customFormat="1" x14ac:dyDescent="0.25">
      <c r="A43" s="24">
        <v>160177</v>
      </c>
      <c r="B43" s="25" t="s">
        <v>193</v>
      </c>
      <c r="C43" s="26" t="s">
        <v>162</v>
      </c>
      <c r="D43" s="27" t="s">
        <v>70</v>
      </c>
      <c r="E43" s="28" t="s">
        <v>14</v>
      </c>
      <c r="F43" s="25" t="s">
        <v>158</v>
      </c>
      <c r="G43" s="28" t="s">
        <v>14</v>
      </c>
      <c r="H43" s="28" t="s">
        <v>14</v>
      </c>
      <c r="I43" s="29" t="s">
        <v>14</v>
      </c>
      <c r="J43" s="28" t="s">
        <v>14</v>
      </c>
      <c r="K43" s="30" t="s">
        <v>1850</v>
      </c>
      <c r="L43" s="31" t="s">
        <v>1842</v>
      </c>
      <c r="M43" s="45" t="str">
        <f>IFERROR(VLOOKUP(A43,Lookups!#REF!,3,FALSE),"")</f>
        <v/>
      </c>
      <c r="N43" s="46">
        <v>26</v>
      </c>
      <c r="O43" s="47">
        <v>0</v>
      </c>
      <c r="P43" s="48">
        <v>0</v>
      </c>
      <c r="Q43" s="36">
        <v>100</v>
      </c>
      <c r="R43" s="37">
        <v>0</v>
      </c>
      <c r="S43" s="38">
        <f t="shared" si="0"/>
        <v>0</v>
      </c>
      <c r="T43" s="39">
        <f t="shared" si="1"/>
        <v>13</v>
      </c>
      <c r="U43" s="40">
        <f t="shared" si="2"/>
        <v>0</v>
      </c>
      <c r="V43" s="40">
        <f t="shared" si="3"/>
        <v>0</v>
      </c>
      <c r="W43" s="40">
        <f t="shared" si="4"/>
        <v>0</v>
      </c>
      <c r="X43" s="40">
        <f t="shared" si="8"/>
        <v>0</v>
      </c>
      <c r="Y43" s="40">
        <f t="shared" si="5"/>
        <v>0</v>
      </c>
      <c r="Z43" s="40">
        <f t="shared" si="6"/>
        <v>0</v>
      </c>
      <c r="AA43" s="40">
        <f t="shared" si="7"/>
        <v>0</v>
      </c>
      <c r="AB43" s="40">
        <f t="shared" si="9"/>
        <v>0</v>
      </c>
      <c r="AC43" s="41">
        <f t="shared" si="10"/>
        <v>0</v>
      </c>
      <c r="AD43" s="49" t="s">
        <v>5</v>
      </c>
      <c r="AE43" s="50" t="s">
        <v>72</v>
      </c>
      <c r="AF43" s="49" t="s">
        <v>5</v>
      </c>
      <c r="AG43" s="50" t="s">
        <v>117</v>
      </c>
      <c r="AH43" s="49"/>
      <c r="AI43" s="50"/>
      <c r="AJ43" s="49" t="s">
        <v>5</v>
      </c>
      <c r="AK43" s="50" t="s">
        <v>194</v>
      </c>
      <c r="AL43" s="49" t="s">
        <v>5</v>
      </c>
      <c r="AM43" s="50" t="s">
        <v>72</v>
      </c>
      <c r="AN43" s="49" t="s">
        <v>5</v>
      </c>
      <c r="AO43" s="50" t="s">
        <v>143</v>
      </c>
      <c r="AP43" s="49" t="s">
        <v>5</v>
      </c>
      <c r="AQ43" s="50" t="s">
        <v>131</v>
      </c>
      <c r="AR43" s="49" t="s">
        <v>5</v>
      </c>
      <c r="AS43" s="50" t="s">
        <v>104</v>
      </c>
      <c r="AT43" s="49" t="s">
        <v>5</v>
      </c>
      <c r="AU43" s="50" t="s">
        <v>163</v>
      </c>
      <c r="AV43" s="49" t="s">
        <v>5</v>
      </c>
      <c r="AW43" s="50" t="s">
        <v>94</v>
      </c>
      <c r="AX43" s="49" t="s">
        <v>5</v>
      </c>
      <c r="AY43" s="50" t="s">
        <v>95</v>
      </c>
      <c r="AZ43" s="49" t="s">
        <v>5</v>
      </c>
      <c r="BA43" s="50" t="s">
        <v>81</v>
      </c>
      <c r="BB43" s="49" t="s">
        <v>5</v>
      </c>
      <c r="BC43" s="50" t="s">
        <v>97</v>
      </c>
      <c r="BD43" s="49" t="s">
        <v>5</v>
      </c>
      <c r="BE43" s="50" t="s">
        <v>164</v>
      </c>
      <c r="BF43" s="49"/>
      <c r="BG43" s="50"/>
    </row>
    <row r="44" spans="1:59" s="44" customFormat="1" x14ac:dyDescent="0.25">
      <c r="A44" s="24">
        <v>160178</v>
      </c>
      <c r="B44" s="25" t="s">
        <v>195</v>
      </c>
      <c r="C44" s="26" t="s">
        <v>100</v>
      </c>
      <c r="D44" s="27" t="s">
        <v>12</v>
      </c>
      <c r="E44" s="28" t="s">
        <v>14</v>
      </c>
      <c r="F44" s="25" t="s">
        <v>71</v>
      </c>
      <c r="G44" s="28" t="s">
        <v>14</v>
      </c>
      <c r="H44" s="28" t="s">
        <v>14</v>
      </c>
      <c r="I44" s="29" t="s">
        <v>14</v>
      </c>
      <c r="J44" s="28" t="s">
        <v>14</v>
      </c>
      <c r="K44" s="30" t="s">
        <v>1850</v>
      </c>
      <c r="L44" s="31" t="s">
        <v>1845</v>
      </c>
      <c r="M44" s="45" t="str">
        <f>IFERROR(VLOOKUP(A44,Lookups!#REF!,3,FALSE),"")</f>
        <v/>
      </c>
      <c r="N44" s="46">
        <v>18</v>
      </c>
      <c r="O44" s="47">
        <v>0</v>
      </c>
      <c r="P44" s="48">
        <v>0</v>
      </c>
      <c r="Q44" s="36">
        <v>100</v>
      </c>
      <c r="R44" s="37">
        <v>0</v>
      </c>
      <c r="S44" s="38">
        <f t="shared" si="0"/>
        <v>0</v>
      </c>
      <c r="T44" s="39">
        <f t="shared" si="1"/>
        <v>13</v>
      </c>
      <c r="U44" s="40">
        <f t="shared" si="2"/>
        <v>0</v>
      </c>
      <c r="V44" s="40">
        <f t="shared" si="3"/>
        <v>0</v>
      </c>
      <c r="W44" s="40">
        <f t="shared" si="4"/>
        <v>0</v>
      </c>
      <c r="X44" s="40">
        <f t="shared" si="8"/>
        <v>0</v>
      </c>
      <c r="Y44" s="40">
        <f t="shared" si="5"/>
        <v>0</v>
      </c>
      <c r="Z44" s="40">
        <f t="shared" si="6"/>
        <v>0</v>
      </c>
      <c r="AA44" s="40">
        <f t="shared" si="7"/>
        <v>0</v>
      </c>
      <c r="AB44" s="40">
        <f t="shared" si="9"/>
        <v>0</v>
      </c>
      <c r="AC44" s="41">
        <f t="shared" si="10"/>
        <v>0</v>
      </c>
      <c r="AD44" s="49" t="s">
        <v>5</v>
      </c>
      <c r="AE44" s="50" t="s">
        <v>72</v>
      </c>
      <c r="AF44" s="49" t="s">
        <v>5</v>
      </c>
      <c r="AG44" s="50" t="s">
        <v>73</v>
      </c>
      <c r="AH44" s="49"/>
      <c r="AI44" s="50"/>
      <c r="AJ44" s="49" t="s">
        <v>5</v>
      </c>
      <c r="AK44" s="50" t="s">
        <v>102</v>
      </c>
      <c r="AL44" s="49" t="s">
        <v>5</v>
      </c>
      <c r="AM44" s="50" t="s">
        <v>76</v>
      </c>
      <c r="AN44" s="49" t="s">
        <v>5</v>
      </c>
      <c r="AO44" s="50" t="s">
        <v>103</v>
      </c>
      <c r="AP44" s="49" t="s">
        <v>5</v>
      </c>
      <c r="AQ44" s="50" t="s">
        <v>92</v>
      </c>
      <c r="AR44" s="49" t="s">
        <v>5</v>
      </c>
      <c r="AS44" s="50" t="s">
        <v>120</v>
      </c>
      <c r="AT44" s="49" t="s">
        <v>5</v>
      </c>
      <c r="AU44" s="50" t="s">
        <v>105</v>
      </c>
      <c r="AV44" s="49" t="s">
        <v>5</v>
      </c>
      <c r="AW44" s="50" t="s">
        <v>112</v>
      </c>
      <c r="AX44" s="49" t="s">
        <v>5</v>
      </c>
      <c r="AY44" s="50" t="s">
        <v>80</v>
      </c>
      <c r="AZ44" s="49" t="s">
        <v>5</v>
      </c>
      <c r="BA44" s="50" t="s">
        <v>107</v>
      </c>
      <c r="BB44" s="49" t="s">
        <v>5</v>
      </c>
      <c r="BC44" s="50" t="s">
        <v>108</v>
      </c>
      <c r="BD44" s="49" t="s">
        <v>5</v>
      </c>
      <c r="BE44" s="50" t="s">
        <v>109</v>
      </c>
      <c r="BF44" s="49"/>
      <c r="BG44" s="50"/>
    </row>
    <row r="45" spans="1:59" s="44" customFormat="1" x14ac:dyDescent="0.25">
      <c r="A45" s="24">
        <v>160179</v>
      </c>
      <c r="B45" s="25" t="s">
        <v>196</v>
      </c>
      <c r="C45" s="26" t="s">
        <v>114</v>
      </c>
      <c r="D45" s="27" t="s">
        <v>12</v>
      </c>
      <c r="E45" s="28" t="s">
        <v>14</v>
      </c>
      <c r="F45" s="25" t="s">
        <v>71</v>
      </c>
      <c r="G45" s="28" t="s">
        <v>14</v>
      </c>
      <c r="H45" s="28" t="s">
        <v>14</v>
      </c>
      <c r="I45" s="29" t="s">
        <v>14</v>
      </c>
      <c r="J45" s="28" t="s">
        <v>14</v>
      </c>
      <c r="K45" s="30" t="s">
        <v>1850</v>
      </c>
      <c r="L45" s="31" t="s">
        <v>1845</v>
      </c>
      <c r="M45" s="45" t="str">
        <f>IFERROR(VLOOKUP(A45,Lookups!#REF!,3,FALSE),"")</f>
        <v/>
      </c>
      <c r="N45" s="46">
        <v>36</v>
      </c>
      <c r="O45" s="47">
        <v>0</v>
      </c>
      <c r="P45" s="48">
        <v>0</v>
      </c>
      <c r="Q45" s="36">
        <v>100</v>
      </c>
      <c r="R45" s="37">
        <v>0</v>
      </c>
      <c r="S45" s="38">
        <f t="shared" si="0"/>
        <v>1</v>
      </c>
      <c r="T45" s="39">
        <f t="shared" si="1"/>
        <v>12</v>
      </c>
      <c r="U45" s="40">
        <f t="shared" si="2"/>
        <v>0</v>
      </c>
      <c r="V45" s="40">
        <f t="shared" si="3"/>
        <v>0</v>
      </c>
      <c r="W45" s="40">
        <f t="shared" si="4"/>
        <v>0</v>
      </c>
      <c r="X45" s="40">
        <f t="shared" si="8"/>
        <v>0</v>
      </c>
      <c r="Y45" s="40">
        <f t="shared" si="5"/>
        <v>0</v>
      </c>
      <c r="Z45" s="40">
        <f t="shared" si="6"/>
        <v>0</v>
      </c>
      <c r="AA45" s="40">
        <f t="shared" si="7"/>
        <v>0</v>
      </c>
      <c r="AB45" s="40">
        <f t="shared" si="9"/>
        <v>0</v>
      </c>
      <c r="AC45" s="41">
        <f t="shared" si="10"/>
        <v>0</v>
      </c>
      <c r="AD45" s="49" t="s">
        <v>5</v>
      </c>
      <c r="AE45" s="50" t="s">
        <v>116</v>
      </c>
      <c r="AF45" s="49" t="s">
        <v>5</v>
      </c>
      <c r="AG45" s="50" t="s">
        <v>73</v>
      </c>
      <c r="AH45" s="49"/>
      <c r="AI45" s="50"/>
      <c r="AJ45" s="49" t="s">
        <v>5</v>
      </c>
      <c r="AK45" s="50" t="s">
        <v>118</v>
      </c>
      <c r="AL45" s="49" t="s">
        <v>5</v>
      </c>
      <c r="AM45" s="50" t="s">
        <v>112</v>
      </c>
      <c r="AN45" s="49"/>
      <c r="AO45" s="50"/>
      <c r="AP45" s="49" t="s">
        <v>5</v>
      </c>
      <c r="AQ45" s="50" t="s">
        <v>119</v>
      </c>
      <c r="AR45" s="49" t="s">
        <v>5</v>
      </c>
      <c r="AS45" s="50" t="s">
        <v>120</v>
      </c>
      <c r="AT45" s="49" t="s">
        <v>5</v>
      </c>
      <c r="AU45" s="50" t="s">
        <v>78</v>
      </c>
      <c r="AV45" s="49" t="s">
        <v>5</v>
      </c>
      <c r="AW45" s="50" t="s">
        <v>106</v>
      </c>
      <c r="AX45" s="49" t="s">
        <v>5</v>
      </c>
      <c r="AY45" s="50" t="s">
        <v>95</v>
      </c>
      <c r="AZ45" s="49" t="s">
        <v>1</v>
      </c>
      <c r="BA45" s="50" t="s">
        <v>96</v>
      </c>
      <c r="BB45" s="49" t="s">
        <v>5</v>
      </c>
      <c r="BC45" s="50" t="s">
        <v>122</v>
      </c>
      <c r="BD45" s="49" t="s">
        <v>5</v>
      </c>
      <c r="BE45" s="50" t="s">
        <v>137</v>
      </c>
      <c r="BF45" s="49" t="s">
        <v>5</v>
      </c>
      <c r="BG45" s="50" t="s">
        <v>124</v>
      </c>
    </row>
    <row r="46" spans="1:59" s="44" customFormat="1" x14ac:dyDescent="0.25">
      <c r="A46" s="24">
        <v>160180</v>
      </c>
      <c r="B46" s="25" t="s">
        <v>197</v>
      </c>
      <c r="C46" s="26" t="s">
        <v>168</v>
      </c>
      <c r="D46" s="27" t="s">
        <v>12</v>
      </c>
      <c r="E46" s="28" t="s">
        <v>14</v>
      </c>
      <c r="F46" s="25" t="s">
        <v>198</v>
      </c>
      <c r="G46" s="28" t="s">
        <v>14</v>
      </c>
      <c r="H46" s="28" t="s">
        <v>14</v>
      </c>
      <c r="I46" s="29" t="s">
        <v>14</v>
      </c>
      <c r="J46" s="28" t="s">
        <v>6</v>
      </c>
      <c r="K46" s="30" t="s">
        <v>1851</v>
      </c>
      <c r="L46" s="31" t="s">
        <v>1848</v>
      </c>
      <c r="M46" s="45" t="str">
        <f>IFERROR(VLOOKUP(A46,Lookups!#REF!,3,FALSE),"")</f>
        <v/>
      </c>
      <c r="N46" s="46">
        <v>12</v>
      </c>
      <c r="O46" s="47">
        <v>3</v>
      </c>
      <c r="P46" s="48">
        <v>2</v>
      </c>
      <c r="Q46" s="36">
        <v>85.42</v>
      </c>
      <c r="R46" s="37">
        <v>1</v>
      </c>
      <c r="S46" s="38">
        <f t="shared" si="0"/>
        <v>1</v>
      </c>
      <c r="T46" s="39">
        <f t="shared" si="1"/>
        <v>11</v>
      </c>
      <c r="U46" s="40">
        <f t="shared" si="2"/>
        <v>1</v>
      </c>
      <c r="V46" s="40">
        <f t="shared" si="3"/>
        <v>0</v>
      </c>
      <c r="W46" s="40">
        <f t="shared" si="4"/>
        <v>0</v>
      </c>
      <c r="X46" s="40">
        <f t="shared" si="8"/>
        <v>1</v>
      </c>
      <c r="Y46" s="40">
        <f t="shared" si="5"/>
        <v>0</v>
      </c>
      <c r="Z46" s="40">
        <f t="shared" si="6"/>
        <v>0</v>
      </c>
      <c r="AA46" s="40">
        <f t="shared" si="7"/>
        <v>0</v>
      </c>
      <c r="AB46" s="40">
        <f t="shared" si="9"/>
        <v>0</v>
      </c>
      <c r="AC46" s="41">
        <f t="shared" si="10"/>
        <v>0</v>
      </c>
      <c r="AD46" s="49" t="s">
        <v>5</v>
      </c>
      <c r="AE46" s="50" t="s">
        <v>116</v>
      </c>
      <c r="AF46" s="49" t="s">
        <v>5</v>
      </c>
      <c r="AG46" s="50" t="s">
        <v>117</v>
      </c>
      <c r="AH46" s="49"/>
      <c r="AI46" s="50"/>
      <c r="AJ46" s="49" t="s">
        <v>5</v>
      </c>
      <c r="AK46" s="50" t="s">
        <v>169</v>
      </c>
      <c r="AL46" s="49" t="s">
        <v>5</v>
      </c>
      <c r="AM46" s="50" t="s">
        <v>170</v>
      </c>
      <c r="AN46" s="49" t="s">
        <v>5</v>
      </c>
      <c r="AO46" s="50" t="s">
        <v>75</v>
      </c>
      <c r="AP46" s="49" t="s">
        <v>5</v>
      </c>
      <c r="AQ46" s="50" t="s">
        <v>92</v>
      </c>
      <c r="AR46" s="49" t="s">
        <v>5</v>
      </c>
      <c r="AS46" s="50" t="s">
        <v>120</v>
      </c>
      <c r="AT46" s="49" t="s">
        <v>5</v>
      </c>
      <c r="AU46" s="50" t="s">
        <v>78</v>
      </c>
      <c r="AV46" s="49" t="s">
        <v>5</v>
      </c>
      <c r="AW46" s="50" t="s">
        <v>106</v>
      </c>
      <c r="AX46" s="49" t="s">
        <v>5</v>
      </c>
      <c r="AY46" s="50" t="s">
        <v>95</v>
      </c>
      <c r="AZ46" s="49" t="s">
        <v>1</v>
      </c>
      <c r="BA46" s="50" t="s">
        <v>96</v>
      </c>
      <c r="BB46" s="49" t="s">
        <v>30</v>
      </c>
      <c r="BC46" s="50" t="s">
        <v>82</v>
      </c>
      <c r="BD46" s="49" t="s">
        <v>5</v>
      </c>
      <c r="BE46" s="50" t="s">
        <v>170</v>
      </c>
      <c r="BF46" s="49"/>
      <c r="BG46" s="50"/>
    </row>
    <row r="47" spans="1:59" s="44" customFormat="1" x14ac:dyDescent="0.25">
      <c r="A47" s="24">
        <v>160181</v>
      </c>
      <c r="B47" s="25" t="s">
        <v>199</v>
      </c>
      <c r="C47" s="26" t="s">
        <v>86</v>
      </c>
      <c r="D47" s="27" t="s">
        <v>12</v>
      </c>
      <c r="E47" s="28" t="s">
        <v>14</v>
      </c>
      <c r="F47" s="25" t="s">
        <v>71</v>
      </c>
      <c r="G47" s="28" t="s">
        <v>14</v>
      </c>
      <c r="H47" s="28" t="s">
        <v>14</v>
      </c>
      <c r="I47" s="29" t="s">
        <v>14</v>
      </c>
      <c r="J47" s="28" t="s">
        <v>14</v>
      </c>
      <c r="K47" s="30" t="s">
        <v>1850</v>
      </c>
      <c r="L47" s="31" t="s">
        <v>1846</v>
      </c>
      <c r="M47" s="45" t="str">
        <f>IFERROR(VLOOKUP(A47,Lookups!#REF!,3,FALSE),"")</f>
        <v/>
      </c>
      <c r="N47" s="46">
        <v>25</v>
      </c>
      <c r="O47" s="47">
        <v>1</v>
      </c>
      <c r="P47" s="48">
        <v>0</v>
      </c>
      <c r="Q47" s="36">
        <v>100</v>
      </c>
      <c r="R47" s="37">
        <v>0</v>
      </c>
      <c r="S47" s="38">
        <f t="shared" si="0"/>
        <v>4</v>
      </c>
      <c r="T47" s="39">
        <f t="shared" si="1"/>
        <v>9</v>
      </c>
      <c r="U47" s="40">
        <f t="shared" si="2"/>
        <v>0</v>
      </c>
      <c r="V47" s="40">
        <f t="shared" si="3"/>
        <v>0</v>
      </c>
      <c r="W47" s="40">
        <f t="shared" si="4"/>
        <v>0</v>
      </c>
      <c r="X47" s="40">
        <f t="shared" si="8"/>
        <v>0</v>
      </c>
      <c r="Y47" s="40">
        <f t="shared" si="5"/>
        <v>0</v>
      </c>
      <c r="Z47" s="40">
        <f t="shared" si="6"/>
        <v>0</v>
      </c>
      <c r="AA47" s="40">
        <f t="shared" si="7"/>
        <v>0</v>
      </c>
      <c r="AB47" s="40">
        <f t="shared" si="9"/>
        <v>0</v>
      </c>
      <c r="AC47" s="41">
        <f t="shared" si="10"/>
        <v>0</v>
      </c>
      <c r="AD47" s="49" t="s">
        <v>5</v>
      </c>
      <c r="AE47" s="50" t="s">
        <v>72</v>
      </c>
      <c r="AF47" s="49" t="s">
        <v>5</v>
      </c>
      <c r="AG47" s="50" t="s">
        <v>135</v>
      </c>
      <c r="AH47" s="49"/>
      <c r="AI47" s="50"/>
      <c r="AJ47" s="49" t="s">
        <v>5</v>
      </c>
      <c r="AK47" s="50" t="s">
        <v>91</v>
      </c>
      <c r="AL47" s="49" t="s">
        <v>5</v>
      </c>
      <c r="AM47" s="50" t="s">
        <v>84</v>
      </c>
      <c r="AN47" s="49"/>
      <c r="AO47" s="50"/>
      <c r="AP47" s="49" t="s">
        <v>1</v>
      </c>
      <c r="AQ47" s="50" t="s">
        <v>92</v>
      </c>
      <c r="AR47" s="49" t="s">
        <v>5</v>
      </c>
      <c r="AS47" s="50" t="s">
        <v>93</v>
      </c>
      <c r="AT47" s="49" t="s">
        <v>5</v>
      </c>
      <c r="AU47" s="50" t="s">
        <v>78</v>
      </c>
      <c r="AV47" s="49" t="s">
        <v>1</v>
      </c>
      <c r="AW47" s="50" t="s">
        <v>136</v>
      </c>
      <c r="AX47" s="49" t="s">
        <v>1</v>
      </c>
      <c r="AY47" s="50" t="s">
        <v>95</v>
      </c>
      <c r="AZ47" s="49" t="s">
        <v>5</v>
      </c>
      <c r="BA47" s="50" t="s">
        <v>96</v>
      </c>
      <c r="BB47" s="49" t="s">
        <v>5</v>
      </c>
      <c r="BC47" s="50" t="s">
        <v>108</v>
      </c>
      <c r="BD47" s="49" t="s">
        <v>1</v>
      </c>
      <c r="BE47" s="50" t="s">
        <v>98</v>
      </c>
      <c r="BF47" s="49" t="s">
        <v>5</v>
      </c>
      <c r="BG47" s="50" t="s">
        <v>84</v>
      </c>
    </row>
    <row r="48" spans="1:59" s="44" customFormat="1" x14ac:dyDescent="0.25">
      <c r="A48" s="24">
        <v>160316</v>
      </c>
      <c r="B48" s="25" t="s">
        <v>200</v>
      </c>
      <c r="C48" s="26" t="s">
        <v>149</v>
      </c>
      <c r="D48" s="27" t="s">
        <v>70</v>
      </c>
      <c r="E48" s="28" t="s">
        <v>14</v>
      </c>
      <c r="F48" s="25" t="s">
        <v>71</v>
      </c>
      <c r="G48" s="28" t="s">
        <v>14</v>
      </c>
      <c r="H48" s="28" t="s">
        <v>14</v>
      </c>
      <c r="I48" s="29" t="s">
        <v>14</v>
      </c>
      <c r="J48" s="28" t="s">
        <v>6</v>
      </c>
      <c r="K48" s="30" t="s">
        <v>1850</v>
      </c>
      <c r="L48" s="31" t="s">
        <v>1842</v>
      </c>
      <c r="M48" s="45" t="str">
        <f>IFERROR(VLOOKUP(A48,Lookups!#REF!,3,FALSE),"")</f>
        <v/>
      </c>
      <c r="N48" s="46">
        <v>15</v>
      </c>
      <c r="O48" s="47">
        <v>1</v>
      </c>
      <c r="P48" s="48">
        <v>0</v>
      </c>
      <c r="Q48" s="36">
        <v>100</v>
      </c>
      <c r="R48" s="37">
        <v>0</v>
      </c>
      <c r="S48" s="38">
        <f t="shared" si="0"/>
        <v>1</v>
      </c>
      <c r="T48" s="39">
        <f t="shared" si="1"/>
        <v>12</v>
      </c>
      <c r="U48" s="40">
        <f t="shared" si="2"/>
        <v>0</v>
      </c>
      <c r="V48" s="40">
        <f t="shared" si="3"/>
        <v>0</v>
      </c>
      <c r="W48" s="40">
        <f t="shared" si="4"/>
        <v>0</v>
      </c>
      <c r="X48" s="40">
        <f t="shared" si="8"/>
        <v>0</v>
      </c>
      <c r="Y48" s="40">
        <f t="shared" si="5"/>
        <v>0</v>
      </c>
      <c r="Z48" s="40">
        <f t="shared" si="6"/>
        <v>0</v>
      </c>
      <c r="AA48" s="40">
        <f t="shared" si="7"/>
        <v>0</v>
      </c>
      <c r="AB48" s="40">
        <f t="shared" si="9"/>
        <v>0</v>
      </c>
      <c r="AC48" s="41">
        <f t="shared" si="10"/>
        <v>0</v>
      </c>
      <c r="AD48" s="49" t="s">
        <v>5</v>
      </c>
      <c r="AE48" s="50" t="s">
        <v>116</v>
      </c>
      <c r="AF48" s="49" t="s">
        <v>5</v>
      </c>
      <c r="AG48" s="50" t="s">
        <v>117</v>
      </c>
      <c r="AH48" s="49"/>
      <c r="AI48" s="50"/>
      <c r="AJ48" s="49" t="s">
        <v>5</v>
      </c>
      <c r="AK48" s="50" t="s">
        <v>91</v>
      </c>
      <c r="AL48" s="49" t="s">
        <v>5</v>
      </c>
      <c r="AM48" s="50" t="s">
        <v>78</v>
      </c>
      <c r="AN48" s="49"/>
      <c r="AO48" s="50"/>
      <c r="AP48" s="49" t="s">
        <v>5</v>
      </c>
      <c r="AQ48" s="50" t="s">
        <v>131</v>
      </c>
      <c r="AR48" s="49" t="s">
        <v>5</v>
      </c>
      <c r="AS48" s="50" t="s">
        <v>104</v>
      </c>
      <c r="AT48" s="49" t="s">
        <v>5</v>
      </c>
      <c r="AU48" s="50" t="s">
        <v>105</v>
      </c>
      <c r="AV48" s="49" t="s">
        <v>5</v>
      </c>
      <c r="AW48" s="50" t="s">
        <v>112</v>
      </c>
      <c r="AX48" s="49" t="s">
        <v>5</v>
      </c>
      <c r="AY48" s="50" t="s">
        <v>80</v>
      </c>
      <c r="AZ48" s="49" t="s">
        <v>5</v>
      </c>
      <c r="BA48" s="50" t="s">
        <v>152</v>
      </c>
      <c r="BB48" s="49" t="s">
        <v>5</v>
      </c>
      <c r="BC48" s="50" t="s">
        <v>153</v>
      </c>
      <c r="BD48" s="49" t="s">
        <v>1</v>
      </c>
      <c r="BE48" s="50" t="s">
        <v>154</v>
      </c>
      <c r="BF48" s="49" t="s">
        <v>5</v>
      </c>
      <c r="BG48" s="50" t="s">
        <v>103</v>
      </c>
    </row>
    <row r="49" spans="1:59" s="44" customFormat="1" x14ac:dyDescent="0.25">
      <c r="A49" s="24">
        <v>160182</v>
      </c>
      <c r="B49" s="25" t="s">
        <v>201</v>
      </c>
      <c r="C49" s="26" t="s">
        <v>129</v>
      </c>
      <c r="D49" s="27" t="s">
        <v>70</v>
      </c>
      <c r="E49" s="28" t="s">
        <v>14</v>
      </c>
      <c r="F49" s="25" t="s">
        <v>150</v>
      </c>
      <c r="G49" s="28" t="s">
        <v>87</v>
      </c>
      <c r="H49" s="28" t="s">
        <v>14</v>
      </c>
      <c r="I49" s="29" t="s">
        <v>14</v>
      </c>
      <c r="J49" s="28" t="s">
        <v>14</v>
      </c>
      <c r="K49" s="30" t="s">
        <v>1850</v>
      </c>
      <c r="L49" s="31" t="s">
        <v>1842</v>
      </c>
      <c r="M49" s="45" t="str">
        <f>IFERROR(VLOOKUP(A49,Lookups!#REF!,3,FALSE),"")</f>
        <v/>
      </c>
      <c r="N49" s="46">
        <v>37</v>
      </c>
      <c r="O49" s="47">
        <v>0</v>
      </c>
      <c r="P49" s="48">
        <v>0</v>
      </c>
      <c r="Q49" s="36">
        <v>100</v>
      </c>
      <c r="R49" s="37">
        <v>0</v>
      </c>
      <c r="S49" s="38">
        <f t="shared" si="0"/>
        <v>0</v>
      </c>
      <c r="T49" s="39">
        <f t="shared" si="1"/>
        <v>13</v>
      </c>
      <c r="U49" s="40">
        <f t="shared" si="2"/>
        <v>0</v>
      </c>
      <c r="V49" s="40">
        <f t="shared" si="3"/>
        <v>0</v>
      </c>
      <c r="W49" s="40">
        <f t="shared" si="4"/>
        <v>0</v>
      </c>
      <c r="X49" s="40">
        <f t="shared" si="8"/>
        <v>0</v>
      </c>
      <c r="Y49" s="40">
        <f t="shared" si="5"/>
        <v>0</v>
      </c>
      <c r="Z49" s="40">
        <f t="shared" si="6"/>
        <v>0</v>
      </c>
      <c r="AA49" s="40">
        <f t="shared" si="7"/>
        <v>0</v>
      </c>
      <c r="AB49" s="40">
        <f t="shared" si="9"/>
        <v>0</v>
      </c>
      <c r="AC49" s="41">
        <f t="shared" si="10"/>
        <v>0</v>
      </c>
      <c r="AD49" s="49" t="s">
        <v>5</v>
      </c>
      <c r="AE49" s="50" t="s">
        <v>89</v>
      </c>
      <c r="AF49" s="49" t="s">
        <v>5</v>
      </c>
      <c r="AG49" s="50" t="s">
        <v>73</v>
      </c>
      <c r="AH49" s="49"/>
      <c r="AI49" s="50"/>
      <c r="AJ49" s="49" t="s">
        <v>5</v>
      </c>
      <c r="AK49" s="50" t="s">
        <v>118</v>
      </c>
      <c r="AL49" s="49" t="s">
        <v>5</v>
      </c>
      <c r="AM49" s="50" t="s">
        <v>74</v>
      </c>
      <c r="AN49" s="49" t="s">
        <v>5</v>
      </c>
      <c r="AO49" s="50" t="s">
        <v>130</v>
      </c>
      <c r="AP49" s="49" t="s">
        <v>5</v>
      </c>
      <c r="AQ49" s="50" t="s">
        <v>131</v>
      </c>
      <c r="AR49" s="49" t="s">
        <v>5</v>
      </c>
      <c r="AS49" s="50" t="s">
        <v>132</v>
      </c>
      <c r="AT49" s="49" t="s">
        <v>5</v>
      </c>
      <c r="AU49" s="50" t="s">
        <v>105</v>
      </c>
      <c r="AV49" s="49" t="s">
        <v>5</v>
      </c>
      <c r="AW49" s="50" t="s">
        <v>79</v>
      </c>
      <c r="AX49" s="49" t="s">
        <v>5</v>
      </c>
      <c r="AY49" s="50" t="s">
        <v>80</v>
      </c>
      <c r="AZ49" s="49" t="s">
        <v>5</v>
      </c>
      <c r="BA49" s="50" t="s">
        <v>81</v>
      </c>
      <c r="BB49" s="49" t="s">
        <v>5</v>
      </c>
      <c r="BC49" s="50" t="s">
        <v>108</v>
      </c>
      <c r="BD49" s="49" t="s">
        <v>5</v>
      </c>
      <c r="BE49" s="50" t="s">
        <v>133</v>
      </c>
      <c r="BF49" s="49"/>
      <c r="BG49" s="50"/>
    </row>
    <row r="50" spans="1:59" s="44" customFormat="1" x14ac:dyDescent="0.25">
      <c r="A50" s="24">
        <v>160183</v>
      </c>
      <c r="B50" s="25" t="s">
        <v>202</v>
      </c>
      <c r="C50" s="26" t="s">
        <v>129</v>
      </c>
      <c r="D50" s="27" t="s">
        <v>70</v>
      </c>
      <c r="E50" s="28" t="s">
        <v>14</v>
      </c>
      <c r="F50" s="25" t="s">
        <v>71</v>
      </c>
      <c r="G50" s="28" t="s">
        <v>14</v>
      </c>
      <c r="H50" s="28" t="s">
        <v>14</v>
      </c>
      <c r="I50" s="29" t="s">
        <v>14</v>
      </c>
      <c r="J50" s="28" t="s">
        <v>4</v>
      </c>
      <c r="K50" s="30" t="s">
        <v>1850</v>
      </c>
      <c r="L50" s="31" t="s">
        <v>1847</v>
      </c>
      <c r="M50" s="45" t="str">
        <f>IFERROR(VLOOKUP(A50,Lookups!#REF!,3,FALSE),"")</f>
        <v/>
      </c>
      <c r="N50" s="46">
        <v>33</v>
      </c>
      <c r="O50" s="47">
        <v>0</v>
      </c>
      <c r="P50" s="48">
        <v>0</v>
      </c>
      <c r="Q50" s="36">
        <v>97.87</v>
      </c>
      <c r="R50" s="37">
        <v>1</v>
      </c>
      <c r="S50" s="38">
        <f t="shared" si="0"/>
        <v>0</v>
      </c>
      <c r="T50" s="39">
        <f t="shared" si="1"/>
        <v>13</v>
      </c>
      <c r="U50" s="40">
        <f t="shared" si="2"/>
        <v>0</v>
      </c>
      <c r="V50" s="40">
        <f t="shared" si="3"/>
        <v>0</v>
      </c>
      <c r="W50" s="40">
        <f t="shared" si="4"/>
        <v>0</v>
      </c>
      <c r="X50" s="40">
        <f t="shared" si="8"/>
        <v>0</v>
      </c>
      <c r="Y50" s="40">
        <f t="shared" si="5"/>
        <v>0</v>
      </c>
      <c r="Z50" s="40">
        <f t="shared" si="6"/>
        <v>0</v>
      </c>
      <c r="AA50" s="40">
        <f t="shared" si="7"/>
        <v>0</v>
      </c>
      <c r="AB50" s="40">
        <f t="shared" si="9"/>
        <v>0</v>
      </c>
      <c r="AC50" s="41">
        <f t="shared" si="10"/>
        <v>0</v>
      </c>
      <c r="AD50" s="49" t="s">
        <v>5</v>
      </c>
      <c r="AE50" s="50" t="s">
        <v>89</v>
      </c>
      <c r="AF50" s="49"/>
      <c r="AG50" s="50"/>
      <c r="AH50" s="49" t="s">
        <v>5</v>
      </c>
      <c r="AI50" s="50" t="s">
        <v>101</v>
      </c>
      <c r="AJ50" s="49" t="s">
        <v>5</v>
      </c>
      <c r="AK50" s="50" t="s">
        <v>118</v>
      </c>
      <c r="AL50" s="49" t="s">
        <v>5</v>
      </c>
      <c r="AM50" s="50" t="s">
        <v>74</v>
      </c>
      <c r="AN50" s="49" t="s">
        <v>5</v>
      </c>
      <c r="AO50" s="50" t="s">
        <v>130</v>
      </c>
      <c r="AP50" s="49" t="s">
        <v>5</v>
      </c>
      <c r="AQ50" s="50" t="s">
        <v>131</v>
      </c>
      <c r="AR50" s="49" t="s">
        <v>5</v>
      </c>
      <c r="AS50" s="50" t="s">
        <v>132</v>
      </c>
      <c r="AT50" s="49" t="s">
        <v>5</v>
      </c>
      <c r="AU50" s="50" t="s">
        <v>105</v>
      </c>
      <c r="AV50" s="49" t="s">
        <v>5</v>
      </c>
      <c r="AW50" s="50" t="s">
        <v>139</v>
      </c>
      <c r="AX50" s="49" t="s">
        <v>5</v>
      </c>
      <c r="AY50" s="50" t="s">
        <v>80</v>
      </c>
      <c r="AZ50" s="49" t="s">
        <v>5</v>
      </c>
      <c r="BA50" s="50" t="s">
        <v>81</v>
      </c>
      <c r="BB50" s="49" t="s">
        <v>5</v>
      </c>
      <c r="BC50" s="50" t="s">
        <v>108</v>
      </c>
      <c r="BD50" s="49" t="s">
        <v>5</v>
      </c>
      <c r="BE50" s="50" t="s">
        <v>133</v>
      </c>
      <c r="BF50" s="49"/>
      <c r="BG50" s="50"/>
    </row>
    <row r="51" spans="1:59" s="44" customFormat="1" x14ac:dyDescent="0.25">
      <c r="A51" s="24">
        <v>160184</v>
      </c>
      <c r="B51" s="25" t="s">
        <v>203</v>
      </c>
      <c r="C51" s="26" t="s">
        <v>149</v>
      </c>
      <c r="D51" s="27" t="s">
        <v>12</v>
      </c>
      <c r="E51" s="28" t="s">
        <v>14</v>
      </c>
      <c r="F51" s="25" t="s">
        <v>71</v>
      </c>
      <c r="G51" s="28" t="s">
        <v>14</v>
      </c>
      <c r="H51" s="28" t="s">
        <v>14</v>
      </c>
      <c r="I51" s="29" t="s">
        <v>14</v>
      </c>
      <c r="J51" s="28" t="s">
        <v>14</v>
      </c>
      <c r="K51" s="30" t="s">
        <v>1850</v>
      </c>
      <c r="L51" s="31" t="s">
        <v>1842</v>
      </c>
      <c r="M51" s="45" t="str">
        <f>IFERROR(VLOOKUP(A51,Lookups!#REF!,3,FALSE),"")</f>
        <v/>
      </c>
      <c r="N51" s="46">
        <v>27</v>
      </c>
      <c r="O51" s="47">
        <v>0</v>
      </c>
      <c r="P51" s="48">
        <v>0</v>
      </c>
      <c r="Q51" s="36">
        <v>100</v>
      </c>
      <c r="R51" s="37">
        <v>0</v>
      </c>
      <c r="S51" s="38">
        <f t="shared" si="0"/>
        <v>2</v>
      </c>
      <c r="T51" s="39">
        <f t="shared" si="1"/>
        <v>11</v>
      </c>
      <c r="U51" s="40">
        <f t="shared" si="2"/>
        <v>0</v>
      </c>
      <c r="V51" s="40">
        <f t="shared" si="3"/>
        <v>0</v>
      </c>
      <c r="W51" s="40">
        <f t="shared" si="4"/>
        <v>0</v>
      </c>
      <c r="X51" s="40">
        <f t="shared" si="8"/>
        <v>0</v>
      </c>
      <c r="Y51" s="40">
        <f t="shared" si="5"/>
        <v>0</v>
      </c>
      <c r="Z51" s="40">
        <f t="shared" si="6"/>
        <v>0</v>
      </c>
      <c r="AA51" s="40">
        <f t="shared" si="7"/>
        <v>0</v>
      </c>
      <c r="AB51" s="40">
        <f t="shared" si="9"/>
        <v>0</v>
      </c>
      <c r="AC51" s="41">
        <f t="shared" si="10"/>
        <v>0</v>
      </c>
      <c r="AD51" s="49" t="s">
        <v>5</v>
      </c>
      <c r="AE51" s="50" t="s">
        <v>116</v>
      </c>
      <c r="AF51" s="49" t="s">
        <v>5</v>
      </c>
      <c r="AG51" s="50" t="s">
        <v>135</v>
      </c>
      <c r="AH51" s="49"/>
      <c r="AI51" s="50"/>
      <c r="AJ51" s="49" t="s">
        <v>5</v>
      </c>
      <c r="AK51" s="50" t="s">
        <v>151</v>
      </c>
      <c r="AL51" s="49" t="s">
        <v>5</v>
      </c>
      <c r="AM51" s="50" t="s">
        <v>78</v>
      </c>
      <c r="AN51" s="49"/>
      <c r="AO51" s="50"/>
      <c r="AP51" s="49" t="s">
        <v>5</v>
      </c>
      <c r="AQ51" s="50" t="s">
        <v>131</v>
      </c>
      <c r="AR51" s="49" t="s">
        <v>5</v>
      </c>
      <c r="AS51" s="50" t="s">
        <v>104</v>
      </c>
      <c r="AT51" s="49" t="s">
        <v>5</v>
      </c>
      <c r="AU51" s="50" t="s">
        <v>105</v>
      </c>
      <c r="AV51" s="49" t="s">
        <v>1</v>
      </c>
      <c r="AW51" s="50" t="s">
        <v>112</v>
      </c>
      <c r="AX51" s="49" t="s">
        <v>1</v>
      </c>
      <c r="AY51" s="50" t="s">
        <v>80</v>
      </c>
      <c r="AZ51" s="49" t="s">
        <v>5</v>
      </c>
      <c r="BA51" s="50" t="s">
        <v>107</v>
      </c>
      <c r="BB51" s="49" t="s">
        <v>5</v>
      </c>
      <c r="BC51" s="50" t="s">
        <v>153</v>
      </c>
      <c r="BD51" s="49" t="s">
        <v>5</v>
      </c>
      <c r="BE51" s="50" t="s">
        <v>154</v>
      </c>
      <c r="BF51" s="49" t="s">
        <v>5</v>
      </c>
      <c r="BG51" s="50" t="s">
        <v>103</v>
      </c>
    </row>
    <row r="52" spans="1:59" s="44" customFormat="1" x14ac:dyDescent="0.25">
      <c r="A52" s="24">
        <v>160185</v>
      </c>
      <c r="B52" s="25" t="s">
        <v>204</v>
      </c>
      <c r="C52" s="26" t="s">
        <v>129</v>
      </c>
      <c r="D52" s="27" t="s">
        <v>12</v>
      </c>
      <c r="E52" s="28" t="s">
        <v>14</v>
      </c>
      <c r="F52" s="25" t="s">
        <v>71</v>
      </c>
      <c r="G52" s="28" t="s">
        <v>14</v>
      </c>
      <c r="H52" s="28" t="s">
        <v>14</v>
      </c>
      <c r="I52" s="29" t="s">
        <v>14</v>
      </c>
      <c r="J52" s="28" t="s">
        <v>14</v>
      </c>
      <c r="K52" s="30" t="s">
        <v>1850</v>
      </c>
      <c r="L52" s="31" t="s">
        <v>1842</v>
      </c>
      <c r="M52" s="45" t="str">
        <f>IFERROR(VLOOKUP(A52,Lookups!#REF!,3,FALSE),"")</f>
        <v/>
      </c>
      <c r="N52" s="46">
        <v>38</v>
      </c>
      <c r="O52" s="47">
        <v>0</v>
      </c>
      <c r="P52" s="48">
        <v>0</v>
      </c>
      <c r="Q52" s="36">
        <v>100</v>
      </c>
      <c r="R52" s="37">
        <v>0</v>
      </c>
      <c r="S52" s="38">
        <f t="shared" si="0"/>
        <v>1</v>
      </c>
      <c r="T52" s="39">
        <f t="shared" si="1"/>
        <v>12</v>
      </c>
      <c r="U52" s="40">
        <f t="shared" si="2"/>
        <v>0</v>
      </c>
      <c r="V52" s="40">
        <f t="shared" si="3"/>
        <v>0</v>
      </c>
      <c r="W52" s="40">
        <f t="shared" si="4"/>
        <v>0</v>
      </c>
      <c r="X52" s="40">
        <f t="shared" si="8"/>
        <v>0</v>
      </c>
      <c r="Y52" s="40">
        <f t="shared" si="5"/>
        <v>0</v>
      </c>
      <c r="Z52" s="40">
        <f t="shared" si="6"/>
        <v>0</v>
      </c>
      <c r="AA52" s="40">
        <f t="shared" si="7"/>
        <v>0</v>
      </c>
      <c r="AB52" s="40">
        <f t="shared" si="9"/>
        <v>0</v>
      </c>
      <c r="AC52" s="41">
        <f t="shared" si="10"/>
        <v>0</v>
      </c>
      <c r="AD52" s="49" t="s">
        <v>5</v>
      </c>
      <c r="AE52" s="50" t="s">
        <v>89</v>
      </c>
      <c r="AF52" s="49" t="s">
        <v>5</v>
      </c>
      <c r="AG52" s="50" t="s">
        <v>117</v>
      </c>
      <c r="AH52" s="49"/>
      <c r="AI52" s="50"/>
      <c r="AJ52" s="49" t="s">
        <v>5</v>
      </c>
      <c r="AK52" s="50" t="s">
        <v>118</v>
      </c>
      <c r="AL52" s="49" t="s">
        <v>5</v>
      </c>
      <c r="AM52" s="50" t="s">
        <v>74</v>
      </c>
      <c r="AN52" s="49" t="s">
        <v>5</v>
      </c>
      <c r="AO52" s="50" t="s">
        <v>130</v>
      </c>
      <c r="AP52" s="49" t="s">
        <v>5</v>
      </c>
      <c r="AQ52" s="50" t="s">
        <v>131</v>
      </c>
      <c r="AR52" s="49" t="s">
        <v>5</v>
      </c>
      <c r="AS52" s="50" t="s">
        <v>132</v>
      </c>
      <c r="AT52" s="49" t="s">
        <v>5</v>
      </c>
      <c r="AU52" s="50" t="s">
        <v>105</v>
      </c>
      <c r="AV52" s="49" t="s">
        <v>1</v>
      </c>
      <c r="AW52" s="50" t="s">
        <v>79</v>
      </c>
      <c r="AX52" s="49" t="s">
        <v>5</v>
      </c>
      <c r="AY52" s="50" t="s">
        <v>80</v>
      </c>
      <c r="AZ52" s="49" t="s">
        <v>5</v>
      </c>
      <c r="BA52" s="50" t="s">
        <v>107</v>
      </c>
      <c r="BB52" s="49" t="s">
        <v>5</v>
      </c>
      <c r="BC52" s="50" t="s">
        <v>108</v>
      </c>
      <c r="BD52" s="49" t="s">
        <v>5</v>
      </c>
      <c r="BE52" s="50" t="s">
        <v>133</v>
      </c>
      <c r="BF52" s="49"/>
      <c r="BG52" s="50"/>
    </row>
    <row r="53" spans="1:59" s="44" customFormat="1" x14ac:dyDescent="0.25">
      <c r="A53" s="24">
        <v>160186</v>
      </c>
      <c r="B53" s="25" t="s">
        <v>205</v>
      </c>
      <c r="C53" s="26" t="s">
        <v>100</v>
      </c>
      <c r="D53" s="27" t="s">
        <v>12</v>
      </c>
      <c r="E53" s="28" t="s">
        <v>14</v>
      </c>
      <c r="F53" s="25" t="s">
        <v>71</v>
      </c>
      <c r="G53" s="28" t="s">
        <v>14</v>
      </c>
      <c r="H53" s="28" t="s">
        <v>14</v>
      </c>
      <c r="I53" s="29" t="s">
        <v>14</v>
      </c>
      <c r="J53" s="28" t="s">
        <v>14</v>
      </c>
      <c r="K53" s="30" t="s">
        <v>1850</v>
      </c>
      <c r="L53" s="31" t="s">
        <v>1846</v>
      </c>
      <c r="M53" s="45" t="str">
        <f>IFERROR(VLOOKUP(A53,Lookups!#REF!,3,FALSE),"")</f>
        <v/>
      </c>
      <c r="N53" s="46">
        <v>22</v>
      </c>
      <c r="O53" s="47">
        <v>0</v>
      </c>
      <c r="P53" s="48">
        <v>0</v>
      </c>
      <c r="Q53" s="36">
        <v>97.87</v>
      </c>
      <c r="R53" s="37">
        <v>0</v>
      </c>
      <c r="S53" s="38">
        <f t="shared" si="0"/>
        <v>4</v>
      </c>
      <c r="T53" s="39">
        <f t="shared" si="1"/>
        <v>9</v>
      </c>
      <c r="U53" s="40">
        <f t="shared" si="2"/>
        <v>0</v>
      </c>
      <c r="V53" s="40">
        <f t="shared" si="3"/>
        <v>0</v>
      </c>
      <c r="W53" s="40">
        <f t="shared" si="4"/>
        <v>0</v>
      </c>
      <c r="X53" s="40">
        <f t="shared" si="8"/>
        <v>0</v>
      </c>
      <c r="Y53" s="40">
        <f t="shared" si="5"/>
        <v>0</v>
      </c>
      <c r="Z53" s="40">
        <f t="shared" si="6"/>
        <v>0</v>
      </c>
      <c r="AA53" s="40">
        <f t="shared" si="7"/>
        <v>0</v>
      </c>
      <c r="AB53" s="40">
        <f t="shared" si="9"/>
        <v>0</v>
      </c>
      <c r="AC53" s="41">
        <f t="shared" si="10"/>
        <v>0</v>
      </c>
      <c r="AD53" s="49" t="s">
        <v>5</v>
      </c>
      <c r="AE53" s="50" t="s">
        <v>72</v>
      </c>
      <c r="AF53" s="49"/>
      <c r="AG53" s="50"/>
      <c r="AH53" s="49" t="s">
        <v>5</v>
      </c>
      <c r="AI53" s="50" t="s">
        <v>101</v>
      </c>
      <c r="AJ53" s="49" t="s">
        <v>5</v>
      </c>
      <c r="AK53" s="50" t="s">
        <v>102</v>
      </c>
      <c r="AL53" s="49" t="s">
        <v>5</v>
      </c>
      <c r="AM53" s="50" t="s">
        <v>76</v>
      </c>
      <c r="AN53" s="49" t="s">
        <v>5</v>
      </c>
      <c r="AO53" s="50" t="s">
        <v>103</v>
      </c>
      <c r="AP53" s="49" t="s">
        <v>1</v>
      </c>
      <c r="AQ53" s="50" t="s">
        <v>92</v>
      </c>
      <c r="AR53" s="49" t="s">
        <v>5</v>
      </c>
      <c r="AS53" s="50" t="s">
        <v>104</v>
      </c>
      <c r="AT53" s="49" t="s">
        <v>5</v>
      </c>
      <c r="AU53" s="50" t="s">
        <v>105</v>
      </c>
      <c r="AV53" s="49" t="s">
        <v>1</v>
      </c>
      <c r="AW53" s="50" t="s">
        <v>136</v>
      </c>
      <c r="AX53" s="49" t="s">
        <v>1</v>
      </c>
      <c r="AY53" s="50" t="s">
        <v>80</v>
      </c>
      <c r="AZ53" s="49" t="s">
        <v>5</v>
      </c>
      <c r="BA53" s="50" t="s">
        <v>107</v>
      </c>
      <c r="BB53" s="49" t="s">
        <v>5</v>
      </c>
      <c r="BC53" s="50" t="s">
        <v>108</v>
      </c>
      <c r="BD53" s="49" t="s">
        <v>1</v>
      </c>
      <c r="BE53" s="50" t="s">
        <v>206</v>
      </c>
      <c r="BF53" s="49"/>
      <c r="BG53" s="50"/>
    </row>
    <row r="54" spans="1:59" s="44" customFormat="1" x14ac:dyDescent="0.25">
      <c r="A54" s="24">
        <v>160187</v>
      </c>
      <c r="B54" s="25" t="s">
        <v>207</v>
      </c>
      <c r="C54" s="26" t="s">
        <v>100</v>
      </c>
      <c r="D54" s="27" t="s">
        <v>70</v>
      </c>
      <c r="E54" s="28" t="s">
        <v>14</v>
      </c>
      <c r="F54" s="25"/>
      <c r="G54" s="28" t="s">
        <v>14</v>
      </c>
      <c r="H54" s="28" t="s">
        <v>14</v>
      </c>
      <c r="I54" s="29" t="s">
        <v>14</v>
      </c>
      <c r="J54" s="28" t="s">
        <v>14</v>
      </c>
      <c r="K54" s="30" t="s">
        <v>1850</v>
      </c>
      <c r="L54" s="31" t="s">
        <v>1842</v>
      </c>
      <c r="M54" s="45" t="str">
        <f>IFERROR(VLOOKUP(A54,Lookups!#REF!,3,FALSE),"")</f>
        <v/>
      </c>
      <c r="N54" s="46">
        <v>18</v>
      </c>
      <c r="O54" s="47">
        <v>0</v>
      </c>
      <c r="P54" s="48">
        <v>0</v>
      </c>
      <c r="Q54" s="36">
        <v>93.62</v>
      </c>
      <c r="R54" s="37">
        <v>1</v>
      </c>
      <c r="S54" s="38">
        <f t="shared" si="0"/>
        <v>1</v>
      </c>
      <c r="T54" s="39">
        <f t="shared" si="1"/>
        <v>12</v>
      </c>
      <c r="U54" s="40">
        <f t="shared" si="2"/>
        <v>0</v>
      </c>
      <c r="V54" s="40">
        <f t="shared" si="3"/>
        <v>0</v>
      </c>
      <c r="W54" s="40">
        <f t="shared" si="4"/>
        <v>0</v>
      </c>
      <c r="X54" s="40">
        <f t="shared" si="8"/>
        <v>0</v>
      </c>
      <c r="Y54" s="40">
        <f t="shared" si="5"/>
        <v>0</v>
      </c>
      <c r="Z54" s="40">
        <f t="shared" si="6"/>
        <v>0</v>
      </c>
      <c r="AA54" s="40">
        <f t="shared" si="7"/>
        <v>0</v>
      </c>
      <c r="AB54" s="40">
        <f t="shared" si="9"/>
        <v>0</v>
      </c>
      <c r="AC54" s="41">
        <f t="shared" si="10"/>
        <v>0</v>
      </c>
      <c r="AD54" s="49" t="s">
        <v>5</v>
      </c>
      <c r="AE54" s="50" t="s">
        <v>72</v>
      </c>
      <c r="AF54" s="49" t="s">
        <v>5</v>
      </c>
      <c r="AG54" s="50" t="s">
        <v>117</v>
      </c>
      <c r="AH54" s="49"/>
      <c r="AI54" s="50"/>
      <c r="AJ54" s="49" t="s">
        <v>5</v>
      </c>
      <c r="AK54" s="50" t="s">
        <v>102</v>
      </c>
      <c r="AL54" s="49" t="s">
        <v>5</v>
      </c>
      <c r="AM54" s="50" t="s">
        <v>76</v>
      </c>
      <c r="AN54" s="49" t="s">
        <v>5</v>
      </c>
      <c r="AO54" s="50" t="s">
        <v>103</v>
      </c>
      <c r="AP54" s="49" t="s">
        <v>5</v>
      </c>
      <c r="AQ54" s="50" t="s">
        <v>92</v>
      </c>
      <c r="AR54" s="49" t="s">
        <v>5</v>
      </c>
      <c r="AS54" s="50" t="s">
        <v>104</v>
      </c>
      <c r="AT54" s="49" t="s">
        <v>5</v>
      </c>
      <c r="AU54" s="50" t="s">
        <v>105</v>
      </c>
      <c r="AV54" s="49" t="s">
        <v>1</v>
      </c>
      <c r="AW54" s="50" t="s">
        <v>112</v>
      </c>
      <c r="AX54" s="49" t="s">
        <v>5</v>
      </c>
      <c r="AY54" s="50" t="s">
        <v>80</v>
      </c>
      <c r="AZ54" s="49" t="s">
        <v>5</v>
      </c>
      <c r="BA54" s="50" t="s">
        <v>121</v>
      </c>
      <c r="BB54" s="49" t="s">
        <v>5</v>
      </c>
      <c r="BC54" s="50" t="s">
        <v>108</v>
      </c>
      <c r="BD54" s="49" t="s">
        <v>5</v>
      </c>
      <c r="BE54" s="50" t="s">
        <v>206</v>
      </c>
      <c r="BF54" s="49"/>
      <c r="BG54" s="50"/>
    </row>
    <row r="55" spans="1:59" s="44" customFormat="1" x14ac:dyDescent="0.25">
      <c r="A55" s="24">
        <v>160188</v>
      </c>
      <c r="B55" s="25" t="s">
        <v>208</v>
      </c>
      <c r="C55" s="26" t="s">
        <v>100</v>
      </c>
      <c r="D55" s="27" t="s">
        <v>70</v>
      </c>
      <c r="E55" s="28" t="s">
        <v>14</v>
      </c>
      <c r="F55" s="25" t="s">
        <v>198</v>
      </c>
      <c r="G55" s="28" t="s">
        <v>14</v>
      </c>
      <c r="H55" s="28" t="s">
        <v>14</v>
      </c>
      <c r="I55" s="29" t="s">
        <v>14</v>
      </c>
      <c r="J55" s="28" t="s">
        <v>14</v>
      </c>
      <c r="K55" s="30" t="s">
        <v>1850</v>
      </c>
      <c r="L55" s="31" t="s">
        <v>1842</v>
      </c>
      <c r="M55" s="45" t="str">
        <f>IFERROR(VLOOKUP(A55,Lookups!#REF!,3,FALSE),"")</f>
        <v/>
      </c>
      <c r="N55" s="46">
        <v>19</v>
      </c>
      <c r="O55" s="47">
        <v>0</v>
      </c>
      <c r="P55" s="48">
        <v>0</v>
      </c>
      <c r="Q55" s="36">
        <v>100</v>
      </c>
      <c r="R55" s="37">
        <v>1</v>
      </c>
      <c r="S55" s="38">
        <f t="shared" si="0"/>
        <v>0</v>
      </c>
      <c r="T55" s="39">
        <f t="shared" si="1"/>
        <v>13</v>
      </c>
      <c r="U55" s="40">
        <f t="shared" si="2"/>
        <v>0</v>
      </c>
      <c r="V55" s="40">
        <f t="shared" si="3"/>
        <v>0</v>
      </c>
      <c r="W55" s="40">
        <f t="shared" si="4"/>
        <v>0</v>
      </c>
      <c r="X55" s="40">
        <f t="shared" si="8"/>
        <v>0</v>
      </c>
      <c r="Y55" s="40">
        <f t="shared" si="5"/>
        <v>0</v>
      </c>
      <c r="Z55" s="40">
        <f t="shared" si="6"/>
        <v>0</v>
      </c>
      <c r="AA55" s="40">
        <f t="shared" si="7"/>
        <v>0</v>
      </c>
      <c r="AB55" s="40">
        <f t="shared" si="9"/>
        <v>0</v>
      </c>
      <c r="AC55" s="41">
        <f t="shared" si="10"/>
        <v>0</v>
      </c>
      <c r="AD55" s="49" t="s">
        <v>5</v>
      </c>
      <c r="AE55" s="50" t="s">
        <v>72</v>
      </c>
      <c r="AF55" s="49" t="s">
        <v>5</v>
      </c>
      <c r="AG55" s="50" t="s">
        <v>135</v>
      </c>
      <c r="AH55" s="49"/>
      <c r="AI55" s="50"/>
      <c r="AJ55" s="49" t="s">
        <v>5</v>
      </c>
      <c r="AK55" s="50" t="s">
        <v>102</v>
      </c>
      <c r="AL55" s="49" t="s">
        <v>5</v>
      </c>
      <c r="AM55" s="50" t="s">
        <v>76</v>
      </c>
      <c r="AN55" s="49" t="s">
        <v>5</v>
      </c>
      <c r="AO55" s="50" t="s">
        <v>103</v>
      </c>
      <c r="AP55" s="49" t="s">
        <v>5</v>
      </c>
      <c r="AQ55" s="50" t="s">
        <v>92</v>
      </c>
      <c r="AR55" s="49" t="s">
        <v>5</v>
      </c>
      <c r="AS55" s="50" t="s">
        <v>104</v>
      </c>
      <c r="AT55" s="49" t="s">
        <v>5</v>
      </c>
      <c r="AU55" s="50" t="s">
        <v>105</v>
      </c>
      <c r="AV55" s="49" t="s">
        <v>5</v>
      </c>
      <c r="AW55" s="50" t="s">
        <v>112</v>
      </c>
      <c r="AX55" s="49" t="s">
        <v>5</v>
      </c>
      <c r="AY55" s="50" t="s">
        <v>80</v>
      </c>
      <c r="AZ55" s="49" t="s">
        <v>5</v>
      </c>
      <c r="BA55" s="50" t="s">
        <v>121</v>
      </c>
      <c r="BB55" s="49" t="s">
        <v>5</v>
      </c>
      <c r="BC55" s="50" t="s">
        <v>108</v>
      </c>
      <c r="BD55" s="49" t="s">
        <v>5</v>
      </c>
      <c r="BE55" s="50" t="s">
        <v>206</v>
      </c>
      <c r="BF55" s="49"/>
      <c r="BG55" s="50"/>
    </row>
    <row r="56" spans="1:59" s="44" customFormat="1" x14ac:dyDescent="0.25">
      <c r="A56" s="24">
        <v>160189</v>
      </c>
      <c r="B56" s="25" t="s">
        <v>209</v>
      </c>
      <c r="C56" s="26" t="s">
        <v>114</v>
      </c>
      <c r="D56" s="27" t="s">
        <v>70</v>
      </c>
      <c r="E56" s="28" t="s">
        <v>14</v>
      </c>
      <c r="F56" s="25" t="s">
        <v>71</v>
      </c>
      <c r="G56" s="28" t="s">
        <v>14</v>
      </c>
      <c r="H56" s="28" t="s">
        <v>14</v>
      </c>
      <c r="I56" s="29" t="s">
        <v>14</v>
      </c>
      <c r="J56" s="28" t="s">
        <v>14</v>
      </c>
      <c r="K56" s="30" t="s">
        <v>1850</v>
      </c>
      <c r="L56" s="31" t="s">
        <v>1846</v>
      </c>
      <c r="M56" s="45" t="str">
        <f>IFERROR(VLOOKUP(A56,Lookups!#REF!,3,FALSE),"")</f>
        <v/>
      </c>
      <c r="N56" s="46">
        <v>38</v>
      </c>
      <c r="O56" s="47">
        <v>0</v>
      </c>
      <c r="P56" s="48">
        <v>0</v>
      </c>
      <c r="Q56" s="36">
        <v>100</v>
      </c>
      <c r="R56" s="37">
        <v>0</v>
      </c>
      <c r="S56" s="38">
        <f t="shared" si="0"/>
        <v>1</v>
      </c>
      <c r="T56" s="39">
        <f t="shared" si="1"/>
        <v>12</v>
      </c>
      <c r="U56" s="40">
        <f t="shared" si="2"/>
        <v>0</v>
      </c>
      <c r="V56" s="40">
        <f t="shared" si="3"/>
        <v>0</v>
      </c>
      <c r="W56" s="40">
        <f t="shared" si="4"/>
        <v>0</v>
      </c>
      <c r="X56" s="40">
        <f t="shared" si="8"/>
        <v>0</v>
      </c>
      <c r="Y56" s="40">
        <f t="shared" si="5"/>
        <v>0</v>
      </c>
      <c r="Z56" s="40">
        <f t="shared" si="6"/>
        <v>0</v>
      </c>
      <c r="AA56" s="40">
        <f t="shared" si="7"/>
        <v>0</v>
      </c>
      <c r="AB56" s="40">
        <f t="shared" si="9"/>
        <v>0</v>
      </c>
      <c r="AC56" s="41">
        <f t="shared" si="10"/>
        <v>0</v>
      </c>
      <c r="AD56" s="49" t="s">
        <v>5</v>
      </c>
      <c r="AE56" s="50" t="s">
        <v>116</v>
      </c>
      <c r="AF56" s="49"/>
      <c r="AG56" s="50"/>
      <c r="AH56" s="49" t="s">
        <v>5</v>
      </c>
      <c r="AI56" s="50" t="s">
        <v>101</v>
      </c>
      <c r="AJ56" s="49" t="s">
        <v>5</v>
      </c>
      <c r="AK56" s="50" t="s">
        <v>118</v>
      </c>
      <c r="AL56" s="49" t="s">
        <v>5</v>
      </c>
      <c r="AM56" s="50" t="s">
        <v>112</v>
      </c>
      <c r="AN56" s="49"/>
      <c r="AO56" s="50"/>
      <c r="AP56" s="49" t="s">
        <v>5</v>
      </c>
      <c r="AQ56" s="50" t="s">
        <v>119</v>
      </c>
      <c r="AR56" s="49" t="s">
        <v>5</v>
      </c>
      <c r="AS56" s="50" t="s">
        <v>120</v>
      </c>
      <c r="AT56" s="49" t="s">
        <v>5</v>
      </c>
      <c r="AU56" s="50" t="s">
        <v>78</v>
      </c>
      <c r="AV56" s="49" t="s">
        <v>1</v>
      </c>
      <c r="AW56" s="50" t="s">
        <v>136</v>
      </c>
      <c r="AX56" s="49" t="s">
        <v>5</v>
      </c>
      <c r="AY56" s="50" t="s">
        <v>95</v>
      </c>
      <c r="AZ56" s="49" t="s">
        <v>5</v>
      </c>
      <c r="BA56" s="50" t="s">
        <v>121</v>
      </c>
      <c r="BB56" s="49" t="s">
        <v>5</v>
      </c>
      <c r="BC56" s="50" t="s">
        <v>122</v>
      </c>
      <c r="BD56" s="49" t="s">
        <v>5</v>
      </c>
      <c r="BE56" s="50" t="s">
        <v>137</v>
      </c>
      <c r="BF56" s="49" t="s">
        <v>5</v>
      </c>
      <c r="BG56" s="50" t="s">
        <v>124</v>
      </c>
    </row>
    <row r="57" spans="1:59" s="44" customFormat="1" x14ac:dyDescent="0.25">
      <c r="A57" s="24">
        <v>160190</v>
      </c>
      <c r="B57" s="25" t="s">
        <v>210</v>
      </c>
      <c r="C57" s="26" t="s">
        <v>69</v>
      </c>
      <c r="D57" s="27" t="s">
        <v>70</v>
      </c>
      <c r="E57" s="28" t="s">
        <v>87</v>
      </c>
      <c r="F57" s="25" t="s">
        <v>71</v>
      </c>
      <c r="G57" s="28" t="s">
        <v>14</v>
      </c>
      <c r="H57" s="28" t="s">
        <v>87</v>
      </c>
      <c r="I57" s="29" t="s">
        <v>14</v>
      </c>
      <c r="J57" s="28" t="s">
        <v>6</v>
      </c>
      <c r="K57" s="30" t="s">
        <v>1850</v>
      </c>
      <c r="L57" s="31" t="s">
        <v>1844</v>
      </c>
      <c r="M57" s="45" t="str">
        <f>IFERROR(VLOOKUP(A57,Lookups!#REF!,3,FALSE),"")</f>
        <v/>
      </c>
      <c r="N57" s="46">
        <v>17</v>
      </c>
      <c r="O57" s="47">
        <v>16</v>
      </c>
      <c r="P57" s="48">
        <v>1</v>
      </c>
      <c r="Q57" s="36">
        <v>95.83</v>
      </c>
      <c r="R57" s="37">
        <v>4</v>
      </c>
      <c r="S57" s="38">
        <f t="shared" si="0"/>
        <v>0</v>
      </c>
      <c r="T57" s="39">
        <f t="shared" si="1"/>
        <v>6</v>
      </c>
      <c r="U57" s="40">
        <f t="shared" si="2"/>
        <v>4</v>
      </c>
      <c r="V57" s="40">
        <f t="shared" si="3"/>
        <v>3</v>
      </c>
      <c r="W57" s="40">
        <f t="shared" si="4"/>
        <v>0</v>
      </c>
      <c r="X57" s="40">
        <f t="shared" si="8"/>
        <v>7</v>
      </c>
      <c r="Y57" s="40">
        <f t="shared" si="5"/>
        <v>0</v>
      </c>
      <c r="Z57" s="40">
        <f t="shared" si="6"/>
        <v>0</v>
      </c>
      <c r="AA57" s="40">
        <f t="shared" si="7"/>
        <v>0</v>
      </c>
      <c r="AB57" s="40">
        <f t="shared" si="9"/>
        <v>0</v>
      </c>
      <c r="AC57" s="41">
        <f t="shared" si="10"/>
        <v>0</v>
      </c>
      <c r="AD57" s="49" t="s">
        <v>31</v>
      </c>
      <c r="AE57" s="50" t="s">
        <v>72</v>
      </c>
      <c r="AF57" s="49" t="s">
        <v>5</v>
      </c>
      <c r="AG57" s="50" t="s">
        <v>73</v>
      </c>
      <c r="AH57" s="49"/>
      <c r="AI57" s="50"/>
      <c r="AJ57" s="49" t="s">
        <v>5</v>
      </c>
      <c r="AK57" s="50" t="s">
        <v>74</v>
      </c>
      <c r="AL57" s="49" t="s">
        <v>5</v>
      </c>
      <c r="AM57" s="50" t="s">
        <v>75</v>
      </c>
      <c r="AN57" s="49"/>
      <c r="AO57" s="50"/>
      <c r="AP57" s="49" t="s">
        <v>5</v>
      </c>
      <c r="AQ57" s="50" t="s">
        <v>131</v>
      </c>
      <c r="AR57" s="49" t="s">
        <v>31</v>
      </c>
      <c r="AS57" s="50" t="s">
        <v>120</v>
      </c>
      <c r="AT57" s="49" t="s">
        <v>31</v>
      </c>
      <c r="AU57" s="50" t="s">
        <v>78</v>
      </c>
      <c r="AV57" s="49" t="s">
        <v>30</v>
      </c>
      <c r="AW57" s="50" t="s">
        <v>106</v>
      </c>
      <c r="AX57" s="49" t="s">
        <v>5</v>
      </c>
      <c r="AY57" s="50" t="s">
        <v>80</v>
      </c>
      <c r="AZ57" s="49" t="s">
        <v>5</v>
      </c>
      <c r="BA57" s="50" t="s">
        <v>81</v>
      </c>
      <c r="BB57" s="49" t="s">
        <v>30</v>
      </c>
      <c r="BC57" s="50" t="s">
        <v>82</v>
      </c>
      <c r="BD57" s="49" t="s">
        <v>30</v>
      </c>
      <c r="BE57" s="50" t="s">
        <v>83</v>
      </c>
      <c r="BF57" s="49" t="s">
        <v>30</v>
      </c>
      <c r="BG57" s="50" t="s">
        <v>84</v>
      </c>
    </row>
    <row r="58" spans="1:59" s="44" customFormat="1" x14ac:dyDescent="0.25">
      <c r="A58" s="24">
        <v>160191</v>
      </c>
      <c r="B58" s="25" t="s">
        <v>211</v>
      </c>
      <c r="C58" s="26" t="s">
        <v>149</v>
      </c>
      <c r="D58" s="27" t="s">
        <v>70</v>
      </c>
      <c r="E58" s="28" t="s">
        <v>14</v>
      </c>
      <c r="F58" s="25" t="s">
        <v>71</v>
      </c>
      <c r="G58" s="28" t="s">
        <v>14</v>
      </c>
      <c r="H58" s="28" t="s">
        <v>14</v>
      </c>
      <c r="I58" s="29" t="s">
        <v>14</v>
      </c>
      <c r="J58" s="28" t="s">
        <v>14</v>
      </c>
      <c r="K58" s="30" t="s">
        <v>1850</v>
      </c>
      <c r="L58" s="31" t="s">
        <v>1845</v>
      </c>
      <c r="M58" s="45" t="str">
        <f>IFERROR(VLOOKUP(A58,Lookups!#REF!,3,FALSE),"")</f>
        <v/>
      </c>
      <c r="N58" s="46">
        <v>18</v>
      </c>
      <c r="O58" s="47">
        <v>0</v>
      </c>
      <c r="P58" s="48">
        <v>0</v>
      </c>
      <c r="Q58" s="36">
        <v>100</v>
      </c>
      <c r="R58" s="37">
        <v>6</v>
      </c>
      <c r="S58" s="38">
        <f t="shared" si="0"/>
        <v>3</v>
      </c>
      <c r="T58" s="39">
        <f t="shared" si="1"/>
        <v>10</v>
      </c>
      <c r="U58" s="40">
        <f t="shared" si="2"/>
        <v>0</v>
      </c>
      <c r="V58" s="40">
        <f t="shared" si="3"/>
        <v>0</v>
      </c>
      <c r="W58" s="40">
        <f t="shared" si="4"/>
        <v>0</v>
      </c>
      <c r="X58" s="40">
        <f t="shared" si="8"/>
        <v>0</v>
      </c>
      <c r="Y58" s="40">
        <f t="shared" si="5"/>
        <v>0</v>
      </c>
      <c r="Z58" s="40">
        <f t="shared" si="6"/>
        <v>0</v>
      </c>
      <c r="AA58" s="40">
        <f t="shared" si="7"/>
        <v>0</v>
      </c>
      <c r="AB58" s="40">
        <f t="shared" si="9"/>
        <v>0</v>
      </c>
      <c r="AC58" s="41">
        <f t="shared" si="10"/>
        <v>0</v>
      </c>
      <c r="AD58" s="49" t="s">
        <v>5</v>
      </c>
      <c r="AE58" s="50" t="s">
        <v>72</v>
      </c>
      <c r="AF58" s="49" t="s">
        <v>5</v>
      </c>
      <c r="AG58" s="50" t="s">
        <v>90</v>
      </c>
      <c r="AH58" s="49"/>
      <c r="AI58" s="50"/>
      <c r="AJ58" s="49" t="s">
        <v>5</v>
      </c>
      <c r="AK58" s="50" t="s">
        <v>91</v>
      </c>
      <c r="AL58" s="49" t="s">
        <v>1</v>
      </c>
      <c r="AM58" s="50" t="s">
        <v>78</v>
      </c>
      <c r="AN58" s="49"/>
      <c r="AO58" s="50"/>
      <c r="AP58" s="49" t="s">
        <v>5</v>
      </c>
      <c r="AQ58" s="50" t="s">
        <v>131</v>
      </c>
      <c r="AR58" s="49" t="s">
        <v>5</v>
      </c>
      <c r="AS58" s="50" t="s">
        <v>104</v>
      </c>
      <c r="AT58" s="49" t="s">
        <v>5</v>
      </c>
      <c r="AU58" s="50" t="s">
        <v>105</v>
      </c>
      <c r="AV58" s="49" t="s">
        <v>1</v>
      </c>
      <c r="AW58" s="50" t="s">
        <v>112</v>
      </c>
      <c r="AX58" s="49" t="s">
        <v>1</v>
      </c>
      <c r="AY58" s="50" t="s">
        <v>80</v>
      </c>
      <c r="AZ58" s="49" t="s">
        <v>5</v>
      </c>
      <c r="BA58" s="50" t="s">
        <v>152</v>
      </c>
      <c r="BB58" s="49" t="s">
        <v>5</v>
      </c>
      <c r="BC58" s="50" t="s">
        <v>153</v>
      </c>
      <c r="BD58" s="49" t="s">
        <v>5</v>
      </c>
      <c r="BE58" s="50" t="s">
        <v>154</v>
      </c>
      <c r="BF58" s="49" t="s">
        <v>5</v>
      </c>
      <c r="BG58" s="50" t="s">
        <v>103</v>
      </c>
    </row>
    <row r="59" spans="1:59" s="44" customFormat="1" x14ac:dyDescent="0.25">
      <c r="A59" s="24">
        <v>160192</v>
      </c>
      <c r="B59" s="25" t="s">
        <v>212</v>
      </c>
      <c r="C59" s="26" t="s">
        <v>162</v>
      </c>
      <c r="D59" s="27" t="s">
        <v>12</v>
      </c>
      <c r="E59" s="28" t="s">
        <v>14</v>
      </c>
      <c r="F59" s="25" t="s">
        <v>213</v>
      </c>
      <c r="G59" s="28" t="s">
        <v>87</v>
      </c>
      <c r="H59" s="28" t="s">
        <v>14</v>
      </c>
      <c r="I59" s="29" t="s">
        <v>14</v>
      </c>
      <c r="J59" s="28" t="s">
        <v>14</v>
      </c>
      <c r="K59" s="30" t="s">
        <v>1850</v>
      </c>
      <c r="L59" s="31" t="s">
        <v>1845</v>
      </c>
      <c r="M59" s="45" t="str">
        <f>IFERROR(VLOOKUP(A59,Lookups!#REF!,3,FALSE),"")</f>
        <v/>
      </c>
      <c r="N59" s="46">
        <v>24</v>
      </c>
      <c r="O59" s="47">
        <v>0</v>
      </c>
      <c r="P59" s="48">
        <v>0</v>
      </c>
      <c r="Q59" s="36">
        <v>85.42</v>
      </c>
      <c r="R59" s="37">
        <v>0</v>
      </c>
      <c r="S59" s="38">
        <f t="shared" si="0"/>
        <v>0</v>
      </c>
      <c r="T59" s="39">
        <f t="shared" si="1"/>
        <v>13</v>
      </c>
      <c r="U59" s="40">
        <f t="shared" si="2"/>
        <v>0</v>
      </c>
      <c r="V59" s="40">
        <f t="shared" si="3"/>
        <v>0</v>
      </c>
      <c r="W59" s="40">
        <f t="shared" si="4"/>
        <v>0</v>
      </c>
      <c r="X59" s="40">
        <f t="shared" si="8"/>
        <v>0</v>
      </c>
      <c r="Y59" s="40">
        <f t="shared" si="5"/>
        <v>0</v>
      </c>
      <c r="Z59" s="40">
        <f t="shared" si="6"/>
        <v>0</v>
      </c>
      <c r="AA59" s="40">
        <f t="shared" si="7"/>
        <v>0</v>
      </c>
      <c r="AB59" s="40">
        <f t="shared" si="9"/>
        <v>0</v>
      </c>
      <c r="AC59" s="41">
        <f t="shared" si="10"/>
        <v>0</v>
      </c>
      <c r="AD59" s="49" t="s">
        <v>5</v>
      </c>
      <c r="AE59" s="50" t="s">
        <v>72</v>
      </c>
      <c r="AF59" s="49" t="s">
        <v>5</v>
      </c>
      <c r="AG59" s="50" t="s">
        <v>135</v>
      </c>
      <c r="AH59" s="49"/>
      <c r="AI59" s="50"/>
      <c r="AJ59" s="49" t="s">
        <v>5</v>
      </c>
      <c r="AK59" s="50" t="s">
        <v>194</v>
      </c>
      <c r="AL59" s="49" t="s">
        <v>5</v>
      </c>
      <c r="AM59" s="50" t="s">
        <v>72</v>
      </c>
      <c r="AN59" s="49" t="s">
        <v>5</v>
      </c>
      <c r="AO59" s="50" t="s">
        <v>143</v>
      </c>
      <c r="AP59" s="49" t="s">
        <v>5</v>
      </c>
      <c r="AQ59" s="50" t="s">
        <v>144</v>
      </c>
      <c r="AR59" s="49" t="s">
        <v>5</v>
      </c>
      <c r="AS59" s="50" t="s">
        <v>104</v>
      </c>
      <c r="AT59" s="49" t="s">
        <v>5</v>
      </c>
      <c r="AU59" s="50" t="s">
        <v>163</v>
      </c>
      <c r="AV59" s="49" t="s">
        <v>5</v>
      </c>
      <c r="AW59" s="50" t="s">
        <v>94</v>
      </c>
      <c r="AX59" s="49" t="s">
        <v>5</v>
      </c>
      <c r="AY59" s="50" t="s">
        <v>95</v>
      </c>
      <c r="AZ59" s="49" t="s">
        <v>5</v>
      </c>
      <c r="BA59" s="50" t="s">
        <v>107</v>
      </c>
      <c r="BB59" s="49" t="s">
        <v>5</v>
      </c>
      <c r="BC59" s="50" t="s">
        <v>97</v>
      </c>
      <c r="BD59" s="49" t="s">
        <v>5</v>
      </c>
      <c r="BE59" s="50" t="s">
        <v>164</v>
      </c>
      <c r="BF59" s="49"/>
      <c r="BG59" s="50"/>
    </row>
    <row r="60" spans="1:59" s="44" customFormat="1" x14ac:dyDescent="0.25">
      <c r="A60" s="24">
        <v>160193</v>
      </c>
      <c r="B60" s="25" t="s">
        <v>214</v>
      </c>
      <c r="C60" s="26" t="s">
        <v>114</v>
      </c>
      <c r="D60" s="27" t="s">
        <v>12</v>
      </c>
      <c r="E60" s="28" t="s">
        <v>14</v>
      </c>
      <c r="F60" s="25" t="s">
        <v>71</v>
      </c>
      <c r="G60" s="28" t="s">
        <v>14</v>
      </c>
      <c r="H60" s="28" t="s">
        <v>14</v>
      </c>
      <c r="I60" s="29" t="s">
        <v>14</v>
      </c>
      <c r="J60" s="28" t="s">
        <v>6</v>
      </c>
      <c r="K60" s="30" t="s">
        <v>1850</v>
      </c>
      <c r="L60" s="31" t="s">
        <v>1845</v>
      </c>
      <c r="M60" s="45" t="str">
        <f>IFERROR(VLOOKUP(A60,Lookups!#REF!,3,FALSE),"")</f>
        <v/>
      </c>
      <c r="N60" s="46">
        <v>32</v>
      </c>
      <c r="O60" s="47">
        <v>0</v>
      </c>
      <c r="P60" s="48">
        <v>0</v>
      </c>
      <c r="Q60" s="36">
        <v>100</v>
      </c>
      <c r="R60" s="37">
        <v>0</v>
      </c>
      <c r="S60" s="38">
        <f t="shared" si="0"/>
        <v>2</v>
      </c>
      <c r="T60" s="39">
        <f t="shared" si="1"/>
        <v>11</v>
      </c>
      <c r="U60" s="40">
        <f t="shared" si="2"/>
        <v>0</v>
      </c>
      <c r="V60" s="40">
        <f t="shared" si="3"/>
        <v>0</v>
      </c>
      <c r="W60" s="40">
        <f t="shared" si="4"/>
        <v>0</v>
      </c>
      <c r="X60" s="40">
        <f t="shared" si="8"/>
        <v>0</v>
      </c>
      <c r="Y60" s="40">
        <f t="shared" si="5"/>
        <v>0</v>
      </c>
      <c r="Z60" s="40">
        <f t="shared" si="6"/>
        <v>0</v>
      </c>
      <c r="AA60" s="40">
        <f t="shared" si="7"/>
        <v>0</v>
      </c>
      <c r="AB60" s="40">
        <f t="shared" si="9"/>
        <v>0</v>
      </c>
      <c r="AC60" s="41">
        <f t="shared" si="10"/>
        <v>0</v>
      </c>
      <c r="AD60" s="49" t="s">
        <v>5</v>
      </c>
      <c r="AE60" s="50" t="s">
        <v>116</v>
      </c>
      <c r="AF60" s="49" t="s">
        <v>5</v>
      </c>
      <c r="AG60" s="50" t="s">
        <v>117</v>
      </c>
      <c r="AH60" s="49"/>
      <c r="AI60" s="50"/>
      <c r="AJ60" s="49" t="s">
        <v>5</v>
      </c>
      <c r="AK60" s="50" t="s">
        <v>118</v>
      </c>
      <c r="AL60" s="49" t="s">
        <v>5</v>
      </c>
      <c r="AM60" s="50" t="s">
        <v>112</v>
      </c>
      <c r="AN60" s="49"/>
      <c r="AO60" s="50"/>
      <c r="AP60" s="49" t="s">
        <v>5</v>
      </c>
      <c r="AQ60" s="50" t="s">
        <v>119</v>
      </c>
      <c r="AR60" s="49" t="s">
        <v>5</v>
      </c>
      <c r="AS60" s="50" t="s">
        <v>120</v>
      </c>
      <c r="AT60" s="49" t="s">
        <v>5</v>
      </c>
      <c r="AU60" s="50" t="s">
        <v>78</v>
      </c>
      <c r="AV60" s="49" t="s">
        <v>5</v>
      </c>
      <c r="AW60" s="50" t="s">
        <v>112</v>
      </c>
      <c r="AX60" s="49" t="s">
        <v>5</v>
      </c>
      <c r="AY60" s="50" t="s">
        <v>95</v>
      </c>
      <c r="AZ60" s="49" t="s">
        <v>1</v>
      </c>
      <c r="BA60" s="50" t="s">
        <v>96</v>
      </c>
      <c r="BB60" s="49" t="s">
        <v>1</v>
      </c>
      <c r="BC60" s="50" t="s">
        <v>122</v>
      </c>
      <c r="BD60" s="49" t="s">
        <v>5</v>
      </c>
      <c r="BE60" s="50" t="s">
        <v>137</v>
      </c>
      <c r="BF60" s="49" t="s">
        <v>5</v>
      </c>
      <c r="BG60" s="50" t="s">
        <v>124</v>
      </c>
    </row>
    <row r="61" spans="1:59" s="44" customFormat="1" x14ac:dyDescent="0.25">
      <c r="A61" s="24">
        <v>160194</v>
      </c>
      <c r="B61" s="25" t="s">
        <v>215</v>
      </c>
      <c r="C61" s="26" t="s">
        <v>69</v>
      </c>
      <c r="D61" s="27" t="s">
        <v>12</v>
      </c>
      <c r="E61" s="28" t="s">
        <v>14</v>
      </c>
      <c r="F61" s="25" t="s">
        <v>71</v>
      </c>
      <c r="G61" s="28" t="s">
        <v>14</v>
      </c>
      <c r="H61" s="28" t="s">
        <v>14</v>
      </c>
      <c r="I61" s="29" t="s">
        <v>14</v>
      </c>
      <c r="J61" s="28" t="s">
        <v>14</v>
      </c>
      <c r="K61" s="30" t="s">
        <v>1851</v>
      </c>
      <c r="L61" s="31" t="s">
        <v>1845</v>
      </c>
      <c r="M61" s="45" t="str">
        <f>IFERROR(VLOOKUP(A61,Lookups!#REF!,3,FALSE),"")</f>
        <v/>
      </c>
      <c r="N61" s="46">
        <v>26</v>
      </c>
      <c r="O61" s="47">
        <v>4</v>
      </c>
      <c r="P61" s="48">
        <v>0</v>
      </c>
      <c r="Q61" s="36">
        <v>100</v>
      </c>
      <c r="R61" s="37">
        <v>3</v>
      </c>
      <c r="S61" s="38">
        <f t="shared" si="0"/>
        <v>0</v>
      </c>
      <c r="T61" s="39">
        <f t="shared" si="1"/>
        <v>12</v>
      </c>
      <c r="U61" s="40">
        <f t="shared" si="2"/>
        <v>0</v>
      </c>
      <c r="V61" s="40">
        <f t="shared" si="3"/>
        <v>0</v>
      </c>
      <c r="W61" s="40">
        <f t="shared" si="4"/>
        <v>0</v>
      </c>
      <c r="X61" s="40">
        <f t="shared" si="8"/>
        <v>0</v>
      </c>
      <c r="Y61" s="40">
        <f t="shared" si="5"/>
        <v>0</v>
      </c>
      <c r="Z61" s="40">
        <f t="shared" si="6"/>
        <v>1</v>
      </c>
      <c r="AA61" s="40">
        <f t="shared" si="7"/>
        <v>0</v>
      </c>
      <c r="AB61" s="40">
        <f t="shared" si="9"/>
        <v>1</v>
      </c>
      <c r="AC61" s="41">
        <f t="shared" si="10"/>
        <v>0</v>
      </c>
      <c r="AD61" s="49" t="s">
        <v>5</v>
      </c>
      <c r="AE61" s="50" t="s">
        <v>116</v>
      </c>
      <c r="AF61" s="49"/>
      <c r="AG61" s="50"/>
      <c r="AH61" s="49" t="s">
        <v>5</v>
      </c>
      <c r="AI61" s="50" t="s">
        <v>101</v>
      </c>
      <c r="AJ61" s="49" t="s">
        <v>5</v>
      </c>
      <c r="AK61" s="50" t="s">
        <v>127</v>
      </c>
      <c r="AL61" s="49" t="s">
        <v>5</v>
      </c>
      <c r="AM61" s="50" t="s">
        <v>75</v>
      </c>
      <c r="AN61" s="49"/>
      <c r="AO61" s="50"/>
      <c r="AP61" s="49" t="s">
        <v>5</v>
      </c>
      <c r="AQ61" s="50" t="s">
        <v>131</v>
      </c>
      <c r="AR61" s="49" t="s">
        <v>5</v>
      </c>
      <c r="AS61" s="50" t="s">
        <v>77</v>
      </c>
      <c r="AT61" s="49" t="s">
        <v>5</v>
      </c>
      <c r="AU61" s="50" t="s">
        <v>78</v>
      </c>
      <c r="AV61" s="49" t="s">
        <v>5</v>
      </c>
      <c r="AW61" s="50" t="s">
        <v>106</v>
      </c>
      <c r="AX61" s="49" t="s">
        <v>5</v>
      </c>
      <c r="AY61" s="50" t="s">
        <v>80</v>
      </c>
      <c r="AZ61" s="49" t="s">
        <v>35</v>
      </c>
      <c r="BA61" s="50" t="s">
        <v>96</v>
      </c>
      <c r="BB61" s="49" t="s">
        <v>5</v>
      </c>
      <c r="BC61" s="50" t="s">
        <v>82</v>
      </c>
      <c r="BD61" s="49" t="s">
        <v>5</v>
      </c>
      <c r="BE61" s="50" t="s">
        <v>83</v>
      </c>
      <c r="BF61" s="49" t="s">
        <v>5</v>
      </c>
      <c r="BG61" s="50" t="s">
        <v>84</v>
      </c>
    </row>
    <row r="62" spans="1:59" s="44" customFormat="1" x14ac:dyDescent="0.25">
      <c r="A62" s="24">
        <v>160195</v>
      </c>
      <c r="B62" s="25" t="s">
        <v>216</v>
      </c>
      <c r="C62" s="26" t="s">
        <v>100</v>
      </c>
      <c r="D62" s="27" t="s">
        <v>12</v>
      </c>
      <c r="E62" s="28" t="s">
        <v>14</v>
      </c>
      <c r="F62" s="25" t="s">
        <v>71</v>
      </c>
      <c r="G62" s="28" t="s">
        <v>14</v>
      </c>
      <c r="H62" s="28" t="s">
        <v>14</v>
      </c>
      <c r="I62" s="29" t="s">
        <v>14</v>
      </c>
      <c r="J62" s="28" t="s">
        <v>14</v>
      </c>
      <c r="K62" s="30" t="s">
        <v>1850</v>
      </c>
      <c r="L62" s="31" t="s">
        <v>1841</v>
      </c>
      <c r="M62" s="45" t="str">
        <f>IFERROR(VLOOKUP(A62,Lookups!#REF!,3,FALSE),"")</f>
        <v/>
      </c>
      <c r="N62" s="46">
        <v>18</v>
      </c>
      <c r="O62" s="47">
        <v>1</v>
      </c>
      <c r="P62" s="48">
        <v>0</v>
      </c>
      <c r="Q62" s="36">
        <v>100</v>
      </c>
      <c r="R62" s="37">
        <v>0</v>
      </c>
      <c r="S62" s="38">
        <f t="shared" si="0"/>
        <v>1</v>
      </c>
      <c r="T62" s="39">
        <f t="shared" si="1"/>
        <v>12</v>
      </c>
      <c r="U62" s="40">
        <f t="shared" si="2"/>
        <v>0</v>
      </c>
      <c r="V62" s="40">
        <f t="shared" si="3"/>
        <v>0</v>
      </c>
      <c r="W62" s="40">
        <f t="shared" si="4"/>
        <v>0</v>
      </c>
      <c r="X62" s="40">
        <f t="shared" si="8"/>
        <v>0</v>
      </c>
      <c r="Y62" s="40">
        <f t="shared" si="5"/>
        <v>0</v>
      </c>
      <c r="Z62" s="40">
        <f t="shared" si="6"/>
        <v>0</v>
      </c>
      <c r="AA62" s="40">
        <f t="shared" si="7"/>
        <v>0</v>
      </c>
      <c r="AB62" s="40">
        <f t="shared" si="9"/>
        <v>0</v>
      </c>
      <c r="AC62" s="41">
        <f t="shared" si="10"/>
        <v>0</v>
      </c>
      <c r="AD62" s="49" t="s">
        <v>5</v>
      </c>
      <c r="AE62" s="50" t="s">
        <v>72</v>
      </c>
      <c r="AF62" s="49" t="s">
        <v>5</v>
      </c>
      <c r="AG62" s="50" t="s">
        <v>90</v>
      </c>
      <c r="AH62" s="49"/>
      <c r="AI62" s="50"/>
      <c r="AJ62" s="49" t="s">
        <v>5</v>
      </c>
      <c r="AK62" s="50" t="s">
        <v>102</v>
      </c>
      <c r="AL62" s="49" t="s">
        <v>5</v>
      </c>
      <c r="AM62" s="50" t="s">
        <v>76</v>
      </c>
      <c r="AN62" s="49" t="s">
        <v>5</v>
      </c>
      <c r="AO62" s="50" t="s">
        <v>103</v>
      </c>
      <c r="AP62" s="49" t="s">
        <v>5</v>
      </c>
      <c r="AQ62" s="50" t="s">
        <v>92</v>
      </c>
      <c r="AR62" s="49" t="s">
        <v>5</v>
      </c>
      <c r="AS62" s="50" t="s">
        <v>120</v>
      </c>
      <c r="AT62" s="49" t="s">
        <v>5</v>
      </c>
      <c r="AU62" s="50" t="s">
        <v>105</v>
      </c>
      <c r="AV62" s="49" t="s">
        <v>1</v>
      </c>
      <c r="AW62" s="50" t="s">
        <v>136</v>
      </c>
      <c r="AX62" s="49" t="s">
        <v>5</v>
      </c>
      <c r="AY62" s="50" t="s">
        <v>80</v>
      </c>
      <c r="AZ62" s="49" t="s">
        <v>5</v>
      </c>
      <c r="BA62" s="50" t="s">
        <v>107</v>
      </c>
      <c r="BB62" s="49" t="s">
        <v>5</v>
      </c>
      <c r="BC62" s="50" t="s">
        <v>108</v>
      </c>
      <c r="BD62" s="49" t="s">
        <v>5</v>
      </c>
      <c r="BE62" s="50" t="s">
        <v>109</v>
      </c>
      <c r="BF62" s="49"/>
      <c r="BG62" s="50"/>
    </row>
    <row r="63" spans="1:59" s="44" customFormat="1" x14ac:dyDescent="0.25">
      <c r="A63" s="24">
        <v>160196</v>
      </c>
      <c r="B63" s="25" t="s">
        <v>217</v>
      </c>
      <c r="C63" s="26" t="s">
        <v>149</v>
      </c>
      <c r="D63" s="27" t="s">
        <v>70</v>
      </c>
      <c r="E63" s="28" t="s">
        <v>14</v>
      </c>
      <c r="F63" s="25" t="s">
        <v>218</v>
      </c>
      <c r="G63" s="28" t="s">
        <v>87</v>
      </c>
      <c r="H63" s="28" t="s">
        <v>14</v>
      </c>
      <c r="I63" s="29" t="s">
        <v>14</v>
      </c>
      <c r="J63" s="28" t="s">
        <v>14</v>
      </c>
      <c r="K63" s="30" t="s">
        <v>1850</v>
      </c>
      <c r="L63" s="31" t="s">
        <v>1842</v>
      </c>
      <c r="M63" s="45" t="str">
        <f>IFERROR(VLOOKUP(A63,Lookups!#REF!,3,FALSE),"")</f>
        <v/>
      </c>
      <c r="N63" s="46">
        <v>21</v>
      </c>
      <c r="O63" s="47">
        <v>0</v>
      </c>
      <c r="P63" s="48">
        <v>0</v>
      </c>
      <c r="Q63" s="36">
        <v>100</v>
      </c>
      <c r="R63" s="37">
        <v>0</v>
      </c>
      <c r="S63" s="38">
        <f t="shared" si="0"/>
        <v>3</v>
      </c>
      <c r="T63" s="39">
        <f t="shared" si="1"/>
        <v>10</v>
      </c>
      <c r="U63" s="40">
        <f t="shared" si="2"/>
        <v>0</v>
      </c>
      <c r="V63" s="40">
        <f t="shared" si="3"/>
        <v>0</v>
      </c>
      <c r="W63" s="40">
        <f t="shared" si="4"/>
        <v>0</v>
      </c>
      <c r="X63" s="40">
        <f t="shared" si="8"/>
        <v>0</v>
      </c>
      <c r="Y63" s="40">
        <f t="shared" si="5"/>
        <v>0</v>
      </c>
      <c r="Z63" s="40">
        <f t="shared" si="6"/>
        <v>0</v>
      </c>
      <c r="AA63" s="40">
        <f t="shared" si="7"/>
        <v>0</v>
      </c>
      <c r="AB63" s="40">
        <f t="shared" si="9"/>
        <v>0</v>
      </c>
      <c r="AC63" s="41">
        <f t="shared" si="10"/>
        <v>0</v>
      </c>
      <c r="AD63" s="49" t="s">
        <v>5</v>
      </c>
      <c r="AE63" s="50" t="s">
        <v>72</v>
      </c>
      <c r="AF63" s="49" t="s">
        <v>5</v>
      </c>
      <c r="AG63" s="50" t="s">
        <v>73</v>
      </c>
      <c r="AH63" s="49"/>
      <c r="AI63" s="50"/>
      <c r="AJ63" s="49" t="s">
        <v>5</v>
      </c>
      <c r="AK63" s="50" t="s">
        <v>151</v>
      </c>
      <c r="AL63" s="49" t="s">
        <v>5</v>
      </c>
      <c r="AM63" s="50" t="s">
        <v>78</v>
      </c>
      <c r="AN63" s="49"/>
      <c r="AO63" s="50"/>
      <c r="AP63" s="49" t="s">
        <v>5</v>
      </c>
      <c r="AQ63" s="50" t="s">
        <v>131</v>
      </c>
      <c r="AR63" s="49" t="s">
        <v>1</v>
      </c>
      <c r="AS63" s="50" t="s">
        <v>104</v>
      </c>
      <c r="AT63" s="49" t="s">
        <v>5</v>
      </c>
      <c r="AU63" s="50" t="s">
        <v>105</v>
      </c>
      <c r="AV63" s="49" t="s">
        <v>1</v>
      </c>
      <c r="AW63" s="50" t="s">
        <v>79</v>
      </c>
      <c r="AX63" s="49" t="s">
        <v>5</v>
      </c>
      <c r="AY63" s="50" t="s">
        <v>80</v>
      </c>
      <c r="AZ63" s="49" t="s">
        <v>5</v>
      </c>
      <c r="BA63" s="50" t="s">
        <v>152</v>
      </c>
      <c r="BB63" s="49" t="s">
        <v>5</v>
      </c>
      <c r="BC63" s="50" t="s">
        <v>153</v>
      </c>
      <c r="BD63" s="49" t="s">
        <v>1</v>
      </c>
      <c r="BE63" s="50" t="s">
        <v>154</v>
      </c>
      <c r="BF63" s="49" t="s">
        <v>5</v>
      </c>
      <c r="BG63" s="50" t="s">
        <v>103</v>
      </c>
    </row>
    <row r="64" spans="1:59" s="44" customFormat="1" x14ac:dyDescent="0.25">
      <c r="A64" s="24">
        <v>160197</v>
      </c>
      <c r="B64" s="25" t="s">
        <v>219</v>
      </c>
      <c r="C64" s="26" t="s">
        <v>69</v>
      </c>
      <c r="D64" s="27" t="s">
        <v>70</v>
      </c>
      <c r="E64" s="28" t="s">
        <v>14</v>
      </c>
      <c r="F64" s="25" t="s">
        <v>220</v>
      </c>
      <c r="G64" s="28" t="s">
        <v>14</v>
      </c>
      <c r="H64" s="28" t="s">
        <v>14</v>
      </c>
      <c r="I64" s="29" t="s">
        <v>14</v>
      </c>
      <c r="J64" s="28" t="s">
        <v>14</v>
      </c>
      <c r="K64" s="30" t="s">
        <v>1850</v>
      </c>
      <c r="L64" s="31" t="s">
        <v>1842</v>
      </c>
      <c r="M64" s="45" t="str">
        <f>IFERROR(VLOOKUP(A64,Lookups!#REF!,3,FALSE),"")</f>
        <v/>
      </c>
      <c r="N64" s="46">
        <v>20</v>
      </c>
      <c r="O64" s="47">
        <v>0</v>
      </c>
      <c r="P64" s="48">
        <v>0</v>
      </c>
      <c r="Q64" s="36">
        <v>87.5</v>
      </c>
      <c r="R64" s="37">
        <v>0</v>
      </c>
      <c r="S64" s="38">
        <f t="shared" si="0"/>
        <v>0</v>
      </c>
      <c r="T64" s="39">
        <f t="shared" si="1"/>
        <v>13</v>
      </c>
      <c r="U64" s="40">
        <f t="shared" si="2"/>
        <v>0</v>
      </c>
      <c r="V64" s="40">
        <f t="shared" si="3"/>
        <v>0</v>
      </c>
      <c r="W64" s="40">
        <f t="shared" si="4"/>
        <v>0</v>
      </c>
      <c r="X64" s="40">
        <f t="shared" si="8"/>
        <v>0</v>
      </c>
      <c r="Y64" s="40">
        <f t="shared" si="5"/>
        <v>0</v>
      </c>
      <c r="Z64" s="40">
        <f t="shared" si="6"/>
        <v>0</v>
      </c>
      <c r="AA64" s="40">
        <f t="shared" si="7"/>
        <v>0</v>
      </c>
      <c r="AB64" s="40">
        <f t="shared" si="9"/>
        <v>0</v>
      </c>
      <c r="AC64" s="41">
        <f t="shared" si="10"/>
        <v>0</v>
      </c>
      <c r="AD64" s="49" t="s">
        <v>5</v>
      </c>
      <c r="AE64" s="50" t="s">
        <v>72</v>
      </c>
      <c r="AF64" s="49" t="s">
        <v>5</v>
      </c>
      <c r="AG64" s="50" t="s">
        <v>117</v>
      </c>
      <c r="AH64" s="49"/>
      <c r="AI64" s="50"/>
      <c r="AJ64" s="49" t="s">
        <v>5</v>
      </c>
      <c r="AK64" s="50" t="s">
        <v>127</v>
      </c>
      <c r="AL64" s="49" t="s">
        <v>5</v>
      </c>
      <c r="AM64" s="50" t="s">
        <v>75</v>
      </c>
      <c r="AN64" s="49"/>
      <c r="AO64" s="50"/>
      <c r="AP64" s="49" t="s">
        <v>5</v>
      </c>
      <c r="AQ64" s="50" t="s">
        <v>131</v>
      </c>
      <c r="AR64" s="49" t="s">
        <v>5</v>
      </c>
      <c r="AS64" s="50" t="s">
        <v>77</v>
      </c>
      <c r="AT64" s="49" t="s">
        <v>5</v>
      </c>
      <c r="AU64" s="50" t="s">
        <v>78</v>
      </c>
      <c r="AV64" s="49" t="s">
        <v>5</v>
      </c>
      <c r="AW64" s="50" t="s">
        <v>94</v>
      </c>
      <c r="AX64" s="49" t="s">
        <v>5</v>
      </c>
      <c r="AY64" s="50" t="s">
        <v>80</v>
      </c>
      <c r="AZ64" s="49" t="s">
        <v>5</v>
      </c>
      <c r="BA64" s="50" t="s">
        <v>81</v>
      </c>
      <c r="BB64" s="49" t="s">
        <v>5</v>
      </c>
      <c r="BC64" s="50" t="s">
        <v>82</v>
      </c>
      <c r="BD64" s="49" t="s">
        <v>5</v>
      </c>
      <c r="BE64" s="50" t="s">
        <v>83</v>
      </c>
      <c r="BF64" s="49" t="s">
        <v>5</v>
      </c>
      <c r="BG64" s="50" t="s">
        <v>84</v>
      </c>
    </row>
    <row r="65" spans="1:59" s="44" customFormat="1" x14ac:dyDescent="0.25">
      <c r="A65" s="24">
        <v>160198</v>
      </c>
      <c r="B65" s="25" t="s">
        <v>221</v>
      </c>
      <c r="C65" s="26" t="s">
        <v>162</v>
      </c>
      <c r="D65" s="27" t="s">
        <v>70</v>
      </c>
      <c r="E65" s="28" t="s">
        <v>87</v>
      </c>
      <c r="F65" s="25" t="s">
        <v>88</v>
      </c>
      <c r="G65" s="28" t="s">
        <v>87</v>
      </c>
      <c r="H65" s="28" t="s">
        <v>87</v>
      </c>
      <c r="I65" s="29" t="s">
        <v>14</v>
      </c>
      <c r="J65" s="28" t="s">
        <v>14</v>
      </c>
      <c r="K65" s="30" t="s">
        <v>1850</v>
      </c>
      <c r="L65" s="31" t="s">
        <v>1842</v>
      </c>
      <c r="M65" s="45" t="str">
        <f>IFERROR(VLOOKUP(A65,Lookups!#REF!,3,FALSE),"")</f>
        <v/>
      </c>
      <c r="N65" s="46">
        <v>23</v>
      </c>
      <c r="O65" s="47">
        <v>0</v>
      </c>
      <c r="P65" s="48">
        <v>0</v>
      </c>
      <c r="Q65" s="36">
        <v>95.83</v>
      </c>
      <c r="R65" s="37">
        <v>1</v>
      </c>
      <c r="S65" s="38">
        <f t="shared" si="0"/>
        <v>0</v>
      </c>
      <c r="T65" s="39">
        <f t="shared" si="1"/>
        <v>13</v>
      </c>
      <c r="U65" s="40">
        <f t="shared" si="2"/>
        <v>0</v>
      </c>
      <c r="V65" s="40">
        <f t="shared" si="3"/>
        <v>0</v>
      </c>
      <c r="W65" s="40">
        <f t="shared" si="4"/>
        <v>0</v>
      </c>
      <c r="X65" s="40">
        <f t="shared" si="8"/>
        <v>0</v>
      </c>
      <c r="Y65" s="40">
        <f t="shared" si="5"/>
        <v>0</v>
      </c>
      <c r="Z65" s="40">
        <f t="shared" si="6"/>
        <v>0</v>
      </c>
      <c r="AA65" s="40">
        <f t="shared" si="7"/>
        <v>0</v>
      </c>
      <c r="AB65" s="40">
        <f t="shared" si="9"/>
        <v>0</v>
      </c>
      <c r="AC65" s="41">
        <f t="shared" si="10"/>
        <v>0</v>
      </c>
      <c r="AD65" s="49" t="s">
        <v>5</v>
      </c>
      <c r="AE65" s="50" t="s">
        <v>72</v>
      </c>
      <c r="AF65" s="49" t="s">
        <v>5</v>
      </c>
      <c r="AG65" s="50" t="s">
        <v>90</v>
      </c>
      <c r="AH65" s="49"/>
      <c r="AI65" s="50"/>
      <c r="AJ65" s="49" t="s">
        <v>5</v>
      </c>
      <c r="AK65" s="50" t="s">
        <v>194</v>
      </c>
      <c r="AL65" s="49" t="s">
        <v>5</v>
      </c>
      <c r="AM65" s="50" t="s">
        <v>72</v>
      </c>
      <c r="AN65" s="49" t="s">
        <v>5</v>
      </c>
      <c r="AO65" s="50" t="s">
        <v>143</v>
      </c>
      <c r="AP65" s="49" t="s">
        <v>5</v>
      </c>
      <c r="AQ65" s="50" t="s">
        <v>144</v>
      </c>
      <c r="AR65" s="49" t="s">
        <v>5</v>
      </c>
      <c r="AS65" s="50" t="s">
        <v>104</v>
      </c>
      <c r="AT65" s="49" t="s">
        <v>5</v>
      </c>
      <c r="AU65" s="50" t="s">
        <v>163</v>
      </c>
      <c r="AV65" s="49" t="s">
        <v>5</v>
      </c>
      <c r="AW65" s="50" t="s">
        <v>112</v>
      </c>
      <c r="AX65" s="49" t="s">
        <v>5</v>
      </c>
      <c r="AY65" s="50" t="s">
        <v>95</v>
      </c>
      <c r="AZ65" s="49" t="s">
        <v>5</v>
      </c>
      <c r="BA65" s="50" t="s">
        <v>81</v>
      </c>
      <c r="BB65" s="49" t="s">
        <v>5</v>
      </c>
      <c r="BC65" s="50" t="s">
        <v>97</v>
      </c>
      <c r="BD65" s="49" t="s">
        <v>5</v>
      </c>
      <c r="BE65" s="50" t="s">
        <v>164</v>
      </c>
      <c r="BF65" s="49"/>
      <c r="BG65" s="50"/>
    </row>
    <row r="66" spans="1:59" s="44" customFormat="1" x14ac:dyDescent="0.25">
      <c r="A66" s="24">
        <v>160200</v>
      </c>
      <c r="B66" s="25" t="s">
        <v>222</v>
      </c>
      <c r="C66" s="26" t="s">
        <v>100</v>
      </c>
      <c r="D66" s="27" t="s">
        <v>70</v>
      </c>
      <c r="E66" s="28" t="s">
        <v>87</v>
      </c>
      <c r="F66" s="25" t="s">
        <v>223</v>
      </c>
      <c r="G66" s="28" t="s">
        <v>87</v>
      </c>
      <c r="H66" s="28" t="s">
        <v>87</v>
      </c>
      <c r="I66" s="29" t="s">
        <v>14</v>
      </c>
      <c r="J66" s="28" t="s">
        <v>14</v>
      </c>
      <c r="K66" s="30" t="s">
        <v>1850</v>
      </c>
      <c r="L66" s="31" t="s">
        <v>1841</v>
      </c>
      <c r="M66" s="45" t="str">
        <f>IFERROR(VLOOKUP(A66,Lookups!#REF!,3,FALSE),"")</f>
        <v/>
      </c>
      <c r="N66" s="46">
        <v>17</v>
      </c>
      <c r="O66" s="47">
        <v>0</v>
      </c>
      <c r="P66" s="48">
        <v>0</v>
      </c>
      <c r="Q66" s="36">
        <v>100</v>
      </c>
      <c r="R66" s="37">
        <v>0</v>
      </c>
      <c r="S66" s="38">
        <f t="shared" ref="S66:S129" si="11">COUNTIF($AD66:$BK66,"Outstanding")</f>
        <v>2</v>
      </c>
      <c r="T66" s="39">
        <f t="shared" ref="T66:T129" si="12">COUNTIF($AD66:$BK66,"Good")</f>
        <v>11</v>
      </c>
      <c r="U66" s="40">
        <f t="shared" ref="U66:U129" si="13">COUNTIF($AD66:$BK66,"N2Improve - Engagement")</f>
        <v>0</v>
      </c>
      <c r="V66" s="40">
        <f t="shared" ref="V66:V129" si="14">COUNTIF($AD66:$BK66,"N2Improve - Community Conduct")</f>
        <v>0</v>
      </c>
      <c r="W66" s="40">
        <f t="shared" ref="W66:W129" si="15">COUNTIF($AD66:$BK66,"N2Improve - Personal Org.")</f>
        <v>0</v>
      </c>
      <c r="X66" s="40">
        <f t="shared" si="8"/>
        <v>0</v>
      </c>
      <c r="Y66" s="40">
        <f t="shared" ref="Y66:Y129" si="16">COUNTIF($AD66:$BK66,"Serious Conc - Engagement")</f>
        <v>0</v>
      </c>
      <c r="Z66" s="40">
        <f t="shared" ref="Z66:Z129" si="17">COUNTIF($AD66:$BK66,"Serious Conc - Comm. Concern")</f>
        <v>0</v>
      </c>
      <c r="AA66" s="40">
        <f t="shared" ref="AA66:AA129" si="18">COUNTIF($AD66:$BK66,"Serious Conc - Personal Org.")</f>
        <v>0</v>
      </c>
      <c r="AB66" s="40">
        <f t="shared" si="9"/>
        <v>0</v>
      </c>
      <c r="AC66" s="41">
        <f t="shared" si="10"/>
        <v>0</v>
      </c>
      <c r="AD66" s="49" t="s">
        <v>5</v>
      </c>
      <c r="AE66" s="50" t="s">
        <v>72</v>
      </c>
      <c r="AF66" s="49" t="s">
        <v>5</v>
      </c>
      <c r="AG66" s="50" t="s">
        <v>73</v>
      </c>
      <c r="AH66" s="49"/>
      <c r="AI66" s="50"/>
      <c r="AJ66" s="49" t="s">
        <v>5</v>
      </c>
      <c r="AK66" s="50" t="s">
        <v>102</v>
      </c>
      <c r="AL66" s="49" t="s">
        <v>5</v>
      </c>
      <c r="AM66" s="50" t="s">
        <v>76</v>
      </c>
      <c r="AN66" s="49" t="s">
        <v>5</v>
      </c>
      <c r="AO66" s="50" t="s">
        <v>103</v>
      </c>
      <c r="AP66" s="49" t="s">
        <v>5</v>
      </c>
      <c r="AQ66" s="50" t="s">
        <v>92</v>
      </c>
      <c r="AR66" s="49" t="s">
        <v>5</v>
      </c>
      <c r="AS66" s="50" t="s">
        <v>120</v>
      </c>
      <c r="AT66" s="49" t="s">
        <v>5</v>
      </c>
      <c r="AU66" s="50" t="s">
        <v>105</v>
      </c>
      <c r="AV66" s="49" t="s">
        <v>1</v>
      </c>
      <c r="AW66" s="50" t="s">
        <v>136</v>
      </c>
      <c r="AX66" s="49" t="s">
        <v>5</v>
      </c>
      <c r="AY66" s="50" t="s">
        <v>80</v>
      </c>
      <c r="AZ66" s="49" t="s">
        <v>5</v>
      </c>
      <c r="BA66" s="50" t="s">
        <v>121</v>
      </c>
      <c r="BB66" s="49" t="s">
        <v>5</v>
      </c>
      <c r="BC66" s="50" t="s">
        <v>108</v>
      </c>
      <c r="BD66" s="49" t="s">
        <v>1</v>
      </c>
      <c r="BE66" s="50" t="s">
        <v>109</v>
      </c>
      <c r="BF66" s="49"/>
      <c r="BG66" s="50"/>
    </row>
    <row r="67" spans="1:59" s="44" customFormat="1" x14ac:dyDescent="0.25">
      <c r="A67" s="24">
        <v>160201</v>
      </c>
      <c r="B67" s="25" t="s">
        <v>224</v>
      </c>
      <c r="C67" s="26" t="s">
        <v>168</v>
      </c>
      <c r="D67" s="27" t="s">
        <v>12</v>
      </c>
      <c r="E67" s="28" t="s">
        <v>14</v>
      </c>
      <c r="F67" s="25" t="s">
        <v>71</v>
      </c>
      <c r="G67" s="28" t="s">
        <v>14</v>
      </c>
      <c r="H67" s="28" t="s">
        <v>14</v>
      </c>
      <c r="I67" s="29" t="s">
        <v>14</v>
      </c>
      <c r="J67" s="28" t="s">
        <v>14</v>
      </c>
      <c r="K67" s="30" t="s">
        <v>1850</v>
      </c>
      <c r="L67" s="31" t="s">
        <v>1842</v>
      </c>
      <c r="M67" s="45" t="str">
        <f>IFERROR(VLOOKUP(A67,Lookups!#REF!,3,FALSE),"")</f>
        <v/>
      </c>
      <c r="N67" s="46">
        <v>27</v>
      </c>
      <c r="O67" s="47">
        <v>0</v>
      </c>
      <c r="P67" s="48">
        <v>1</v>
      </c>
      <c r="Q67" s="36">
        <v>100</v>
      </c>
      <c r="R67" s="37">
        <v>0</v>
      </c>
      <c r="S67" s="38">
        <f t="shared" si="11"/>
        <v>2</v>
      </c>
      <c r="T67" s="39">
        <f t="shared" si="12"/>
        <v>11</v>
      </c>
      <c r="U67" s="40">
        <f t="shared" si="13"/>
        <v>0</v>
      </c>
      <c r="V67" s="40">
        <f t="shared" si="14"/>
        <v>0</v>
      </c>
      <c r="W67" s="40">
        <f t="shared" si="15"/>
        <v>0</v>
      </c>
      <c r="X67" s="40">
        <f t="shared" ref="X67:X130" si="19">SUM(U67:W67)</f>
        <v>0</v>
      </c>
      <c r="Y67" s="40">
        <f t="shared" si="16"/>
        <v>0</v>
      </c>
      <c r="Z67" s="40">
        <f t="shared" si="17"/>
        <v>0</v>
      </c>
      <c r="AA67" s="40">
        <f t="shared" si="18"/>
        <v>0</v>
      </c>
      <c r="AB67" s="40">
        <f t="shared" ref="AB67:AB130" si="20">SUM(Y67:AA67)</f>
        <v>0</v>
      </c>
      <c r="AC67" s="41">
        <f t="shared" ref="AC67:AC130" si="21">COUNTIF(AD67:BG67,"*still*")</f>
        <v>0</v>
      </c>
      <c r="AD67" s="49" t="s">
        <v>5</v>
      </c>
      <c r="AE67" s="50" t="s">
        <v>116</v>
      </c>
      <c r="AF67" s="49" t="s">
        <v>5</v>
      </c>
      <c r="AG67" s="50" t="s">
        <v>135</v>
      </c>
      <c r="AH67" s="49"/>
      <c r="AI67" s="50"/>
      <c r="AJ67" s="49" t="s">
        <v>5</v>
      </c>
      <c r="AK67" s="50" t="s">
        <v>169</v>
      </c>
      <c r="AL67" s="49" t="s">
        <v>5</v>
      </c>
      <c r="AM67" s="50" t="s">
        <v>170</v>
      </c>
      <c r="AN67" s="49" t="s">
        <v>5</v>
      </c>
      <c r="AO67" s="50" t="s">
        <v>75</v>
      </c>
      <c r="AP67" s="49" t="s">
        <v>5</v>
      </c>
      <c r="AQ67" s="50" t="s">
        <v>131</v>
      </c>
      <c r="AR67" s="49" t="s">
        <v>5</v>
      </c>
      <c r="AS67" s="50" t="s">
        <v>120</v>
      </c>
      <c r="AT67" s="49" t="s">
        <v>5</v>
      </c>
      <c r="AU67" s="50" t="s">
        <v>78</v>
      </c>
      <c r="AV67" s="49" t="s">
        <v>1</v>
      </c>
      <c r="AW67" s="50" t="s">
        <v>112</v>
      </c>
      <c r="AX67" s="49" t="s">
        <v>5</v>
      </c>
      <c r="AY67" s="50" t="s">
        <v>95</v>
      </c>
      <c r="AZ67" s="49" t="s">
        <v>1</v>
      </c>
      <c r="BA67" s="50" t="s">
        <v>96</v>
      </c>
      <c r="BB67" s="49" t="s">
        <v>5</v>
      </c>
      <c r="BC67" s="50" t="s">
        <v>82</v>
      </c>
      <c r="BD67" s="49" t="s">
        <v>5</v>
      </c>
      <c r="BE67" s="50" t="s">
        <v>170</v>
      </c>
      <c r="BF67" s="49"/>
      <c r="BG67" s="50"/>
    </row>
    <row r="68" spans="1:59" s="44" customFormat="1" x14ac:dyDescent="0.25">
      <c r="A68" s="24">
        <v>160202</v>
      </c>
      <c r="B68" s="25" t="s">
        <v>225</v>
      </c>
      <c r="C68" s="26" t="s">
        <v>149</v>
      </c>
      <c r="D68" s="27" t="s">
        <v>70</v>
      </c>
      <c r="E68" s="28" t="s">
        <v>14</v>
      </c>
      <c r="F68" s="25" t="s">
        <v>71</v>
      </c>
      <c r="G68" s="28" t="s">
        <v>14</v>
      </c>
      <c r="H68" s="28" t="s">
        <v>14</v>
      </c>
      <c r="I68" s="29" t="s">
        <v>14</v>
      </c>
      <c r="J68" s="28" t="s">
        <v>14</v>
      </c>
      <c r="K68" s="30" t="s">
        <v>1850</v>
      </c>
      <c r="L68" s="31" t="s">
        <v>1844</v>
      </c>
      <c r="M68" s="45" t="str">
        <f>IFERROR(VLOOKUP(A68,Lookups!#REF!,3,FALSE),"")</f>
        <v/>
      </c>
      <c r="N68" s="46">
        <v>23</v>
      </c>
      <c r="O68" s="47">
        <v>0</v>
      </c>
      <c r="P68" s="48">
        <v>0</v>
      </c>
      <c r="Q68" s="36">
        <v>100</v>
      </c>
      <c r="R68" s="37">
        <v>0</v>
      </c>
      <c r="S68" s="38">
        <f t="shared" si="11"/>
        <v>6</v>
      </c>
      <c r="T68" s="39">
        <f t="shared" si="12"/>
        <v>7</v>
      </c>
      <c r="U68" s="40">
        <f t="shared" si="13"/>
        <v>0</v>
      </c>
      <c r="V68" s="40">
        <f t="shared" si="14"/>
        <v>0</v>
      </c>
      <c r="W68" s="40">
        <f t="shared" si="15"/>
        <v>0</v>
      </c>
      <c r="X68" s="40">
        <f t="shared" si="19"/>
        <v>0</v>
      </c>
      <c r="Y68" s="40">
        <f t="shared" si="16"/>
        <v>0</v>
      </c>
      <c r="Z68" s="40">
        <f t="shared" si="17"/>
        <v>0</v>
      </c>
      <c r="AA68" s="40">
        <f t="shared" si="18"/>
        <v>0</v>
      </c>
      <c r="AB68" s="40">
        <f t="shared" si="20"/>
        <v>0</v>
      </c>
      <c r="AC68" s="41">
        <f t="shared" si="21"/>
        <v>0</v>
      </c>
      <c r="AD68" s="49" t="s">
        <v>5</v>
      </c>
      <c r="AE68" s="50" t="s">
        <v>116</v>
      </c>
      <c r="AF68" s="49"/>
      <c r="AG68" s="50"/>
      <c r="AH68" s="49" t="s">
        <v>1</v>
      </c>
      <c r="AI68" s="50" t="s">
        <v>101</v>
      </c>
      <c r="AJ68" s="49" t="s">
        <v>5</v>
      </c>
      <c r="AK68" s="50" t="s">
        <v>151</v>
      </c>
      <c r="AL68" s="49" t="s">
        <v>1</v>
      </c>
      <c r="AM68" s="50" t="s">
        <v>78</v>
      </c>
      <c r="AN68" s="49"/>
      <c r="AO68" s="50"/>
      <c r="AP68" s="49" t="s">
        <v>1</v>
      </c>
      <c r="AQ68" s="50" t="s">
        <v>131</v>
      </c>
      <c r="AR68" s="49" t="s">
        <v>5</v>
      </c>
      <c r="AS68" s="50" t="s">
        <v>104</v>
      </c>
      <c r="AT68" s="49" t="s">
        <v>5</v>
      </c>
      <c r="AU68" s="50" t="s">
        <v>105</v>
      </c>
      <c r="AV68" s="49" t="s">
        <v>1</v>
      </c>
      <c r="AW68" s="50" t="s">
        <v>112</v>
      </c>
      <c r="AX68" s="49" t="s">
        <v>5</v>
      </c>
      <c r="AY68" s="50" t="s">
        <v>80</v>
      </c>
      <c r="AZ68" s="49" t="s">
        <v>1</v>
      </c>
      <c r="BA68" s="50" t="s">
        <v>152</v>
      </c>
      <c r="BB68" s="49" t="s">
        <v>5</v>
      </c>
      <c r="BC68" s="50" t="s">
        <v>153</v>
      </c>
      <c r="BD68" s="49" t="s">
        <v>1</v>
      </c>
      <c r="BE68" s="50" t="s">
        <v>154</v>
      </c>
      <c r="BF68" s="49" t="s">
        <v>5</v>
      </c>
      <c r="BG68" s="50" t="s">
        <v>103</v>
      </c>
    </row>
    <row r="69" spans="1:59" s="44" customFormat="1" x14ac:dyDescent="0.25">
      <c r="A69" s="24">
        <v>160203</v>
      </c>
      <c r="B69" s="25" t="s">
        <v>226</v>
      </c>
      <c r="C69" s="26" t="s">
        <v>162</v>
      </c>
      <c r="D69" s="27" t="s">
        <v>12</v>
      </c>
      <c r="E69" s="28" t="s">
        <v>14</v>
      </c>
      <c r="F69" s="25" t="s">
        <v>71</v>
      </c>
      <c r="G69" s="28" t="s">
        <v>14</v>
      </c>
      <c r="H69" s="28" t="s">
        <v>14</v>
      </c>
      <c r="I69" s="29" t="s">
        <v>14</v>
      </c>
      <c r="J69" s="28" t="s">
        <v>14</v>
      </c>
      <c r="K69" s="30" t="s">
        <v>1850</v>
      </c>
      <c r="L69" s="31" t="s">
        <v>1844</v>
      </c>
      <c r="M69" s="45" t="str">
        <f>IFERROR(VLOOKUP(A69,Lookups!#REF!,3,FALSE),"")</f>
        <v/>
      </c>
      <c r="N69" s="46">
        <v>22</v>
      </c>
      <c r="O69" s="47">
        <v>0</v>
      </c>
      <c r="P69" s="48">
        <v>1</v>
      </c>
      <c r="Q69" s="36">
        <v>100</v>
      </c>
      <c r="R69" s="37">
        <v>0</v>
      </c>
      <c r="S69" s="38">
        <f t="shared" si="11"/>
        <v>1</v>
      </c>
      <c r="T69" s="39">
        <f t="shared" si="12"/>
        <v>12</v>
      </c>
      <c r="U69" s="40">
        <f t="shared" si="13"/>
        <v>0</v>
      </c>
      <c r="V69" s="40">
        <f t="shared" si="14"/>
        <v>0</v>
      </c>
      <c r="W69" s="40">
        <f t="shared" si="15"/>
        <v>0</v>
      </c>
      <c r="X69" s="40">
        <f t="shared" si="19"/>
        <v>0</v>
      </c>
      <c r="Y69" s="40">
        <f t="shared" si="16"/>
        <v>0</v>
      </c>
      <c r="Z69" s="40">
        <f t="shared" si="17"/>
        <v>0</v>
      </c>
      <c r="AA69" s="40">
        <f t="shared" si="18"/>
        <v>0</v>
      </c>
      <c r="AB69" s="40">
        <f t="shared" si="20"/>
        <v>0</v>
      </c>
      <c r="AC69" s="41">
        <f t="shared" si="21"/>
        <v>0</v>
      </c>
      <c r="AD69" s="49" t="s">
        <v>5</v>
      </c>
      <c r="AE69" s="50" t="s">
        <v>72</v>
      </c>
      <c r="AF69" s="49" t="s">
        <v>5</v>
      </c>
      <c r="AG69" s="50" t="s">
        <v>73</v>
      </c>
      <c r="AH69" s="49"/>
      <c r="AI69" s="50"/>
      <c r="AJ69" s="49" t="s">
        <v>5</v>
      </c>
      <c r="AK69" s="50" t="s">
        <v>194</v>
      </c>
      <c r="AL69" s="49" t="s">
        <v>5</v>
      </c>
      <c r="AM69" s="50" t="s">
        <v>72</v>
      </c>
      <c r="AN69" s="49" t="s">
        <v>5</v>
      </c>
      <c r="AO69" s="50" t="s">
        <v>143</v>
      </c>
      <c r="AP69" s="49" t="s">
        <v>5</v>
      </c>
      <c r="AQ69" s="50" t="s">
        <v>144</v>
      </c>
      <c r="AR69" s="49" t="s">
        <v>5</v>
      </c>
      <c r="AS69" s="50" t="s">
        <v>104</v>
      </c>
      <c r="AT69" s="49" t="s">
        <v>5</v>
      </c>
      <c r="AU69" s="50" t="s">
        <v>163</v>
      </c>
      <c r="AV69" s="49" t="s">
        <v>1</v>
      </c>
      <c r="AW69" s="50" t="s">
        <v>136</v>
      </c>
      <c r="AX69" s="49" t="s">
        <v>5</v>
      </c>
      <c r="AY69" s="50" t="s">
        <v>95</v>
      </c>
      <c r="AZ69" s="49" t="s">
        <v>5</v>
      </c>
      <c r="BA69" s="50" t="s">
        <v>107</v>
      </c>
      <c r="BB69" s="49" t="s">
        <v>5</v>
      </c>
      <c r="BC69" s="50" t="s">
        <v>153</v>
      </c>
      <c r="BD69" s="49" t="s">
        <v>5</v>
      </c>
      <c r="BE69" s="50" t="s">
        <v>164</v>
      </c>
      <c r="BF69" s="49"/>
      <c r="BG69" s="50"/>
    </row>
    <row r="70" spans="1:59" s="44" customFormat="1" x14ac:dyDescent="0.25">
      <c r="A70" s="24">
        <v>160204</v>
      </c>
      <c r="B70" s="25" t="s">
        <v>227</v>
      </c>
      <c r="C70" s="26" t="s">
        <v>168</v>
      </c>
      <c r="D70" s="27" t="s">
        <v>70</v>
      </c>
      <c r="E70" s="28" t="s">
        <v>14</v>
      </c>
      <c r="F70" s="25" t="s">
        <v>71</v>
      </c>
      <c r="G70" s="28" t="s">
        <v>14</v>
      </c>
      <c r="H70" s="28" t="s">
        <v>14</v>
      </c>
      <c r="I70" s="29" t="s">
        <v>14</v>
      </c>
      <c r="J70" s="28" t="s">
        <v>14</v>
      </c>
      <c r="K70" s="30" t="s">
        <v>1850</v>
      </c>
      <c r="L70" s="31" t="s">
        <v>1844</v>
      </c>
      <c r="M70" s="45" t="str">
        <f>IFERROR(VLOOKUP(A70,Lookups!#REF!,3,FALSE),"")</f>
        <v/>
      </c>
      <c r="N70" s="46">
        <v>18</v>
      </c>
      <c r="O70" s="47">
        <v>0</v>
      </c>
      <c r="P70" s="48">
        <v>0</v>
      </c>
      <c r="Q70" s="36">
        <v>100</v>
      </c>
      <c r="R70" s="37">
        <v>0</v>
      </c>
      <c r="S70" s="38">
        <f t="shared" si="11"/>
        <v>2</v>
      </c>
      <c r="T70" s="39">
        <f t="shared" si="12"/>
        <v>11</v>
      </c>
      <c r="U70" s="40">
        <f t="shared" si="13"/>
        <v>0</v>
      </c>
      <c r="V70" s="40">
        <f t="shared" si="14"/>
        <v>0</v>
      </c>
      <c r="W70" s="40">
        <f t="shared" si="15"/>
        <v>0</v>
      </c>
      <c r="X70" s="40">
        <f t="shared" si="19"/>
        <v>0</v>
      </c>
      <c r="Y70" s="40">
        <f t="shared" si="16"/>
        <v>0</v>
      </c>
      <c r="Z70" s="40">
        <f t="shared" si="17"/>
        <v>0</v>
      </c>
      <c r="AA70" s="40">
        <f t="shared" si="18"/>
        <v>0</v>
      </c>
      <c r="AB70" s="40">
        <f t="shared" si="20"/>
        <v>0</v>
      </c>
      <c r="AC70" s="41">
        <f t="shared" si="21"/>
        <v>0</v>
      </c>
      <c r="AD70" s="49" t="s">
        <v>5</v>
      </c>
      <c r="AE70" s="50" t="s">
        <v>116</v>
      </c>
      <c r="AF70" s="49" t="s">
        <v>5</v>
      </c>
      <c r="AG70" s="50" t="s">
        <v>90</v>
      </c>
      <c r="AH70" s="49"/>
      <c r="AI70" s="50"/>
      <c r="AJ70" s="49" t="s">
        <v>5</v>
      </c>
      <c r="AK70" s="50" t="s">
        <v>169</v>
      </c>
      <c r="AL70" s="49" t="s">
        <v>5</v>
      </c>
      <c r="AM70" s="50" t="s">
        <v>170</v>
      </c>
      <c r="AN70" s="49" t="s">
        <v>5</v>
      </c>
      <c r="AO70" s="50" t="s">
        <v>75</v>
      </c>
      <c r="AP70" s="49" t="s">
        <v>5</v>
      </c>
      <c r="AQ70" s="50" t="s">
        <v>131</v>
      </c>
      <c r="AR70" s="49" t="s">
        <v>5</v>
      </c>
      <c r="AS70" s="50" t="s">
        <v>120</v>
      </c>
      <c r="AT70" s="49" t="s">
        <v>5</v>
      </c>
      <c r="AU70" s="50" t="s">
        <v>78</v>
      </c>
      <c r="AV70" s="49" t="s">
        <v>1</v>
      </c>
      <c r="AW70" s="50" t="s">
        <v>112</v>
      </c>
      <c r="AX70" s="49" t="s">
        <v>1</v>
      </c>
      <c r="AY70" s="50" t="s">
        <v>95</v>
      </c>
      <c r="AZ70" s="49" t="s">
        <v>5</v>
      </c>
      <c r="BA70" s="50" t="s">
        <v>152</v>
      </c>
      <c r="BB70" s="49" t="s">
        <v>5</v>
      </c>
      <c r="BC70" s="50" t="s">
        <v>82</v>
      </c>
      <c r="BD70" s="49" t="s">
        <v>5</v>
      </c>
      <c r="BE70" s="50" t="s">
        <v>170</v>
      </c>
      <c r="BF70" s="49"/>
      <c r="BG70" s="50"/>
    </row>
    <row r="71" spans="1:59" s="44" customFormat="1" x14ac:dyDescent="0.25">
      <c r="A71" s="24">
        <v>160205</v>
      </c>
      <c r="B71" s="25" t="s">
        <v>228</v>
      </c>
      <c r="C71" s="26" t="s">
        <v>168</v>
      </c>
      <c r="D71" s="27" t="s">
        <v>70</v>
      </c>
      <c r="E71" s="28" t="s">
        <v>14</v>
      </c>
      <c r="F71" s="25" t="s">
        <v>71</v>
      </c>
      <c r="G71" s="28" t="s">
        <v>14</v>
      </c>
      <c r="H71" s="28" t="s">
        <v>14</v>
      </c>
      <c r="I71" s="29" t="s">
        <v>14</v>
      </c>
      <c r="J71" s="28" t="s">
        <v>14</v>
      </c>
      <c r="K71" s="30" t="s">
        <v>1850</v>
      </c>
      <c r="L71" s="31" t="s">
        <v>1842</v>
      </c>
      <c r="M71" s="45" t="str">
        <f>IFERROR(VLOOKUP(A71,Lookups!#REF!,3,FALSE),"")</f>
        <v/>
      </c>
      <c r="N71" s="46">
        <v>16</v>
      </c>
      <c r="O71" s="47">
        <v>0</v>
      </c>
      <c r="P71" s="48">
        <v>0</v>
      </c>
      <c r="Q71" s="36">
        <v>100</v>
      </c>
      <c r="R71" s="37">
        <v>0</v>
      </c>
      <c r="S71" s="38">
        <f t="shared" si="11"/>
        <v>1</v>
      </c>
      <c r="T71" s="39">
        <f t="shared" si="12"/>
        <v>12</v>
      </c>
      <c r="U71" s="40">
        <f t="shared" si="13"/>
        <v>0</v>
      </c>
      <c r="V71" s="40">
        <f t="shared" si="14"/>
        <v>0</v>
      </c>
      <c r="W71" s="40">
        <f t="shared" si="15"/>
        <v>0</v>
      </c>
      <c r="X71" s="40">
        <f t="shared" si="19"/>
        <v>0</v>
      </c>
      <c r="Y71" s="40">
        <f t="shared" si="16"/>
        <v>0</v>
      </c>
      <c r="Z71" s="40">
        <f t="shared" si="17"/>
        <v>0</v>
      </c>
      <c r="AA71" s="40">
        <f t="shared" si="18"/>
        <v>0</v>
      </c>
      <c r="AB71" s="40">
        <f t="shared" si="20"/>
        <v>0</v>
      </c>
      <c r="AC71" s="41">
        <f t="shared" si="21"/>
        <v>0</v>
      </c>
      <c r="AD71" s="49" t="s">
        <v>5</v>
      </c>
      <c r="AE71" s="50" t="s">
        <v>116</v>
      </c>
      <c r="AF71" s="49" t="s">
        <v>5</v>
      </c>
      <c r="AG71" s="50" t="s">
        <v>73</v>
      </c>
      <c r="AH71" s="49"/>
      <c r="AI71" s="50"/>
      <c r="AJ71" s="49" t="s">
        <v>5</v>
      </c>
      <c r="AK71" s="50" t="s">
        <v>169</v>
      </c>
      <c r="AL71" s="49" t="s">
        <v>5</v>
      </c>
      <c r="AM71" s="50" t="s">
        <v>170</v>
      </c>
      <c r="AN71" s="49" t="s">
        <v>5</v>
      </c>
      <c r="AO71" s="50" t="s">
        <v>75</v>
      </c>
      <c r="AP71" s="49" t="s">
        <v>5</v>
      </c>
      <c r="AQ71" s="50" t="s">
        <v>92</v>
      </c>
      <c r="AR71" s="49" t="s">
        <v>5</v>
      </c>
      <c r="AS71" s="50" t="s">
        <v>120</v>
      </c>
      <c r="AT71" s="49" t="s">
        <v>5</v>
      </c>
      <c r="AU71" s="50" t="s">
        <v>78</v>
      </c>
      <c r="AV71" s="49" t="s">
        <v>5</v>
      </c>
      <c r="AW71" s="50" t="s">
        <v>94</v>
      </c>
      <c r="AX71" s="49" t="s">
        <v>1</v>
      </c>
      <c r="AY71" s="50" t="s">
        <v>95</v>
      </c>
      <c r="AZ71" s="49" t="s">
        <v>5</v>
      </c>
      <c r="BA71" s="50" t="s">
        <v>152</v>
      </c>
      <c r="BB71" s="49" t="s">
        <v>5</v>
      </c>
      <c r="BC71" s="50" t="s">
        <v>82</v>
      </c>
      <c r="BD71" s="49" t="s">
        <v>5</v>
      </c>
      <c r="BE71" s="50" t="s">
        <v>170</v>
      </c>
      <c r="BF71" s="49"/>
      <c r="BG71" s="50"/>
    </row>
    <row r="72" spans="1:59" s="44" customFormat="1" x14ac:dyDescent="0.25">
      <c r="A72" s="24">
        <v>160206</v>
      </c>
      <c r="B72" s="25" t="s">
        <v>229</v>
      </c>
      <c r="C72" s="26" t="s">
        <v>100</v>
      </c>
      <c r="D72" s="27" t="s">
        <v>12</v>
      </c>
      <c r="E72" s="28" t="s">
        <v>14</v>
      </c>
      <c r="F72" s="25" t="s">
        <v>230</v>
      </c>
      <c r="G72" s="28" t="s">
        <v>14</v>
      </c>
      <c r="H72" s="28" t="s">
        <v>14</v>
      </c>
      <c r="I72" s="29" t="s">
        <v>14</v>
      </c>
      <c r="J72" s="28" t="s">
        <v>4</v>
      </c>
      <c r="K72" s="30" t="s">
        <v>1850</v>
      </c>
      <c r="L72" s="31" t="s">
        <v>1848</v>
      </c>
      <c r="M72" s="45" t="str">
        <f>IFERROR(VLOOKUP(A72,Lookups!#REF!,3,FALSE),"")</f>
        <v/>
      </c>
      <c r="N72" s="46">
        <v>18</v>
      </c>
      <c r="O72" s="47">
        <v>1</v>
      </c>
      <c r="P72" s="48">
        <v>0</v>
      </c>
      <c r="Q72" s="36">
        <v>93.62</v>
      </c>
      <c r="R72" s="37">
        <v>1</v>
      </c>
      <c r="S72" s="38">
        <f t="shared" si="11"/>
        <v>0</v>
      </c>
      <c r="T72" s="39">
        <f t="shared" si="12"/>
        <v>13</v>
      </c>
      <c r="U72" s="40">
        <f t="shared" si="13"/>
        <v>0</v>
      </c>
      <c r="V72" s="40">
        <f t="shared" si="14"/>
        <v>0</v>
      </c>
      <c r="W72" s="40">
        <f t="shared" si="15"/>
        <v>0</v>
      </c>
      <c r="X72" s="40">
        <f t="shared" si="19"/>
        <v>0</v>
      </c>
      <c r="Y72" s="40">
        <f t="shared" si="16"/>
        <v>0</v>
      </c>
      <c r="Z72" s="40">
        <f t="shared" si="17"/>
        <v>0</v>
      </c>
      <c r="AA72" s="40">
        <f t="shared" si="18"/>
        <v>0</v>
      </c>
      <c r="AB72" s="40">
        <f t="shared" si="20"/>
        <v>0</v>
      </c>
      <c r="AC72" s="41">
        <f t="shared" si="21"/>
        <v>0</v>
      </c>
      <c r="AD72" s="49" t="s">
        <v>5</v>
      </c>
      <c r="AE72" s="50" t="s">
        <v>72</v>
      </c>
      <c r="AF72" s="49" t="s">
        <v>5</v>
      </c>
      <c r="AG72" s="50" t="s">
        <v>117</v>
      </c>
      <c r="AH72" s="49"/>
      <c r="AI72" s="50"/>
      <c r="AJ72" s="49" t="s">
        <v>5</v>
      </c>
      <c r="AK72" s="50" t="s">
        <v>74</v>
      </c>
      <c r="AL72" s="49" t="s">
        <v>5</v>
      </c>
      <c r="AM72" s="50" t="s">
        <v>76</v>
      </c>
      <c r="AN72" s="49" t="s">
        <v>5</v>
      </c>
      <c r="AO72" s="50" t="s">
        <v>103</v>
      </c>
      <c r="AP72" s="49" t="s">
        <v>5</v>
      </c>
      <c r="AQ72" s="50" t="s">
        <v>92</v>
      </c>
      <c r="AR72" s="49" t="s">
        <v>5</v>
      </c>
      <c r="AS72" s="50" t="s">
        <v>104</v>
      </c>
      <c r="AT72" s="49" t="s">
        <v>5</v>
      </c>
      <c r="AU72" s="50" t="s">
        <v>105</v>
      </c>
      <c r="AV72" s="49" t="s">
        <v>5</v>
      </c>
      <c r="AW72" s="50" t="s">
        <v>106</v>
      </c>
      <c r="AX72" s="49" t="s">
        <v>5</v>
      </c>
      <c r="AY72" s="50" t="s">
        <v>80</v>
      </c>
      <c r="AZ72" s="49" t="s">
        <v>5</v>
      </c>
      <c r="BA72" s="50" t="s">
        <v>107</v>
      </c>
      <c r="BB72" s="49" t="s">
        <v>5</v>
      </c>
      <c r="BC72" s="50" t="s">
        <v>108</v>
      </c>
      <c r="BD72" s="49" t="s">
        <v>5</v>
      </c>
      <c r="BE72" s="50" t="s">
        <v>140</v>
      </c>
      <c r="BF72" s="49"/>
      <c r="BG72" s="50"/>
    </row>
    <row r="73" spans="1:59" s="44" customFormat="1" x14ac:dyDescent="0.25">
      <c r="A73" s="24">
        <v>160207</v>
      </c>
      <c r="B73" s="25" t="s">
        <v>231</v>
      </c>
      <c r="C73" s="26" t="s">
        <v>100</v>
      </c>
      <c r="D73" s="27" t="s">
        <v>70</v>
      </c>
      <c r="E73" s="28" t="s">
        <v>14</v>
      </c>
      <c r="F73" s="25" t="s">
        <v>71</v>
      </c>
      <c r="G73" s="28" t="s">
        <v>14</v>
      </c>
      <c r="H73" s="28" t="s">
        <v>14</v>
      </c>
      <c r="I73" s="29" t="s">
        <v>14</v>
      </c>
      <c r="J73" s="28" t="s">
        <v>14</v>
      </c>
      <c r="K73" s="30" t="s">
        <v>1850</v>
      </c>
      <c r="L73" s="31" t="s">
        <v>1845</v>
      </c>
      <c r="M73" s="45" t="str">
        <f>IFERROR(VLOOKUP(A73,Lookups!#REF!,3,FALSE),"")</f>
        <v/>
      </c>
      <c r="N73" s="46">
        <v>22</v>
      </c>
      <c r="O73" s="47">
        <v>0</v>
      </c>
      <c r="P73" s="48">
        <v>0</v>
      </c>
      <c r="Q73" s="36">
        <v>100</v>
      </c>
      <c r="R73" s="37">
        <v>0</v>
      </c>
      <c r="S73" s="38">
        <f t="shared" si="11"/>
        <v>3</v>
      </c>
      <c r="T73" s="39">
        <f t="shared" si="12"/>
        <v>10</v>
      </c>
      <c r="U73" s="40">
        <f t="shared" si="13"/>
        <v>0</v>
      </c>
      <c r="V73" s="40">
        <f t="shared" si="14"/>
        <v>0</v>
      </c>
      <c r="W73" s="40">
        <f t="shared" si="15"/>
        <v>0</v>
      </c>
      <c r="X73" s="40">
        <f t="shared" si="19"/>
        <v>0</v>
      </c>
      <c r="Y73" s="40">
        <f t="shared" si="16"/>
        <v>0</v>
      </c>
      <c r="Z73" s="40">
        <f t="shared" si="17"/>
        <v>0</v>
      </c>
      <c r="AA73" s="40">
        <f t="shared" si="18"/>
        <v>0</v>
      </c>
      <c r="AB73" s="40">
        <f t="shared" si="20"/>
        <v>0</v>
      </c>
      <c r="AC73" s="41">
        <f t="shared" si="21"/>
        <v>0</v>
      </c>
      <c r="AD73" s="49" t="s">
        <v>5</v>
      </c>
      <c r="AE73" s="50" t="s">
        <v>72</v>
      </c>
      <c r="AF73" s="49" t="s">
        <v>5</v>
      </c>
      <c r="AG73" s="50" t="s">
        <v>117</v>
      </c>
      <c r="AH73" s="49"/>
      <c r="AI73" s="50"/>
      <c r="AJ73" s="49" t="s">
        <v>5</v>
      </c>
      <c r="AK73" s="50" t="s">
        <v>102</v>
      </c>
      <c r="AL73" s="49" t="s">
        <v>5</v>
      </c>
      <c r="AM73" s="50" t="s">
        <v>76</v>
      </c>
      <c r="AN73" s="49" t="s">
        <v>5</v>
      </c>
      <c r="AO73" s="50" t="s">
        <v>103</v>
      </c>
      <c r="AP73" s="49" t="s">
        <v>1</v>
      </c>
      <c r="AQ73" s="50" t="s">
        <v>92</v>
      </c>
      <c r="AR73" s="49" t="s">
        <v>5</v>
      </c>
      <c r="AS73" s="50" t="s">
        <v>104</v>
      </c>
      <c r="AT73" s="49" t="s">
        <v>5</v>
      </c>
      <c r="AU73" s="50" t="s">
        <v>105</v>
      </c>
      <c r="AV73" s="49" t="s">
        <v>5</v>
      </c>
      <c r="AW73" s="50" t="s">
        <v>106</v>
      </c>
      <c r="AX73" s="49" t="s">
        <v>1</v>
      </c>
      <c r="AY73" s="50" t="s">
        <v>80</v>
      </c>
      <c r="AZ73" s="49" t="s">
        <v>1</v>
      </c>
      <c r="BA73" s="50" t="s">
        <v>121</v>
      </c>
      <c r="BB73" s="49" t="s">
        <v>5</v>
      </c>
      <c r="BC73" s="50" t="s">
        <v>108</v>
      </c>
      <c r="BD73" s="49" t="s">
        <v>5</v>
      </c>
      <c r="BE73" s="50" t="s">
        <v>206</v>
      </c>
      <c r="BF73" s="49"/>
      <c r="BG73" s="50"/>
    </row>
    <row r="74" spans="1:59" s="44" customFormat="1" x14ac:dyDescent="0.25">
      <c r="A74" s="24">
        <v>160208</v>
      </c>
      <c r="B74" s="25" t="s">
        <v>232</v>
      </c>
      <c r="C74" s="26" t="s">
        <v>168</v>
      </c>
      <c r="D74" s="27" t="s">
        <v>70</v>
      </c>
      <c r="E74" s="28" t="s">
        <v>14</v>
      </c>
      <c r="F74" s="25" t="s">
        <v>71</v>
      </c>
      <c r="G74" s="28" t="s">
        <v>14</v>
      </c>
      <c r="H74" s="28" t="s">
        <v>14</v>
      </c>
      <c r="I74" s="29" t="s">
        <v>14</v>
      </c>
      <c r="J74" s="28" t="s">
        <v>14</v>
      </c>
      <c r="K74" s="30" t="s">
        <v>1850</v>
      </c>
      <c r="L74" s="31" t="s">
        <v>1842</v>
      </c>
      <c r="M74" s="45" t="str">
        <f>IFERROR(VLOOKUP(A74,Lookups!#REF!,3,FALSE),"")</f>
        <v/>
      </c>
      <c r="N74" s="46">
        <v>18</v>
      </c>
      <c r="O74" s="47">
        <v>0</v>
      </c>
      <c r="P74" s="48">
        <v>0</v>
      </c>
      <c r="Q74" s="36">
        <v>95.74</v>
      </c>
      <c r="R74" s="37">
        <v>0</v>
      </c>
      <c r="S74" s="38">
        <f t="shared" si="11"/>
        <v>3</v>
      </c>
      <c r="T74" s="39">
        <f t="shared" si="12"/>
        <v>10</v>
      </c>
      <c r="U74" s="40">
        <f t="shared" si="13"/>
        <v>0</v>
      </c>
      <c r="V74" s="40">
        <f t="shared" si="14"/>
        <v>0</v>
      </c>
      <c r="W74" s="40">
        <f t="shared" si="15"/>
        <v>0</v>
      </c>
      <c r="X74" s="40">
        <f t="shared" si="19"/>
        <v>0</v>
      </c>
      <c r="Y74" s="40">
        <f t="shared" si="16"/>
        <v>0</v>
      </c>
      <c r="Z74" s="40">
        <f t="shared" si="17"/>
        <v>0</v>
      </c>
      <c r="AA74" s="40">
        <f t="shared" si="18"/>
        <v>0</v>
      </c>
      <c r="AB74" s="40">
        <f t="shared" si="20"/>
        <v>0</v>
      </c>
      <c r="AC74" s="41">
        <f t="shared" si="21"/>
        <v>0</v>
      </c>
      <c r="AD74" s="49" t="s">
        <v>5</v>
      </c>
      <c r="AE74" s="50" t="s">
        <v>116</v>
      </c>
      <c r="AF74" s="49"/>
      <c r="AG74" s="50"/>
      <c r="AH74" s="49" t="s">
        <v>5</v>
      </c>
      <c r="AI74" s="50" t="s">
        <v>101</v>
      </c>
      <c r="AJ74" s="49" t="s">
        <v>5</v>
      </c>
      <c r="AK74" s="50" t="s">
        <v>169</v>
      </c>
      <c r="AL74" s="49" t="s">
        <v>5</v>
      </c>
      <c r="AM74" s="50" t="s">
        <v>170</v>
      </c>
      <c r="AN74" s="49" t="s">
        <v>5</v>
      </c>
      <c r="AO74" s="50" t="s">
        <v>75</v>
      </c>
      <c r="AP74" s="49" t="s">
        <v>1</v>
      </c>
      <c r="AQ74" s="50" t="s">
        <v>92</v>
      </c>
      <c r="AR74" s="49" t="s">
        <v>5</v>
      </c>
      <c r="AS74" s="50" t="s">
        <v>120</v>
      </c>
      <c r="AT74" s="49" t="s">
        <v>5</v>
      </c>
      <c r="AU74" s="50" t="s">
        <v>78</v>
      </c>
      <c r="AV74" s="49" t="s">
        <v>1</v>
      </c>
      <c r="AW74" s="50" t="s">
        <v>112</v>
      </c>
      <c r="AX74" s="49" t="s">
        <v>1</v>
      </c>
      <c r="AY74" s="50" t="s">
        <v>95</v>
      </c>
      <c r="AZ74" s="49" t="s">
        <v>5</v>
      </c>
      <c r="BA74" s="50" t="s">
        <v>152</v>
      </c>
      <c r="BB74" s="49" t="s">
        <v>5</v>
      </c>
      <c r="BC74" s="50" t="s">
        <v>82</v>
      </c>
      <c r="BD74" s="49" t="s">
        <v>5</v>
      </c>
      <c r="BE74" s="50" t="s">
        <v>170</v>
      </c>
      <c r="BF74" s="49"/>
      <c r="BG74" s="50"/>
    </row>
    <row r="75" spans="1:59" s="44" customFormat="1" x14ac:dyDescent="0.25">
      <c r="A75" s="24">
        <v>160209</v>
      </c>
      <c r="B75" s="25" t="s">
        <v>233</v>
      </c>
      <c r="C75" s="26" t="s">
        <v>86</v>
      </c>
      <c r="D75" s="27" t="s">
        <v>70</v>
      </c>
      <c r="E75" s="28" t="s">
        <v>87</v>
      </c>
      <c r="F75" s="25" t="s">
        <v>158</v>
      </c>
      <c r="G75" s="28" t="s">
        <v>87</v>
      </c>
      <c r="H75" s="28" t="s">
        <v>87</v>
      </c>
      <c r="I75" s="29" t="s">
        <v>14</v>
      </c>
      <c r="J75" s="28" t="s">
        <v>14</v>
      </c>
      <c r="K75" s="30" t="s">
        <v>1850</v>
      </c>
      <c r="L75" s="31" t="s">
        <v>1842</v>
      </c>
      <c r="M75" s="45" t="str">
        <f>IFERROR(VLOOKUP(A75,Lookups!#REF!,3,FALSE),"")</f>
        <v/>
      </c>
      <c r="N75" s="46">
        <v>16</v>
      </c>
      <c r="O75" s="47">
        <v>1</v>
      </c>
      <c r="P75" s="48">
        <v>0</v>
      </c>
      <c r="Q75" s="36">
        <v>95.74</v>
      </c>
      <c r="R75" s="37">
        <v>0</v>
      </c>
      <c r="S75" s="38">
        <f t="shared" si="11"/>
        <v>0</v>
      </c>
      <c r="T75" s="39">
        <f t="shared" si="12"/>
        <v>13</v>
      </c>
      <c r="U75" s="40">
        <f t="shared" si="13"/>
        <v>0</v>
      </c>
      <c r="V75" s="40">
        <f t="shared" si="14"/>
        <v>0</v>
      </c>
      <c r="W75" s="40">
        <f t="shared" si="15"/>
        <v>0</v>
      </c>
      <c r="X75" s="40">
        <f t="shared" si="19"/>
        <v>0</v>
      </c>
      <c r="Y75" s="40">
        <f t="shared" si="16"/>
        <v>0</v>
      </c>
      <c r="Z75" s="40">
        <f t="shared" si="17"/>
        <v>0</v>
      </c>
      <c r="AA75" s="40">
        <f t="shared" si="18"/>
        <v>0</v>
      </c>
      <c r="AB75" s="40">
        <f t="shared" si="20"/>
        <v>0</v>
      </c>
      <c r="AC75" s="41">
        <f t="shared" si="21"/>
        <v>0</v>
      </c>
      <c r="AD75" s="49" t="s">
        <v>5</v>
      </c>
      <c r="AE75" s="50" t="s">
        <v>89</v>
      </c>
      <c r="AF75" s="49" t="s">
        <v>5</v>
      </c>
      <c r="AG75" s="50" t="s">
        <v>90</v>
      </c>
      <c r="AH75" s="49"/>
      <c r="AI75" s="50"/>
      <c r="AJ75" s="49" t="s">
        <v>5</v>
      </c>
      <c r="AK75" s="50" t="s">
        <v>91</v>
      </c>
      <c r="AL75" s="49" t="s">
        <v>5</v>
      </c>
      <c r="AM75" s="50" t="s">
        <v>84</v>
      </c>
      <c r="AN75" s="49"/>
      <c r="AO75" s="50"/>
      <c r="AP75" s="49" t="s">
        <v>5</v>
      </c>
      <c r="AQ75" s="50" t="s">
        <v>92</v>
      </c>
      <c r="AR75" s="49" t="s">
        <v>5</v>
      </c>
      <c r="AS75" s="50" t="s">
        <v>93</v>
      </c>
      <c r="AT75" s="49" t="s">
        <v>5</v>
      </c>
      <c r="AU75" s="50" t="s">
        <v>78</v>
      </c>
      <c r="AV75" s="49" t="s">
        <v>5</v>
      </c>
      <c r="AW75" s="50" t="s">
        <v>94</v>
      </c>
      <c r="AX75" s="49" t="s">
        <v>5</v>
      </c>
      <c r="AY75" s="50" t="s">
        <v>95</v>
      </c>
      <c r="AZ75" s="49" t="s">
        <v>5</v>
      </c>
      <c r="BA75" s="50" t="s">
        <v>81</v>
      </c>
      <c r="BB75" s="49" t="s">
        <v>5</v>
      </c>
      <c r="BC75" s="50" t="s">
        <v>108</v>
      </c>
      <c r="BD75" s="49" t="s">
        <v>5</v>
      </c>
      <c r="BE75" s="50" t="s">
        <v>98</v>
      </c>
      <c r="BF75" s="49" t="s">
        <v>5</v>
      </c>
      <c r="BG75" s="50" t="s">
        <v>84</v>
      </c>
    </row>
    <row r="76" spans="1:59" s="44" customFormat="1" x14ac:dyDescent="0.25">
      <c r="A76" s="24">
        <v>160210</v>
      </c>
      <c r="B76" s="25" t="s">
        <v>234</v>
      </c>
      <c r="C76" s="26" t="s">
        <v>162</v>
      </c>
      <c r="D76" s="27" t="s">
        <v>12</v>
      </c>
      <c r="E76" s="28" t="s">
        <v>14</v>
      </c>
      <c r="F76" s="25" t="s">
        <v>71</v>
      </c>
      <c r="G76" s="28" t="s">
        <v>14</v>
      </c>
      <c r="H76" s="28" t="s">
        <v>14</v>
      </c>
      <c r="I76" s="29" t="s">
        <v>14</v>
      </c>
      <c r="J76" s="28" t="s">
        <v>6</v>
      </c>
      <c r="K76" s="30" t="s">
        <v>1850</v>
      </c>
      <c r="L76" s="31" t="s">
        <v>1848</v>
      </c>
      <c r="M76" s="45" t="str">
        <f>IFERROR(VLOOKUP(A76,Lookups!#REF!,3,FALSE),"")</f>
        <v/>
      </c>
      <c r="N76" s="46">
        <v>24</v>
      </c>
      <c r="O76" s="47">
        <v>0</v>
      </c>
      <c r="P76" s="48">
        <v>0</v>
      </c>
      <c r="Q76" s="36">
        <v>100</v>
      </c>
      <c r="R76" s="37">
        <v>0</v>
      </c>
      <c r="S76" s="38">
        <f t="shared" si="11"/>
        <v>1</v>
      </c>
      <c r="T76" s="39">
        <f t="shared" si="12"/>
        <v>12</v>
      </c>
      <c r="U76" s="40">
        <f t="shared" si="13"/>
        <v>0</v>
      </c>
      <c r="V76" s="40">
        <f t="shared" si="14"/>
        <v>0</v>
      </c>
      <c r="W76" s="40">
        <f t="shared" si="15"/>
        <v>0</v>
      </c>
      <c r="X76" s="40">
        <f t="shared" si="19"/>
        <v>0</v>
      </c>
      <c r="Y76" s="40">
        <f t="shared" si="16"/>
        <v>0</v>
      </c>
      <c r="Z76" s="40">
        <f t="shared" si="17"/>
        <v>0</v>
      </c>
      <c r="AA76" s="40">
        <f t="shared" si="18"/>
        <v>0</v>
      </c>
      <c r="AB76" s="40">
        <f t="shared" si="20"/>
        <v>0</v>
      </c>
      <c r="AC76" s="41">
        <f t="shared" si="21"/>
        <v>0</v>
      </c>
      <c r="AD76" s="49" t="s">
        <v>5</v>
      </c>
      <c r="AE76" s="50" t="s">
        <v>72</v>
      </c>
      <c r="AF76" s="49"/>
      <c r="AG76" s="50"/>
      <c r="AH76" s="49" t="s">
        <v>1</v>
      </c>
      <c r="AI76" s="50" t="s">
        <v>101</v>
      </c>
      <c r="AJ76" s="49" t="s">
        <v>5</v>
      </c>
      <c r="AK76" s="50" t="s">
        <v>194</v>
      </c>
      <c r="AL76" s="49" t="s">
        <v>5</v>
      </c>
      <c r="AM76" s="50" t="s">
        <v>72</v>
      </c>
      <c r="AN76" s="49" t="s">
        <v>5</v>
      </c>
      <c r="AO76" s="50" t="s">
        <v>143</v>
      </c>
      <c r="AP76" s="49" t="s">
        <v>5</v>
      </c>
      <c r="AQ76" s="50" t="s">
        <v>131</v>
      </c>
      <c r="AR76" s="49" t="s">
        <v>5</v>
      </c>
      <c r="AS76" s="50" t="s">
        <v>104</v>
      </c>
      <c r="AT76" s="49" t="s">
        <v>5</v>
      </c>
      <c r="AU76" s="50" t="s">
        <v>163</v>
      </c>
      <c r="AV76" s="49" t="s">
        <v>5</v>
      </c>
      <c r="AW76" s="50" t="s">
        <v>106</v>
      </c>
      <c r="AX76" s="49" t="s">
        <v>5</v>
      </c>
      <c r="AY76" s="50" t="s">
        <v>95</v>
      </c>
      <c r="AZ76" s="49" t="s">
        <v>5</v>
      </c>
      <c r="BA76" s="50" t="s">
        <v>107</v>
      </c>
      <c r="BB76" s="49" t="s">
        <v>5</v>
      </c>
      <c r="BC76" s="50" t="s">
        <v>153</v>
      </c>
      <c r="BD76" s="49" t="s">
        <v>5</v>
      </c>
      <c r="BE76" s="50" t="s">
        <v>164</v>
      </c>
      <c r="BF76" s="49"/>
      <c r="BG76" s="50"/>
    </row>
    <row r="77" spans="1:59" s="44" customFormat="1" x14ac:dyDescent="0.25">
      <c r="A77" s="24">
        <v>160211</v>
      </c>
      <c r="B77" s="25" t="s">
        <v>235</v>
      </c>
      <c r="C77" s="26" t="s">
        <v>149</v>
      </c>
      <c r="D77" s="27" t="s">
        <v>12</v>
      </c>
      <c r="E77" s="28" t="s">
        <v>14</v>
      </c>
      <c r="F77" s="25" t="s">
        <v>71</v>
      </c>
      <c r="G77" s="28" t="s">
        <v>87</v>
      </c>
      <c r="H77" s="28" t="s">
        <v>14</v>
      </c>
      <c r="I77" s="29" t="s">
        <v>14</v>
      </c>
      <c r="J77" s="28" t="s">
        <v>14</v>
      </c>
      <c r="K77" s="30" t="s">
        <v>1850</v>
      </c>
      <c r="L77" s="31" t="s">
        <v>1842</v>
      </c>
      <c r="M77" s="45" t="str">
        <f>IFERROR(VLOOKUP(A77,Lookups!#REF!,3,FALSE),"")</f>
        <v/>
      </c>
      <c r="N77" s="46">
        <v>15</v>
      </c>
      <c r="O77" s="47">
        <v>0</v>
      </c>
      <c r="P77" s="48">
        <v>0</v>
      </c>
      <c r="Q77" s="36">
        <v>100</v>
      </c>
      <c r="R77" s="37">
        <v>0</v>
      </c>
      <c r="S77" s="38">
        <f t="shared" si="11"/>
        <v>0</v>
      </c>
      <c r="T77" s="39">
        <f t="shared" si="12"/>
        <v>13</v>
      </c>
      <c r="U77" s="40">
        <f t="shared" si="13"/>
        <v>0</v>
      </c>
      <c r="V77" s="40">
        <f t="shared" si="14"/>
        <v>0</v>
      </c>
      <c r="W77" s="40">
        <f t="shared" si="15"/>
        <v>0</v>
      </c>
      <c r="X77" s="40">
        <f t="shared" si="19"/>
        <v>0</v>
      </c>
      <c r="Y77" s="40">
        <f t="shared" si="16"/>
        <v>0</v>
      </c>
      <c r="Z77" s="40">
        <f t="shared" si="17"/>
        <v>0</v>
      </c>
      <c r="AA77" s="40">
        <f t="shared" si="18"/>
        <v>0</v>
      </c>
      <c r="AB77" s="40">
        <f t="shared" si="20"/>
        <v>0</v>
      </c>
      <c r="AC77" s="41">
        <f t="shared" si="21"/>
        <v>0</v>
      </c>
      <c r="AD77" s="49" t="s">
        <v>5</v>
      </c>
      <c r="AE77" s="50" t="s">
        <v>116</v>
      </c>
      <c r="AF77" s="49" t="s">
        <v>5</v>
      </c>
      <c r="AG77" s="50" t="s">
        <v>117</v>
      </c>
      <c r="AH77" s="49"/>
      <c r="AI77" s="50"/>
      <c r="AJ77" s="49" t="s">
        <v>5</v>
      </c>
      <c r="AK77" s="50" t="s">
        <v>151</v>
      </c>
      <c r="AL77" s="49" t="s">
        <v>5</v>
      </c>
      <c r="AM77" s="50" t="s">
        <v>78</v>
      </c>
      <c r="AN77" s="49"/>
      <c r="AO77" s="50"/>
      <c r="AP77" s="49" t="s">
        <v>5</v>
      </c>
      <c r="AQ77" s="50" t="s">
        <v>131</v>
      </c>
      <c r="AR77" s="49" t="s">
        <v>5</v>
      </c>
      <c r="AS77" s="50" t="s">
        <v>104</v>
      </c>
      <c r="AT77" s="49" t="s">
        <v>5</v>
      </c>
      <c r="AU77" s="50" t="s">
        <v>105</v>
      </c>
      <c r="AV77" s="49" t="s">
        <v>5</v>
      </c>
      <c r="AW77" s="50" t="s">
        <v>94</v>
      </c>
      <c r="AX77" s="49" t="s">
        <v>5</v>
      </c>
      <c r="AY77" s="50" t="s">
        <v>80</v>
      </c>
      <c r="AZ77" s="49" t="s">
        <v>5</v>
      </c>
      <c r="BA77" s="50" t="s">
        <v>107</v>
      </c>
      <c r="BB77" s="49" t="s">
        <v>5</v>
      </c>
      <c r="BC77" s="50" t="s">
        <v>153</v>
      </c>
      <c r="BD77" s="49" t="s">
        <v>5</v>
      </c>
      <c r="BE77" s="50" t="s">
        <v>154</v>
      </c>
      <c r="BF77" s="49" t="s">
        <v>5</v>
      </c>
      <c r="BG77" s="50" t="s">
        <v>103</v>
      </c>
    </row>
    <row r="78" spans="1:59" s="44" customFormat="1" x14ac:dyDescent="0.25">
      <c r="A78" s="24">
        <v>160212</v>
      </c>
      <c r="B78" s="25" t="s">
        <v>236</v>
      </c>
      <c r="C78" s="26" t="s">
        <v>86</v>
      </c>
      <c r="D78" s="27" t="s">
        <v>70</v>
      </c>
      <c r="E78" s="28" t="s">
        <v>14</v>
      </c>
      <c r="F78" s="25" t="s">
        <v>71</v>
      </c>
      <c r="G78" s="28" t="s">
        <v>14</v>
      </c>
      <c r="H78" s="28" t="s">
        <v>14</v>
      </c>
      <c r="I78" s="29" t="s">
        <v>14</v>
      </c>
      <c r="J78" s="28" t="s">
        <v>14</v>
      </c>
      <c r="K78" s="30" t="s">
        <v>1850</v>
      </c>
      <c r="L78" s="31" t="s">
        <v>1842</v>
      </c>
      <c r="M78" s="45" t="str">
        <f>IFERROR(VLOOKUP(A78,Lookups!#REF!,3,FALSE),"")</f>
        <v/>
      </c>
      <c r="N78" s="46">
        <v>19</v>
      </c>
      <c r="O78" s="47">
        <v>0</v>
      </c>
      <c r="P78" s="48">
        <v>0</v>
      </c>
      <c r="Q78" s="36">
        <v>82.98</v>
      </c>
      <c r="R78" s="37">
        <v>0</v>
      </c>
      <c r="S78" s="38">
        <f t="shared" si="11"/>
        <v>0</v>
      </c>
      <c r="T78" s="39">
        <f t="shared" si="12"/>
        <v>13</v>
      </c>
      <c r="U78" s="40">
        <f t="shared" si="13"/>
        <v>0</v>
      </c>
      <c r="V78" s="40">
        <f t="shared" si="14"/>
        <v>0</v>
      </c>
      <c r="W78" s="40">
        <f t="shared" si="15"/>
        <v>0</v>
      </c>
      <c r="X78" s="40">
        <f t="shared" si="19"/>
        <v>0</v>
      </c>
      <c r="Y78" s="40">
        <f t="shared" si="16"/>
        <v>0</v>
      </c>
      <c r="Z78" s="40">
        <f t="shared" si="17"/>
        <v>0</v>
      </c>
      <c r="AA78" s="40">
        <f t="shared" si="18"/>
        <v>0</v>
      </c>
      <c r="AB78" s="40">
        <f t="shared" si="20"/>
        <v>0</v>
      </c>
      <c r="AC78" s="41">
        <f t="shared" si="21"/>
        <v>0</v>
      </c>
      <c r="AD78" s="49" t="s">
        <v>5</v>
      </c>
      <c r="AE78" s="50" t="s">
        <v>89</v>
      </c>
      <c r="AF78" s="49" t="s">
        <v>5</v>
      </c>
      <c r="AG78" s="50" t="s">
        <v>73</v>
      </c>
      <c r="AH78" s="49"/>
      <c r="AI78" s="50"/>
      <c r="AJ78" s="49" t="s">
        <v>5</v>
      </c>
      <c r="AK78" s="50" t="s">
        <v>111</v>
      </c>
      <c r="AL78" s="49" t="s">
        <v>5</v>
      </c>
      <c r="AM78" s="50" t="s">
        <v>84</v>
      </c>
      <c r="AN78" s="49"/>
      <c r="AO78" s="50"/>
      <c r="AP78" s="49" t="s">
        <v>5</v>
      </c>
      <c r="AQ78" s="50" t="s">
        <v>92</v>
      </c>
      <c r="AR78" s="49" t="s">
        <v>5</v>
      </c>
      <c r="AS78" s="50" t="s">
        <v>93</v>
      </c>
      <c r="AT78" s="49" t="s">
        <v>5</v>
      </c>
      <c r="AU78" s="50" t="s">
        <v>78</v>
      </c>
      <c r="AV78" s="49" t="s">
        <v>5</v>
      </c>
      <c r="AW78" s="50" t="s">
        <v>94</v>
      </c>
      <c r="AX78" s="49" t="s">
        <v>5</v>
      </c>
      <c r="AY78" s="50" t="s">
        <v>95</v>
      </c>
      <c r="AZ78" s="49" t="s">
        <v>5</v>
      </c>
      <c r="BA78" s="50" t="s">
        <v>81</v>
      </c>
      <c r="BB78" s="49" t="s">
        <v>5</v>
      </c>
      <c r="BC78" s="50" t="s">
        <v>97</v>
      </c>
      <c r="BD78" s="49" t="s">
        <v>5</v>
      </c>
      <c r="BE78" s="50" t="s">
        <v>98</v>
      </c>
      <c r="BF78" s="49" t="s">
        <v>5</v>
      </c>
      <c r="BG78" s="50" t="s">
        <v>84</v>
      </c>
    </row>
    <row r="79" spans="1:59" s="44" customFormat="1" x14ac:dyDescent="0.25">
      <c r="A79" s="24">
        <v>160213</v>
      </c>
      <c r="B79" s="25" t="s">
        <v>237</v>
      </c>
      <c r="C79" s="26" t="s">
        <v>114</v>
      </c>
      <c r="D79" s="27" t="s">
        <v>70</v>
      </c>
      <c r="E79" s="28" t="s">
        <v>14</v>
      </c>
      <c r="F79" s="25" t="s">
        <v>71</v>
      </c>
      <c r="G79" s="28" t="s">
        <v>14</v>
      </c>
      <c r="H79" s="28" t="s">
        <v>87</v>
      </c>
      <c r="I79" s="29" t="s">
        <v>14</v>
      </c>
      <c r="J79" s="28" t="s">
        <v>14</v>
      </c>
      <c r="K79" s="30" t="s">
        <v>1850</v>
      </c>
      <c r="L79" s="31" t="s">
        <v>1844</v>
      </c>
      <c r="M79" s="45" t="str">
        <f>IFERROR(VLOOKUP(A79,Lookups!#REF!,3,FALSE),"")</f>
        <v/>
      </c>
      <c r="N79" s="46">
        <v>33</v>
      </c>
      <c r="O79" s="47">
        <v>0</v>
      </c>
      <c r="P79" s="48">
        <v>1</v>
      </c>
      <c r="Q79" s="36">
        <v>97.87</v>
      </c>
      <c r="R79" s="37">
        <v>0</v>
      </c>
      <c r="S79" s="38">
        <f t="shared" si="11"/>
        <v>1</v>
      </c>
      <c r="T79" s="39">
        <f t="shared" si="12"/>
        <v>12</v>
      </c>
      <c r="U79" s="40">
        <f t="shared" si="13"/>
        <v>0</v>
      </c>
      <c r="V79" s="40">
        <f t="shared" si="14"/>
        <v>0</v>
      </c>
      <c r="W79" s="40">
        <f t="shared" si="15"/>
        <v>0</v>
      </c>
      <c r="X79" s="40">
        <f t="shared" si="19"/>
        <v>0</v>
      </c>
      <c r="Y79" s="40">
        <f t="shared" si="16"/>
        <v>0</v>
      </c>
      <c r="Z79" s="40">
        <f t="shared" si="17"/>
        <v>0</v>
      </c>
      <c r="AA79" s="40">
        <f t="shared" si="18"/>
        <v>0</v>
      </c>
      <c r="AB79" s="40">
        <f t="shared" si="20"/>
        <v>0</v>
      </c>
      <c r="AC79" s="41">
        <f t="shared" si="21"/>
        <v>0</v>
      </c>
      <c r="AD79" s="49" t="s">
        <v>5</v>
      </c>
      <c r="AE79" s="50" t="s">
        <v>116</v>
      </c>
      <c r="AF79" s="49" t="s">
        <v>5</v>
      </c>
      <c r="AG79" s="50" t="s">
        <v>135</v>
      </c>
      <c r="AH79" s="49"/>
      <c r="AI79" s="50"/>
      <c r="AJ79" s="49" t="s">
        <v>5</v>
      </c>
      <c r="AK79" s="50" t="s">
        <v>118</v>
      </c>
      <c r="AL79" s="49" t="s">
        <v>5</v>
      </c>
      <c r="AM79" s="50" t="s">
        <v>112</v>
      </c>
      <c r="AN79" s="49"/>
      <c r="AO79" s="50"/>
      <c r="AP79" s="49" t="s">
        <v>5</v>
      </c>
      <c r="AQ79" s="50" t="s">
        <v>119</v>
      </c>
      <c r="AR79" s="49" t="s">
        <v>5</v>
      </c>
      <c r="AS79" s="50" t="s">
        <v>120</v>
      </c>
      <c r="AT79" s="49" t="s">
        <v>5</v>
      </c>
      <c r="AU79" s="50" t="s">
        <v>78</v>
      </c>
      <c r="AV79" s="49" t="s">
        <v>5</v>
      </c>
      <c r="AW79" s="50" t="s">
        <v>112</v>
      </c>
      <c r="AX79" s="49" t="s">
        <v>1</v>
      </c>
      <c r="AY79" s="50" t="s">
        <v>95</v>
      </c>
      <c r="AZ79" s="49" t="s">
        <v>5</v>
      </c>
      <c r="BA79" s="50" t="s">
        <v>121</v>
      </c>
      <c r="BB79" s="49" t="s">
        <v>5</v>
      </c>
      <c r="BC79" s="50" t="s">
        <v>122</v>
      </c>
      <c r="BD79" s="49" t="s">
        <v>5</v>
      </c>
      <c r="BE79" s="50" t="s">
        <v>137</v>
      </c>
      <c r="BF79" s="49" t="s">
        <v>5</v>
      </c>
      <c r="BG79" s="50" t="s">
        <v>124</v>
      </c>
    </row>
    <row r="80" spans="1:59" s="44" customFormat="1" x14ac:dyDescent="0.25">
      <c r="A80" s="24">
        <v>160214</v>
      </c>
      <c r="B80" s="25" t="s">
        <v>238</v>
      </c>
      <c r="C80" s="26" t="s">
        <v>114</v>
      </c>
      <c r="D80" s="27" t="s">
        <v>12</v>
      </c>
      <c r="E80" s="28" t="s">
        <v>14</v>
      </c>
      <c r="F80" s="25" t="s">
        <v>71</v>
      </c>
      <c r="G80" s="28" t="s">
        <v>14</v>
      </c>
      <c r="H80" s="28" t="s">
        <v>14</v>
      </c>
      <c r="I80" s="29" t="s">
        <v>14</v>
      </c>
      <c r="J80" s="28" t="s">
        <v>6</v>
      </c>
      <c r="K80" s="30" t="s">
        <v>1850</v>
      </c>
      <c r="L80" s="31" t="s">
        <v>1842</v>
      </c>
      <c r="M80" s="45" t="str">
        <f>IFERROR(VLOOKUP(A80,Lookups!#REF!,3,FALSE),"")</f>
        <v/>
      </c>
      <c r="N80" s="46">
        <v>39</v>
      </c>
      <c r="O80" s="47">
        <v>8</v>
      </c>
      <c r="P80" s="48">
        <v>0</v>
      </c>
      <c r="Q80" s="36">
        <v>100</v>
      </c>
      <c r="R80" s="37">
        <v>4</v>
      </c>
      <c r="S80" s="38">
        <f t="shared" si="11"/>
        <v>2</v>
      </c>
      <c r="T80" s="39">
        <f t="shared" si="12"/>
        <v>9</v>
      </c>
      <c r="U80" s="40">
        <f t="shared" si="13"/>
        <v>0</v>
      </c>
      <c r="V80" s="40">
        <f t="shared" si="14"/>
        <v>2</v>
      </c>
      <c r="W80" s="40">
        <f t="shared" si="15"/>
        <v>0</v>
      </c>
      <c r="X80" s="40">
        <f t="shared" si="19"/>
        <v>2</v>
      </c>
      <c r="Y80" s="40">
        <f t="shared" si="16"/>
        <v>0</v>
      </c>
      <c r="Z80" s="40">
        <f t="shared" si="17"/>
        <v>0</v>
      </c>
      <c r="AA80" s="40">
        <f t="shared" si="18"/>
        <v>0</v>
      </c>
      <c r="AB80" s="40">
        <f t="shared" si="20"/>
        <v>0</v>
      </c>
      <c r="AC80" s="41">
        <f t="shared" si="21"/>
        <v>0</v>
      </c>
      <c r="AD80" s="49" t="s">
        <v>31</v>
      </c>
      <c r="AE80" s="50" t="s">
        <v>116</v>
      </c>
      <c r="AF80" s="49" t="s">
        <v>5</v>
      </c>
      <c r="AG80" s="50" t="s">
        <v>90</v>
      </c>
      <c r="AH80" s="49"/>
      <c r="AI80" s="50"/>
      <c r="AJ80" s="49" t="s">
        <v>5</v>
      </c>
      <c r="AK80" s="50" t="s">
        <v>118</v>
      </c>
      <c r="AL80" s="49" t="s">
        <v>5</v>
      </c>
      <c r="AM80" s="50" t="s">
        <v>112</v>
      </c>
      <c r="AN80" s="49"/>
      <c r="AO80" s="50"/>
      <c r="AP80" s="49" t="s">
        <v>5</v>
      </c>
      <c r="AQ80" s="50" t="s">
        <v>119</v>
      </c>
      <c r="AR80" s="49" t="s">
        <v>5</v>
      </c>
      <c r="AS80" s="50" t="s">
        <v>120</v>
      </c>
      <c r="AT80" s="49" t="s">
        <v>5</v>
      </c>
      <c r="AU80" s="50" t="s">
        <v>78</v>
      </c>
      <c r="AV80" s="49" t="s">
        <v>1</v>
      </c>
      <c r="AW80" s="50" t="s">
        <v>136</v>
      </c>
      <c r="AX80" s="49" t="s">
        <v>5</v>
      </c>
      <c r="AY80" s="50" t="s">
        <v>95</v>
      </c>
      <c r="AZ80" s="49" t="s">
        <v>1</v>
      </c>
      <c r="BA80" s="50" t="s">
        <v>96</v>
      </c>
      <c r="BB80" s="49" t="s">
        <v>31</v>
      </c>
      <c r="BC80" s="50" t="s">
        <v>122</v>
      </c>
      <c r="BD80" s="49" t="s">
        <v>5</v>
      </c>
      <c r="BE80" s="50" t="s">
        <v>123</v>
      </c>
      <c r="BF80" s="49" t="s">
        <v>5</v>
      </c>
      <c r="BG80" s="50" t="s">
        <v>124</v>
      </c>
    </row>
    <row r="81" spans="1:59" s="44" customFormat="1" x14ac:dyDescent="0.25">
      <c r="A81" s="24">
        <v>160215</v>
      </c>
      <c r="B81" s="25" t="s">
        <v>239</v>
      </c>
      <c r="C81" s="26" t="s">
        <v>149</v>
      </c>
      <c r="D81" s="27" t="s">
        <v>12</v>
      </c>
      <c r="E81" s="28" t="s">
        <v>14</v>
      </c>
      <c r="F81" s="25" t="s">
        <v>71</v>
      </c>
      <c r="G81" s="28" t="s">
        <v>14</v>
      </c>
      <c r="H81" s="28" t="s">
        <v>14</v>
      </c>
      <c r="I81" s="29" t="s">
        <v>14</v>
      </c>
      <c r="J81" s="28" t="s">
        <v>14</v>
      </c>
      <c r="K81" s="30" t="s">
        <v>1850</v>
      </c>
      <c r="L81" s="31" t="s">
        <v>1842</v>
      </c>
      <c r="M81" s="45" t="str">
        <f>IFERROR(VLOOKUP(A81,Lookups!#REF!,3,FALSE),"")</f>
        <v/>
      </c>
      <c r="N81" s="46">
        <v>20</v>
      </c>
      <c r="O81" s="47">
        <v>0</v>
      </c>
      <c r="P81" s="48">
        <v>0</v>
      </c>
      <c r="Q81" s="36">
        <v>91.49</v>
      </c>
      <c r="R81" s="37">
        <v>0</v>
      </c>
      <c r="S81" s="38">
        <f t="shared" si="11"/>
        <v>0</v>
      </c>
      <c r="T81" s="39">
        <f t="shared" si="12"/>
        <v>13</v>
      </c>
      <c r="U81" s="40">
        <f t="shared" si="13"/>
        <v>0</v>
      </c>
      <c r="V81" s="40">
        <f t="shared" si="14"/>
        <v>0</v>
      </c>
      <c r="W81" s="40">
        <f t="shared" si="15"/>
        <v>0</v>
      </c>
      <c r="X81" s="40">
        <f t="shared" si="19"/>
        <v>0</v>
      </c>
      <c r="Y81" s="40">
        <f t="shared" si="16"/>
        <v>0</v>
      </c>
      <c r="Z81" s="40">
        <f t="shared" si="17"/>
        <v>0</v>
      </c>
      <c r="AA81" s="40">
        <f t="shared" si="18"/>
        <v>0</v>
      </c>
      <c r="AB81" s="40">
        <f t="shared" si="20"/>
        <v>0</v>
      </c>
      <c r="AC81" s="41">
        <f t="shared" si="21"/>
        <v>0</v>
      </c>
      <c r="AD81" s="49" t="s">
        <v>5</v>
      </c>
      <c r="AE81" s="50" t="s">
        <v>72</v>
      </c>
      <c r="AF81" s="49" t="s">
        <v>5</v>
      </c>
      <c r="AG81" s="50" t="s">
        <v>135</v>
      </c>
      <c r="AH81" s="49"/>
      <c r="AI81" s="50"/>
      <c r="AJ81" s="49" t="s">
        <v>5</v>
      </c>
      <c r="AK81" s="50" t="s">
        <v>151</v>
      </c>
      <c r="AL81" s="49" t="s">
        <v>5</v>
      </c>
      <c r="AM81" s="50" t="s">
        <v>78</v>
      </c>
      <c r="AN81" s="49"/>
      <c r="AO81" s="50"/>
      <c r="AP81" s="49" t="s">
        <v>5</v>
      </c>
      <c r="AQ81" s="50" t="s">
        <v>131</v>
      </c>
      <c r="AR81" s="49" t="s">
        <v>5</v>
      </c>
      <c r="AS81" s="50" t="s">
        <v>104</v>
      </c>
      <c r="AT81" s="49" t="s">
        <v>5</v>
      </c>
      <c r="AU81" s="50" t="s">
        <v>105</v>
      </c>
      <c r="AV81" s="49" t="s">
        <v>5</v>
      </c>
      <c r="AW81" s="50" t="s">
        <v>79</v>
      </c>
      <c r="AX81" s="49" t="s">
        <v>5</v>
      </c>
      <c r="AY81" s="50" t="s">
        <v>80</v>
      </c>
      <c r="AZ81" s="49" t="s">
        <v>5</v>
      </c>
      <c r="BA81" s="50" t="s">
        <v>107</v>
      </c>
      <c r="BB81" s="49" t="s">
        <v>5</v>
      </c>
      <c r="BC81" s="50" t="s">
        <v>153</v>
      </c>
      <c r="BD81" s="49" t="s">
        <v>5</v>
      </c>
      <c r="BE81" s="50" t="s">
        <v>154</v>
      </c>
      <c r="BF81" s="49" t="s">
        <v>5</v>
      </c>
      <c r="BG81" s="50" t="s">
        <v>103</v>
      </c>
    </row>
    <row r="82" spans="1:59" s="44" customFormat="1" x14ac:dyDescent="0.25">
      <c r="A82" s="24">
        <v>160216</v>
      </c>
      <c r="B82" s="25" t="s">
        <v>240</v>
      </c>
      <c r="C82" s="26" t="s">
        <v>100</v>
      </c>
      <c r="D82" s="27" t="s">
        <v>12</v>
      </c>
      <c r="E82" s="28" t="s">
        <v>14</v>
      </c>
      <c r="F82" s="25" t="s">
        <v>71</v>
      </c>
      <c r="G82" s="28" t="s">
        <v>14</v>
      </c>
      <c r="H82" s="28" t="s">
        <v>14</v>
      </c>
      <c r="I82" s="29" t="s">
        <v>14</v>
      </c>
      <c r="J82" s="28" t="s">
        <v>4</v>
      </c>
      <c r="K82" s="30" t="s">
        <v>1850</v>
      </c>
      <c r="L82" s="31" t="s">
        <v>1844</v>
      </c>
      <c r="M82" s="45" t="str">
        <f>IFERROR(VLOOKUP(A82,Lookups!#REF!,3,FALSE),"")</f>
        <v/>
      </c>
      <c r="N82" s="46">
        <v>13</v>
      </c>
      <c r="O82" s="47">
        <v>1</v>
      </c>
      <c r="P82" s="48">
        <v>0</v>
      </c>
      <c r="Q82" s="36">
        <v>100</v>
      </c>
      <c r="R82" s="37">
        <v>0</v>
      </c>
      <c r="S82" s="38">
        <f t="shared" si="11"/>
        <v>0</v>
      </c>
      <c r="T82" s="39">
        <f t="shared" si="12"/>
        <v>13</v>
      </c>
      <c r="U82" s="40">
        <f t="shared" si="13"/>
        <v>0</v>
      </c>
      <c r="V82" s="40">
        <f t="shared" si="14"/>
        <v>0</v>
      </c>
      <c r="W82" s="40">
        <f t="shared" si="15"/>
        <v>0</v>
      </c>
      <c r="X82" s="40">
        <f t="shared" si="19"/>
        <v>0</v>
      </c>
      <c r="Y82" s="40">
        <f t="shared" si="16"/>
        <v>0</v>
      </c>
      <c r="Z82" s="40">
        <f t="shared" si="17"/>
        <v>0</v>
      </c>
      <c r="AA82" s="40">
        <f t="shared" si="18"/>
        <v>0</v>
      </c>
      <c r="AB82" s="40">
        <f t="shared" si="20"/>
        <v>0</v>
      </c>
      <c r="AC82" s="41">
        <f t="shared" si="21"/>
        <v>0</v>
      </c>
      <c r="AD82" s="49" t="s">
        <v>5</v>
      </c>
      <c r="AE82" s="50" t="s">
        <v>72</v>
      </c>
      <c r="AF82" s="49" t="s">
        <v>5</v>
      </c>
      <c r="AG82" s="50" t="s">
        <v>135</v>
      </c>
      <c r="AH82" s="49"/>
      <c r="AI82" s="50"/>
      <c r="AJ82" s="49" t="s">
        <v>5</v>
      </c>
      <c r="AK82" s="50" t="s">
        <v>74</v>
      </c>
      <c r="AL82" s="49" t="s">
        <v>5</v>
      </c>
      <c r="AM82" s="50" t="s">
        <v>76</v>
      </c>
      <c r="AN82" s="49" t="s">
        <v>5</v>
      </c>
      <c r="AO82" s="50" t="s">
        <v>103</v>
      </c>
      <c r="AP82" s="49" t="s">
        <v>5</v>
      </c>
      <c r="AQ82" s="50" t="s">
        <v>92</v>
      </c>
      <c r="AR82" s="49" t="s">
        <v>5</v>
      </c>
      <c r="AS82" s="50" t="s">
        <v>104</v>
      </c>
      <c r="AT82" s="49" t="s">
        <v>5</v>
      </c>
      <c r="AU82" s="50" t="s">
        <v>105</v>
      </c>
      <c r="AV82" s="49" t="s">
        <v>5</v>
      </c>
      <c r="AW82" s="50" t="s">
        <v>112</v>
      </c>
      <c r="AX82" s="49" t="s">
        <v>5</v>
      </c>
      <c r="AY82" s="50" t="s">
        <v>80</v>
      </c>
      <c r="AZ82" s="49" t="s">
        <v>5</v>
      </c>
      <c r="BA82" s="50" t="s">
        <v>107</v>
      </c>
      <c r="BB82" s="49" t="s">
        <v>5</v>
      </c>
      <c r="BC82" s="50" t="s">
        <v>108</v>
      </c>
      <c r="BD82" s="49" t="s">
        <v>5</v>
      </c>
      <c r="BE82" s="50" t="s">
        <v>140</v>
      </c>
      <c r="BF82" s="49"/>
      <c r="BG82" s="50"/>
    </row>
    <row r="83" spans="1:59" s="44" customFormat="1" x14ac:dyDescent="0.25">
      <c r="A83" s="24">
        <v>160217</v>
      </c>
      <c r="B83" s="25" t="s">
        <v>241</v>
      </c>
      <c r="C83" s="26" t="s">
        <v>149</v>
      </c>
      <c r="D83" s="27" t="s">
        <v>70</v>
      </c>
      <c r="E83" s="28" t="s">
        <v>14</v>
      </c>
      <c r="F83" s="25" t="s">
        <v>71</v>
      </c>
      <c r="G83" s="28" t="s">
        <v>14</v>
      </c>
      <c r="H83" s="28" t="s">
        <v>14</v>
      </c>
      <c r="I83" s="29" t="s">
        <v>14</v>
      </c>
      <c r="J83" s="28" t="s">
        <v>14</v>
      </c>
      <c r="K83" s="30" t="s">
        <v>1850</v>
      </c>
      <c r="L83" s="31" t="s">
        <v>1844</v>
      </c>
      <c r="M83" s="45" t="str">
        <f>IFERROR(VLOOKUP(A83,Lookups!#REF!,3,FALSE),"")</f>
        <v/>
      </c>
      <c r="N83" s="46">
        <v>14</v>
      </c>
      <c r="O83" s="47">
        <v>0</v>
      </c>
      <c r="P83" s="48">
        <v>0</v>
      </c>
      <c r="Q83" s="36">
        <v>91.49</v>
      </c>
      <c r="R83" s="37">
        <v>0</v>
      </c>
      <c r="S83" s="38">
        <f t="shared" si="11"/>
        <v>2</v>
      </c>
      <c r="T83" s="39">
        <f t="shared" si="12"/>
        <v>11</v>
      </c>
      <c r="U83" s="40">
        <f t="shared" si="13"/>
        <v>0</v>
      </c>
      <c r="V83" s="40">
        <f t="shared" si="14"/>
        <v>0</v>
      </c>
      <c r="W83" s="40">
        <f t="shared" si="15"/>
        <v>0</v>
      </c>
      <c r="X83" s="40">
        <f t="shared" si="19"/>
        <v>0</v>
      </c>
      <c r="Y83" s="40">
        <f t="shared" si="16"/>
        <v>0</v>
      </c>
      <c r="Z83" s="40">
        <f t="shared" si="17"/>
        <v>0</v>
      </c>
      <c r="AA83" s="40">
        <f t="shared" si="18"/>
        <v>0</v>
      </c>
      <c r="AB83" s="40">
        <f t="shared" si="20"/>
        <v>0</v>
      </c>
      <c r="AC83" s="41">
        <f t="shared" si="21"/>
        <v>0</v>
      </c>
      <c r="AD83" s="49" t="s">
        <v>5</v>
      </c>
      <c r="AE83" s="50" t="s">
        <v>116</v>
      </c>
      <c r="AF83" s="49" t="s">
        <v>5</v>
      </c>
      <c r="AG83" s="50" t="s">
        <v>90</v>
      </c>
      <c r="AH83" s="49"/>
      <c r="AI83" s="50"/>
      <c r="AJ83" s="49" t="s">
        <v>5</v>
      </c>
      <c r="AK83" s="50" t="s">
        <v>151</v>
      </c>
      <c r="AL83" s="49" t="s">
        <v>5</v>
      </c>
      <c r="AM83" s="50" t="s">
        <v>78</v>
      </c>
      <c r="AN83" s="49"/>
      <c r="AO83" s="50"/>
      <c r="AP83" s="49" t="s">
        <v>5</v>
      </c>
      <c r="AQ83" s="50" t="s">
        <v>131</v>
      </c>
      <c r="AR83" s="49" t="s">
        <v>1</v>
      </c>
      <c r="AS83" s="50" t="s">
        <v>104</v>
      </c>
      <c r="AT83" s="49" t="s">
        <v>5</v>
      </c>
      <c r="AU83" s="50" t="s">
        <v>105</v>
      </c>
      <c r="AV83" s="49" t="s">
        <v>1</v>
      </c>
      <c r="AW83" s="50" t="s">
        <v>112</v>
      </c>
      <c r="AX83" s="49" t="s">
        <v>5</v>
      </c>
      <c r="AY83" s="50" t="s">
        <v>80</v>
      </c>
      <c r="AZ83" s="49" t="s">
        <v>5</v>
      </c>
      <c r="BA83" s="50" t="s">
        <v>152</v>
      </c>
      <c r="BB83" s="49" t="s">
        <v>5</v>
      </c>
      <c r="BC83" s="50" t="s">
        <v>153</v>
      </c>
      <c r="BD83" s="49" t="s">
        <v>5</v>
      </c>
      <c r="BE83" s="50" t="s">
        <v>154</v>
      </c>
      <c r="BF83" s="49" t="s">
        <v>5</v>
      </c>
      <c r="BG83" s="50" t="s">
        <v>103</v>
      </c>
    </row>
    <row r="84" spans="1:59" s="44" customFormat="1" x14ac:dyDescent="0.25">
      <c r="A84" s="24">
        <v>160218</v>
      </c>
      <c r="B84" s="25" t="s">
        <v>242</v>
      </c>
      <c r="C84" s="26" t="s">
        <v>129</v>
      </c>
      <c r="D84" s="27" t="s">
        <v>12</v>
      </c>
      <c r="E84" s="28" t="s">
        <v>14</v>
      </c>
      <c r="F84" s="25" t="s">
        <v>71</v>
      </c>
      <c r="G84" s="28" t="s">
        <v>14</v>
      </c>
      <c r="H84" s="28" t="s">
        <v>14</v>
      </c>
      <c r="I84" s="29" t="s">
        <v>14</v>
      </c>
      <c r="J84" s="28" t="s">
        <v>6</v>
      </c>
      <c r="K84" s="30" t="s">
        <v>1850</v>
      </c>
      <c r="L84" s="31" t="s">
        <v>1843</v>
      </c>
      <c r="M84" s="45" t="str">
        <f>IFERROR(VLOOKUP(A84,Lookups!#REF!,3,FALSE),"")</f>
        <v/>
      </c>
      <c r="N84" s="46">
        <v>37</v>
      </c>
      <c r="O84" s="47">
        <v>1</v>
      </c>
      <c r="P84" s="48">
        <v>0</v>
      </c>
      <c r="Q84" s="36">
        <v>91.49</v>
      </c>
      <c r="R84" s="37">
        <v>1</v>
      </c>
      <c r="S84" s="38">
        <f t="shared" si="11"/>
        <v>1</v>
      </c>
      <c r="T84" s="39">
        <f t="shared" si="12"/>
        <v>12</v>
      </c>
      <c r="U84" s="40">
        <f t="shared" si="13"/>
        <v>0</v>
      </c>
      <c r="V84" s="40">
        <f t="shared" si="14"/>
        <v>0</v>
      </c>
      <c r="W84" s="40">
        <f t="shared" si="15"/>
        <v>0</v>
      </c>
      <c r="X84" s="40">
        <f t="shared" si="19"/>
        <v>0</v>
      </c>
      <c r="Y84" s="40">
        <f t="shared" si="16"/>
        <v>0</v>
      </c>
      <c r="Z84" s="40">
        <f t="shared" si="17"/>
        <v>0</v>
      </c>
      <c r="AA84" s="40">
        <f t="shared" si="18"/>
        <v>0</v>
      </c>
      <c r="AB84" s="40">
        <f t="shared" si="20"/>
        <v>0</v>
      </c>
      <c r="AC84" s="41">
        <f t="shared" si="21"/>
        <v>0</v>
      </c>
      <c r="AD84" s="49" t="s">
        <v>5</v>
      </c>
      <c r="AE84" s="50" t="s">
        <v>89</v>
      </c>
      <c r="AF84" s="49" t="s">
        <v>5</v>
      </c>
      <c r="AG84" s="50" t="s">
        <v>135</v>
      </c>
      <c r="AH84" s="49"/>
      <c r="AI84" s="50"/>
      <c r="AJ84" s="49" t="s">
        <v>5</v>
      </c>
      <c r="AK84" s="50" t="s">
        <v>118</v>
      </c>
      <c r="AL84" s="49" t="s">
        <v>1</v>
      </c>
      <c r="AM84" s="50" t="s">
        <v>74</v>
      </c>
      <c r="AN84" s="49" t="s">
        <v>5</v>
      </c>
      <c r="AO84" s="50" t="s">
        <v>130</v>
      </c>
      <c r="AP84" s="49" t="s">
        <v>5</v>
      </c>
      <c r="AQ84" s="50" t="s">
        <v>131</v>
      </c>
      <c r="AR84" s="49" t="s">
        <v>5</v>
      </c>
      <c r="AS84" s="50" t="s">
        <v>132</v>
      </c>
      <c r="AT84" s="49" t="s">
        <v>5</v>
      </c>
      <c r="AU84" s="50" t="s">
        <v>105</v>
      </c>
      <c r="AV84" s="49" t="s">
        <v>5</v>
      </c>
      <c r="AW84" s="50" t="s">
        <v>106</v>
      </c>
      <c r="AX84" s="49" t="s">
        <v>5</v>
      </c>
      <c r="AY84" s="50" t="s">
        <v>80</v>
      </c>
      <c r="AZ84" s="49" t="s">
        <v>5</v>
      </c>
      <c r="BA84" s="50" t="s">
        <v>107</v>
      </c>
      <c r="BB84" s="49" t="s">
        <v>5</v>
      </c>
      <c r="BC84" s="50" t="s">
        <v>108</v>
      </c>
      <c r="BD84" s="49" t="s">
        <v>5</v>
      </c>
      <c r="BE84" s="50" t="s">
        <v>133</v>
      </c>
      <c r="BF84" s="49"/>
      <c r="BG84" s="50"/>
    </row>
    <row r="85" spans="1:59" s="44" customFormat="1" x14ac:dyDescent="0.25">
      <c r="A85" s="24">
        <v>160219</v>
      </c>
      <c r="B85" s="25" t="s">
        <v>243</v>
      </c>
      <c r="C85" s="26" t="s">
        <v>114</v>
      </c>
      <c r="D85" s="27" t="s">
        <v>12</v>
      </c>
      <c r="E85" s="28" t="s">
        <v>14</v>
      </c>
      <c r="F85" s="25" t="s">
        <v>158</v>
      </c>
      <c r="G85" s="28" t="s">
        <v>14</v>
      </c>
      <c r="H85" s="28" t="s">
        <v>14</v>
      </c>
      <c r="I85" s="29" t="s">
        <v>14</v>
      </c>
      <c r="J85" s="28" t="s">
        <v>14</v>
      </c>
      <c r="K85" s="30" t="s">
        <v>1850</v>
      </c>
      <c r="L85" s="31" t="s">
        <v>1848</v>
      </c>
      <c r="M85" s="45" t="str">
        <f>IFERROR(VLOOKUP(A85,Lookups!#REF!,3,FALSE),"")</f>
        <v/>
      </c>
      <c r="N85" s="46">
        <v>31</v>
      </c>
      <c r="O85" s="47">
        <v>0</v>
      </c>
      <c r="P85" s="48">
        <v>0</v>
      </c>
      <c r="Q85" s="36">
        <v>87.23</v>
      </c>
      <c r="R85" s="37">
        <v>2</v>
      </c>
      <c r="S85" s="38">
        <f t="shared" si="11"/>
        <v>1</v>
      </c>
      <c r="T85" s="39">
        <f t="shared" si="12"/>
        <v>12</v>
      </c>
      <c r="U85" s="40">
        <f t="shared" si="13"/>
        <v>0</v>
      </c>
      <c r="V85" s="40">
        <f t="shared" si="14"/>
        <v>0</v>
      </c>
      <c r="W85" s="40">
        <f t="shared" si="15"/>
        <v>0</v>
      </c>
      <c r="X85" s="40">
        <f t="shared" si="19"/>
        <v>0</v>
      </c>
      <c r="Y85" s="40">
        <f t="shared" si="16"/>
        <v>0</v>
      </c>
      <c r="Z85" s="40">
        <f t="shared" si="17"/>
        <v>0</v>
      </c>
      <c r="AA85" s="40">
        <f t="shared" si="18"/>
        <v>0</v>
      </c>
      <c r="AB85" s="40">
        <f t="shared" si="20"/>
        <v>0</v>
      </c>
      <c r="AC85" s="41">
        <f t="shared" si="21"/>
        <v>0</v>
      </c>
      <c r="AD85" s="49" t="s">
        <v>5</v>
      </c>
      <c r="AE85" s="50" t="s">
        <v>116</v>
      </c>
      <c r="AF85" s="49" t="s">
        <v>5</v>
      </c>
      <c r="AG85" s="50" t="s">
        <v>73</v>
      </c>
      <c r="AH85" s="49"/>
      <c r="AI85" s="50"/>
      <c r="AJ85" s="49" t="s">
        <v>5</v>
      </c>
      <c r="AK85" s="50" t="s">
        <v>118</v>
      </c>
      <c r="AL85" s="49" t="s">
        <v>5</v>
      </c>
      <c r="AM85" s="50" t="s">
        <v>112</v>
      </c>
      <c r="AN85" s="49"/>
      <c r="AO85" s="50"/>
      <c r="AP85" s="49" t="s">
        <v>5</v>
      </c>
      <c r="AQ85" s="50" t="s">
        <v>119</v>
      </c>
      <c r="AR85" s="49" t="s">
        <v>5</v>
      </c>
      <c r="AS85" s="50" t="s">
        <v>120</v>
      </c>
      <c r="AT85" s="49" t="s">
        <v>5</v>
      </c>
      <c r="AU85" s="50" t="s">
        <v>78</v>
      </c>
      <c r="AV85" s="49" t="s">
        <v>5</v>
      </c>
      <c r="AW85" s="50" t="s">
        <v>106</v>
      </c>
      <c r="AX85" s="49" t="s">
        <v>5</v>
      </c>
      <c r="AY85" s="50" t="s">
        <v>95</v>
      </c>
      <c r="AZ85" s="49" t="s">
        <v>1</v>
      </c>
      <c r="BA85" s="50" t="s">
        <v>96</v>
      </c>
      <c r="BB85" s="49" t="s">
        <v>5</v>
      </c>
      <c r="BC85" s="50" t="s">
        <v>122</v>
      </c>
      <c r="BD85" s="49" t="s">
        <v>5</v>
      </c>
      <c r="BE85" s="50" t="s">
        <v>137</v>
      </c>
      <c r="BF85" s="49" t="s">
        <v>5</v>
      </c>
      <c r="BG85" s="50" t="s">
        <v>124</v>
      </c>
    </row>
    <row r="86" spans="1:59" s="44" customFormat="1" x14ac:dyDescent="0.25">
      <c r="A86" s="24">
        <v>160220</v>
      </c>
      <c r="B86" s="25" t="s">
        <v>244</v>
      </c>
      <c r="C86" s="26" t="s">
        <v>162</v>
      </c>
      <c r="D86" s="27" t="s">
        <v>12</v>
      </c>
      <c r="E86" s="28" t="s">
        <v>14</v>
      </c>
      <c r="F86" s="25" t="s">
        <v>71</v>
      </c>
      <c r="G86" s="28" t="s">
        <v>14</v>
      </c>
      <c r="H86" s="28" t="s">
        <v>14</v>
      </c>
      <c r="I86" s="29" t="s">
        <v>14</v>
      </c>
      <c r="J86" s="28" t="s">
        <v>14</v>
      </c>
      <c r="K86" s="30" t="s">
        <v>1850</v>
      </c>
      <c r="L86" s="31" t="s">
        <v>1844</v>
      </c>
      <c r="M86" s="45" t="str">
        <f>IFERROR(VLOOKUP(A86,Lookups!#REF!,3,FALSE),"")</f>
        <v/>
      </c>
      <c r="N86" s="46">
        <v>27</v>
      </c>
      <c r="O86" s="47">
        <v>1</v>
      </c>
      <c r="P86" s="48">
        <v>0</v>
      </c>
      <c r="Q86" s="36">
        <v>100</v>
      </c>
      <c r="R86" s="37">
        <v>0</v>
      </c>
      <c r="S86" s="38">
        <f t="shared" si="11"/>
        <v>0</v>
      </c>
      <c r="T86" s="39">
        <f t="shared" si="12"/>
        <v>12</v>
      </c>
      <c r="U86" s="40">
        <f t="shared" si="13"/>
        <v>1</v>
      </c>
      <c r="V86" s="40">
        <f t="shared" si="14"/>
        <v>0</v>
      </c>
      <c r="W86" s="40">
        <f t="shared" si="15"/>
        <v>0</v>
      </c>
      <c r="X86" s="40">
        <f t="shared" si="19"/>
        <v>1</v>
      </c>
      <c r="Y86" s="40">
        <f t="shared" si="16"/>
        <v>0</v>
      </c>
      <c r="Z86" s="40">
        <f t="shared" si="17"/>
        <v>0</v>
      </c>
      <c r="AA86" s="40">
        <f t="shared" si="18"/>
        <v>0</v>
      </c>
      <c r="AB86" s="40">
        <f t="shared" si="20"/>
        <v>0</v>
      </c>
      <c r="AC86" s="41">
        <f t="shared" si="21"/>
        <v>0</v>
      </c>
      <c r="AD86" s="49" t="s">
        <v>5</v>
      </c>
      <c r="AE86" s="50" t="s">
        <v>72</v>
      </c>
      <c r="AF86" s="49" t="s">
        <v>5</v>
      </c>
      <c r="AG86" s="50" t="s">
        <v>117</v>
      </c>
      <c r="AH86" s="49"/>
      <c r="AI86" s="50"/>
      <c r="AJ86" s="49" t="s">
        <v>5</v>
      </c>
      <c r="AK86" s="50" t="s">
        <v>194</v>
      </c>
      <c r="AL86" s="49" t="s">
        <v>5</v>
      </c>
      <c r="AM86" s="50" t="s">
        <v>72</v>
      </c>
      <c r="AN86" s="49" t="s">
        <v>5</v>
      </c>
      <c r="AO86" s="50" t="s">
        <v>143</v>
      </c>
      <c r="AP86" s="49" t="s">
        <v>5</v>
      </c>
      <c r="AQ86" s="50" t="s">
        <v>131</v>
      </c>
      <c r="AR86" s="49" t="s">
        <v>5</v>
      </c>
      <c r="AS86" s="50" t="s">
        <v>104</v>
      </c>
      <c r="AT86" s="49" t="s">
        <v>5</v>
      </c>
      <c r="AU86" s="50" t="s">
        <v>163</v>
      </c>
      <c r="AV86" s="49" t="s">
        <v>5</v>
      </c>
      <c r="AW86" s="50" t="s">
        <v>94</v>
      </c>
      <c r="AX86" s="49" t="s">
        <v>5</v>
      </c>
      <c r="AY86" s="50" t="s">
        <v>95</v>
      </c>
      <c r="AZ86" s="49" t="s">
        <v>5</v>
      </c>
      <c r="BA86" s="50" t="s">
        <v>107</v>
      </c>
      <c r="BB86" s="49" t="s">
        <v>30</v>
      </c>
      <c r="BC86" s="50" t="s">
        <v>97</v>
      </c>
      <c r="BD86" s="49" t="s">
        <v>5</v>
      </c>
      <c r="BE86" s="50" t="s">
        <v>164</v>
      </c>
      <c r="BF86" s="49"/>
      <c r="BG86" s="50"/>
    </row>
    <row r="87" spans="1:59" s="44" customFormat="1" x14ac:dyDescent="0.25">
      <c r="A87" s="24">
        <v>160221</v>
      </c>
      <c r="B87" s="25" t="s">
        <v>245</v>
      </c>
      <c r="C87" s="26" t="s">
        <v>129</v>
      </c>
      <c r="D87" s="27" t="s">
        <v>70</v>
      </c>
      <c r="E87" s="28" t="s">
        <v>14</v>
      </c>
      <c r="F87" s="25" t="s">
        <v>71</v>
      </c>
      <c r="G87" s="28" t="s">
        <v>14</v>
      </c>
      <c r="H87" s="28" t="s">
        <v>14</v>
      </c>
      <c r="I87" s="29" t="s">
        <v>14</v>
      </c>
      <c r="J87" s="28" t="s">
        <v>14</v>
      </c>
      <c r="K87" s="30" t="s">
        <v>1850</v>
      </c>
      <c r="L87" s="31" t="s">
        <v>1842</v>
      </c>
      <c r="M87" s="45" t="str">
        <f>IFERROR(VLOOKUP(A87,Lookups!#REF!,3,FALSE),"")</f>
        <v/>
      </c>
      <c r="N87" s="46">
        <v>38</v>
      </c>
      <c r="O87" s="47">
        <v>0</v>
      </c>
      <c r="P87" s="48">
        <v>1</v>
      </c>
      <c r="Q87" s="36">
        <v>100</v>
      </c>
      <c r="R87" s="37">
        <v>0</v>
      </c>
      <c r="S87" s="38">
        <f t="shared" si="11"/>
        <v>1</v>
      </c>
      <c r="T87" s="39">
        <f t="shared" si="12"/>
        <v>12</v>
      </c>
      <c r="U87" s="40">
        <f t="shared" si="13"/>
        <v>0</v>
      </c>
      <c r="V87" s="40">
        <f t="shared" si="14"/>
        <v>0</v>
      </c>
      <c r="W87" s="40">
        <f t="shared" si="15"/>
        <v>0</v>
      </c>
      <c r="X87" s="40">
        <f t="shared" si="19"/>
        <v>0</v>
      </c>
      <c r="Y87" s="40">
        <f t="shared" si="16"/>
        <v>0</v>
      </c>
      <c r="Z87" s="40">
        <f t="shared" si="17"/>
        <v>0</v>
      </c>
      <c r="AA87" s="40">
        <f t="shared" si="18"/>
        <v>0</v>
      </c>
      <c r="AB87" s="40">
        <f t="shared" si="20"/>
        <v>0</v>
      </c>
      <c r="AC87" s="41">
        <f t="shared" si="21"/>
        <v>0</v>
      </c>
      <c r="AD87" s="49" t="s">
        <v>5</v>
      </c>
      <c r="AE87" s="50" t="s">
        <v>89</v>
      </c>
      <c r="AF87" s="49" t="s">
        <v>5</v>
      </c>
      <c r="AG87" s="50" t="s">
        <v>90</v>
      </c>
      <c r="AH87" s="49"/>
      <c r="AI87" s="50"/>
      <c r="AJ87" s="49" t="s">
        <v>5</v>
      </c>
      <c r="AK87" s="50" t="s">
        <v>118</v>
      </c>
      <c r="AL87" s="49" t="s">
        <v>5</v>
      </c>
      <c r="AM87" s="50" t="s">
        <v>74</v>
      </c>
      <c r="AN87" s="49" t="s">
        <v>5</v>
      </c>
      <c r="AO87" s="50" t="s">
        <v>130</v>
      </c>
      <c r="AP87" s="49" t="s">
        <v>5</v>
      </c>
      <c r="AQ87" s="50" t="s">
        <v>131</v>
      </c>
      <c r="AR87" s="49" t="s">
        <v>5</v>
      </c>
      <c r="AS87" s="50" t="s">
        <v>132</v>
      </c>
      <c r="AT87" s="49" t="s">
        <v>5</v>
      </c>
      <c r="AU87" s="50" t="s">
        <v>105</v>
      </c>
      <c r="AV87" s="49" t="s">
        <v>1</v>
      </c>
      <c r="AW87" s="50" t="s">
        <v>79</v>
      </c>
      <c r="AX87" s="49" t="s">
        <v>5</v>
      </c>
      <c r="AY87" s="50" t="s">
        <v>80</v>
      </c>
      <c r="AZ87" s="49" t="s">
        <v>5</v>
      </c>
      <c r="BA87" s="50" t="s">
        <v>81</v>
      </c>
      <c r="BB87" s="49" t="s">
        <v>5</v>
      </c>
      <c r="BC87" s="50" t="s">
        <v>153</v>
      </c>
      <c r="BD87" s="49" t="s">
        <v>5</v>
      </c>
      <c r="BE87" s="50" t="s">
        <v>133</v>
      </c>
      <c r="BF87" s="49"/>
      <c r="BG87" s="50"/>
    </row>
    <row r="88" spans="1:59" s="44" customFormat="1" x14ac:dyDescent="0.25">
      <c r="A88" s="24">
        <v>160222</v>
      </c>
      <c r="B88" s="25" t="s">
        <v>246</v>
      </c>
      <c r="C88" s="26" t="s">
        <v>114</v>
      </c>
      <c r="D88" s="27" t="s">
        <v>70</v>
      </c>
      <c r="E88" s="28" t="s">
        <v>14</v>
      </c>
      <c r="F88" s="25" t="s">
        <v>150</v>
      </c>
      <c r="G88" s="28" t="s">
        <v>87</v>
      </c>
      <c r="H88" s="28" t="s">
        <v>14</v>
      </c>
      <c r="I88" s="29" t="s">
        <v>14</v>
      </c>
      <c r="J88" s="28" t="s">
        <v>14</v>
      </c>
      <c r="K88" s="30" t="s">
        <v>1850</v>
      </c>
      <c r="L88" s="31" t="s">
        <v>1848</v>
      </c>
      <c r="M88" s="45" t="str">
        <f>IFERROR(VLOOKUP(A88,Lookups!#REF!,3,FALSE),"")</f>
        <v/>
      </c>
      <c r="N88" s="46">
        <v>29</v>
      </c>
      <c r="O88" s="47">
        <v>0</v>
      </c>
      <c r="P88" s="48">
        <v>1</v>
      </c>
      <c r="Q88" s="36">
        <v>79.17</v>
      </c>
      <c r="R88" s="37">
        <v>0</v>
      </c>
      <c r="S88" s="38">
        <f t="shared" si="11"/>
        <v>0</v>
      </c>
      <c r="T88" s="39">
        <f t="shared" si="12"/>
        <v>13</v>
      </c>
      <c r="U88" s="40">
        <f t="shared" si="13"/>
        <v>0</v>
      </c>
      <c r="V88" s="40">
        <f t="shared" si="14"/>
        <v>0</v>
      </c>
      <c r="W88" s="40">
        <f t="shared" si="15"/>
        <v>0</v>
      </c>
      <c r="X88" s="40">
        <f t="shared" si="19"/>
        <v>0</v>
      </c>
      <c r="Y88" s="40">
        <f t="shared" si="16"/>
        <v>0</v>
      </c>
      <c r="Z88" s="40">
        <f t="shared" si="17"/>
        <v>0</v>
      </c>
      <c r="AA88" s="40">
        <f t="shared" si="18"/>
        <v>0</v>
      </c>
      <c r="AB88" s="40">
        <f t="shared" si="20"/>
        <v>0</v>
      </c>
      <c r="AC88" s="41">
        <f t="shared" si="21"/>
        <v>0</v>
      </c>
      <c r="AD88" s="49" t="s">
        <v>5</v>
      </c>
      <c r="AE88" s="50" t="s">
        <v>116</v>
      </c>
      <c r="AF88" s="49"/>
      <c r="AG88" s="50"/>
      <c r="AH88" s="49" t="s">
        <v>5</v>
      </c>
      <c r="AI88" s="50" t="s">
        <v>101</v>
      </c>
      <c r="AJ88" s="49" t="s">
        <v>5</v>
      </c>
      <c r="AK88" s="50" t="s">
        <v>118</v>
      </c>
      <c r="AL88" s="49" t="s">
        <v>5</v>
      </c>
      <c r="AM88" s="50" t="s">
        <v>112</v>
      </c>
      <c r="AN88" s="49"/>
      <c r="AO88" s="50"/>
      <c r="AP88" s="49" t="s">
        <v>5</v>
      </c>
      <c r="AQ88" s="50" t="s">
        <v>119</v>
      </c>
      <c r="AR88" s="49" t="s">
        <v>5</v>
      </c>
      <c r="AS88" s="50" t="s">
        <v>120</v>
      </c>
      <c r="AT88" s="49" t="s">
        <v>5</v>
      </c>
      <c r="AU88" s="50" t="s">
        <v>78</v>
      </c>
      <c r="AV88" s="49" t="s">
        <v>5</v>
      </c>
      <c r="AW88" s="50" t="s">
        <v>106</v>
      </c>
      <c r="AX88" s="49" t="s">
        <v>5</v>
      </c>
      <c r="AY88" s="50" t="s">
        <v>95</v>
      </c>
      <c r="AZ88" s="49" t="s">
        <v>5</v>
      </c>
      <c r="BA88" s="50" t="s">
        <v>121</v>
      </c>
      <c r="BB88" s="49" t="s">
        <v>5</v>
      </c>
      <c r="BC88" s="50" t="s">
        <v>122</v>
      </c>
      <c r="BD88" s="49" t="s">
        <v>5</v>
      </c>
      <c r="BE88" s="50" t="s">
        <v>123</v>
      </c>
      <c r="BF88" s="49" t="s">
        <v>5</v>
      </c>
      <c r="BG88" s="50" t="s">
        <v>124</v>
      </c>
    </row>
    <row r="89" spans="1:59" s="44" customFormat="1" x14ac:dyDescent="0.25">
      <c r="A89" s="24">
        <v>160223</v>
      </c>
      <c r="B89" s="25" t="s">
        <v>247</v>
      </c>
      <c r="C89" s="26" t="s">
        <v>114</v>
      </c>
      <c r="D89" s="27" t="s">
        <v>70</v>
      </c>
      <c r="E89" s="28" t="s">
        <v>14</v>
      </c>
      <c r="F89" s="25"/>
      <c r="G89" s="28" t="s">
        <v>14</v>
      </c>
      <c r="H89" s="28" t="s">
        <v>14</v>
      </c>
      <c r="I89" s="29" t="s">
        <v>14</v>
      </c>
      <c r="J89" s="28" t="s">
        <v>14</v>
      </c>
      <c r="K89" s="30" t="s">
        <v>1850</v>
      </c>
      <c r="L89" s="31" t="s">
        <v>1842</v>
      </c>
      <c r="M89" s="45" t="str">
        <f>IFERROR(VLOOKUP(A89,Lookups!#REF!,3,FALSE),"")</f>
        <v/>
      </c>
      <c r="N89" s="46">
        <v>26</v>
      </c>
      <c r="O89" s="47">
        <v>0</v>
      </c>
      <c r="P89" s="48">
        <v>0</v>
      </c>
      <c r="Q89" s="36">
        <v>100</v>
      </c>
      <c r="R89" s="37">
        <v>0</v>
      </c>
      <c r="S89" s="38">
        <f t="shared" si="11"/>
        <v>1</v>
      </c>
      <c r="T89" s="39">
        <f t="shared" si="12"/>
        <v>12</v>
      </c>
      <c r="U89" s="40">
        <f t="shared" si="13"/>
        <v>0</v>
      </c>
      <c r="V89" s="40">
        <f t="shared" si="14"/>
        <v>0</v>
      </c>
      <c r="W89" s="40">
        <f t="shared" si="15"/>
        <v>0</v>
      </c>
      <c r="X89" s="40">
        <f t="shared" si="19"/>
        <v>0</v>
      </c>
      <c r="Y89" s="40">
        <f t="shared" si="16"/>
        <v>0</v>
      </c>
      <c r="Z89" s="40">
        <f t="shared" si="17"/>
        <v>0</v>
      </c>
      <c r="AA89" s="40">
        <f t="shared" si="18"/>
        <v>0</v>
      </c>
      <c r="AB89" s="40">
        <f t="shared" si="20"/>
        <v>0</v>
      </c>
      <c r="AC89" s="41">
        <f t="shared" si="21"/>
        <v>0</v>
      </c>
      <c r="AD89" s="49" t="s">
        <v>5</v>
      </c>
      <c r="AE89" s="50" t="s">
        <v>116</v>
      </c>
      <c r="AF89" s="49" t="s">
        <v>5</v>
      </c>
      <c r="AG89" s="50" t="s">
        <v>117</v>
      </c>
      <c r="AH89" s="49"/>
      <c r="AI89" s="50"/>
      <c r="AJ89" s="49" t="s">
        <v>5</v>
      </c>
      <c r="AK89" s="50" t="s">
        <v>118</v>
      </c>
      <c r="AL89" s="49" t="s">
        <v>5</v>
      </c>
      <c r="AM89" s="50" t="s">
        <v>112</v>
      </c>
      <c r="AN89" s="49"/>
      <c r="AO89" s="50"/>
      <c r="AP89" s="49" t="s">
        <v>5</v>
      </c>
      <c r="AQ89" s="50" t="s">
        <v>119</v>
      </c>
      <c r="AR89" s="49" t="s">
        <v>5</v>
      </c>
      <c r="AS89" s="50" t="s">
        <v>120</v>
      </c>
      <c r="AT89" s="49" t="s">
        <v>5</v>
      </c>
      <c r="AU89" s="50" t="s">
        <v>78</v>
      </c>
      <c r="AV89" s="49" t="s">
        <v>1</v>
      </c>
      <c r="AW89" s="50" t="s">
        <v>112</v>
      </c>
      <c r="AX89" s="49" t="s">
        <v>5</v>
      </c>
      <c r="AY89" s="50" t="s">
        <v>95</v>
      </c>
      <c r="AZ89" s="49" t="s">
        <v>5</v>
      </c>
      <c r="BA89" s="50" t="s">
        <v>121</v>
      </c>
      <c r="BB89" s="49" t="s">
        <v>5</v>
      </c>
      <c r="BC89" s="50" t="s">
        <v>122</v>
      </c>
      <c r="BD89" s="49" t="s">
        <v>5</v>
      </c>
      <c r="BE89" s="50" t="s">
        <v>123</v>
      </c>
      <c r="BF89" s="49" t="s">
        <v>5</v>
      </c>
      <c r="BG89" s="50" t="s">
        <v>124</v>
      </c>
    </row>
    <row r="90" spans="1:59" s="44" customFormat="1" x14ac:dyDescent="0.25">
      <c r="A90" s="24">
        <v>160224</v>
      </c>
      <c r="B90" s="25" t="s">
        <v>248</v>
      </c>
      <c r="C90" s="26" t="s">
        <v>69</v>
      </c>
      <c r="D90" s="27" t="s">
        <v>70</v>
      </c>
      <c r="E90" s="28" t="s">
        <v>14</v>
      </c>
      <c r="F90" s="25" t="s">
        <v>88</v>
      </c>
      <c r="G90" s="28" t="s">
        <v>87</v>
      </c>
      <c r="H90" s="28" t="s">
        <v>14</v>
      </c>
      <c r="I90" s="29" t="s">
        <v>14</v>
      </c>
      <c r="J90" s="28" t="s">
        <v>14</v>
      </c>
      <c r="K90" s="30" t="s">
        <v>1850</v>
      </c>
      <c r="L90" s="31" t="s">
        <v>1842</v>
      </c>
      <c r="M90" s="45" t="str">
        <f>IFERROR(VLOOKUP(A90,Lookups!#REF!,3,FALSE),"")</f>
        <v/>
      </c>
      <c r="N90" s="46">
        <v>44</v>
      </c>
      <c r="O90" s="47">
        <v>0</v>
      </c>
      <c r="P90" s="48">
        <v>0</v>
      </c>
      <c r="Q90" s="36">
        <v>100</v>
      </c>
      <c r="R90" s="37">
        <v>0</v>
      </c>
      <c r="S90" s="38">
        <f t="shared" si="11"/>
        <v>4</v>
      </c>
      <c r="T90" s="39">
        <f t="shared" si="12"/>
        <v>9</v>
      </c>
      <c r="U90" s="40">
        <f t="shared" si="13"/>
        <v>0</v>
      </c>
      <c r="V90" s="40">
        <f t="shared" si="14"/>
        <v>0</v>
      </c>
      <c r="W90" s="40">
        <f t="shared" si="15"/>
        <v>0</v>
      </c>
      <c r="X90" s="40">
        <f t="shared" si="19"/>
        <v>0</v>
      </c>
      <c r="Y90" s="40">
        <f t="shared" si="16"/>
        <v>0</v>
      </c>
      <c r="Z90" s="40">
        <f t="shared" si="17"/>
        <v>0</v>
      </c>
      <c r="AA90" s="40">
        <f t="shared" si="18"/>
        <v>0</v>
      </c>
      <c r="AB90" s="40">
        <f t="shared" si="20"/>
        <v>0</v>
      </c>
      <c r="AC90" s="41">
        <f t="shared" si="21"/>
        <v>0</v>
      </c>
      <c r="AD90" s="49" t="s">
        <v>5</v>
      </c>
      <c r="AE90" s="50" t="s">
        <v>116</v>
      </c>
      <c r="AF90" s="49" t="s">
        <v>1</v>
      </c>
      <c r="AG90" s="50" t="s">
        <v>135</v>
      </c>
      <c r="AH90" s="49"/>
      <c r="AI90" s="50"/>
      <c r="AJ90" s="49" t="s">
        <v>1</v>
      </c>
      <c r="AK90" s="50" t="s">
        <v>74</v>
      </c>
      <c r="AL90" s="49" t="s">
        <v>1</v>
      </c>
      <c r="AM90" s="50" t="s">
        <v>75</v>
      </c>
      <c r="AN90" s="49"/>
      <c r="AO90" s="50"/>
      <c r="AP90" s="49" t="s">
        <v>5</v>
      </c>
      <c r="AQ90" s="50" t="s">
        <v>131</v>
      </c>
      <c r="AR90" s="49" t="s">
        <v>5</v>
      </c>
      <c r="AS90" s="50" t="s">
        <v>77</v>
      </c>
      <c r="AT90" s="49" t="s">
        <v>5</v>
      </c>
      <c r="AU90" s="50" t="s">
        <v>78</v>
      </c>
      <c r="AV90" s="49" t="s">
        <v>1</v>
      </c>
      <c r="AW90" s="50" t="s">
        <v>79</v>
      </c>
      <c r="AX90" s="49" t="s">
        <v>5</v>
      </c>
      <c r="AY90" s="50" t="s">
        <v>80</v>
      </c>
      <c r="AZ90" s="49" t="s">
        <v>5</v>
      </c>
      <c r="BA90" s="50" t="s">
        <v>81</v>
      </c>
      <c r="BB90" s="49" t="s">
        <v>5</v>
      </c>
      <c r="BC90" s="50" t="s">
        <v>82</v>
      </c>
      <c r="BD90" s="49" t="s">
        <v>5</v>
      </c>
      <c r="BE90" s="50" t="s">
        <v>83</v>
      </c>
      <c r="BF90" s="49" t="s">
        <v>5</v>
      </c>
      <c r="BG90" s="50" t="s">
        <v>84</v>
      </c>
    </row>
    <row r="91" spans="1:59" s="44" customFormat="1" x14ac:dyDescent="0.25">
      <c r="A91" s="24">
        <v>160225</v>
      </c>
      <c r="B91" s="25" t="s">
        <v>249</v>
      </c>
      <c r="C91" s="26" t="s">
        <v>114</v>
      </c>
      <c r="D91" s="27" t="s">
        <v>70</v>
      </c>
      <c r="E91" s="28" t="s">
        <v>14</v>
      </c>
      <c r="F91" s="25" t="s">
        <v>150</v>
      </c>
      <c r="G91" s="28" t="s">
        <v>87</v>
      </c>
      <c r="H91" s="28" t="s">
        <v>14</v>
      </c>
      <c r="I91" s="29" t="s">
        <v>14</v>
      </c>
      <c r="J91" s="28" t="s">
        <v>14</v>
      </c>
      <c r="K91" s="30" t="s">
        <v>1850</v>
      </c>
      <c r="L91" s="31" t="s">
        <v>1844</v>
      </c>
      <c r="M91" s="45" t="str">
        <f>IFERROR(VLOOKUP(A91,Lookups!#REF!,3,FALSE),"")</f>
        <v/>
      </c>
      <c r="N91" s="46">
        <v>28</v>
      </c>
      <c r="O91" s="47">
        <v>0</v>
      </c>
      <c r="P91" s="48">
        <v>0</v>
      </c>
      <c r="Q91" s="36">
        <v>93.62</v>
      </c>
      <c r="R91" s="37">
        <v>0</v>
      </c>
      <c r="S91" s="38">
        <f t="shared" si="11"/>
        <v>2</v>
      </c>
      <c r="T91" s="39">
        <f t="shared" si="12"/>
        <v>11</v>
      </c>
      <c r="U91" s="40">
        <f t="shared" si="13"/>
        <v>0</v>
      </c>
      <c r="V91" s="40">
        <f t="shared" si="14"/>
        <v>0</v>
      </c>
      <c r="W91" s="40">
        <f t="shared" si="15"/>
        <v>0</v>
      </c>
      <c r="X91" s="40">
        <f t="shared" si="19"/>
        <v>0</v>
      </c>
      <c r="Y91" s="40">
        <f t="shared" si="16"/>
        <v>0</v>
      </c>
      <c r="Z91" s="40">
        <f t="shared" si="17"/>
        <v>0</v>
      </c>
      <c r="AA91" s="40">
        <f t="shared" si="18"/>
        <v>0</v>
      </c>
      <c r="AB91" s="40">
        <f t="shared" si="20"/>
        <v>0</v>
      </c>
      <c r="AC91" s="41">
        <f t="shared" si="21"/>
        <v>0</v>
      </c>
      <c r="AD91" s="49" t="s">
        <v>5</v>
      </c>
      <c r="AE91" s="50" t="s">
        <v>116</v>
      </c>
      <c r="AF91" s="49" t="s">
        <v>5</v>
      </c>
      <c r="AG91" s="50" t="s">
        <v>135</v>
      </c>
      <c r="AH91" s="49"/>
      <c r="AI91" s="50"/>
      <c r="AJ91" s="49" t="s">
        <v>5</v>
      </c>
      <c r="AK91" s="50" t="s">
        <v>118</v>
      </c>
      <c r="AL91" s="49" t="s">
        <v>1</v>
      </c>
      <c r="AM91" s="50" t="s">
        <v>112</v>
      </c>
      <c r="AN91" s="49"/>
      <c r="AO91" s="50"/>
      <c r="AP91" s="49" t="s">
        <v>5</v>
      </c>
      <c r="AQ91" s="50" t="s">
        <v>119</v>
      </c>
      <c r="AR91" s="49" t="s">
        <v>5</v>
      </c>
      <c r="AS91" s="50" t="s">
        <v>120</v>
      </c>
      <c r="AT91" s="49" t="s">
        <v>5</v>
      </c>
      <c r="AU91" s="50" t="s">
        <v>78</v>
      </c>
      <c r="AV91" s="49" t="s">
        <v>1</v>
      </c>
      <c r="AW91" s="50" t="s">
        <v>112</v>
      </c>
      <c r="AX91" s="49" t="s">
        <v>5</v>
      </c>
      <c r="AY91" s="50" t="s">
        <v>95</v>
      </c>
      <c r="AZ91" s="49" t="s">
        <v>5</v>
      </c>
      <c r="BA91" s="50" t="s">
        <v>121</v>
      </c>
      <c r="BB91" s="49" t="s">
        <v>5</v>
      </c>
      <c r="BC91" s="50" t="s">
        <v>122</v>
      </c>
      <c r="BD91" s="49" t="s">
        <v>5</v>
      </c>
      <c r="BE91" s="50" t="s">
        <v>137</v>
      </c>
      <c r="BF91" s="49" t="s">
        <v>5</v>
      </c>
      <c r="BG91" s="50" t="s">
        <v>124</v>
      </c>
    </row>
    <row r="92" spans="1:59" s="44" customFormat="1" x14ac:dyDescent="0.25">
      <c r="A92" s="24">
        <v>160226</v>
      </c>
      <c r="B92" s="25" t="s">
        <v>250</v>
      </c>
      <c r="C92" s="26" t="s">
        <v>86</v>
      </c>
      <c r="D92" s="27" t="s">
        <v>70</v>
      </c>
      <c r="E92" s="28" t="s">
        <v>14</v>
      </c>
      <c r="F92" s="25" t="s">
        <v>126</v>
      </c>
      <c r="G92" s="28" t="s">
        <v>87</v>
      </c>
      <c r="H92" s="28" t="s">
        <v>14</v>
      </c>
      <c r="I92" s="29" t="s">
        <v>14</v>
      </c>
      <c r="J92" s="28" t="s">
        <v>14</v>
      </c>
      <c r="K92" s="30" t="s">
        <v>1850</v>
      </c>
      <c r="L92" s="31" t="s">
        <v>1847</v>
      </c>
      <c r="M92" s="45" t="str">
        <f>IFERROR(VLOOKUP(A92,Lookups!#REF!,3,FALSE),"")</f>
        <v/>
      </c>
      <c r="N92" s="46">
        <v>16</v>
      </c>
      <c r="O92" s="47">
        <v>1</v>
      </c>
      <c r="P92" s="48">
        <v>0</v>
      </c>
      <c r="Q92" s="36">
        <v>95.74</v>
      </c>
      <c r="R92" s="37">
        <v>0</v>
      </c>
      <c r="S92" s="38">
        <f t="shared" si="11"/>
        <v>0</v>
      </c>
      <c r="T92" s="39">
        <f t="shared" si="12"/>
        <v>13</v>
      </c>
      <c r="U92" s="40">
        <f t="shared" si="13"/>
        <v>0</v>
      </c>
      <c r="V92" s="40">
        <f t="shared" si="14"/>
        <v>0</v>
      </c>
      <c r="W92" s="40">
        <f t="shared" si="15"/>
        <v>0</v>
      </c>
      <c r="X92" s="40">
        <f t="shared" si="19"/>
        <v>0</v>
      </c>
      <c r="Y92" s="40">
        <f t="shared" si="16"/>
        <v>0</v>
      </c>
      <c r="Z92" s="40">
        <f t="shared" si="17"/>
        <v>0</v>
      </c>
      <c r="AA92" s="40">
        <f t="shared" si="18"/>
        <v>0</v>
      </c>
      <c r="AB92" s="40">
        <f t="shared" si="20"/>
        <v>0</v>
      </c>
      <c r="AC92" s="41">
        <f t="shared" si="21"/>
        <v>0</v>
      </c>
      <c r="AD92" s="49" t="s">
        <v>5</v>
      </c>
      <c r="AE92" s="50" t="s">
        <v>72</v>
      </c>
      <c r="AF92" s="49"/>
      <c r="AG92" s="50"/>
      <c r="AH92" s="49" t="s">
        <v>5</v>
      </c>
      <c r="AI92" s="50" t="s">
        <v>101</v>
      </c>
      <c r="AJ92" s="49" t="s">
        <v>5</v>
      </c>
      <c r="AK92" s="50" t="s">
        <v>91</v>
      </c>
      <c r="AL92" s="49" t="s">
        <v>5</v>
      </c>
      <c r="AM92" s="50" t="s">
        <v>84</v>
      </c>
      <c r="AN92" s="49"/>
      <c r="AO92" s="50"/>
      <c r="AP92" s="49" t="s">
        <v>5</v>
      </c>
      <c r="AQ92" s="50" t="s">
        <v>92</v>
      </c>
      <c r="AR92" s="49" t="s">
        <v>5</v>
      </c>
      <c r="AS92" s="50" t="s">
        <v>93</v>
      </c>
      <c r="AT92" s="49" t="s">
        <v>5</v>
      </c>
      <c r="AU92" s="50" t="s">
        <v>78</v>
      </c>
      <c r="AV92" s="49" t="s">
        <v>5</v>
      </c>
      <c r="AW92" s="50" t="s">
        <v>139</v>
      </c>
      <c r="AX92" s="49" t="s">
        <v>5</v>
      </c>
      <c r="AY92" s="50" t="s">
        <v>95</v>
      </c>
      <c r="AZ92" s="49" t="s">
        <v>5</v>
      </c>
      <c r="BA92" s="50" t="s">
        <v>81</v>
      </c>
      <c r="BB92" s="49" t="s">
        <v>5</v>
      </c>
      <c r="BC92" s="50" t="s">
        <v>108</v>
      </c>
      <c r="BD92" s="49" t="s">
        <v>5</v>
      </c>
      <c r="BE92" s="50" t="s">
        <v>98</v>
      </c>
      <c r="BF92" s="49" t="s">
        <v>5</v>
      </c>
      <c r="BG92" s="50" t="s">
        <v>84</v>
      </c>
    </row>
    <row r="93" spans="1:59" s="44" customFormat="1" x14ac:dyDescent="0.25">
      <c r="A93" s="24">
        <v>160227</v>
      </c>
      <c r="B93" s="25" t="s">
        <v>251</v>
      </c>
      <c r="C93" s="26" t="s">
        <v>129</v>
      </c>
      <c r="D93" s="27" t="s">
        <v>12</v>
      </c>
      <c r="E93" s="28" t="s">
        <v>87</v>
      </c>
      <c r="F93" s="25" t="s">
        <v>230</v>
      </c>
      <c r="G93" s="28" t="s">
        <v>14</v>
      </c>
      <c r="H93" s="28" t="s">
        <v>87</v>
      </c>
      <c r="I93" s="29" t="s">
        <v>14</v>
      </c>
      <c r="J93" s="28" t="s">
        <v>14</v>
      </c>
      <c r="K93" s="30" t="s">
        <v>1850</v>
      </c>
      <c r="L93" s="31" t="s">
        <v>1842</v>
      </c>
      <c r="M93" s="45" t="str">
        <f>IFERROR(VLOOKUP(A93,Lookups!#REF!,3,FALSE),"")</f>
        <v/>
      </c>
      <c r="N93" s="46">
        <v>29</v>
      </c>
      <c r="O93" s="47">
        <v>0</v>
      </c>
      <c r="P93" s="48">
        <v>0</v>
      </c>
      <c r="Q93" s="36">
        <v>100</v>
      </c>
      <c r="R93" s="37">
        <v>2</v>
      </c>
      <c r="S93" s="38">
        <f t="shared" si="11"/>
        <v>0</v>
      </c>
      <c r="T93" s="39">
        <f t="shared" si="12"/>
        <v>12</v>
      </c>
      <c r="U93" s="40">
        <f t="shared" si="13"/>
        <v>1</v>
      </c>
      <c r="V93" s="40">
        <f t="shared" si="14"/>
        <v>0</v>
      </c>
      <c r="W93" s="40">
        <f t="shared" si="15"/>
        <v>0</v>
      </c>
      <c r="X93" s="40">
        <f t="shared" si="19"/>
        <v>1</v>
      </c>
      <c r="Y93" s="40">
        <f t="shared" si="16"/>
        <v>0</v>
      </c>
      <c r="Z93" s="40">
        <f t="shared" si="17"/>
        <v>0</v>
      </c>
      <c r="AA93" s="40">
        <f t="shared" si="18"/>
        <v>0</v>
      </c>
      <c r="AB93" s="40">
        <f t="shared" si="20"/>
        <v>0</v>
      </c>
      <c r="AC93" s="41">
        <f t="shared" si="21"/>
        <v>0</v>
      </c>
      <c r="AD93" s="49" t="s">
        <v>5</v>
      </c>
      <c r="AE93" s="50" t="s">
        <v>89</v>
      </c>
      <c r="AF93" s="49" t="s">
        <v>5</v>
      </c>
      <c r="AG93" s="50" t="s">
        <v>73</v>
      </c>
      <c r="AH93" s="49"/>
      <c r="AI93" s="50"/>
      <c r="AJ93" s="49" t="s">
        <v>5</v>
      </c>
      <c r="AK93" s="50" t="s">
        <v>118</v>
      </c>
      <c r="AL93" s="49" t="s">
        <v>5</v>
      </c>
      <c r="AM93" s="50" t="s">
        <v>74</v>
      </c>
      <c r="AN93" s="49" t="s">
        <v>5</v>
      </c>
      <c r="AO93" s="50" t="s">
        <v>130</v>
      </c>
      <c r="AP93" s="49" t="s">
        <v>5</v>
      </c>
      <c r="AQ93" s="50" t="s">
        <v>144</v>
      </c>
      <c r="AR93" s="49" t="s">
        <v>5</v>
      </c>
      <c r="AS93" s="50" t="s">
        <v>132</v>
      </c>
      <c r="AT93" s="49" t="s">
        <v>5</v>
      </c>
      <c r="AU93" s="50" t="s">
        <v>105</v>
      </c>
      <c r="AV93" s="49" t="s">
        <v>5</v>
      </c>
      <c r="AW93" s="50" t="s">
        <v>94</v>
      </c>
      <c r="AX93" s="49" t="s">
        <v>5</v>
      </c>
      <c r="AY93" s="50" t="s">
        <v>80</v>
      </c>
      <c r="AZ93" s="49" t="s">
        <v>30</v>
      </c>
      <c r="BA93" s="50" t="s">
        <v>107</v>
      </c>
      <c r="BB93" s="49" t="s">
        <v>5</v>
      </c>
      <c r="BC93" s="50" t="s">
        <v>108</v>
      </c>
      <c r="BD93" s="49" t="s">
        <v>5</v>
      </c>
      <c r="BE93" s="50" t="s">
        <v>133</v>
      </c>
      <c r="BF93" s="49"/>
      <c r="BG93" s="50"/>
    </row>
    <row r="94" spans="1:59" s="44" customFormat="1" x14ac:dyDescent="0.25">
      <c r="A94" s="24">
        <v>160228</v>
      </c>
      <c r="B94" s="25" t="s">
        <v>252</v>
      </c>
      <c r="C94" s="26" t="s">
        <v>129</v>
      </c>
      <c r="D94" s="27" t="s">
        <v>70</v>
      </c>
      <c r="E94" s="28" t="s">
        <v>87</v>
      </c>
      <c r="F94" s="25" t="s">
        <v>71</v>
      </c>
      <c r="G94" s="28" t="s">
        <v>14</v>
      </c>
      <c r="H94" s="28" t="s">
        <v>87</v>
      </c>
      <c r="I94" s="29" t="s">
        <v>14</v>
      </c>
      <c r="J94" s="28" t="s">
        <v>14</v>
      </c>
      <c r="K94" s="30" t="s">
        <v>1850</v>
      </c>
      <c r="L94" s="31" t="s">
        <v>1841</v>
      </c>
      <c r="M94" s="45" t="str">
        <f>IFERROR(VLOOKUP(A94,Lookups!#REF!,3,FALSE),"")</f>
        <v/>
      </c>
      <c r="N94" s="46">
        <v>40</v>
      </c>
      <c r="O94" s="47">
        <v>0</v>
      </c>
      <c r="P94" s="48">
        <v>0</v>
      </c>
      <c r="Q94" s="36">
        <v>100</v>
      </c>
      <c r="R94" s="37">
        <v>0</v>
      </c>
      <c r="S94" s="38">
        <f t="shared" si="11"/>
        <v>1</v>
      </c>
      <c r="T94" s="39">
        <f t="shared" si="12"/>
        <v>12</v>
      </c>
      <c r="U94" s="40">
        <f t="shared" si="13"/>
        <v>0</v>
      </c>
      <c r="V94" s="40">
        <f t="shared" si="14"/>
        <v>0</v>
      </c>
      <c r="W94" s="40">
        <f t="shared" si="15"/>
        <v>0</v>
      </c>
      <c r="X94" s="40">
        <f t="shared" si="19"/>
        <v>0</v>
      </c>
      <c r="Y94" s="40">
        <f t="shared" si="16"/>
        <v>0</v>
      </c>
      <c r="Z94" s="40">
        <f t="shared" si="17"/>
        <v>0</v>
      </c>
      <c r="AA94" s="40">
        <f t="shared" si="18"/>
        <v>0</v>
      </c>
      <c r="AB94" s="40">
        <f t="shared" si="20"/>
        <v>0</v>
      </c>
      <c r="AC94" s="41">
        <f t="shared" si="21"/>
        <v>0</v>
      </c>
      <c r="AD94" s="49" t="s">
        <v>5</v>
      </c>
      <c r="AE94" s="50" t="s">
        <v>89</v>
      </c>
      <c r="AF94" s="49"/>
      <c r="AG94" s="50"/>
      <c r="AH94" s="49" t="s">
        <v>5</v>
      </c>
      <c r="AI94" s="50" t="s">
        <v>101</v>
      </c>
      <c r="AJ94" s="49" t="s">
        <v>5</v>
      </c>
      <c r="AK94" s="50" t="s">
        <v>118</v>
      </c>
      <c r="AL94" s="49" t="s">
        <v>1</v>
      </c>
      <c r="AM94" s="50" t="s">
        <v>74</v>
      </c>
      <c r="AN94" s="49" t="s">
        <v>5</v>
      </c>
      <c r="AO94" s="50" t="s">
        <v>130</v>
      </c>
      <c r="AP94" s="49" t="s">
        <v>5</v>
      </c>
      <c r="AQ94" s="50" t="s">
        <v>131</v>
      </c>
      <c r="AR94" s="49" t="s">
        <v>5</v>
      </c>
      <c r="AS94" s="50" t="s">
        <v>132</v>
      </c>
      <c r="AT94" s="49" t="s">
        <v>5</v>
      </c>
      <c r="AU94" s="50" t="s">
        <v>105</v>
      </c>
      <c r="AV94" s="49" t="s">
        <v>5</v>
      </c>
      <c r="AW94" s="50" t="s">
        <v>94</v>
      </c>
      <c r="AX94" s="49" t="s">
        <v>5</v>
      </c>
      <c r="AY94" s="50" t="s">
        <v>80</v>
      </c>
      <c r="AZ94" s="49" t="s">
        <v>5</v>
      </c>
      <c r="BA94" s="50" t="s">
        <v>81</v>
      </c>
      <c r="BB94" s="49" t="s">
        <v>5</v>
      </c>
      <c r="BC94" s="50" t="s">
        <v>153</v>
      </c>
      <c r="BD94" s="49" t="s">
        <v>5</v>
      </c>
      <c r="BE94" s="50" t="s">
        <v>133</v>
      </c>
      <c r="BF94" s="49"/>
      <c r="BG94" s="50"/>
    </row>
    <row r="95" spans="1:59" s="44" customFormat="1" x14ac:dyDescent="0.25">
      <c r="A95" s="24">
        <v>160229</v>
      </c>
      <c r="B95" s="25" t="s">
        <v>253</v>
      </c>
      <c r="C95" s="26" t="s">
        <v>168</v>
      </c>
      <c r="D95" s="27" t="s">
        <v>12</v>
      </c>
      <c r="E95" s="28" t="s">
        <v>14</v>
      </c>
      <c r="F95" s="25" t="s">
        <v>71</v>
      </c>
      <c r="G95" s="28" t="s">
        <v>14</v>
      </c>
      <c r="H95" s="28" t="s">
        <v>14</v>
      </c>
      <c r="I95" s="29" t="s">
        <v>14</v>
      </c>
      <c r="J95" s="28" t="s">
        <v>4</v>
      </c>
      <c r="K95" s="30" t="s">
        <v>1850</v>
      </c>
      <c r="L95" s="31" t="s">
        <v>1847</v>
      </c>
      <c r="M95" s="45" t="str">
        <f>IFERROR(VLOOKUP(A95,Lookups!#REF!,3,FALSE),"")</f>
        <v/>
      </c>
      <c r="N95" s="46">
        <v>16</v>
      </c>
      <c r="O95" s="47">
        <v>0</v>
      </c>
      <c r="P95" s="48">
        <v>0</v>
      </c>
      <c r="Q95" s="36">
        <v>80.849999999999994</v>
      </c>
      <c r="R95" s="37">
        <v>1</v>
      </c>
      <c r="S95" s="38">
        <f t="shared" si="11"/>
        <v>1</v>
      </c>
      <c r="T95" s="39">
        <f t="shared" si="12"/>
        <v>12</v>
      </c>
      <c r="U95" s="40">
        <f t="shared" si="13"/>
        <v>0</v>
      </c>
      <c r="V95" s="40">
        <f t="shared" si="14"/>
        <v>0</v>
      </c>
      <c r="W95" s="40">
        <f t="shared" si="15"/>
        <v>0</v>
      </c>
      <c r="X95" s="40">
        <f t="shared" si="19"/>
        <v>0</v>
      </c>
      <c r="Y95" s="40">
        <f t="shared" si="16"/>
        <v>0</v>
      </c>
      <c r="Z95" s="40">
        <f t="shared" si="17"/>
        <v>0</v>
      </c>
      <c r="AA95" s="40">
        <f t="shared" si="18"/>
        <v>0</v>
      </c>
      <c r="AB95" s="40">
        <f t="shared" si="20"/>
        <v>0</v>
      </c>
      <c r="AC95" s="41">
        <f t="shared" si="21"/>
        <v>0</v>
      </c>
      <c r="AD95" s="49" t="s">
        <v>5</v>
      </c>
      <c r="AE95" s="50" t="s">
        <v>116</v>
      </c>
      <c r="AF95" s="49" t="s">
        <v>5</v>
      </c>
      <c r="AG95" s="50" t="s">
        <v>117</v>
      </c>
      <c r="AH95" s="49"/>
      <c r="AI95" s="50"/>
      <c r="AJ95" s="49" t="s">
        <v>5</v>
      </c>
      <c r="AK95" s="50" t="s">
        <v>142</v>
      </c>
      <c r="AL95" s="49" t="s">
        <v>5</v>
      </c>
      <c r="AM95" s="50" t="s">
        <v>169</v>
      </c>
      <c r="AN95" s="49" t="s">
        <v>5</v>
      </c>
      <c r="AO95" s="50" t="s">
        <v>75</v>
      </c>
      <c r="AP95" s="49" t="s">
        <v>5</v>
      </c>
      <c r="AQ95" s="50" t="s">
        <v>131</v>
      </c>
      <c r="AR95" s="49" t="s">
        <v>5</v>
      </c>
      <c r="AS95" s="50" t="s">
        <v>120</v>
      </c>
      <c r="AT95" s="49" t="s">
        <v>5</v>
      </c>
      <c r="AU95" s="50" t="s">
        <v>78</v>
      </c>
      <c r="AV95" s="49" t="s">
        <v>5</v>
      </c>
      <c r="AW95" s="50" t="s">
        <v>139</v>
      </c>
      <c r="AX95" s="49" t="s">
        <v>5</v>
      </c>
      <c r="AY95" s="50" t="s">
        <v>95</v>
      </c>
      <c r="AZ95" s="49" t="s">
        <v>1</v>
      </c>
      <c r="BA95" s="50" t="s">
        <v>96</v>
      </c>
      <c r="BB95" s="49" t="s">
        <v>5</v>
      </c>
      <c r="BC95" s="50" t="s">
        <v>82</v>
      </c>
      <c r="BD95" s="49" t="s">
        <v>5</v>
      </c>
      <c r="BE95" s="50" t="s">
        <v>140</v>
      </c>
      <c r="BF95" s="49"/>
      <c r="BG95" s="50"/>
    </row>
    <row r="96" spans="1:59" s="44" customFormat="1" x14ac:dyDescent="0.25">
      <c r="A96" s="24">
        <v>160230</v>
      </c>
      <c r="B96" s="25" t="s">
        <v>254</v>
      </c>
      <c r="C96" s="26" t="s">
        <v>69</v>
      </c>
      <c r="D96" s="27" t="s">
        <v>70</v>
      </c>
      <c r="E96" s="28" t="s">
        <v>87</v>
      </c>
      <c r="F96" s="25" t="s">
        <v>88</v>
      </c>
      <c r="G96" s="28" t="s">
        <v>87</v>
      </c>
      <c r="H96" s="28" t="s">
        <v>87</v>
      </c>
      <c r="I96" s="29" t="s">
        <v>14</v>
      </c>
      <c r="J96" s="28" t="s">
        <v>14</v>
      </c>
      <c r="K96" s="30" t="s">
        <v>1850</v>
      </c>
      <c r="L96" s="31" t="s">
        <v>1845</v>
      </c>
      <c r="M96" s="45" t="str">
        <f>IFERROR(VLOOKUP(A96,Lookups!#REF!,3,FALSE),"")</f>
        <v/>
      </c>
      <c r="N96" s="46">
        <v>23</v>
      </c>
      <c r="O96" s="47">
        <v>4</v>
      </c>
      <c r="P96" s="48">
        <v>1</v>
      </c>
      <c r="Q96" s="36">
        <v>95.83</v>
      </c>
      <c r="R96" s="37">
        <v>3</v>
      </c>
      <c r="S96" s="38">
        <f t="shared" si="11"/>
        <v>0</v>
      </c>
      <c r="T96" s="39">
        <f t="shared" si="12"/>
        <v>12</v>
      </c>
      <c r="U96" s="40">
        <f t="shared" si="13"/>
        <v>1</v>
      </c>
      <c r="V96" s="40">
        <f t="shared" si="14"/>
        <v>0</v>
      </c>
      <c r="W96" s="40">
        <f t="shared" si="15"/>
        <v>0</v>
      </c>
      <c r="X96" s="40">
        <f t="shared" si="19"/>
        <v>1</v>
      </c>
      <c r="Y96" s="40">
        <f t="shared" si="16"/>
        <v>0</v>
      </c>
      <c r="Z96" s="40">
        <f t="shared" si="17"/>
        <v>0</v>
      </c>
      <c r="AA96" s="40">
        <f t="shared" si="18"/>
        <v>0</v>
      </c>
      <c r="AB96" s="40">
        <f t="shared" si="20"/>
        <v>0</v>
      </c>
      <c r="AC96" s="41">
        <f t="shared" si="21"/>
        <v>0</v>
      </c>
      <c r="AD96" s="49" t="s">
        <v>5</v>
      </c>
      <c r="AE96" s="50" t="s">
        <v>116</v>
      </c>
      <c r="AF96" s="49" t="s">
        <v>5</v>
      </c>
      <c r="AG96" s="50" t="s">
        <v>90</v>
      </c>
      <c r="AH96" s="49"/>
      <c r="AI96" s="50"/>
      <c r="AJ96" s="49" t="s">
        <v>5</v>
      </c>
      <c r="AK96" s="50" t="s">
        <v>127</v>
      </c>
      <c r="AL96" s="49" t="s">
        <v>5</v>
      </c>
      <c r="AM96" s="50" t="s">
        <v>75</v>
      </c>
      <c r="AN96" s="49"/>
      <c r="AO96" s="50"/>
      <c r="AP96" s="49" t="s">
        <v>5</v>
      </c>
      <c r="AQ96" s="50" t="s">
        <v>131</v>
      </c>
      <c r="AR96" s="49" t="s">
        <v>5</v>
      </c>
      <c r="AS96" s="50" t="s">
        <v>77</v>
      </c>
      <c r="AT96" s="49" t="s">
        <v>5</v>
      </c>
      <c r="AU96" s="50" t="s">
        <v>78</v>
      </c>
      <c r="AV96" s="49" t="s">
        <v>5</v>
      </c>
      <c r="AW96" s="50" t="s">
        <v>106</v>
      </c>
      <c r="AX96" s="49" t="s">
        <v>5</v>
      </c>
      <c r="AY96" s="50" t="s">
        <v>80</v>
      </c>
      <c r="AZ96" s="49" t="s">
        <v>5</v>
      </c>
      <c r="BA96" s="50" t="s">
        <v>81</v>
      </c>
      <c r="BB96" s="49" t="s">
        <v>5</v>
      </c>
      <c r="BC96" s="50" t="s">
        <v>82</v>
      </c>
      <c r="BD96" s="49" t="s">
        <v>30</v>
      </c>
      <c r="BE96" s="50" t="s">
        <v>83</v>
      </c>
      <c r="BF96" s="49" t="s">
        <v>5</v>
      </c>
      <c r="BG96" s="50" t="s">
        <v>84</v>
      </c>
    </row>
    <row r="97" spans="1:59" s="44" customFormat="1" x14ac:dyDescent="0.25">
      <c r="A97" s="24">
        <v>160231</v>
      </c>
      <c r="B97" s="25" t="s">
        <v>255</v>
      </c>
      <c r="C97" s="26" t="s">
        <v>129</v>
      </c>
      <c r="D97" s="27" t="s">
        <v>12</v>
      </c>
      <c r="E97" s="28" t="s">
        <v>87</v>
      </c>
      <c r="F97" s="25" t="s">
        <v>88</v>
      </c>
      <c r="G97" s="28" t="s">
        <v>14</v>
      </c>
      <c r="H97" s="28" t="s">
        <v>87</v>
      </c>
      <c r="I97" s="29" t="s">
        <v>14</v>
      </c>
      <c r="J97" s="28" t="s">
        <v>14</v>
      </c>
      <c r="K97" s="30" t="s">
        <v>1850</v>
      </c>
      <c r="L97" s="31" t="s">
        <v>1845</v>
      </c>
      <c r="M97" s="45" t="str">
        <f>IFERROR(VLOOKUP(A97,Lookups!#REF!,3,FALSE),"")</f>
        <v/>
      </c>
      <c r="N97" s="46">
        <v>37</v>
      </c>
      <c r="O97" s="47">
        <v>0</v>
      </c>
      <c r="P97" s="48">
        <v>0</v>
      </c>
      <c r="Q97" s="36">
        <v>100</v>
      </c>
      <c r="R97" s="37">
        <v>0</v>
      </c>
      <c r="S97" s="38">
        <f t="shared" si="11"/>
        <v>1</v>
      </c>
      <c r="T97" s="39">
        <f t="shared" si="12"/>
        <v>12</v>
      </c>
      <c r="U97" s="40">
        <f t="shared" si="13"/>
        <v>0</v>
      </c>
      <c r="V97" s="40">
        <f t="shared" si="14"/>
        <v>0</v>
      </c>
      <c r="W97" s="40">
        <f t="shared" si="15"/>
        <v>0</v>
      </c>
      <c r="X97" s="40">
        <f t="shared" si="19"/>
        <v>0</v>
      </c>
      <c r="Y97" s="40">
        <f t="shared" si="16"/>
        <v>0</v>
      </c>
      <c r="Z97" s="40">
        <f t="shared" si="17"/>
        <v>0</v>
      </c>
      <c r="AA97" s="40">
        <f t="shared" si="18"/>
        <v>0</v>
      </c>
      <c r="AB97" s="40">
        <f t="shared" si="20"/>
        <v>0</v>
      </c>
      <c r="AC97" s="41">
        <f t="shared" si="21"/>
        <v>0</v>
      </c>
      <c r="AD97" s="49" t="s">
        <v>5</v>
      </c>
      <c r="AE97" s="50" t="s">
        <v>89</v>
      </c>
      <c r="AF97" s="49" t="s">
        <v>5</v>
      </c>
      <c r="AG97" s="50" t="s">
        <v>117</v>
      </c>
      <c r="AH97" s="49"/>
      <c r="AI97" s="50"/>
      <c r="AJ97" s="49" t="s">
        <v>5</v>
      </c>
      <c r="AK97" s="50" t="s">
        <v>118</v>
      </c>
      <c r="AL97" s="49" t="s">
        <v>5</v>
      </c>
      <c r="AM97" s="50" t="s">
        <v>74</v>
      </c>
      <c r="AN97" s="49" t="s">
        <v>5</v>
      </c>
      <c r="AO97" s="50" t="s">
        <v>130</v>
      </c>
      <c r="AP97" s="49" t="s">
        <v>5</v>
      </c>
      <c r="AQ97" s="50" t="s">
        <v>144</v>
      </c>
      <c r="AR97" s="49" t="s">
        <v>5</v>
      </c>
      <c r="AS97" s="50" t="s">
        <v>132</v>
      </c>
      <c r="AT97" s="49" t="s">
        <v>5</v>
      </c>
      <c r="AU97" s="50" t="s">
        <v>105</v>
      </c>
      <c r="AV97" s="49" t="s">
        <v>1</v>
      </c>
      <c r="AW97" s="50" t="s">
        <v>106</v>
      </c>
      <c r="AX97" s="49" t="s">
        <v>5</v>
      </c>
      <c r="AY97" s="50" t="s">
        <v>80</v>
      </c>
      <c r="AZ97" s="49" t="s">
        <v>5</v>
      </c>
      <c r="BA97" s="50" t="s">
        <v>107</v>
      </c>
      <c r="BB97" s="49" t="s">
        <v>5</v>
      </c>
      <c r="BC97" s="50" t="s">
        <v>153</v>
      </c>
      <c r="BD97" s="49" t="s">
        <v>5</v>
      </c>
      <c r="BE97" s="50" t="s">
        <v>133</v>
      </c>
      <c r="BF97" s="49"/>
      <c r="BG97" s="50"/>
    </row>
    <row r="98" spans="1:59" s="44" customFormat="1" x14ac:dyDescent="0.25">
      <c r="A98" s="24">
        <v>160232</v>
      </c>
      <c r="B98" s="25" t="s">
        <v>256</v>
      </c>
      <c r="C98" s="26" t="s">
        <v>162</v>
      </c>
      <c r="D98" s="27" t="s">
        <v>12</v>
      </c>
      <c r="E98" s="28" t="s">
        <v>14</v>
      </c>
      <c r="F98" s="25" t="s">
        <v>150</v>
      </c>
      <c r="G98" s="28" t="s">
        <v>87</v>
      </c>
      <c r="H98" s="28" t="s">
        <v>14</v>
      </c>
      <c r="I98" s="29" t="s">
        <v>14</v>
      </c>
      <c r="J98" s="28" t="s">
        <v>14</v>
      </c>
      <c r="K98" s="30" t="s">
        <v>1850</v>
      </c>
      <c r="L98" s="31" t="s">
        <v>1845</v>
      </c>
      <c r="M98" s="45" t="str">
        <f>IFERROR(VLOOKUP(A98,Lookups!#REF!,3,FALSE),"")</f>
        <v/>
      </c>
      <c r="N98" s="46">
        <v>28</v>
      </c>
      <c r="O98" s="47">
        <v>0</v>
      </c>
      <c r="P98" s="48">
        <v>1</v>
      </c>
      <c r="Q98" s="36">
        <v>100</v>
      </c>
      <c r="R98" s="37">
        <v>0</v>
      </c>
      <c r="S98" s="38">
        <f t="shared" si="11"/>
        <v>1</v>
      </c>
      <c r="T98" s="39">
        <f t="shared" si="12"/>
        <v>12</v>
      </c>
      <c r="U98" s="40">
        <f t="shared" si="13"/>
        <v>0</v>
      </c>
      <c r="V98" s="40">
        <f t="shared" si="14"/>
        <v>0</v>
      </c>
      <c r="W98" s="40">
        <f t="shared" si="15"/>
        <v>0</v>
      </c>
      <c r="X98" s="40">
        <f t="shared" si="19"/>
        <v>0</v>
      </c>
      <c r="Y98" s="40">
        <f t="shared" si="16"/>
        <v>0</v>
      </c>
      <c r="Z98" s="40">
        <f t="shared" si="17"/>
        <v>0</v>
      </c>
      <c r="AA98" s="40">
        <f t="shared" si="18"/>
        <v>0</v>
      </c>
      <c r="AB98" s="40">
        <f t="shared" si="20"/>
        <v>0</v>
      </c>
      <c r="AC98" s="41">
        <f t="shared" si="21"/>
        <v>0</v>
      </c>
      <c r="AD98" s="49" t="s">
        <v>5</v>
      </c>
      <c r="AE98" s="50" t="s">
        <v>72</v>
      </c>
      <c r="AF98" s="49" t="s">
        <v>5</v>
      </c>
      <c r="AG98" s="50" t="s">
        <v>135</v>
      </c>
      <c r="AH98" s="49"/>
      <c r="AI98" s="50"/>
      <c r="AJ98" s="49" t="s">
        <v>5</v>
      </c>
      <c r="AK98" s="50" t="s">
        <v>194</v>
      </c>
      <c r="AL98" s="49" t="s">
        <v>5</v>
      </c>
      <c r="AM98" s="50" t="s">
        <v>72</v>
      </c>
      <c r="AN98" s="49" t="s">
        <v>5</v>
      </c>
      <c r="AO98" s="50" t="s">
        <v>143</v>
      </c>
      <c r="AP98" s="49" t="s">
        <v>5</v>
      </c>
      <c r="AQ98" s="50" t="s">
        <v>131</v>
      </c>
      <c r="AR98" s="49" t="s">
        <v>5</v>
      </c>
      <c r="AS98" s="50" t="s">
        <v>104</v>
      </c>
      <c r="AT98" s="49" t="s">
        <v>5</v>
      </c>
      <c r="AU98" s="50" t="s">
        <v>163</v>
      </c>
      <c r="AV98" s="49" t="s">
        <v>5</v>
      </c>
      <c r="AW98" s="50" t="s">
        <v>94</v>
      </c>
      <c r="AX98" s="49" t="s">
        <v>5</v>
      </c>
      <c r="AY98" s="50" t="s">
        <v>95</v>
      </c>
      <c r="AZ98" s="49" t="s">
        <v>1</v>
      </c>
      <c r="BA98" s="50" t="s">
        <v>107</v>
      </c>
      <c r="BB98" s="49" t="s">
        <v>5</v>
      </c>
      <c r="BC98" s="50" t="s">
        <v>97</v>
      </c>
      <c r="BD98" s="49" t="s">
        <v>5</v>
      </c>
      <c r="BE98" s="50" t="s">
        <v>164</v>
      </c>
      <c r="BF98" s="49"/>
      <c r="BG98" s="50"/>
    </row>
    <row r="99" spans="1:59" s="44" customFormat="1" x14ac:dyDescent="0.25">
      <c r="A99" s="24">
        <v>160233</v>
      </c>
      <c r="B99" s="25" t="s">
        <v>257</v>
      </c>
      <c r="C99" s="26" t="s">
        <v>162</v>
      </c>
      <c r="D99" s="27" t="s">
        <v>70</v>
      </c>
      <c r="E99" s="28" t="s">
        <v>14</v>
      </c>
      <c r="F99" s="25" t="s">
        <v>150</v>
      </c>
      <c r="G99" s="28" t="s">
        <v>87</v>
      </c>
      <c r="H99" s="28" t="s">
        <v>14</v>
      </c>
      <c r="I99" s="29" t="s">
        <v>14</v>
      </c>
      <c r="J99" s="28" t="s">
        <v>14</v>
      </c>
      <c r="K99" s="30" t="s">
        <v>1850</v>
      </c>
      <c r="L99" s="31" t="s">
        <v>1406</v>
      </c>
      <c r="M99" s="45" t="str">
        <f>IFERROR(VLOOKUP(A99,Lookups!#REF!,3,FALSE),"")</f>
        <v/>
      </c>
      <c r="N99" s="46">
        <v>26</v>
      </c>
      <c r="O99" s="47">
        <v>0</v>
      </c>
      <c r="P99" s="48">
        <v>0</v>
      </c>
      <c r="Q99" s="36">
        <v>100</v>
      </c>
      <c r="R99" s="37">
        <v>0</v>
      </c>
      <c r="S99" s="38">
        <f t="shared" si="11"/>
        <v>2</v>
      </c>
      <c r="T99" s="39">
        <f t="shared" si="12"/>
        <v>11</v>
      </c>
      <c r="U99" s="40">
        <f t="shared" si="13"/>
        <v>0</v>
      </c>
      <c r="V99" s="40">
        <f t="shared" si="14"/>
        <v>0</v>
      </c>
      <c r="W99" s="40">
        <f t="shared" si="15"/>
        <v>0</v>
      </c>
      <c r="X99" s="40">
        <f t="shared" si="19"/>
        <v>0</v>
      </c>
      <c r="Y99" s="40">
        <f t="shared" si="16"/>
        <v>0</v>
      </c>
      <c r="Z99" s="40">
        <f t="shared" si="17"/>
        <v>0</v>
      </c>
      <c r="AA99" s="40">
        <f t="shared" si="18"/>
        <v>0</v>
      </c>
      <c r="AB99" s="40">
        <f t="shared" si="20"/>
        <v>0</v>
      </c>
      <c r="AC99" s="41">
        <f t="shared" si="21"/>
        <v>0</v>
      </c>
      <c r="AD99" s="49" t="s">
        <v>5</v>
      </c>
      <c r="AE99" s="50" t="s">
        <v>72</v>
      </c>
      <c r="AF99" s="49" t="s">
        <v>5</v>
      </c>
      <c r="AG99" s="50" t="s">
        <v>90</v>
      </c>
      <c r="AH99" s="49"/>
      <c r="AI99" s="50"/>
      <c r="AJ99" s="49" t="s">
        <v>5</v>
      </c>
      <c r="AK99" s="50" t="s">
        <v>127</v>
      </c>
      <c r="AL99" s="49" t="s">
        <v>5</v>
      </c>
      <c r="AM99" s="50" t="s">
        <v>72</v>
      </c>
      <c r="AN99" s="49" t="s">
        <v>5</v>
      </c>
      <c r="AO99" s="50" t="s">
        <v>143</v>
      </c>
      <c r="AP99" s="49" t="s">
        <v>5</v>
      </c>
      <c r="AQ99" s="50" t="s">
        <v>144</v>
      </c>
      <c r="AR99" s="49" t="s">
        <v>5</v>
      </c>
      <c r="AS99" s="50" t="s">
        <v>104</v>
      </c>
      <c r="AT99" s="49" t="s">
        <v>5</v>
      </c>
      <c r="AU99" s="50" t="s">
        <v>163</v>
      </c>
      <c r="AV99" s="49" t="s">
        <v>1</v>
      </c>
      <c r="AW99" s="50" t="s">
        <v>136</v>
      </c>
      <c r="AX99" s="49" t="s">
        <v>1</v>
      </c>
      <c r="AY99" s="50" t="s">
        <v>95</v>
      </c>
      <c r="AZ99" s="49" t="s">
        <v>5</v>
      </c>
      <c r="BA99" s="50" t="s">
        <v>81</v>
      </c>
      <c r="BB99" s="49" t="s">
        <v>5</v>
      </c>
      <c r="BC99" s="50" t="s">
        <v>153</v>
      </c>
      <c r="BD99" s="49" t="s">
        <v>5</v>
      </c>
      <c r="BE99" s="50" t="s">
        <v>164</v>
      </c>
      <c r="BF99" s="49"/>
      <c r="BG99" s="50"/>
    </row>
    <row r="100" spans="1:59" s="44" customFormat="1" x14ac:dyDescent="0.25">
      <c r="A100" s="24">
        <v>160236</v>
      </c>
      <c r="B100" s="25" t="s">
        <v>258</v>
      </c>
      <c r="C100" s="26" t="s">
        <v>114</v>
      </c>
      <c r="D100" s="27" t="s">
        <v>12</v>
      </c>
      <c r="E100" s="28" t="s">
        <v>14</v>
      </c>
      <c r="F100" s="25"/>
      <c r="G100" s="28" t="s">
        <v>14</v>
      </c>
      <c r="H100" s="28" t="s">
        <v>14</v>
      </c>
      <c r="I100" s="29" t="s">
        <v>14</v>
      </c>
      <c r="J100" s="28" t="s">
        <v>14</v>
      </c>
      <c r="K100" s="30" t="s">
        <v>1850</v>
      </c>
      <c r="L100" s="31" t="s">
        <v>1842</v>
      </c>
      <c r="M100" s="45" t="str">
        <f>IFERROR(VLOOKUP(A100,Lookups!#REF!,3,FALSE),"")</f>
        <v/>
      </c>
      <c r="N100" s="46">
        <v>27</v>
      </c>
      <c r="O100" s="47">
        <v>5</v>
      </c>
      <c r="P100" s="48">
        <v>2</v>
      </c>
      <c r="Q100" s="36">
        <v>100</v>
      </c>
      <c r="R100" s="37">
        <v>5</v>
      </c>
      <c r="S100" s="38">
        <f t="shared" si="11"/>
        <v>0</v>
      </c>
      <c r="T100" s="39">
        <f t="shared" si="12"/>
        <v>12</v>
      </c>
      <c r="U100" s="40">
        <f t="shared" si="13"/>
        <v>0</v>
      </c>
      <c r="V100" s="40">
        <f t="shared" si="14"/>
        <v>1</v>
      </c>
      <c r="W100" s="40">
        <f t="shared" si="15"/>
        <v>0</v>
      </c>
      <c r="X100" s="40">
        <f t="shared" si="19"/>
        <v>1</v>
      </c>
      <c r="Y100" s="40">
        <f t="shared" si="16"/>
        <v>0</v>
      </c>
      <c r="Z100" s="40">
        <f t="shared" si="17"/>
        <v>0</v>
      </c>
      <c r="AA100" s="40">
        <f t="shared" si="18"/>
        <v>0</v>
      </c>
      <c r="AB100" s="40">
        <f t="shared" si="20"/>
        <v>0</v>
      </c>
      <c r="AC100" s="41">
        <f t="shared" si="21"/>
        <v>0</v>
      </c>
      <c r="AD100" s="49" t="s">
        <v>5</v>
      </c>
      <c r="AE100" s="50" t="s">
        <v>116</v>
      </c>
      <c r="AF100" s="49" t="s">
        <v>5</v>
      </c>
      <c r="AG100" s="50" t="s">
        <v>90</v>
      </c>
      <c r="AH100" s="49"/>
      <c r="AI100" s="50"/>
      <c r="AJ100" s="49" t="s">
        <v>5</v>
      </c>
      <c r="AK100" s="50" t="s">
        <v>118</v>
      </c>
      <c r="AL100" s="49" t="s">
        <v>5</v>
      </c>
      <c r="AM100" s="50" t="s">
        <v>112</v>
      </c>
      <c r="AN100" s="49"/>
      <c r="AO100" s="50"/>
      <c r="AP100" s="49" t="s">
        <v>5</v>
      </c>
      <c r="AQ100" s="50" t="s">
        <v>119</v>
      </c>
      <c r="AR100" s="49" t="s">
        <v>5</v>
      </c>
      <c r="AS100" s="50" t="s">
        <v>120</v>
      </c>
      <c r="AT100" s="49" t="s">
        <v>5</v>
      </c>
      <c r="AU100" s="50" t="s">
        <v>78</v>
      </c>
      <c r="AV100" s="49" t="s">
        <v>5</v>
      </c>
      <c r="AW100" s="50" t="s">
        <v>112</v>
      </c>
      <c r="AX100" s="49" t="s">
        <v>5</v>
      </c>
      <c r="AY100" s="50" t="s">
        <v>95</v>
      </c>
      <c r="AZ100" s="49" t="s">
        <v>5</v>
      </c>
      <c r="BA100" s="50" t="s">
        <v>96</v>
      </c>
      <c r="BB100" s="49" t="s">
        <v>31</v>
      </c>
      <c r="BC100" s="50" t="s">
        <v>122</v>
      </c>
      <c r="BD100" s="49" t="s">
        <v>5</v>
      </c>
      <c r="BE100" s="50" t="s">
        <v>137</v>
      </c>
      <c r="BF100" s="49" t="s">
        <v>5</v>
      </c>
      <c r="BG100" s="50" t="s">
        <v>124</v>
      </c>
    </row>
    <row r="101" spans="1:59" s="44" customFormat="1" x14ac:dyDescent="0.25">
      <c r="A101" s="24">
        <v>160234</v>
      </c>
      <c r="B101" s="25" t="s">
        <v>259</v>
      </c>
      <c r="C101" s="26" t="s">
        <v>129</v>
      </c>
      <c r="D101" s="27" t="s">
        <v>12</v>
      </c>
      <c r="E101" s="28" t="s">
        <v>14</v>
      </c>
      <c r="F101" s="25" t="s">
        <v>71</v>
      </c>
      <c r="G101" s="28" t="s">
        <v>14</v>
      </c>
      <c r="H101" s="28" t="s">
        <v>14</v>
      </c>
      <c r="I101" s="29" t="s">
        <v>14</v>
      </c>
      <c r="J101" s="28" t="s">
        <v>14</v>
      </c>
      <c r="K101" s="30" t="s">
        <v>1850</v>
      </c>
      <c r="L101" s="31" t="s">
        <v>1845</v>
      </c>
      <c r="M101" s="45" t="str">
        <f>IFERROR(VLOOKUP(A101,Lookups!#REF!,3,FALSE),"")</f>
        <v/>
      </c>
      <c r="N101" s="46">
        <v>45</v>
      </c>
      <c r="O101" s="47">
        <v>0</v>
      </c>
      <c r="P101" s="48">
        <v>1</v>
      </c>
      <c r="Q101" s="36">
        <v>100</v>
      </c>
      <c r="R101" s="37">
        <v>0</v>
      </c>
      <c r="S101" s="38">
        <f t="shared" si="11"/>
        <v>2</v>
      </c>
      <c r="T101" s="39">
        <f t="shared" si="12"/>
        <v>11</v>
      </c>
      <c r="U101" s="40">
        <f t="shared" si="13"/>
        <v>0</v>
      </c>
      <c r="V101" s="40">
        <f t="shared" si="14"/>
        <v>0</v>
      </c>
      <c r="W101" s="40">
        <f t="shared" si="15"/>
        <v>0</v>
      </c>
      <c r="X101" s="40">
        <f t="shared" si="19"/>
        <v>0</v>
      </c>
      <c r="Y101" s="40">
        <f t="shared" si="16"/>
        <v>0</v>
      </c>
      <c r="Z101" s="40">
        <f t="shared" si="17"/>
        <v>0</v>
      </c>
      <c r="AA101" s="40">
        <f t="shared" si="18"/>
        <v>0</v>
      </c>
      <c r="AB101" s="40">
        <f t="shared" si="20"/>
        <v>0</v>
      </c>
      <c r="AC101" s="41">
        <f t="shared" si="21"/>
        <v>0</v>
      </c>
      <c r="AD101" s="49" t="s">
        <v>5</v>
      </c>
      <c r="AE101" s="50" t="s">
        <v>89</v>
      </c>
      <c r="AF101" s="49" t="s">
        <v>5</v>
      </c>
      <c r="AG101" s="50" t="s">
        <v>135</v>
      </c>
      <c r="AH101" s="49"/>
      <c r="AI101" s="50"/>
      <c r="AJ101" s="49" t="s">
        <v>5</v>
      </c>
      <c r="AK101" s="50" t="s">
        <v>118</v>
      </c>
      <c r="AL101" s="49" t="s">
        <v>1</v>
      </c>
      <c r="AM101" s="50" t="s">
        <v>74</v>
      </c>
      <c r="AN101" s="49" t="s">
        <v>5</v>
      </c>
      <c r="AO101" s="50" t="s">
        <v>130</v>
      </c>
      <c r="AP101" s="49" t="s">
        <v>5</v>
      </c>
      <c r="AQ101" s="50" t="s">
        <v>144</v>
      </c>
      <c r="AR101" s="49" t="s">
        <v>5</v>
      </c>
      <c r="AS101" s="50" t="s">
        <v>132</v>
      </c>
      <c r="AT101" s="49" t="s">
        <v>5</v>
      </c>
      <c r="AU101" s="50" t="s">
        <v>105</v>
      </c>
      <c r="AV101" s="49" t="s">
        <v>5</v>
      </c>
      <c r="AW101" s="50" t="s">
        <v>94</v>
      </c>
      <c r="AX101" s="49" t="s">
        <v>5</v>
      </c>
      <c r="AY101" s="50" t="s">
        <v>80</v>
      </c>
      <c r="AZ101" s="49" t="s">
        <v>1</v>
      </c>
      <c r="BA101" s="50" t="s">
        <v>107</v>
      </c>
      <c r="BB101" s="49" t="s">
        <v>5</v>
      </c>
      <c r="BC101" s="50" t="s">
        <v>108</v>
      </c>
      <c r="BD101" s="49" t="s">
        <v>5</v>
      </c>
      <c r="BE101" s="50" t="s">
        <v>133</v>
      </c>
      <c r="BF101" s="49"/>
      <c r="BG101" s="50"/>
    </row>
    <row r="102" spans="1:59" s="44" customFormat="1" x14ac:dyDescent="0.25">
      <c r="A102" s="24">
        <v>160235</v>
      </c>
      <c r="B102" s="25" t="s">
        <v>260</v>
      </c>
      <c r="C102" s="26" t="s">
        <v>162</v>
      </c>
      <c r="D102" s="27" t="s">
        <v>70</v>
      </c>
      <c r="E102" s="28" t="s">
        <v>14</v>
      </c>
      <c r="F102" s="25" t="s">
        <v>71</v>
      </c>
      <c r="G102" s="28" t="s">
        <v>14</v>
      </c>
      <c r="H102" s="28" t="s">
        <v>14</v>
      </c>
      <c r="I102" s="29" t="s">
        <v>14</v>
      </c>
      <c r="J102" s="28" t="s">
        <v>14</v>
      </c>
      <c r="K102" s="30" t="s">
        <v>1850</v>
      </c>
      <c r="L102" s="31" t="s">
        <v>1842</v>
      </c>
      <c r="M102" s="45" t="str">
        <f>IFERROR(VLOOKUP(A102,Lookups!#REF!,3,FALSE),"")</f>
        <v/>
      </c>
      <c r="N102" s="46">
        <v>27</v>
      </c>
      <c r="O102" s="47">
        <v>0</v>
      </c>
      <c r="P102" s="48">
        <v>0</v>
      </c>
      <c r="Q102" s="36">
        <v>100</v>
      </c>
      <c r="R102" s="37">
        <v>0</v>
      </c>
      <c r="S102" s="38">
        <f t="shared" si="11"/>
        <v>0</v>
      </c>
      <c r="T102" s="39">
        <f t="shared" si="12"/>
        <v>13</v>
      </c>
      <c r="U102" s="40">
        <f t="shared" si="13"/>
        <v>0</v>
      </c>
      <c r="V102" s="40">
        <f t="shared" si="14"/>
        <v>0</v>
      </c>
      <c r="W102" s="40">
        <f t="shared" si="15"/>
        <v>0</v>
      </c>
      <c r="X102" s="40">
        <f t="shared" si="19"/>
        <v>0</v>
      </c>
      <c r="Y102" s="40">
        <f t="shared" si="16"/>
        <v>0</v>
      </c>
      <c r="Z102" s="40">
        <f t="shared" si="17"/>
        <v>0</v>
      </c>
      <c r="AA102" s="40">
        <f t="shared" si="18"/>
        <v>0</v>
      </c>
      <c r="AB102" s="40">
        <f t="shared" si="20"/>
        <v>0</v>
      </c>
      <c r="AC102" s="41">
        <f t="shared" si="21"/>
        <v>0</v>
      </c>
      <c r="AD102" s="49" t="s">
        <v>5</v>
      </c>
      <c r="AE102" s="50" t="s">
        <v>72</v>
      </c>
      <c r="AF102" s="49" t="s">
        <v>5</v>
      </c>
      <c r="AG102" s="50" t="s">
        <v>73</v>
      </c>
      <c r="AH102" s="49"/>
      <c r="AI102" s="50"/>
      <c r="AJ102" s="49" t="s">
        <v>5</v>
      </c>
      <c r="AK102" s="50" t="s">
        <v>127</v>
      </c>
      <c r="AL102" s="49" t="s">
        <v>5</v>
      </c>
      <c r="AM102" s="50" t="s">
        <v>72</v>
      </c>
      <c r="AN102" s="49" t="s">
        <v>5</v>
      </c>
      <c r="AO102" s="50" t="s">
        <v>143</v>
      </c>
      <c r="AP102" s="49" t="s">
        <v>5</v>
      </c>
      <c r="AQ102" s="50" t="s">
        <v>131</v>
      </c>
      <c r="AR102" s="49" t="s">
        <v>5</v>
      </c>
      <c r="AS102" s="50" t="s">
        <v>104</v>
      </c>
      <c r="AT102" s="49" t="s">
        <v>5</v>
      </c>
      <c r="AU102" s="50" t="s">
        <v>163</v>
      </c>
      <c r="AV102" s="49" t="s">
        <v>5</v>
      </c>
      <c r="AW102" s="50" t="s">
        <v>94</v>
      </c>
      <c r="AX102" s="49" t="s">
        <v>5</v>
      </c>
      <c r="AY102" s="50" t="s">
        <v>95</v>
      </c>
      <c r="AZ102" s="49" t="s">
        <v>5</v>
      </c>
      <c r="BA102" s="50" t="s">
        <v>81</v>
      </c>
      <c r="BB102" s="49" t="s">
        <v>5</v>
      </c>
      <c r="BC102" s="50" t="s">
        <v>153</v>
      </c>
      <c r="BD102" s="49" t="s">
        <v>5</v>
      </c>
      <c r="BE102" s="50" t="s">
        <v>164</v>
      </c>
      <c r="BF102" s="49"/>
      <c r="BG102" s="50"/>
    </row>
    <row r="103" spans="1:59" s="44" customFormat="1" x14ac:dyDescent="0.25">
      <c r="A103" s="24">
        <v>160237</v>
      </c>
      <c r="B103" s="25" t="s">
        <v>261</v>
      </c>
      <c r="C103" s="26" t="s">
        <v>168</v>
      </c>
      <c r="D103" s="27" t="s">
        <v>70</v>
      </c>
      <c r="E103" s="28" t="s">
        <v>87</v>
      </c>
      <c r="F103" s="25" t="s">
        <v>115</v>
      </c>
      <c r="G103" s="28" t="s">
        <v>14</v>
      </c>
      <c r="H103" s="28" t="s">
        <v>87</v>
      </c>
      <c r="I103" s="29" t="s">
        <v>14</v>
      </c>
      <c r="J103" s="28" t="s">
        <v>14</v>
      </c>
      <c r="K103" s="30" t="s">
        <v>1850</v>
      </c>
      <c r="L103" s="31" t="s">
        <v>1842</v>
      </c>
      <c r="M103" s="45" t="str">
        <f>IFERROR(VLOOKUP(A103,Lookups!#REF!,3,FALSE),"")</f>
        <v/>
      </c>
      <c r="N103" s="46">
        <v>22</v>
      </c>
      <c r="O103" s="47">
        <v>0</v>
      </c>
      <c r="P103" s="48">
        <v>1</v>
      </c>
      <c r="Q103" s="36">
        <v>100</v>
      </c>
      <c r="R103" s="37">
        <v>0</v>
      </c>
      <c r="S103" s="38">
        <f t="shared" si="11"/>
        <v>0</v>
      </c>
      <c r="T103" s="39">
        <f t="shared" si="12"/>
        <v>13</v>
      </c>
      <c r="U103" s="40">
        <f t="shared" si="13"/>
        <v>0</v>
      </c>
      <c r="V103" s="40">
        <f t="shared" si="14"/>
        <v>0</v>
      </c>
      <c r="W103" s="40">
        <f t="shared" si="15"/>
        <v>0</v>
      </c>
      <c r="X103" s="40">
        <f t="shared" si="19"/>
        <v>0</v>
      </c>
      <c r="Y103" s="40">
        <f t="shared" si="16"/>
        <v>0</v>
      </c>
      <c r="Z103" s="40">
        <f t="shared" si="17"/>
        <v>0</v>
      </c>
      <c r="AA103" s="40">
        <f t="shared" si="18"/>
        <v>0</v>
      </c>
      <c r="AB103" s="40">
        <f t="shared" si="20"/>
        <v>0</v>
      </c>
      <c r="AC103" s="41">
        <f t="shared" si="21"/>
        <v>0</v>
      </c>
      <c r="AD103" s="49" t="s">
        <v>5</v>
      </c>
      <c r="AE103" s="50" t="s">
        <v>116</v>
      </c>
      <c r="AF103" s="49" t="s">
        <v>5</v>
      </c>
      <c r="AG103" s="50" t="s">
        <v>135</v>
      </c>
      <c r="AH103" s="49"/>
      <c r="AI103" s="50"/>
      <c r="AJ103" s="49" t="s">
        <v>5</v>
      </c>
      <c r="AK103" s="50" t="s">
        <v>169</v>
      </c>
      <c r="AL103" s="49" t="s">
        <v>5</v>
      </c>
      <c r="AM103" s="50" t="s">
        <v>170</v>
      </c>
      <c r="AN103" s="49" t="s">
        <v>5</v>
      </c>
      <c r="AO103" s="50" t="s">
        <v>75</v>
      </c>
      <c r="AP103" s="49" t="s">
        <v>5</v>
      </c>
      <c r="AQ103" s="50" t="s">
        <v>131</v>
      </c>
      <c r="AR103" s="49" t="s">
        <v>5</v>
      </c>
      <c r="AS103" s="50" t="s">
        <v>120</v>
      </c>
      <c r="AT103" s="49" t="s">
        <v>5</v>
      </c>
      <c r="AU103" s="50" t="s">
        <v>78</v>
      </c>
      <c r="AV103" s="49" t="s">
        <v>5</v>
      </c>
      <c r="AW103" s="50" t="s">
        <v>94</v>
      </c>
      <c r="AX103" s="49" t="s">
        <v>5</v>
      </c>
      <c r="AY103" s="50" t="s">
        <v>95</v>
      </c>
      <c r="AZ103" s="49" t="s">
        <v>5</v>
      </c>
      <c r="BA103" s="50" t="s">
        <v>152</v>
      </c>
      <c r="BB103" s="49" t="s">
        <v>5</v>
      </c>
      <c r="BC103" s="50" t="s">
        <v>82</v>
      </c>
      <c r="BD103" s="49" t="s">
        <v>5</v>
      </c>
      <c r="BE103" s="50" t="s">
        <v>170</v>
      </c>
      <c r="BF103" s="49"/>
      <c r="BG103" s="50"/>
    </row>
    <row r="104" spans="1:59" s="44" customFormat="1" x14ac:dyDescent="0.25">
      <c r="A104" s="24">
        <v>160238</v>
      </c>
      <c r="B104" s="25" t="s">
        <v>262</v>
      </c>
      <c r="C104" s="26" t="s">
        <v>114</v>
      </c>
      <c r="D104" s="27" t="s">
        <v>70</v>
      </c>
      <c r="E104" s="28" t="s">
        <v>14</v>
      </c>
      <c r="F104" s="25" t="s">
        <v>71</v>
      </c>
      <c r="G104" s="28" t="s">
        <v>14</v>
      </c>
      <c r="H104" s="28" t="s">
        <v>14</v>
      </c>
      <c r="I104" s="29" t="s">
        <v>14</v>
      </c>
      <c r="J104" s="28" t="s">
        <v>14</v>
      </c>
      <c r="K104" s="30" t="s">
        <v>1850</v>
      </c>
      <c r="L104" s="31" t="s">
        <v>1842</v>
      </c>
      <c r="M104" s="45" t="str">
        <f>IFERROR(VLOOKUP(A104,Lookups!#REF!,3,FALSE),"")</f>
        <v/>
      </c>
      <c r="N104" s="46">
        <v>35</v>
      </c>
      <c r="O104" s="47">
        <v>0</v>
      </c>
      <c r="P104" s="48">
        <v>0</v>
      </c>
      <c r="Q104" s="36">
        <v>100</v>
      </c>
      <c r="R104" s="37">
        <v>0</v>
      </c>
      <c r="S104" s="38">
        <f t="shared" si="11"/>
        <v>3</v>
      </c>
      <c r="T104" s="39">
        <f t="shared" si="12"/>
        <v>10</v>
      </c>
      <c r="U104" s="40">
        <f t="shared" si="13"/>
        <v>0</v>
      </c>
      <c r="V104" s="40">
        <f t="shared" si="14"/>
        <v>0</v>
      </c>
      <c r="W104" s="40">
        <f t="shared" si="15"/>
        <v>0</v>
      </c>
      <c r="X104" s="40">
        <f t="shared" si="19"/>
        <v>0</v>
      </c>
      <c r="Y104" s="40">
        <f t="shared" si="16"/>
        <v>0</v>
      </c>
      <c r="Z104" s="40">
        <f t="shared" si="17"/>
        <v>0</v>
      </c>
      <c r="AA104" s="40">
        <f t="shared" si="18"/>
        <v>0</v>
      </c>
      <c r="AB104" s="40">
        <f t="shared" si="20"/>
        <v>0</v>
      </c>
      <c r="AC104" s="41">
        <f t="shared" si="21"/>
        <v>0</v>
      </c>
      <c r="AD104" s="49" t="s">
        <v>5</v>
      </c>
      <c r="AE104" s="50" t="s">
        <v>116</v>
      </c>
      <c r="AF104" s="49" t="s">
        <v>5</v>
      </c>
      <c r="AG104" s="50" t="s">
        <v>73</v>
      </c>
      <c r="AH104" s="49"/>
      <c r="AI104" s="50"/>
      <c r="AJ104" s="49" t="s">
        <v>5</v>
      </c>
      <c r="AK104" s="50" t="s">
        <v>118</v>
      </c>
      <c r="AL104" s="49" t="s">
        <v>5</v>
      </c>
      <c r="AM104" s="50" t="s">
        <v>112</v>
      </c>
      <c r="AN104" s="49"/>
      <c r="AO104" s="50"/>
      <c r="AP104" s="49" t="s">
        <v>5</v>
      </c>
      <c r="AQ104" s="50" t="s">
        <v>119</v>
      </c>
      <c r="AR104" s="49" t="s">
        <v>5</v>
      </c>
      <c r="AS104" s="50" t="s">
        <v>120</v>
      </c>
      <c r="AT104" s="49" t="s">
        <v>1</v>
      </c>
      <c r="AU104" s="50" t="s">
        <v>78</v>
      </c>
      <c r="AV104" s="49" t="s">
        <v>5</v>
      </c>
      <c r="AW104" s="50" t="s">
        <v>94</v>
      </c>
      <c r="AX104" s="49" t="s">
        <v>1</v>
      </c>
      <c r="AY104" s="50" t="s">
        <v>95</v>
      </c>
      <c r="AZ104" s="49" t="s">
        <v>1</v>
      </c>
      <c r="BA104" s="50" t="s">
        <v>121</v>
      </c>
      <c r="BB104" s="49" t="s">
        <v>5</v>
      </c>
      <c r="BC104" s="50" t="s">
        <v>122</v>
      </c>
      <c r="BD104" s="49" t="s">
        <v>5</v>
      </c>
      <c r="BE104" s="50" t="s">
        <v>123</v>
      </c>
      <c r="BF104" s="49" t="s">
        <v>5</v>
      </c>
      <c r="BG104" s="50" t="s">
        <v>124</v>
      </c>
    </row>
    <row r="105" spans="1:59" s="44" customFormat="1" x14ac:dyDescent="0.25">
      <c r="A105" s="24">
        <v>160239</v>
      </c>
      <c r="B105" s="25" t="s">
        <v>263</v>
      </c>
      <c r="C105" s="26" t="s">
        <v>162</v>
      </c>
      <c r="D105" s="27" t="s">
        <v>12</v>
      </c>
      <c r="E105" s="28" t="s">
        <v>14</v>
      </c>
      <c r="F105" s="25" t="s">
        <v>71</v>
      </c>
      <c r="G105" s="28" t="s">
        <v>14</v>
      </c>
      <c r="H105" s="28" t="s">
        <v>14</v>
      </c>
      <c r="I105" s="29" t="s">
        <v>14</v>
      </c>
      <c r="J105" s="28" t="s">
        <v>6</v>
      </c>
      <c r="K105" s="30" t="s">
        <v>1850</v>
      </c>
      <c r="L105" s="31" t="s">
        <v>1842</v>
      </c>
      <c r="M105" s="45" t="str">
        <f>IFERROR(VLOOKUP(A105,Lookups!#REF!,3,FALSE),"")</f>
        <v/>
      </c>
      <c r="N105" s="46">
        <v>27</v>
      </c>
      <c r="O105" s="47">
        <v>0</v>
      </c>
      <c r="P105" s="48">
        <v>0</v>
      </c>
      <c r="Q105" s="36">
        <v>100</v>
      </c>
      <c r="R105" s="37">
        <v>0</v>
      </c>
      <c r="S105" s="38">
        <f t="shared" si="11"/>
        <v>2</v>
      </c>
      <c r="T105" s="39">
        <f t="shared" si="12"/>
        <v>11</v>
      </c>
      <c r="U105" s="40">
        <f t="shared" si="13"/>
        <v>0</v>
      </c>
      <c r="V105" s="40">
        <f t="shared" si="14"/>
        <v>0</v>
      </c>
      <c r="W105" s="40">
        <f t="shared" si="15"/>
        <v>0</v>
      </c>
      <c r="X105" s="40">
        <f t="shared" si="19"/>
        <v>0</v>
      </c>
      <c r="Y105" s="40">
        <f t="shared" si="16"/>
        <v>0</v>
      </c>
      <c r="Z105" s="40">
        <f t="shared" si="17"/>
        <v>0</v>
      </c>
      <c r="AA105" s="40">
        <f t="shared" si="18"/>
        <v>0</v>
      </c>
      <c r="AB105" s="40">
        <f t="shared" si="20"/>
        <v>0</v>
      </c>
      <c r="AC105" s="41">
        <f t="shared" si="21"/>
        <v>0</v>
      </c>
      <c r="AD105" s="49" t="s">
        <v>5</v>
      </c>
      <c r="AE105" s="50" t="s">
        <v>72</v>
      </c>
      <c r="AF105" s="49"/>
      <c r="AG105" s="50"/>
      <c r="AH105" s="49" t="s">
        <v>5</v>
      </c>
      <c r="AI105" s="50" t="s">
        <v>101</v>
      </c>
      <c r="AJ105" s="49" t="s">
        <v>5</v>
      </c>
      <c r="AK105" s="50" t="s">
        <v>194</v>
      </c>
      <c r="AL105" s="49" t="s">
        <v>5</v>
      </c>
      <c r="AM105" s="50" t="s">
        <v>72</v>
      </c>
      <c r="AN105" s="49" t="s">
        <v>5</v>
      </c>
      <c r="AO105" s="50" t="s">
        <v>143</v>
      </c>
      <c r="AP105" s="49" t="s">
        <v>5</v>
      </c>
      <c r="AQ105" s="50" t="s">
        <v>144</v>
      </c>
      <c r="AR105" s="49" t="s">
        <v>5</v>
      </c>
      <c r="AS105" s="50" t="s">
        <v>104</v>
      </c>
      <c r="AT105" s="49" t="s">
        <v>5</v>
      </c>
      <c r="AU105" s="50" t="s">
        <v>163</v>
      </c>
      <c r="AV105" s="49" t="s">
        <v>1</v>
      </c>
      <c r="AW105" s="50" t="s">
        <v>136</v>
      </c>
      <c r="AX105" s="49" t="s">
        <v>5</v>
      </c>
      <c r="AY105" s="50" t="s">
        <v>95</v>
      </c>
      <c r="AZ105" s="49" t="s">
        <v>1</v>
      </c>
      <c r="BA105" s="50" t="s">
        <v>107</v>
      </c>
      <c r="BB105" s="49" t="s">
        <v>5</v>
      </c>
      <c r="BC105" s="50" t="s">
        <v>153</v>
      </c>
      <c r="BD105" s="49" t="s">
        <v>5</v>
      </c>
      <c r="BE105" s="50" t="s">
        <v>164</v>
      </c>
      <c r="BF105" s="49"/>
      <c r="BG105" s="50"/>
    </row>
    <row r="106" spans="1:59" s="44" customFormat="1" x14ac:dyDescent="0.25">
      <c r="A106" s="24">
        <v>160240</v>
      </c>
      <c r="B106" s="25" t="s">
        <v>264</v>
      </c>
      <c r="C106" s="26" t="s">
        <v>162</v>
      </c>
      <c r="D106" s="27" t="s">
        <v>70</v>
      </c>
      <c r="E106" s="28" t="s">
        <v>14</v>
      </c>
      <c r="F106" s="25" t="s">
        <v>150</v>
      </c>
      <c r="G106" s="28" t="s">
        <v>87</v>
      </c>
      <c r="H106" s="28" t="s">
        <v>14</v>
      </c>
      <c r="I106" s="29" t="s">
        <v>14</v>
      </c>
      <c r="J106" s="28" t="s">
        <v>14</v>
      </c>
      <c r="K106" s="30" t="s">
        <v>1850</v>
      </c>
      <c r="L106" s="31" t="s">
        <v>1842</v>
      </c>
      <c r="M106" s="45" t="str">
        <f>IFERROR(VLOOKUP(A106,Lookups!#REF!,3,FALSE),"")</f>
        <v/>
      </c>
      <c r="N106" s="46">
        <v>21</v>
      </c>
      <c r="O106" s="47">
        <v>0</v>
      </c>
      <c r="P106" s="48">
        <v>0</v>
      </c>
      <c r="Q106" s="36">
        <v>91.67</v>
      </c>
      <c r="R106" s="37">
        <v>0</v>
      </c>
      <c r="S106" s="38">
        <f t="shared" si="11"/>
        <v>0</v>
      </c>
      <c r="T106" s="39">
        <f t="shared" si="12"/>
        <v>13</v>
      </c>
      <c r="U106" s="40">
        <f t="shared" si="13"/>
        <v>0</v>
      </c>
      <c r="V106" s="40">
        <f t="shared" si="14"/>
        <v>0</v>
      </c>
      <c r="W106" s="40">
        <f t="shared" si="15"/>
        <v>0</v>
      </c>
      <c r="X106" s="40">
        <f t="shared" si="19"/>
        <v>0</v>
      </c>
      <c r="Y106" s="40">
        <f t="shared" si="16"/>
        <v>0</v>
      </c>
      <c r="Z106" s="40">
        <f t="shared" si="17"/>
        <v>0</v>
      </c>
      <c r="AA106" s="40">
        <f t="shared" si="18"/>
        <v>0</v>
      </c>
      <c r="AB106" s="40">
        <f t="shared" si="20"/>
        <v>0</v>
      </c>
      <c r="AC106" s="41">
        <f t="shared" si="21"/>
        <v>0</v>
      </c>
      <c r="AD106" s="49" t="s">
        <v>5</v>
      </c>
      <c r="AE106" s="50" t="s">
        <v>72</v>
      </c>
      <c r="AF106" s="49" t="s">
        <v>5</v>
      </c>
      <c r="AG106" s="50" t="s">
        <v>117</v>
      </c>
      <c r="AH106" s="49"/>
      <c r="AI106" s="50"/>
      <c r="AJ106" s="49" t="s">
        <v>5</v>
      </c>
      <c r="AK106" s="50" t="s">
        <v>194</v>
      </c>
      <c r="AL106" s="49" t="s">
        <v>5</v>
      </c>
      <c r="AM106" s="50" t="s">
        <v>72</v>
      </c>
      <c r="AN106" s="49" t="s">
        <v>5</v>
      </c>
      <c r="AO106" s="50" t="s">
        <v>143</v>
      </c>
      <c r="AP106" s="49" t="s">
        <v>5</v>
      </c>
      <c r="AQ106" s="50" t="s">
        <v>144</v>
      </c>
      <c r="AR106" s="49" t="s">
        <v>5</v>
      </c>
      <c r="AS106" s="50" t="s">
        <v>104</v>
      </c>
      <c r="AT106" s="49" t="s">
        <v>5</v>
      </c>
      <c r="AU106" s="50" t="s">
        <v>163</v>
      </c>
      <c r="AV106" s="49" t="s">
        <v>5</v>
      </c>
      <c r="AW106" s="50" t="s">
        <v>94</v>
      </c>
      <c r="AX106" s="49" t="s">
        <v>5</v>
      </c>
      <c r="AY106" s="50" t="s">
        <v>95</v>
      </c>
      <c r="AZ106" s="49" t="s">
        <v>5</v>
      </c>
      <c r="BA106" s="50" t="s">
        <v>81</v>
      </c>
      <c r="BB106" s="49" t="s">
        <v>5</v>
      </c>
      <c r="BC106" s="50" t="s">
        <v>153</v>
      </c>
      <c r="BD106" s="49" t="s">
        <v>5</v>
      </c>
      <c r="BE106" s="50" t="s">
        <v>164</v>
      </c>
      <c r="BF106" s="49"/>
      <c r="BG106" s="50"/>
    </row>
    <row r="107" spans="1:59" s="44" customFormat="1" x14ac:dyDescent="0.25">
      <c r="A107" s="24">
        <v>160241</v>
      </c>
      <c r="B107" s="25" t="s">
        <v>265</v>
      </c>
      <c r="C107" s="26" t="s">
        <v>162</v>
      </c>
      <c r="D107" s="27" t="s">
        <v>70</v>
      </c>
      <c r="E107" s="28" t="s">
        <v>14</v>
      </c>
      <c r="F107" s="25" t="s">
        <v>150</v>
      </c>
      <c r="G107" s="28" t="s">
        <v>14</v>
      </c>
      <c r="H107" s="28" t="s">
        <v>14</v>
      </c>
      <c r="I107" s="29" t="s">
        <v>14</v>
      </c>
      <c r="J107" s="28" t="s">
        <v>14</v>
      </c>
      <c r="K107" s="30" t="s">
        <v>1850</v>
      </c>
      <c r="L107" s="31" t="s">
        <v>1842</v>
      </c>
      <c r="M107" s="45" t="str">
        <f>IFERROR(VLOOKUP(A107,Lookups!#REF!,3,FALSE),"")</f>
        <v/>
      </c>
      <c r="N107" s="46">
        <v>32</v>
      </c>
      <c r="O107" s="47">
        <v>0</v>
      </c>
      <c r="P107" s="48">
        <v>0</v>
      </c>
      <c r="Q107" s="36">
        <v>100</v>
      </c>
      <c r="R107" s="37">
        <v>0</v>
      </c>
      <c r="S107" s="38">
        <f t="shared" si="11"/>
        <v>1</v>
      </c>
      <c r="T107" s="39">
        <f t="shared" si="12"/>
        <v>12</v>
      </c>
      <c r="U107" s="40">
        <f t="shared" si="13"/>
        <v>0</v>
      </c>
      <c r="V107" s="40">
        <f t="shared" si="14"/>
        <v>0</v>
      </c>
      <c r="W107" s="40">
        <f t="shared" si="15"/>
        <v>0</v>
      </c>
      <c r="X107" s="40">
        <f t="shared" si="19"/>
        <v>0</v>
      </c>
      <c r="Y107" s="40">
        <f t="shared" si="16"/>
        <v>0</v>
      </c>
      <c r="Z107" s="40">
        <f t="shared" si="17"/>
        <v>0</v>
      </c>
      <c r="AA107" s="40">
        <f t="shared" si="18"/>
        <v>0</v>
      </c>
      <c r="AB107" s="40">
        <f t="shared" si="20"/>
        <v>0</v>
      </c>
      <c r="AC107" s="41">
        <f t="shared" si="21"/>
        <v>0</v>
      </c>
      <c r="AD107" s="49" t="s">
        <v>5</v>
      </c>
      <c r="AE107" s="50" t="s">
        <v>72</v>
      </c>
      <c r="AF107" s="49" t="s">
        <v>5</v>
      </c>
      <c r="AG107" s="50" t="s">
        <v>135</v>
      </c>
      <c r="AH107" s="49"/>
      <c r="AI107" s="50"/>
      <c r="AJ107" s="49" t="s">
        <v>5</v>
      </c>
      <c r="AK107" s="50" t="s">
        <v>127</v>
      </c>
      <c r="AL107" s="49" t="s">
        <v>5</v>
      </c>
      <c r="AM107" s="50" t="s">
        <v>72</v>
      </c>
      <c r="AN107" s="49" t="s">
        <v>5</v>
      </c>
      <c r="AO107" s="50" t="s">
        <v>143</v>
      </c>
      <c r="AP107" s="49" t="s">
        <v>5</v>
      </c>
      <c r="AQ107" s="50" t="s">
        <v>131</v>
      </c>
      <c r="AR107" s="49" t="s">
        <v>5</v>
      </c>
      <c r="AS107" s="50" t="s">
        <v>104</v>
      </c>
      <c r="AT107" s="49" t="s">
        <v>5</v>
      </c>
      <c r="AU107" s="50" t="s">
        <v>163</v>
      </c>
      <c r="AV107" s="49" t="s">
        <v>1</v>
      </c>
      <c r="AW107" s="50" t="s">
        <v>136</v>
      </c>
      <c r="AX107" s="49" t="s">
        <v>5</v>
      </c>
      <c r="AY107" s="50" t="s">
        <v>95</v>
      </c>
      <c r="AZ107" s="49" t="s">
        <v>5</v>
      </c>
      <c r="BA107" s="50" t="s">
        <v>81</v>
      </c>
      <c r="BB107" s="49" t="s">
        <v>5</v>
      </c>
      <c r="BC107" s="50" t="s">
        <v>97</v>
      </c>
      <c r="BD107" s="49" t="s">
        <v>5</v>
      </c>
      <c r="BE107" s="50" t="s">
        <v>164</v>
      </c>
      <c r="BF107" s="49"/>
      <c r="BG107" s="50"/>
    </row>
    <row r="108" spans="1:59" s="44" customFormat="1" x14ac:dyDescent="0.25">
      <c r="A108" s="24">
        <v>160242</v>
      </c>
      <c r="B108" s="25" t="s">
        <v>266</v>
      </c>
      <c r="C108" s="26" t="s">
        <v>149</v>
      </c>
      <c r="D108" s="27" t="s">
        <v>12</v>
      </c>
      <c r="E108" s="28" t="s">
        <v>14</v>
      </c>
      <c r="F108" s="25" t="s">
        <v>150</v>
      </c>
      <c r="G108" s="28" t="s">
        <v>87</v>
      </c>
      <c r="H108" s="28" t="s">
        <v>14</v>
      </c>
      <c r="I108" s="29" t="s">
        <v>14</v>
      </c>
      <c r="J108" s="28" t="s">
        <v>14</v>
      </c>
      <c r="K108" s="30" t="s">
        <v>1850</v>
      </c>
      <c r="L108" s="31" t="s">
        <v>1846</v>
      </c>
      <c r="M108" s="45" t="str">
        <f>IFERROR(VLOOKUP(A108,Lookups!#REF!,3,FALSE),"")</f>
        <v/>
      </c>
      <c r="N108" s="46">
        <v>20</v>
      </c>
      <c r="O108" s="47">
        <v>0</v>
      </c>
      <c r="P108" s="48">
        <v>0</v>
      </c>
      <c r="Q108" s="36">
        <v>100</v>
      </c>
      <c r="R108" s="37">
        <v>0</v>
      </c>
      <c r="S108" s="38">
        <f t="shared" si="11"/>
        <v>2</v>
      </c>
      <c r="T108" s="39">
        <f t="shared" si="12"/>
        <v>11</v>
      </c>
      <c r="U108" s="40">
        <f t="shared" si="13"/>
        <v>0</v>
      </c>
      <c r="V108" s="40">
        <f t="shared" si="14"/>
        <v>0</v>
      </c>
      <c r="W108" s="40">
        <f t="shared" si="15"/>
        <v>0</v>
      </c>
      <c r="X108" s="40">
        <f t="shared" si="19"/>
        <v>0</v>
      </c>
      <c r="Y108" s="40">
        <f t="shared" si="16"/>
        <v>0</v>
      </c>
      <c r="Z108" s="40">
        <f t="shared" si="17"/>
        <v>0</v>
      </c>
      <c r="AA108" s="40">
        <f t="shared" si="18"/>
        <v>0</v>
      </c>
      <c r="AB108" s="40">
        <f t="shared" si="20"/>
        <v>0</v>
      </c>
      <c r="AC108" s="41">
        <f t="shared" si="21"/>
        <v>0</v>
      </c>
      <c r="AD108" s="49" t="s">
        <v>5</v>
      </c>
      <c r="AE108" s="50" t="s">
        <v>72</v>
      </c>
      <c r="AF108" s="49" t="s">
        <v>5</v>
      </c>
      <c r="AG108" s="50" t="s">
        <v>73</v>
      </c>
      <c r="AH108" s="49"/>
      <c r="AI108" s="50"/>
      <c r="AJ108" s="49" t="s">
        <v>5</v>
      </c>
      <c r="AK108" s="50" t="s">
        <v>151</v>
      </c>
      <c r="AL108" s="49" t="s">
        <v>5</v>
      </c>
      <c r="AM108" s="50" t="s">
        <v>78</v>
      </c>
      <c r="AN108" s="49"/>
      <c r="AO108" s="50"/>
      <c r="AP108" s="49" t="s">
        <v>5</v>
      </c>
      <c r="AQ108" s="50" t="s">
        <v>131</v>
      </c>
      <c r="AR108" s="49" t="s">
        <v>5</v>
      </c>
      <c r="AS108" s="50" t="s">
        <v>104</v>
      </c>
      <c r="AT108" s="49" t="s">
        <v>5</v>
      </c>
      <c r="AU108" s="50" t="s">
        <v>105</v>
      </c>
      <c r="AV108" s="49" t="s">
        <v>5</v>
      </c>
      <c r="AW108" s="50" t="s">
        <v>79</v>
      </c>
      <c r="AX108" s="49" t="s">
        <v>5</v>
      </c>
      <c r="AY108" s="50" t="s">
        <v>80</v>
      </c>
      <c r="AZ108" s="49" t="s">
        <v>1</v>
      </c>
      <c r="BA108" s="50" t="s">
        <v>107</v>
      </c>
      <c r="BB108" s="49" t="s">
        <v>5</v>
      </c>
      <c r="BC108" s="50" t="s">
        <v>153</v>
      </c>
      <c r="BD108" s="49" t="s">
        <v>1</v>
      </c>
      <c r="BE108" s="50" t="s">
        <v>154</v>
      </c>
      <c r="BF108" s="49" t="s">
        <v>5</v>
      </c>
      <c r="BG108" s="50" t="s">
        <v>103</v>
      </c>
    </row>
    <row r="109" spans="1:59" s="44" customFormat="1" x14ac:dyDescent="0.25">
      <c r="A109" s="24">
        <v>160243</v>
      </c>
      <c r="B109" s="25" t="s">
        <v>267</v>
      </c>
      <c r="C109" s="26" t="s">
        <v>162</v>
      </c>
      <c r="D109" s="27" t="s">
        <v>70</v>
      </c>
      <c r="E109" s="28" t="s">
        <v>14</v>
      </c>
      <c r="F109" s="25" t="s">
        <v>230</v>
      </c>
      <c r="G109" s="28" t="s">
        <v>87</v>
      </c>
      <c r="H109" s="28" t="s">
        <v>14</v>
      </c>
      <c r="I109" s="29" t="s">
        <v>14</v>
      </c>
      <c r="J109" s="28" t="s">
        <v>14</v>
      </c>
      <c r="K109" s="30" t="s">
        <v>1850</v>
      </c>
      <c r="L109" s="31" t="s">
        <v>1848</v>
      </c>
      <c r="M109" s="45" t="str">
        <f>IFERROR(VLOOKUP(A109,Lookups!#REF!,3,FALSE),"")</f>
        <v/>
      </c>
      <c r="N109" s="46">
        <v>28</v>
      </c>
      <c r="O109" s="47">
        <v>0</v>
      </c>
      <c r="P109" s="48">
        <v>0</v>
      </c>
      <c r="Q109" s="36">
        <v>100</v>
      </c>
      <c r="R109" s="37">
        <v>0</v>
      </c>
      <c r="S109" s="38">
        <f t="shared" si="11"/>
        <v>1</v>
      </c>
      <c r="T109" s="39">
        <f t="shared" si="12"/>
        <v>12</v>
      </c>
      <c r="U109" s="40">
        <f t="shared" si="13"/>
        <v>0</v>
      </c>
      <c r="V109" s="40">
        <f t="shared" si="14"/>
        <v>0</v>
      </c>
      <c r="W109" s="40">
        <f t="shared" si="15"/>
        <v>0</v>
      </c>
      <c r="X109" s="40">
        <f t="shared" si="19"/>
        <v>0</v>
      </c>
      <c r="Y109" s="40">
        <f t="shared" si="16"/>
        <v>0</v>
      </c>
      <c r="Z109" s="40">
        <f t="shared" si="17"/>
        <v>0</v>
      </c>
      <c r="AA109" s="40">
        <f t="shared" si="18"/>
        <v>0</v>
      </c>
      <c r="AB109" s="40">
        <f t="shared" si="20"/>
        <v>0</v>
      </c>
      <c r="AC109" s="41">
        <f t="shared" si="21"/>
        <v>0</v>
      </c>
      <c r="AD109" s="49" t="s">
        <v>5</v>
      </c>
      <c r="AE109" s="50" t="s">
        <v>72</v>
      </c>
      <c r="AF109" s="49" t="s">
        <v>5</v>
      </c>
      <c r="AG109" s="50" t="s">
        <v>90</v>
      </c>
      <c r="AH109" s="49"/>
      <c r="AI109" s="50"/>
      <c r="AJ109" s="49" t="s">
        <v>5</v>
      </c>
      <c r="AK109" s="50" t="s">
        <v>194</v>
      </c>
      <c r="AL109" s="49" t="s">
        <v>5</v>
      </c>
      <c r="AM109" s="50" t="s">
        <v>72</v>
      </c>
      <c r="AN109" s="49" t="s">
        <v>5</v>
      </c>
      <c r="AO109" s="50" t="s">
        <v>143</v>
      </c>
      <c r="AP109" s="49" t="s">
        <v>5</v>
      </c>
      <c r="AQ109" s="50" t="s">
        <v>144</v>
      </c>
      <c r="AR109" s="49" t="s">
        <v>5</v>
      </c>
      <c r="AS109" s="50" t="s">
        <v>104</v>
      </c>
      <c r="AT109" s="49" t="s">
        <v>5</v>
      </c>
      <c r="AU109" s="50" t="s">
        <v>163</v>
      </c>
      <c r="AV109" s="49" t="s">
        <v>1</v>
      </c>
      <c r="AW109" s="50" t="s">
        <v>106</v>
      </c>
      <c r="AX109" s="49" t="s">
        <v>5</v>
      </c>
      <c r="AY109" s="50" t="s">
        <v>95</v>
      </c>
      <c r="AZ109" s="49" t="s">
        <v>5</v>
      </c>
      <c r="BA109" s="50" t="s">
        <v>81</v>
      </c>
      <c r="BB109" s="49" t="s">
        <v>5</v>
      </c>
      <c r="BC109" s="50" t="s">
        <v>153</v>
      </c>
      <c r="BD109" s="49" t="s">
        <v>5</v>
      </c>
      <c r="BE109" s="50" t="s">
        <v>164</v>
      </c>
      <c r="BF109" s="49"/>
      <c r="BG109" s="50"/>
    </row>
    <row r="110" spans="1:59" s="44" customFormat="1" x14ac:dyDescent="0.25">
      <c r="A110" s="24">
        <v>160244</v>
      </c>
      <c r="B110" s="25" t="s">
        <v>268</v>
      </c>
      <c r="C110" s="26" t="s">
        <v>86</v>
      </c>
      <c r="D110" s="27" t="s">
        <v>12</v>
      </c>
      <c r="E110" s="28" t="s">
        <v>14</v>
      </c>
      <c r="F110" s="25" t="s">
        <v>71</v>
      </c>
      <c r="G110" s="28" t="s">
        <v>14</v>
      </c>
      <c r="H110" s="28" t="s">
        <v>14</v>
      </c>
      <c r="I110" s="29" t="s">
        <v>14</v>
      </c>
      <c r="J110" s="28" t="s">
        <v>14</v>
      </c>
      <c r="K110" s="30" t="s">
        <v>1850</v>
      </c>
      <c r="L110" s="31" t="s">
        <v>1845</v>
      </c>
      <c r="M110" s="45" t="str">
        <f>IFERROR(VLOOKUP(A110,Lookups!#REF!,3,FALSE),"")</f>
        <v/>
      </c>
      <c r="N110" s="46">
        <v>13</v>
      </c>
      <c r="O110" s="47">
        <v>4</v>
      </c>
      <c r="P110" s="48">
        <v>1</v>
      </c>
      <c r="Q110" s="36">
        <v>95.74</v>
      </c>
      <c r="R110" s="37">
        <v>8</v>
      </c>
      <c r="S110" s="38">
        <f t="shared" si="11"/>
        <v>0</v>
      </c>
      <c r="T110" s="39">
        <f t="shared" si="12"/>
        <v>12</v>
      </c>
      <c r="U110" s="40">
        <f t="shared" si="13"/>
        <v>1</v>
      </c>
      <c r="V110" s="40">
        <f t="shared" si="14"/>
        <v>0</v>
      </c>
      <c r="W110" s="40">
        <f t="shared" si="15"/>
        <v>0</v>
      </c>
      <c r="X110" s="40">
        <f t="shared" si="19"/>
        <v>1</v>
      </c>
      <c r="Y110" s="40">
        <f t="shared" si="16"/>
        <v>0</v>
      </c>
      <c r="Z110" s="40">
        <f t="shared" si="17"/>
        <v>0</v>
      </c>
      <c r="AA110" s="40">
        <f t="shared" si="18"/>
        <v>0</v>
      </c>
      <c r="AB110" s="40">
        <f t="shared" si="20"/>
        <v>0</v>
      </c>
      <c r="AC110" s="41">
        <f t="shared" si="21"/>
        <v>0</v>
      </c>
      <c r="AD110" s="49" t="s">
        <v>5</v>
      </c>
      <c r="AE110" s="50" t="s">
        <v>89</v>
      </c>
      <c r="AF110" s="49" t="s">
        <v>5</v>
      </c>
      <c r="AG110" s="50" t="s">
        <v>117</v>
      </c>
      <c r="AH110" s="49"/>
      <c r="AI110" s="50"/>
      <c r="AJ110" s="49" t="s">
        <v>30</v>
      </c>
      <c r="AK110" s="50" t="s">
        <v>91</v>
      </c>
      <c r="AL110" s="49" t="s">
        <v>5</v>
      </c>
      <c r="AM110" s="50" t="s">
        <v>84</v>
      </c>
      <c r="AN110" s="49"/>
      <c r="AO110" s="50"/>
      <c r="AP110" s="49" t="s">
        <v>5</v>
      </c>
      <c r="AQ110" s="50" t="s">
        <v>92</v>
      </c>
      <c r="AR110" s="49" t="s">
        <v>5</v>
      </c>
      <c r="AS110" s="50" t="s">
        <v>93</v>
      </c>
      <c r="AT110" s="49" t="s">
        <v>5</v>
      </c>
      <c r="AU110" s="50" t="s">
        <v>78</v>
      </c>
      <c r="AV110" s="49" t="s">
        <v>5</v>
      </c>
      <c r="AW110" s="50" t="s">
        <v>106</v>
      </c>
      <c r="AX110" s="49" t="s">
        <v>5</v>
      </c>
      <c r="AY110" s="50" t="s">
        <v>95</v>
      </c>
      <c r="AZ110" s="49" t="s">
        <v>5</v>
      </c>
      <c r="BA110" s="50" t="s">
        <v>96</v>
      </c>
      <c r="BB110" s="49" t="s">
        <v>5</v>
      </c>
      <c r="BC110" s="50" t="s">
        <v>108</v>
      </c>
      <c r="BD110" s="49" t="s">
        <v>5</v>
      </c>
      <c r="BE110" s="50" t="s">
        <v>98</v>
      </c>
      <c r="BF110" s="49" t="s">
        <v>5</v>
      </c>
      <c r="BG110" s="50" t="s">
        <v>84</v>
      </c>
    </row>
    <row r="111" spans="1:59" s="44" customFormat="1" x14ac:dyDescent="0.25">
      <c r="A111" s="24">
        <v>160245</v>
      </c>
      <c r="B111" s="25" t="s">
        <v>269</v>
      </c>
      <c r="C111" s="26" t="s">
        <v>162</v>
      </c>
      <c r="D111" s="27" t="s">
        <v>70</v>
      </c>
      <c r="E111" s="28" t="s">
        <v>14</v>
      </c>
      <c r="F111" s="25" t="s">
        <v>71</v>
      </c>
      <c r="G111" s="28" t="s">
        <v>14</v>
      </c>
      <c r="H111" s="28" t="s">
        <v>14</v>
      </c>
      <c r="I111" s="29" t="s">
        <v>14</v>
      </c>
      <c r="J111" s="28" t="s">
        <v>14</v>
      </c>
      <c r="K111" s="30" t="s">
        <v>1850</v>
      </c>
      <c r="L111" s="31" t="s">
        <v>1842</v>
      </c>
      <c r="M111" s="45" t="str">
        <f>IFERROR(VLOOKUP(A111,Lookups!#REF!,3,FALSE),"")</f>
        <v/>
      </c>
      <c r="N111" s="46">
        <v>26</v>
      </c>
      <c r="O111" s="47">
        <v>0</v>
      </c>
      <c r="P111" s="48">
        <v>0</v>
      </c>
      <c r="Q111" s="36">
        <v>100</v>
      </c>
      <c r="R111" s="37">
        <v>0</v>
      </c>
      <c r="S111" s="38">
        <f t="shared" si="11"/>
        <v>0</v>
      </c>
      <c r="T111" s="39">
        <f t="shared" si="12"/>
        <v>13</v>
      </c>
      <c r="U111" s="40">
        <f t="shared" si="13"/>
        <v>0</v>
      </c>
      <c r="V111" s="40">
        <f t="shared" si="14"/>
        <v>0</v>
      </c>
      <c r="W111" s="40">
        <f t="shared" si="15"/>
        <v>0</v>
      </c>
      <c r="X111" s="40">
        <f t="shared" si="19"/>
        <v>0</v>
      </c>
      <c r="Y111" s="40">
        <f t="shared" si="16"/>
        <v>0</v>
      </c>
      <c r="Z111" s="40">
        <f t="shared" si="17"/>
        <v>0</v>
      </c>
      <c r="AA111" s="40">
        <f t="shared" si="18"/>
        <v>0</v>
      </c>
      <c r="AB111" s="40">
        <f t="shared" si="20"/>
        <v>0</v>
      </c>
      <c r="AC111" s="41">
        <f t="shared" si="21"/>
        <v>0</v>
      </c>
      <c r="AD111" s="49" t="s">
        <v>5</v>
      </c>
      <c r="AE111" s="50" t="s">
        <v>72</v>
      </c>
      <c r="AF111" s="49" t="s">
        <v>5</v>
      </c>
      <c r="AG111" s="50" t="s">
        <v>73</v>
      </c>
      <c r="AH111" s="49"/>
      <c r="AI111" s="50"/>
      <c r="AJ111" s="49" t="s">
        <v>5</v>
      </c>
      <c r="AK111" s="50" t="s">
        <v>127</v>
      </c>
      <c r="AL111" s="49" t="s">
        <v>5</v>
      </c>
      <c r="AM111" s="50" t="s">
        <v>72</v>
      </c>
      <c r="AN111" s="49" t="s">
        <v>5</v>
      </c>
      <c r="AO111" s="50" t="s">
        <v>143</v>
      </c>
      <c r="AP111" s="49" t="s">
        <v>5</v>
      </c>
      <c r="AQ111" s="50" t="s">
        <v>144</v>
      </c>
      <c r="AR111" s="49" t="s">
        <v>5</v>
      </c>
      <c r="AS111" s="50" t="s">
        <v>104</v>
      </c>
      <c r="AT111" s="49" t="s">
        <v>5</v>
      </c>
      <c r="AU111" s="50" t="s">
        <v>163</v>
      </c>
      <c r="AV111" s="49" t="s">
        <v>5</v>
      </c>
      <c r="AW111" s="50" t="s">
        <v>136</v>
      </c>
      <c r="AX111" s="49" t="s">
        <v>5</v>
      </c>
      <c r="AY111" s="50" t="s">
        <v>95</v>
      </c>
      <c r="AZ111" s="49" t="s">
        <v>5</v>
      </c>
      <c r="BA111" s="50" t="s">
        <v>81</v>
      </c>
      <c r="BB111" s="49" t="s">
        <v>5</v>
      </c>
      <c r="BC111" s="50" t="s">
        <v>97</v>
      </c>
      <c r="BD111" s="49" t="s">
        <v>5</v>
      </c>
      <c r="BE111" s="50" t="s">
        <v>164</v>
      </c>
      <c r="BF111" s="49"/>
      <c r="BG111" s="50"/>
    </row>
    <row r="112" spans="1:59" s="44" customFormat="1" x14ac:dyDescent="0.25">
      <c r="A112" s="24">
        <v>160246</v>
      </c>
      <c r="B112" s="25" t="s">
        <v>270</v>
      </c>
      <c r="C112" s="26" t="s">
        <v>168</v>
      </c>
      <c r="D112" s="27" t="s">
        <v>12</v>
      </c>
      <c r="E112" s="28" t="s">
        <v>14</v>
      </c>
      <c r="F112" s="25" t="s">
        <v>271</v>
      </c>
      <c r="G112" s="28" t="s">
        <v>87</v>
      </c>
      <c r="H112" s="28" t="s">
        <v>14</v>
      </c>
      <c r="I112" s="29" t="s">
        <v>14</v>
      </c>
      <c r="J112" s="28" t="s">
        <v>14</v>
      </c>
      <c r="K112" s="30" t="s">
        <v>1850</v>
      </c>
      <c r="L112" s="31" t="s">
        <v>1845</v>
      </c>
      <c r="M112" s="45" t="str">
        <f>IFERROR(VLOOKUP(A112,Lookups!#REF!,3,FALSE),"")</f>
        <v/>
      </c>
      <c r="N112" s="46">
        <v>12</v>
      </c>
      <c r="O112" s="47">
        <v>0</v>
      </c>
      <c r="P112" s="48">
        <v>0</v>
      </c>
      <c r="Q112" s="36">
        <v>100</v>
      </c>
      <c r="R112" s="37">
        <v>0</v>
      </c>
      <c r="S112" s="38">
        <f t="shared" si="11"/>
        <v>2</v>
      </c>
      <c r="T112" s="39">
        <f t="shared" si="12"/>
        <v>11</v>
      </c>
      <c r="U112" s="40">
        <f t="shared" si="13"/>
        <v>0</v>
      </c>
      <c r="V112" s="40">
        <f t="shared" si="14"/>
        <v>0</v>
      </c>
      <c r="W112" s="40">
        <f t="shared" si="15"/>
        <v>0</v>
      </c>
      <c r="X112" s="40">
        <f t="shared" si="19"/>
        <v>0</v>
      </c>
      <c r="Y112" s="40">
        <f t="shared" si="16"/>
        <v>0</v>
      </c>
      <c r="Z112" s="40">
        <f t="shared" si="17"/>
        <v>0</v>
      </c>
      <c r="AA112" s="40">
        <f t="shared" si="18"/>
        <v>0</v>
      </c>
      <c r="AB112" s="40">
        <f t="shared" si="20"/>
        <v>0</v>
      </c>
      <c r="AC112" s="41">
        <f t="shared" si="21"/>
        <v>0</v>
      </c>
      <c r="AD112" s="49" t="s">
        <v>5</v>
      </c>
      <c r="AE112" s="50" t="s">
        <v>116</v>
      </c>
      <c r="AF112" s="49" t="s">
        <v>5</v>
      </c>
      <c r="AG112" s="50" t="s">
        <v>90</v>
      </c>
      <c r="AH112" s="49"/>
      <c r="AI112" s="50"/>
      <c r="AJ112" s="49" t="s">
        <v>5</v>
      </c>
      <c r="AK112" s="50" t="s">
        <v>169</v>
      </c>
      <c r="AL112" s="49" t="s">
        <v>5</v>
      </c>
      <c r="AM112" s="50" t="s">
        <v>170</v>
      </c>
      <c r="AN112" s="49" t="s">
        <v>5</v>
      </c>
      <c r="AO112" s="50" t="s">
        <v>75</v>
      </c>
      <c r="AP112" s="49" t="s">
        <v>1</v>
      </c>
      <c r="AQ112" s="50" t="s">
        <v>92</v>
      </c>
      <c r="AR112" s="49" t="s">
        <v>5</v>
      </c>
      <c r="AS112" s="50" t="s">
        <v>120</v>
      </c>
      <c r="AT112" s="49" t="s">
        <v>5</v>
      </c>
      <c r="AU112" s="50" t="s">
        <v>78</v>
      </c>
      <c r="AV112" s="49" t="s">
        <v>5</v>
      </c>
      <c r="AW112" s="50" t="s">
        <v>94</v>
      </c>
      <c r="AX112" s="49" t="s">
        <v>5</v>
      </c>
      <c r="AY112" s="50" t="s">
        <v>95</v>
      </c>
      <c r="AZ112" s="49" t="s">
        <v>1</v>
      </c>
      <c r="BA112" s="50" t="s">
        <v>96</v>
      </c>
      <c r="BB112" s="49" t="s">
        <v>5</v>
      </c>
      <c r="BC112" s="50" t="s">
        <v>82</v>
      </c>
      <c r="BD112" s="49" t="s">
        <v>5</v>
      </c>
      <c r="BE112" s="50" t="s">
        <v>170</v>
      </c>
      <c r="BF112" s="49"/>
      <c r="BG112" s="50"/>
    </row>
    <row r="113" spans="1:59" s="44" customFormat="1" x14ac:dyDescent="0.25">
      <c r="A113" s="24">
        <v>160247</v>
      </c>
      <c r="B113" s="25" t="s">
        <v>272</v>
      </c>
      <c r="C113" s="26" t="s">
        <v>114</v>
      </c>
      <c r="D113" s="27" t="s">
        <v>70</v>
      </c>
      <c r="E113" s="28" t="s">
        <v>14</v>
      </c>
      <c r="F113" s="25" t="s">
        <v>71</v>
      </c>
      <c r="G113" s="28" t="s">
        <v>14</v>
      </c>
      <c r="H113" s="28" t="s">
        <v>14</v>
      </c>
      <c r="I113" s="29" t="s">
        <v>14</v>
      </c>
      <c r="J113" s="28" t="s">
        <v>14</v>
      </c>
      <c r="K113" s="30" t="s">
        <v>1850</v>
      </c>
      <c r="L113" s="31" t="s">
        <v>1844</v>
      </c>
      <c r="M113" s="45" t="str">
        <f>IFERROR(VLOOKUP(A113,Lookups!#REF!,3,FALSE),"")</f>
        <v/>
      </c>
      <c r="N113" s="46">
        <v>33</v>
      </c>
      <c r="O113" s="47">
        <v>1</v>
      </c>
      <c r="P113" s="48">
        <v>0</v>
      </c>
      <c r="Q113" s="36">
        <v>100</v>
      </c>
      <c r="R113" s="37">
        <v>0</v>
      </c>
      <c r="S113" s="38">
        <f t="shared" si="11"/>
        <v>1</v>
      </c>
      <c r="T113" s="39">
        <f t="shared" si="12"/>
        <v>12</v>
      </c>
      <c r="U113" s="40">
        <f t="shared" si="13"/>
        <v>0</v>
      </c>
      <c r="V113" s="40">
        <f t="shared" si="14"/>
        <v>0</v>
      </c>
      <c r="W113" s="40">
        <f t="shared" si="15"/>
        <v>0</v>
      </c>
      <c r="X113" s="40">
        <f t="shared" si="19"/>
        <v>0</v>
      </c>
      <c r="Y113" s="40">
        <f t="shared" si="16"/>
        <v>0</v>
      </c>
      <c r="Z113" s="40">
        <f t="shared" si="17"/>
        <v>0</v>
      </c>
      <c r="AA113" s="40">
        <f t="shared" si="18"/>
        <v>0</v>
      </c>
      <c r="AB113" s="40">
        <f t="shared" si="20"/>
        <v>0</v>
      </c>
      <c r="AC113" s="41">
        <f t="shared" si="21"/>
        <v>0</v>
      </c>
      <c r="AD113" s="49" t="s">
        <v>5</v>
      </c>
      <c r="AE113" s="50" t="s">
        <v>116</v>
      </c>
      <c r="AF113" s="49"/>
      <c r="AG113" s="50"/>
      <c r="AH113" s="49" t="s">
        <v>5</v>
      </c>
      <c r="AI113" s="50" t="s">
        <v>101</v>
      </c>
      <c r="AJ113" s="49" t="s">
        <v>5</v>
      </c>
      <c r="AK113" s="50" t="s">
        <v>118</v>
      </c>
      <c r="AL113" s="49" t="s">
        <v>5</v>
      </c>
      <c r="AM113" s="50" t="s">
        <v>112</v>
      </c>
      <c r="AN113" s="49"/>
      <c r="AO113" s="50"/>
      <c r="AP113" s="49" t="s">
        <v>5</v>
      </c>
      <c r="AQ113" s="50" t="s">
        <v>119</v>
      </c>
      <c r="AR113" s="49" t="s">
        <v>5</v>
      </c>
      <c r="AS113" s="50" t="s">
        <v>120</v>
      </c>
      <c r="AT113" s="49" t="s">
        <v>5</v>
      </c>
      <c r="AU113" s="50" t="s">
        <v>78</v>
      </c>
      <c r="AV113" s="49" t="s">
        <v>5</v>
      </c>
      <c r="AW113" s="50" t="s">
        <v>112</v>
      </c>
      <c r="AX113" s="49" t="s">
        <v>5</v>
      </c>
      <c r="AY113" s="50" t="s">
        <v>95</v>
      </c>
      <c r="AZ113" s="49" t="s">
        <v>1</v>
      </c>
      <c r="BA113" s="50" t="s">
        <v>121</v>
      </c>
      <c r="BB113" s="49" t="s">
        <v>5</v>
      </c>
      <c r="BC113" s="50" t="s">
        <v>122</v>
      </c>
      <c r="BD113" s="49" t="s">
        <v>5</v>
      </c>
      <c r="BE113" s="50" t="s">
        <v>137</v>
      </c>
      <c r="BF113" s="49" t="s">
        <v>5</v>
      </c>
      <c r="BG113" s="50" t="s">
        <v>124</v>
      </c>
    </row>
    <row r="114" spans="1:59" s="44" customFormat="1" x14ac:dyDescent="0.25">
      <c r="A114" s="24">
        <v>160248</v>
      </c>
      <c r="B114" s="25" t="s">
        <v>273</v>
      </c>
      <c r="C114" s="26" t="s">
        <v>114</v>
      </c>
      <c r="D114" s="27" t="s">
        <v>12</v>
      </c>
      <c r="E114" s="28" t="s">
        <v>87</v>
      </c>
      <c r="F114" s="25" t="s">
        <v>88</v>
      </c>
      <c r="G114" s="28" t="s">
        <v>87</v>
      </c>
      <c r="H114" s="28" t="s">
        <v>87</v>
      </c>
      <c r="I114" s="29" t="s">
        <v>14</v>
      </c>
      <c r="J114" s="28" t="s">
        <v>14</v>
      </c>
      <c r="K114" s="30" t="s">
        <v>1850</v>
      </c>
      <c r="L114" s="31" t="s">
        <v>1846</v>
      </c>
      <c r="M114" s="45" t="str">
        <f>IFERROR(VLOOKUP(A114,Lookups!#REF!,3,FALSE),"")</f>
        <v/>
      </c>
      <c r="N114" s="46">
        <v>27</v>
      </c>
      <c r="O114" s="47">
        <v>0</v>
      </c>
      <c r="P114" s="48">
        <v>0</v>
      </c>
      <c r="Q114" s="36">
        <v>100</v>
      </c>
      <c r="R114" s="37">
        <v>1</v>
      </c>
      <c r="S114" s="38">
        <f t="shared" si="11"/>
        <v>0</v>
      </c>
      <c r="T114" s="39">
        <f t="shared" si="12"/>
        <v>13</v>
      </c>
      <c r="U114" s="40">
        <f t="shared" si="13"/>
        <v>0</v>
      </c>
      <c r="V114" s="40">
        <f t="shared" si="14"/>
        <v>0</v>
      </c>
      <c r="W114" s="40">
        <f t="shared" si="15"/>
        <v>0</v>
      </c>
      <c r="X114" s="40">
        <f t="shared" si="19"/>
        <v>0</v>
      </c>
      <c r="Y114" s="40">
        <f t="shared" si="16"/>
        <v>0</v>
      </c>
      <c r="Z114" s="40">
        <f t="shared" si="17"/>
        <v>0</v>
      </c>
      <c r="AA114" s="40">
        <f t="shared" si="18"/>
        <v>0</v>
      </c>
      <c r="AB114" s="40">
        <f t="shared" si="20"/>
        <v>0</v>
      </c>
      <c r="AC114" s="41">
        <f t="shared" si="21"/>
        <v>0</v>
      </c>
      <c r="AD114" s="49" t="s">
        <v>5</v>
      </c>
      <c r="AE114" s="50" t="s">
        <v>116</v>
      </c>
      <c r="AF114" s="49" t="s">
        <v>5</v>
      </c>
      <c r="AG114" s="50" t="s">
        <v>117</v>
      </c>
      <c r="AH114" s="49"/>
      <c r="AI114" s="50"/>
      <c r="AJ114" s="49" t="s">
        <v>5</v>
      </c>
      <c r="AK114" s="50" t="s">
        <v>118</v>
      </c>
      <c r="AL114" s="49" t="s">
        <v>5</v>
      </c>
      <c r="AM114" s="50" t="s">
        <v>112</v>
      </c>
      <c r="AN114" s="49"/>
      <c r="AO114" s="50"/>
      <c r="AP114" s="49" t="s">
        <v>5</v>
      </c>
      <c r="AQ114" s="50" t="s">
        <v>119</v>
      </c>
      <c r="AR114" s="49" t="s">
        <v>5</v>
      </c>
      <c r="AS114" s="50" t="s">
        <v>120</v>
      </c>
      <c r="AT114" s="49" t="s">
        <v>5</v>
      </c>
      <c r="AU114" s="50" t="s">
        <v>78</v>
      </c>
      <c r="AV114" s="49" t="s">
        <v>5</v>
      </c>
      <c r="AW114" s="50" t="s">
        <v>94</v>
      </c>
      <c r="AX114" s="49" t="s">
        <v>5</v>
      </c>
      <c r="AY114" s="50" t="s">
        <v>95</v>
      </c>
      <c r="AZ114" s="49" t="s">
        <v>5</v>
      </c>
      <c r="BA114" s="50" t="s">
        <v>96</v>
      </c>
      <c r="BB114" s="49" t="s">
        <v>5</v>
      </c>
      <c r="BC114" s="50" t="s">
        <v>122</v>
      </c>
      <c r="BD114" s="49" t="s">
        <v>5</v>
      </c>
      <c r="BE114" s="50" t="s">
        <v>123</v>
      </c>
      <c r="BF114" s="49" t="s">
        <v>5</v>
      </c>
      <c r="BG114" s="50" t="s">
        <v>124</v>
      </c>
    </row>
    <row r="115" spans="1:59" s="44" customFormat="1" x14ac:dyDescent="0.25">
      <c r="A115" s="24">
        <v>160249</v>
      </c>
      <c r="B115" s="25" t="s">
        <v>274</v>
      </c>
      <c r="C115" s="26" t="s">
        <v>86</v>
      </c>
      <c r="D115" s="27" t="s">
        <v>12</v>
      </c>
      <c r="E115" s="28" t="s">
        <v>14</v>
      </c>
      <c r="F115" s="25" t="s">
        <v>275</v>
      </c>
      <c r="G115" s="28" t="s">
        <v>87</v>
      </c>
      <c r="H115" s="28" t="s">
        <v>14</v>
      </c>
      <c r="I115" s="29" t="s">
        <v>14</v>
      </c>
      <c r="J115" s="28" t="s">
        <v>14</v>
      </c>
      <c r="K115" s="30" t="s">
        <v>1850</v>
      </c>
      <c r="L115" s="31" t="s">
        <v>1842</v>
      </c>
      <c r="M115" s="45" t="str">
        <f>IFERROR(VLOOKUP(A115,Lookups!#REF!,3,FALSE),"")</f>
        <v/>
      </c>
      <c r="N115" s="46">
        <v>24</v>
      </c>
      <c r="O115" s="47">
        <v>0</v>
      </c>
      <c r="P115" s="48">
        <v>0</v>
      </c>
      <c r="Q115" s="36">
        <v>100</v>
      </c>
      <c r="R115" s="37">
        <v>0</v>
      </c>
      <c r="S115" s="38">
        <f t="shared" si="11"/>
        <v>0</v>
      </c>
      <c r="T115" s="39">
        <f t="shared" si="12"/>
        <v>13</v>
      </c>
      <c r="U115" s="40">
        <f t="shared" si="13"/>
        <v>0</v>
      </c>
      <c r="V115" s="40">
        <f t="shared" si="14"/>
        <v>0</v>
      </c>
      <c r="W115" s="40">
        <f t="shared" si="15"/>
        <v>0</v>
      </c>
      <c r="X115" s="40">
        <f t="shared" si="19"/>
        <v>0</v>
      </c>
      <c r="Y115" s="40">
        <f t="shared" si="16"/>
        <v>0</v>
      </c>
      <c r="Z115" s="40">
        <f t="shared" si="17"/>
        <v>0</v>
      </c>
      <c r="AA115" s="40">
        <f t="shared" si="18"/>
        <v>0</v>
      </c>
      <c r="AB115" s="40">
        <f t="shared" si="20"/>
        <v>0</v>
      </c>
      <c r="AC115" s="41">
        <f t="shared" si="21"/>
        <v>0</v>
      </c>
      <c r="AD115" s="49" t="s">
        <v>5</v>
      </c>
      <c r="AE115" s="50" t="s">
        <v>89</v>
      </c>
      <c r="AF115" s="49" t="s">
        <v>5</v>
      </c>
      <c r="AG115" s="50" t="s">
        <v>135</v>
      </c>
      <c r="AH115" s="49"/>
      <c r="AI115" s="50"/>
      <c r="AJ115" s="49" t="s">
        <v>5</v>
      </c>
      <c r="AK115" s="50" t="s">
        <v>91</v>
      </c>
      <c r="AL115" s="49" t="s">
        <v>5</v>
      </c>
      <c r="AM115" s="50" t="s">
        <v>84</v>
      </c>
      <c r="AN115" s="49"/>
      <c r="AO115" s="50"/>
      <c r="AP115" s="49" t="s">
        <v>5</v>
      </c>
      <c r="AQ115" s="50" t="s">
        <v>92</v>
      </c>
      <c r="AR115" s="49" t="s">
        <v>5</v>
      </c>
      <c r="AS115" s="50" t="s">
        <v>93</v>
      </c>
      <c r="AT115" s="49" t="s">
        <v>5</v>
      </c>
      <c r="AU115" s="50" t="s">
        <v>78</v>
      </c>
      <c r="AV115" s="49" t="s">
        <v>5</v>
      </c>
      <c r="AW115" s="50" t="s">
        <v>94</v>
      </c>
      <c r="AX115" s="49" t="s">
        <v>5</v>
      </c>
      <c r="AY115" s="50" t="s">
        <v>95</v>
      </c>
      <c r="AZ115" s="49" t="s">
        <v>5</v>
      </c>
      <c r="BA115" s="50" t="s">
        <v>96</v>
      </c>
      <c r="BB115" s="49" t="s">
        <v>5</v>
      </c>
      <c r="BC115" s="50" t="s">
        <v>108</v>
      </c>
      <c r="BD115" s="49" t="s">
        <v>5</v>
      </c>
      <c r="BE115" s="50" t="s">
        <v>98</v>
      </c>
      <c r="BF115" s="49" t="s">
        <v>5</v>
      </c>
      <c r="BG115" s="50" t="s">
        <v>84</v>
      </c>
    </row>
    <row r="116" spans="1:59" s="44" customFormat="1" x14ac:dyDescent="0.25">
      <c r="A116" s="24">
        <v>160250</v>
      </c>
      <c r="B116" s="25" t="s">
        <v>276</v>
      </c>
      <c r="C116" s="26" t="s">
        <v>149</v>
      </c>
      <c r="D116" s="27" t="s">
        <v>12</v>
      </c>
      <c r="E116" s="28" t="s">
        <v>14</v>
      </c>
      <c r="F116" s="25" t="s">
        <v>88</v>
      </c>
      <c r="G116" s="28" t="s">
        <v>87</v>
      </c>
      <c r="H116" s="28" t="s">
        <v>14</v>
      </c>
      <c r="I116" s="29" t="s">
        <v>14</v>
      </c>
      <c r="J116" s="28" t="s">
        <v>14</v>
      </c>
      <c r="K116" s="30" t="s">
        <v>1850</v>
      </c>
      <c r="L116" s="31" t="s">
        <v>1844</v>
      </c>
      <c r="M116" s="45" t="str">
        <f>IFERROR(VLOOKUP(A116,Lookups!#REF!,3,FALSE),"")</f>
        <v/>
      </c>
      <c r="N116" s="46">
        <v>19</v>
      </c>
      <c r="O116" s="47">
        <v>2</v>
      </c>
      <c r="P116" s="48">
        <v>0</v>
      </c>
      <c r="Q116" s="36">
        <v>97.87</v>
      </c>
      <c r="R116" s="37">
        <v>6</v>
      </c>
      <c r="S116" s="38">
        <f t="shared" si="11"/>
        <v>1</v>
      </c>
      <c r="T116" s="39">
        <f t="shared" si="12"/>
        <v>11</v>
      </c>
      <c r="U116" s="40">
        <f t="shared" si="13"/>
        <v>0</v>
      </c>
      <c r="V116" s="40">
        <f t="shared" si="14"/>
        <v>1</v>
      </c>
      <c r="W116" s="40">
        <f t="shared" si="15"/>
        <v>0</v>
      </c>
      <c r="X116" s="40">
        <f t="shared" si="19"/>
        <v>1</v>
      </c>
      <c r="Y116" s="40">
        <f t="shared" si="16"/>
        <v>0</v>
      </c>
      <c r="Z116" s="40">
        <f t="shared" si="17"/>
        <v>0</v>
      </c>
      <c r="AA116" s="40">
        <f t="shared" si="18"/>
        <v>0</v>
      </c>
      <c r="AB116" s="40">
        <f t="shared" si="20"/>
        <v>0</v>
      </c>
      <c r="AC116" s="41">
        <f t="shared" si="21"/>
        <v>0</v>
      </c>
      <c r="AD116" s="49" t="s">
        <v>5</v>
      </c>
      <c r="AE116" s="50" t="s">
        <v>72</v>
      </c>
      <c r="AF116" s="49"/>
      <c r="AG116" s="50"/>
      <c r="AH116" s="49" t="s">
        <v>5</v>
      </c>
      <c r="AI116" s="50" t="s">
        <v>101</v>
      </c>
      <c r="AJ116" s="49" t="s">
        <v>5</v>
      </c>
      <c r="AK116" s="50" t="s">
        <v>151</v>
      </c>
      <c r="AL116" s="49" t="s">
        <v>5</v>
      </c>
      <c r="AM116" s="50" t="s">
        <v>78</v>
      </c>
      <c r="AN116" s="49"/>
      <c r="AO116" s="50"/>
      <c r="AP116" s="49" t="s">
        <v>5</v>
      </c>
      <c r="AQ116" s="50" t="s">
        <v>131</v>
      </c>
      <c r="AR116" s="49" t="s">
        <v>5</v>
      </c>
      <c r="AS116" s="50" t="s">
        <v>104</v>
      </c>
      <c r="AT116" s="49" t="s">
        <v>5</v>
      </c>
      <c r="AU116" s="50" t="s">
        <v>105</v>
      </c>
      <c r="AV116" s="49" t="s">
        <v>5</v>
      </c>
      <c r="AW116" s="50" t="s">
        <v>94</v>
      </c>
      <c r="AX116" s="49" t="s">
        <v>1</v>
      </c>
      <c r="AY116" s="50" t="s">
        <v>80</v>
      </c>
      <c r="AZ116" s="49" t="s">
        <v>31</v>
      </c>
      <c r="BA116" s="50" t="s">
        <v>107</v>
      </c>
      <c r="BB116" s="49" t="s">
        <v>5</v>
      </c>
      <c r="BC116" s="50" t="s">
        <v>153</v>
      </c>
      <c r="BD116" s="49" t="s">
        <v>5</v>
      </c>
      <c r="BE116" s="50" t="s">
        <v>154</v>
      </c>
      <c r="BF116" s="49" t="s">
        <v>5</v>
      </c>
      <c r="BG116" s="50" t="s">
        <v>103</v>
      </c>
    </row>
    <row r="117" spans="1:59" s="44" customFormat="1" x14ac:dyDescent="0.25">
      <c r="A117" s="24">
        <v>160251</v>
      </c>
      <c r="B117" s="25" t="s">
        <v>277</v>
      </c>
      <c r="C117" s="26" t="s">
        <v>86</v>
      </c>
      <c r="D117" s="27" t="s">
        <v>70</v>
      </c>
      <c r="E117" s="28" t="s">
        <v>14</v>
      </c>
      <c r="F117" s="25" t="s">
        <v>71</v>
      </c>
      <c r="G117" s="28" t="s">
        <v>14</v>
      </c>
      <c r="H117" s="28" t="s">
        <v>14</v>
      </c>
      <c r="I117" s="29" t="s">
        <v>14</v>
      </c>
      <c r="J117" s="28" t="s">
        <v>14</v>
      </c>
      <c r="K117" s="30" t="s">
        <v>1850</v>
      </c>
      <c r="L117" s="31" t="s">
        <v>1846</v>
      </c>
      <c r="M117" s="45" t="str">
        <f>IFERROR(VLOOKUP(A117,Lookups!#REF!,3,FALSE),"")</f>
        <v/>
      </c>
      <c r="N117" s="46">
        <v>19</v>
      </c>
      <c r="O117" s="47">
        <v>0</v>
      </c>
      <c r="P117" s="48">
        <v>0</v>
      </c>
      <c r="Q117" s="36">
        <v>100</v>
      </c>
      <c r="R117" s="37">
        <v>0</v>
      </c>
      <c r="S117" s="38">
        <f t="shared" si="11"/>
        <v>1</v>
      </c>
      <c r="T117" s="39">
        <f t="shared" si="12"/>
        <v>12</v>
      </c>
      <c r="U117" s="40">
        <f t="shared" si="13"/>
        <v>0</v>
      </c>
      <c r="V117" s="40">
        <f t="shared" si="14"/>
        <v>0</v>
      </c>
      <c r="W117" s="40">
        <f t="shared" si="15"/>
        <v>0</v>
      </c>
      <c r="X117" s="40">
        <f t="shared" si="19"/>
        <v>0</v>
      </c>
      <c r="Y117" s="40">
        <f t="shared" si="16"/>
        <v>0</v>
      </c>
      <c r="Z117" s="40">
        <f t="shared" si="17"/>
        <v>0</v>
      </c>
      <c r="AA117" s="40">
        <f t="shared" si="18"/>
        <v>0</v>
      </c>
      <c r="AB117" s="40">
        <f t="shared" si="20"/>
        <v>0</v>
      </c>
      <c r="AC117" s="41">
        <f t="shared" si="21"/>
        <v>0</v>
      </c>
      <c r="AD117" s="49" t="s">
        <v>5</v>
      </c>
      <c r="AE117" s="50" t="s">
        <v>72</v>
      </c>
      <c r="AF117" s="49" t="s">
        <v>5</v>
      </c>
      <c r="AG117" s="50" t="s">
        <v>90</v>
      </c>
      <c r="AH117" s="49"/>
      <c r="AI117" s="50"/>
      <c r="AJ117" s="49" t="s">
        <v>5</v>
      </c>
      <c r="AK117" s="50" t="s">
        <v>91</v>
      </c>
      <c r="AL117" s="49" t="s">
        <v>5</v>
      </c>
      <c r="AM117" s="50" t="s">
        <v>84</v>
      </c>
      <c r="AN117" s="49"/>
      <c r="AO117" s="50"/>
      <c r="AP117" s="49" t="s">
        <v>1</v>
      </c>
      <c r="AQ117" s="50" t="s">
        <v>92</v>
      </c>
      <c r="AR117" s="49" t="s">
        <v>5</v>
      </c>
      <c r="AS117" s="50" t="s">
        <v>93</v>
      </c>
      <c r="AT117" s="49" t="s">
        <v>5</v>
      </c>
      <c r="AU117" s="50" t="s">
        <v>78</v>
      </c>
      <c r="AV117" s="49" t="s">
        <v>5</v>
      </c>
      <c r="AW117" s="50" t="s">
        <v>136</v>
      </c>
      <c r="AX117" s="49" t="s">
        <v>5</v>
      </c>
      <c r="AY117" s="50" t="s">
        <v>95</v>
      </c>
      <c r="AZ117" s="49" t="s">
        <v>5</v>
      </c>
      <c r="BA117" s="50" t="s">
        <v>81</v>
      </c>
      <c r="BB117" s="49" t="s">
        <v>5</v>
      </c>
      <c r="BC117" s="50" t="s">
        <v>97</v>
      </c>
      <c r="BD117" s="49" t="s">
        <v>5</v>
      </c>
      <c r="BE117" s="50" t="s">
        <v>98</v>
      </c>
      <c r="BF117" s="49" t="s">
        <v>5</v>
      </c>
      <c r="BG117" s="50" t="s">
        <v>84</v>
      </c>
    </row>
    <row r="118" spans="1:59" s="44" customFormat="1" x14ac:dyDescent="0.25">
      <c r="A118" s="24">
        <v>160252</v>
      </c>
      <c r="B118" s="25" t="s">
        <v>278</v>
      </c>
      <c r="C118" s="26" t="s">
        <v>168</v>
      </c>
      <c r="D118" s="27" t="s">
        <v>12</v>
      </c>
      <c r="E118" s="28" t="s">
        <v>87</v>
      </c>
      <c r="F118" s="25" t="s">
        <v>279</v>
      </c>
      <c r="G118" s="28" t="s">
        <v>87</v>
      </c>
      <c r="H118" s="28" t="s">
        <v>87</v>
      </c>
      <c r="I118" s="29" t="s">
        <v>14</v>
      </c>
      <c r="J118" s="28" t="s">
        <v>4</v>
      </c>
      <c r="K118" s="30" t="s">
        <v>1850</v>
      </c>
      <c r="L118" s="31" t="s">
        <v>1848</v>
      </c>
      <c r="M118" s="45" t="str">
        <f>IFERROR(VLOOKUP(A118,Lookups!#REF!,3,FALSE),"")</f>
        <v/>
      </c>
      <c r="N118" s="46">
        <v>16</v>
      </c>
      <c r="O118" s="47">
        <v>5</v>
      </c>
      <c r="P118" s="48">
        <v>2</v>
      </c>
      <c r="Q118" s="36">
        <v>100</v>
      </c>
      <c r="R118" s="37">
        <v>6</v>
      </c>
      <c r="S118" s="38">
        <f t="shared" si="11"/>
        <v>0</v>
      </c>
      <c r="T118" s="39">
        <f t="shared" si="12"/>
        <v>8</v>
      </c>
      <c r="U118" s="40">
        <f t="shared" si="13"/>
        <v>3</v>
      </c>
      <c r="V118" s="40">
        <f t="shared" si="14"/>
        <v>0</v>
      </c>
      <c r="W118" s="40">
        <f t="shared" si="15"/>
        <v>2</v>
      </c>
      <c r="X118" s="40">
        <f t="shared" si="19"/>
        <v>5</v>
      </c>
      <c r="Y118" s="40">
        <f t="shared" si="16"/>
        <v>0</v>
      </c>
      <c r="Z118" s="40">
        <f t="shared" si="17"/>
        <v>0</v>
      </c>
      <c r="AA118" s="40">
        <f t="shared" si="18"/>
        <v>0</v>
      </c>
      <c r="AB118" s="40">
        <f t="shared" si="20"/>
        <v>0</v>
      </c>
      <c r="AC118" s="41">
        <f t="shared" si="21"/>
        <v>0</v>
      </c>
      <c r="AD118" s="49" t="s">
        <v>5</v>
      </c>
      <c r="AE118" s="50" t="s">
        <v>116</v>
      </c>
      <c r="AF118" s="49" t="s">
        <v>5</v>
      </c>
      <c r="AG118" s="50" t="s">
        <v>73</v>
      </c>
      <c r="AH118" s="49"/>
      <c r="AI118" s="50"/>
      <c r="AJ118" s="49" t="s">
        <v>5</v>
      </c>
      <c r="AK118" s="50" t="s">
        <v>169</v>
      </c>
      <c r="AL118" s="49" t="s">
        <v>30</v>
      </c>
      <c r="AM118" s="50" t="s">
        <v>143</v>
      </c>
      <c r="AN118" s="49" t="s">
        <v>5</v>
      </c>
      <c r="AO118" s="50" t="s">
        <v>75</v>
      </c>
      <c r="AP118" s="49" t="s">
        <v>5</v>
      </c>
      <c r="AQ118" s="50" t="s">
        <v>131</v>
      </c>
      <c r="AR118" s="49" t="s">
        <v>32</v>
      </c>
      <c r="AS118" s="50" t="s">
        <v>120</v>
      </c>
      <c r="AT118" s="49" t="s">
        <v>5</v>
      </c>
      <c r="AU118" s="50" t="s">
        <v>78</v>
      </c>
      <c r="AV118" s="49" t="s">
        <v>5</v>
      </c>
      <c r="AW118" s="50" t="s">
        <v>139</v>
      </c>
      <c r="AX118" s="49" t="s">
        <v>30</v>
      </c>
      <c r="AY118" s="50" t="s">
        <v>95</v>
      </c>
      <c r="AZ118" s="49" t="s">
        <v>32</v>
      </c>
      <c r="BA118" s="50" t="s">
        <v>96</v>
      </c>
      <c r="BB118" s="49" t="s">
        <v>5</v>
      </c>
      <c r="BC118" s="50" t="s">
        <v>82</v>
      </c>
      <c r="BD118" s="49" t="s">
        <v>30</v>
      </c>
      <c r="BE118" s="50" t="s">
        <v>170</v>
      </c>
      <c r="BF118" s="49"/>
      <c r="BG118" s="50"/>
    </row>
    <row r="119" spans="1:59" s="44" customFormat="1" x14ac:dyDescent="0.25">
      <c r="A119" s="24">
        <v>160253</v>
      </c>
      <c r="B119" s="25" t="s">
        <v>280</v>
      </c>
      <c r="C119" s="26" t="s">
        <v>100</v>
      </c>
      <c r="D119" s="27" t="s">
        <v>70</v>
      </c>
      <c r="E119" s="28" t="s">
        <v>14</v>
      </c>
      <c r="F119" s="25" t="s">
        <v>115</v>
      </c>
      <c r="G119" s="28" t="s">
        <v>87</v>
      </c>
      <c r="H119" s="28" t="s">
        <v>14</v>
      </c>
      <c r="I119" s="29" t="s">
        <v>14</v>
      </c>
      <c r="J119" s="28" t="s">
        <v>14</v>
      </c>
      <c r="K119" s="30" t="s">
        <v>1850</v>
      </c>
      <c r="L119" s="31" t="s">
        <v>1845</v>
      </c>
      <c r="M119" s="45" t="str">
        <f>IFERROR(VLOOKUP(A119,Lookups!#REF!,3,FALSE),"")</f>
        <v/>
      </c>
      <c r="N119" s="46">
        <v>22</v>
      </c>
      <c r="O119" s="47">
        <v>0</v>
      </c>
      <c r="P119" s="48">
        <v>0</v>
      </c>
      <c r="Q119" s="36">
        <v>100</v>
      </c>
      <c r="R119" s="37">
        <v>0</v>
      </c>
      <c r="S119" s="38">
        <f t="shared" si="11"/>
        <v>0</v>
      </c>
      <c r="T119" s="39">
        <f t="shared" si="12"/>
        <v>13</v>
      </c>
      <c r="U119" s="40">
        <f t="shared" si="13"/>
        <v>0</v>
      </c>
      <c r="V119" s="40">
        <f t="shared" si="14"/>
        <v>0</v>
      </c>
      <c r="W119" s="40">
        <f t="shared" si="15"/>
        <v>0</v>
      </c>
      <c r="X119" s="40">
        <f t="shared" si="19"/>
        <v>0</v>
      </c>
      <c r="Y119" s="40">
        <f t="shared" si="16"/>
        <v>0</v>
      </c>
      <c r="Z119" s="40">
        <f t="shared" si="17"/>
        <v>0</v>
      </c>
      <c r="AA119" s="40">
        <f t="shared" si="18"/>
        <v>0</v>
      </c>
      <c r="AB119" s="40">
        <f t="shared" si="20"/>
        <v>0</v>
      </c>
      <c r="AC119" s="41">
        <f t="shared" si="21"/>
        <v>0</v>
      </c>
      <c r="AD119" s="49" t="s">
        <v>5</v>
      </c>
      <c r="AE119" s="50" t="s">
        <v>72</v>
      </c>
      <c r="AF119" s="49" t="s">
        <v>5</v>
      </c>
      <c r="AG119" s="50" t="s">
        <v>90</v>
      </c>
      <c r="AH119" s="49"/>
      <c r="AI119" s="50"/>
      <c r="AJ119" s="49" t="s">
        <v>5</v>
      </c>
      <c r="AK119" s="50" t="s">
        <v>102</v>
      </c>
      <c r="AL119" s="49" t="s">
        <v>5</v>
      </c>
      <c r="AM119" s="50" t="s">
        <v>76</v>
      </c>
      <c r="AN119" s="49" t="s">
        <v>5</v>
      </c>
      <c r="AO119" s="50" t="s">
        <v>103</v>
      </c>
      <c r="AP119" s="49" t="s">
        <v>5</v>
      </c>
      <c r="AQ119" s="50" t="s">
        <v>92</v>
      </c>
      <c r="AR119" s="49" t="s">
        <v>5</v>
      </c>
      <c r="AS119" s="50" t="s">
        <v>104</v>
      </c>
      <c r="AT119" s="49" t="s">
        <v>5</v>
      </c>
      <c r="AU119" s="50" t="s">
        <v>105</v>
      </c>
      <c r="AV119" s="49" t="s">
        <v>5</v>
      </c>
      <c r="AW119" s="50" t="s">
        <v>106</v>
      </c>
      <c r="AX119" s="49" t="s">
        <v>5</v>
      </c>
      <c r="AY119" s="50" t="s">
        <v>80</v>
      </c>
      <c r="AZ119" s="49" t="s">
        <v>5</v>
      </c>
      <c r="BA119" s="50" t="s">
        <v>121</v>
      </c>
      <c r="BB119" s="49" t="s">
        <v>5</v>
      </c>
      <c r="BC119" s="50" t="s">
        <v>108</v>
      </c>
      <c r="BD119" s="49" t="s">
        <v>5</v>
      </c>
      <c r="BE119" s="50" t="s">
        <v>206</v>
      </c>
      <c r="BF119" s="49"/>
      <c r="BG119" s="50"/>
    </row>
    <row r="120" spans="1:59" s="44" customFormat="1" x14ac:dyDescent="0.25">
      <c r="A120" s="24">
        <v>160254</v>
      </c>
      <c r="B120" s="25" t="s">
        <v>281</v>
      </c>
      <c r="C120" s="26" t="s">
        <v>168</v>
      </c>
      <c r="D120" s="27" t="s">
        <v>70</v>
      </c>
      <c r="E120" s="28" t="s">
        <v>87</v>
      </c>
      <c r="F120" s="25" t="s">
        <v>88</v>
      </c>
      <c r="G120" s="28" t="s">
        <v>14</v>
      </c>
      <c r="H120" s="28" t="s">
        <v>87</v>
      </c>
      <c r="I120" s="29" t="s">
        <v>14</v>
      </c>
      <c r="J120" s="28" t="s">
        <v>14</v>
      </c>
      <c r="K120" s="30" t="s">
        <v>1850</v>
      </c>
      <c r="L120" s="31" t="s">
        <v>1842</v>
      </c>
      <c r="M120" s="45" t="str">
        <f>IFERROR(VLOOKUP(A120,Lookups!#REF!,3,FALSE),"")</f>
        <v/>
      </c>
      <c r="N120" s="46">
        <v>17</v>
      </c>
      <c r="O120" s="47">
        <v>0</v>
      </c>
      <c r="P120" s="48">
        <v>1</v>
      </c>
      <c r="Q120" s="36">
        <v>91.49</v>
      </c>
      <c r="R120" s="37">
        <v>0</v>
      </c>
      <c r="S120" s="38">
        <f t="shared" si="11"/>
        <v>0</v>
      </c>
      <c r="T120" s="39">
        <f t="shared" si="12"/>
        <v>13</v>
      </c>
      <c r="U120" s="40">
        <f t="shared" si="13"/>
        <v>0</v>
      </c>
      <c r="V120" s="40">
        <f t="shared" si="14"/>
        <v>0</v>
      </c>
      <c r="W120" s="40">
        <f t="shared" si="15"/>
        <v>0</v>
      </c>
      <c r="X120" s="40">
        <f t="shared" si="19"/>
        <v>0</v>
      </c>
      <c r="Y120" s="40">
        <f t="shared" si="16"/>
        <v>0</v>
      </c>
      <c r="Z120" s="40">
        <f t="shared" si="17"/>
        <v>0</v>
      </c>
      <c r="AA120" s="40">
        <f t="shared" si="18"/>
        <v>0</v>
      </c>
      <c r="AB120" s="40">
        <f t="shared" si="20"/>
        <v>0</v>
      </c>
      <c r="AC120" s="41">
        <f t="shared" si="21"/>
        <v>0</v>
      </c>
      <c r="AD120" s="49" t="s">
        <v>5</v>
      </c>
      <c r="AE120" s="50" t="s">
        <v>116</v>
      </c>
      <c r="AF120" s="49"/>
      <c r="AG120" s="50"/>
      <c r="AH120" s="49" t="s">
        <v>5</v>
      </c>
      <c r="AI120" s="50" t="s">
        <v>101</v>
      </c>
      <c r="AJ120" s="49" t="s">
        <v>5</v>
      </c>
      <c r="AK120" s="50" t="s">
        <v>169</v>
      </c>
      <c r="AL120" s="49" t="s">
        <v>5</v>
      </c>
      <c r="AM120" s="50" t="s">
        <v>170</v>
      </c>
      <c r="AN120" s="49" t="s">
        <v>5</v>
      </c>
      <c r="AO120" s="50" t="s">
        <v>75</v>
      </c>
      <c r="AP120" s="49" t="s">
        <v>5</v>
      </c>
      <c r="AQ120" s="50" t="s">
        <v>92</v>
      </c>
      <c r="AR120" s="49" t="s">
        <v>5</v>
      </c>
      <c r="AS120" s="50" t="s">
        <v>120</v>
      </c>
      <c r="AT120" s="49" t="s">
        <v>5</v>
      </c>
      <c r="AU120" s="50" t="s">
        <v>78</v>
      </c>
      <c r="AV120" s="49" t="s">
        <v>5</v>
      </c>
      <c r="AW120" s="50" t="s">
        <v>94</v>
      </c>
      <c r="AX120" s="49" t="s">
        <v>5</v>
      </c>
      <c r="AY120" s="50" t="s">
        <v>95</v>
      </c>
      <c r="AZ120" s="49" t="s">
        <v>5</v>
      </c>
      <c r="BA120" s="50" t="s">
        <v>152</v>
      </c>
      <c r="BB120" s="49" t="s">
        <v>5</v>
      </c>
      <c r="BC120" s="50" t="s">
        <v>82</v>
      </c>
      <c r="BD120" s="49" t="s">
        <v>5</v>
      </c>
      <c r="BE120" s="50" t="s">
        <v>170</v>
      </c>
      <c r="BF120" s="49"/>
      <c r="BG120" s="50"/>
    </row>
    <row r="121" spans="1:59" s="44" customFormat="1" x14ac:dyDescent="0.25">
      <c r="A121" s="24">
        <v>160255</v>
      </c>
      <c r="B121" s="25" t="s">
        <v>282</v>
      </c>
      <c r="C121" s="26" t="s">
        <v>168</v>
      </c>
      <c r="D121" s="27" t="s">
        <v>70</v>
      </c>
      <c r="E121" s="28" t="s">
        <v>14</v>
      </c>
      <c r="F121" s="25" t="s">
        <v>150</v>
      </c>
      <c r="G121" s="28" t="s">
        <v>87</v>
      </c>
      <c r="H121" s="28" t="s">
        <v>14</v>
      </c>
      <c r="I121" s="29" t="s">
        <v>14</v>
      </c>
      <c r="J121" s="28" t="s">
        <v>14</v>
      </c>
      <c r="K121" s="30" t="s">
        <v>1850</v>
      </c>
      <c r="L121" s="31" t="s">
        <v>1844</v>
      </c>
      <c r="M121" s="45" t="str">
        <f>IFERROR(VLOOKUP(A121,Lookups!#REF!,3,FALSE),"")</f>
        <v/>
      </c>
      <c r="N121" s="46">
        <v>16</v>
      </c>
      <c r="O121" s="47">
        <v>0</v>
      </c>
      <c r="P121" s="48">
        <v>2</v>
      </c>
      <c r="Q121" s="36">
        <v>100</v>
      </c>
      <c r="R121" s="37">
        <v>0</v>
      </c>
      <c r="S121" s="38">
        <f t="shared" si="11"/>
        <v>2</v>
      </c>
      <c r="T121" s="39">
        <f t="shared" si="12"/>
        <v>11</v>
      </c>
      <c r="U121" s="40">
        <f t="shared" si="13"/>
        <v>0</v>
      </c>
      <c r="V121" s="40">
        <f t="shared" si="14"/>
        <v>0</v>
      </c>
      <c r="W121" s="40">
        <f t="shared" si="15"/>
        <v>0</v>
      </c>
      <c r="X121" s="40">
        <f t="shared" si="19"/>
        <v>0</v>
      </c>
      <c r="Y121" s="40">
        <f t="shared" si="16"/>
        <v>0</v>
      </c>
      <c r="Z121" s="40">
        <f t="shared" si="17"/>
        <v>0</v>
      </c>
      <c r="AA121" s="40">
        <f t="shared" si="18"/>
        <v>0</v>
      </c>
      <c r="AB121" s="40">
        <f t="shared" si="20"/>
        <v>0</v>
      </c>
      <c r="AC121" s="41">
        <f t="shared" si="21"/>
        <v>0</v>
      </c>
      <c r="AD121" s="49" t="s">
        <v>5</v>
      </c>
      <c r="AE121" s="50" t="s">
        <v>116</v>
      </c>
      <c r="AF121" s="49" t="s">
        <v>5</v>
      </c>
      <c r="AG121" s="50" t="s">
        <v>117</v>
      </c>
      <c r="AH121" s="49"/>
      <c r="AI121" s="50"/>
      <c r="AJ121" s="49" t="s">
        <v>5</v>
      </c>
      <c r="AK121" s="50" t="s">
        <v>169</v>
      </c>
      <c r="AL121" s="49" t="s">
        <v>5</v>
      </c>
      <c r="AM121" s="50" t="s">
        <v>170</v>
      </c>
      <c r="AN121" s="49" t="s">
        <v>5</v>
      </c>
      <c r="AO121" s="50" t="s">
        <v>75</v>
      </c>
      <c r="AP121" s="49" t="s">
        <v>5</v>
      </c>
      <c r="AQ121" s="50" t="s">
        <v>92</v>
      </c>
      <c r="AR121" s="49" t="s">
        <v>5</v>
      </c>
      <c r="AS121" s="50" t="s">
        <v>120</v>
      </c>
      <c r="AT121" s="49" t="s">
        <v>5</v>
      </c>
      <c r="AU121" s="50" t="s">
        <v>78</v>
      </c>
      <c r="AV121" s="49" t="s">
        <v>1</v>
      </c>
      <c r="AW121" s="50" t="s">
        <v>112</v>
      </c>
      <c r="AX121" s="49" t="s">
        <v>1</v>
      </c>
      <c r="AY121" s="50" t="s">
        <v>95</v>
      </c>
      <c r="AZ121" s="49" t="s">
        <v>5</v>
      </c>
      <c r="BA121" s="50" t="s">
        <v>152</v>
      </c>
      <c r="BB121" s="49" t="s">
        <v>5</v>
      </c>
      <c r="BC121" s="50" t="s">
        <v>82</v>
      </c>
      <c r="BD121" s="49" t="s">
        <v>5</v>
      </c>
      <c r="BE121" s="50" t="s">
        <v>170</v>
      </c>
      <c r="BF121" s="49"/>
      <c r="BG121" s="50"/>
    </row>
    <row r="122" spans="1:59" s="44" customFormat="1" x14ac:dyDescent="0.25">
      <c r="A122" s="24">
        <v>160256</v>
      </c>
      <c r="B122" s="25" t="s">
        <v>283</v>
      </c>
      <c r="C122" s="26" t="s">
        <v>129</v>
      </c>
      <c r="D122" s="27" t="s">
        <v>70</v>
      </c>
      <c r="E122" s="28" t="s">
        <v>14</v>
      </c>
      <c r="F122" s="25" t="s">
        <v>71</v>
      </c>
      <c r="G122" s="28" t="s">
        <v>14</v>
      </c>
      <c r="H122" s="28" t="s">
        <v>14</v>
      </c>
      <c r="I122" s="29" t="s">
        <v>14</v>
      </c>
      <c r="J122" s="28" t="s">
        <v>14</v>
      </c>
      <c r="K122" s="30" t="s">
        <v>1850</v>
      </c>
      <c r="L122" s="31" t="s">
        <v>1842</v>
      </c>
      <c r="M122" s="45" t="str">
        <f>IFERROR(VLOOKUP(A122,Lookups!#REF!,3,FALSE),"")</f>
        <v/>
      </c>
      <c r="N122" s="46">
        <v>36</v>
      </c>
      <c r="O122" s="47">
        <v>0</v>
      </c>
      <c r="P122" s="48">
        <v>0</v>
      </c>
      <c r="Q122" s="36">
        <v>97.87</v>
      </c>
      <c r="R122" s="37">
        <v>0</v>
      </c>
      <c r="S122" s="38">
        <f t="shared" si="11"/>
        <v>1</v>
      </c>
      <c r="T122" s="39">
        <f t="shared" si="12"/>
        <v>12</v>
      </c>
      <c r="U122" s="40">
        <f t="shared" si="13"/>
        <v>0</v>
      </c>
      <c r="V122" s="40">
        <f t="shared" si="14"/>
        <v>0</v>
      </c>
      <c r="W122" s="40">
        <f t="shared" si="15"/>
        <v>0</v>
      </c>
      <c r="X122" s="40">
        <f t="shared" si="19"/>
        <v>0</v>
      </c>
      <c r="Y122" s="40">
        <f t="shared" si="16"/>
        <v>0</v>
      </c>
      <c r="Z122" s="40">
        <f t="shared" si="17"/>
        <v>0</v>
      </c>
      <c r="AA122" s="40">
        <f t="shared" si="18"/>
        <v>0</v>
      </c>
      <c r="AB122" s="40">
        <f t="shared" si="20"/>
        <v>0</v>
      </c>
      <c r="AC122" s="41">
        <f t="shared" si="21"/>
        <v>0</v>
      </c>
      <c r="AD122" s="49" t="s">
        <v>5</v>
      </c>
      <c r="AE122" s="50" t="s">
        <v>89</v>
      </c>
      <c r="AF122" s="49" t="s">
        <v>5</v>
      </c>
      <c r="AG122" s="50" t="s">
        <v>90</v>
      </c>
      <c r="AH122" s="49"/>
      <c r="AI122" s="50"/>
      <c r="AJ122" s="49" t="s">
        <v>5</v>
      </c>
      <c r="AK122" s="50" t="s">
        <v>118</v>
      </c>
      <c r="AL122" s="49" t="s">
        <v>5</v>
      </c>
      <c r="AM122" s="50" t="s">
        <v>74</v>
      </c>
      <c r="AN122" s="49" t="s">
        <v>5</v>
      </c>
      <c r="AO122" s="50" t="s">
        <v>130</v>
      </c>
      <c r="AP122" s="49" t="s">
        <v>5</v>
      </c>
      <c r="AQ122" s="50" t="s">
        <v>131</v>
      </c>
      <c r="AR122" s="49" t="s">
        <v>5</v>
      </c>
      <c r="AS122" s="50" t="s">
        <v>132</v>
      </c>
      <c r="AT122" s="49" t="s">
        <v>5</v>
      </c>
      <c r="AU122" s="50" t="s">
        <v>105</v>
      </c>
      <c r="AV122" s="49" t="s">
        <v>1</v>
      </c>
      <c r="AW122" s="50" t="s">
        <v>112</v>
      </c>
      <c r="AX122" s="49" t="s">
        <v>5</v>
      </c>
      <c r="AY122" s="50" t="s">
        <v>80</v>
      </c>
      <c r="AZ122" s="49" t="s">
        <v>5</v>
      </c>
      <c r="BA122" s="50" t="s">
        <v>81</v>
      </c>
      <c r="BB122" s="49" t="s">
        <v>5</v>
      </c>
      <c r="BC122" s="50" t="s">
        <v>108</v>
      </c>
      <c r="BD122" s="49" t="s">
        <v>5</v>
      </c>
      <c r="BE122" s="50" t="s">
        <v>133</v>
      </c>
      <c r="BF122" s="49"/>
      <c r="BG122" s="50"/>
    </row>
    <row r="123" spans="1:59" s="44" customFormat="1" x14ac:dyDescent="0.25">
      <c r="A123" s="24">
        <v>160257</v>
      </c>
      <c r="B123" s="25" t="s">
        <v>284</v>
      </c>
      <c r="C123" s="26" t="s">
        <v>114</v>
      </c>
      <c r="D123" s="27" t="s">
        <v>12</v>
      </c>
      <c r="E123" s="28" t="s">
        <v>14</v>
      </c>
      <c r="F123" s="25" t="s">
        <v>71</v>
      </c>
      <c r="G123" s="28" t="s">
        <v>14</v>
      </c>
      <c r="H123" s="28" t="s">
        <v>14</v>
      </c>
      <c r="I123" s="29" t="s">
        <v>14</v>
      </c>
      <c r="J123" s="28" t="s">
        <v>14</v>
      </c>
      <c r="K123" s="30" t="s">
        <v>1850</v>
      </c>
      <c r="L123" s="31" t="s">
        <v>1848</v>
      </c>
      <c r="M123" s="45" t="str">
        <f>IFERROR(VLOOKUP(A123,Lookups!#REF!,3,FALSE),"")</f>
        <v/>
      </c>
      <c r="N123" s="46">
        <v>29</v>
      </c>
      <c r="O123" s="47">
        <v>0</v>
      </c>
      <c r="P123" s="48">
        <v>1</v>
      </c>
      <c r="Q123" s="36">
        <v>100</v>
      </c>
      <c r="R123" s="37">
        <v>2</v>
      </c>
      <c r="S123" s="38">
        <f t="shared" si="11"/>
        <v>0</v>
      </c>
      <c r="T123" s="39">
        <f t="shared" si="12"/>
        <v>13</v>
      </c>
      <c r="U123" s="40">
        <f t="shared" si="13"/>
        <v>0</v>
      </c>
      <c r="V123" s="40">
        <f t="shared" si="14"/>
        <v>0</v>
      </c>
      <c r="W123" s="40">
        <f t="shared" si="15"/>
        <v>0</v>
      </c>
      <c r="X123" s="40">
        <f t="shared" si="19"/>
        <v>0</v>
      </c>
      <c r="Y123" s="40">
        <f t="shared" si="16"/>
        <v>0</v>
      </c>
      <c r="Z123" s="40">
        <f t="shared" si="17"/>
        <v>0</v>
      </c>
      <c r="AA123" s="40">
        <f t="shared" si="18"/>
        <v>0</v>
      </c>
      <c r="AB123" s="40">
        <f t="shared" si="20"/>
        <v>0</v>
      </c>
      <c r="AC123" s="41">
        <f t="shared" si="21"/>
        <v>0</v>
      </c>
      <c r="AD123" s="49" t="s">
        <v>5</v>
      </c>
      <c r="AE123" s="50" t="s">
        <v>116</v>
      </c>
      <c r="AF123" s="49" t="s">
        <v>5</v>
      </c>
      <c r="AG123" s="50" t="s">
        <v>135</v>
      </c>
      <c r="AH123" s="49"/>
      <c r="AI123" s="50"/>
      <c r="AJ123" s="49" t="s">
        <v>5</v>
      </c>
      <c r="AK123" s="50" t="s">
        <v>118</v>
      </c>
      <c r="AL123" s="49" t="s">
        <v>5</v>
      </c>
      <c r="AM123" s="50" t="s">
        <v>112</v>
      </c>
      <c r="AN123" s="49"/>
      <c r="AO123" s="50"/>
      <c r="AP123" s="49" t="s">
        <v>5</v>
      </c>
      <c r="AQ123" s="50" t="s">
        <v>119</v>
      </c>
      <c r="AR123" s="49" t="s">
        <v>5</v>
      </c>
      <c r="AS123" s="50" t="s">
        <v>120</v>
      </c>
      <c r="AT123" s="49" t="s">
        <v>5</v>
      </c>
      <c r="AU123" s="50" t="s">
        <v>78</v>
      </c>
      <c r="AV123" s="49" t="s">
        <v>5</v>
      </c>
      <c r="AW123" s="50" t="s">
        <v>112</v>
      </c>
      <c r="AX123" s="49" t="s">
        <v>5</v>
      </c>
      <c r="AY123" s="50" t="s">
        <v>95</v>
      </c>
      <c r="AZ123" s="49" t="s">
        <v>5</v>
      </c>
      <c r="BA123" s="50" t="s">
        <v>96</v>
      </c>
      <c r="BB123" s="49" t="s">
        <v>5</v>
      </c>
      <c r="BC123" s="50" t="s">
        <v>122</v>
      </c>
      <c r="BD123" s="49" t="s">
        <v>5</v>
      </c>
      <c r="BE123" s="50" t="s">
        <v>123</v>
      </c>
      <c r="BF123" s="49" t="s">
        <v>5</v>
      </c>
      <c r="BG123" s="50" t="s">
        <v>124</v>
      </c>
    </row>
    <row r="124" spans="1:59" s="44" customFormat="1" x14ac:dyDescent="0.25">
      <c r="A124" s="24">
        <v>160258</v>
      </c>
      <c r="B124" s="25" t="s">
        <v>285</v>
      </c>
      <c r="C124" s="26" t="s">
        <v>162</v>
      </c>
      <c r="D124" s="27" t="s">
        <v>12</v>
      </c>
      <c r="E124" s="28" t="s">
        <v>14</v>
      </c>
      <c r="F124" s="25" t="s">
        <v>71</v>
      </c>
      <c r="G124" s="28" t="s">
        <v>14</v>
      </c>
      <c r="H124" s="28" t="s">
        <v>14</v>
      </c>
      <c r="I124" s="29" t="s">
        <v>14</v>
      </c>
      <c r="J124" s="28" t="s">
        <v>4</v>
      </c>
      <c r="K124" s="30" t="s">
        <v>1850</v>
      </c>
      <c r="L124" s="31" t="s">
        <v>1848</v>
      </c>
      <c r="M124" s="45" t="str">
        <f>IFERROR(VLOOKUP(A124,Lookups!#REF!,3,FALSE),"")</f>
        <v/>
      </c>
      <c r="N124" s="46">
        <v>27</v>
      </c>
      <c r="O124" s="47">
        <v>0</v>
      </c>
      <c r="P124" s="48">
        <v>0</v>
      </c>
      <c r="Q124" s="36">
        <v>97.92</v>
      </c>
      <c r="R124" s="37">
        <v>0</v>
      </c>
      <c r="S124" s="38">
        <f t="shared" si="11"/>
        <v>0</v>
      </c>
      <c r="T124" s="39">
        <f t="shared" si="12"/>
        <v>11</v>
      </c>
      <c r="U124" s="40">
        <f t="shared" si="13"/>
        <v>2</v>
      </c>
      <c r="V124" s="40">
        <f t="shared" si="14"/>
        <v>0</v>
      </c>
      <c r="W124" s="40">
        <f t="shared" si="15"/>
        <v>0</v>
      </c>
      <c r="X124" s="40">
        <f t="shared" si="19"/>
        <v>2</v>
      </c>
      <c r="Y124" s="40">
        <f t="shared" si="16"/>
        <v>0</v>
      </c>
      <c r="Z124" s="40">
        <f t="shared" si="17"/>
        <v>0</v>
      </c>
      <c r="AA124" s="40">
        <f t="shared" si="18"/>
        <v>0</v>
      </c>
      <c r="AB124" s="40">
        <f t="shared" si="20"/>
        <v>0</v>
      </c>
      <c r="AC124" s="41">
        <f t="shared" si="21"/>
        <v>0</v>
      </c>
      <c r="AD124" s="49" t="s">
        <v>5</v>
      </c>
      <c r="AE124" s="50" t="s">
        <v>72</v>
      </c>
      <c r="AF124" s="49"/>
      <c r="AG124" s="50"/>
      <c r="AH124" s="49" t="s">
        <v>30</v>
      </c>
      <c r="AI124" s="50" t="s">
        <v>101</v>
      </c>
      <c r="AJ124" s="49" t="s">
        <v>5</v>
      </c>
      <c r="AK124" s="50" t="s">
        <v>74</v>
      </c>
      <c r="AL124" s="49" t="s">
        <v>5</v>
      </c>
      <c r="AM124" s="50" t="s">
        <v>72</v>
      </c>
      <c r="AN124" s="49" t="s">
        <v>5</v>
      </c>
      <c r="AO124" s="50" t="s">
        <v>143</v>
      </c>
      <c r="AP124" s="49" t="s">
        <v>5</v>
      </c>
      <c r="AQ124" s="50" t="s">
        <v>131</v>
      </c>
      <c r="AR124" s="49" t="s">
        <v>5</v>
      </c>
      <c r="AS124" s="50" t="s">
        <v>104</v>
      </c>
      <c r="AT124" s="49" t="s">
        <v>5</v>
      </c>
      <c r="AU124" s="50" t="s">
        <v>163</v>
      </c>
      <c r="AV124" s="49" t="s">
        <v>5</v>
      </c>
      <c r="AW124" s="50" t="s">
        <v>106</v>
      </c>
      <c r="AX124" s="49" t="s">
        <v>5</v>
      </c>
      <c r="AY124" s="50" t="s">
        <v>95</v>
      </c>
      <c r="AZ124" s="49" t="s">
        <v>5</v>
      </c>
      <c r="BA124" s="50" t="s">
        <v>107</v>
      </c>
      <c r="BB124" s="49" t="s">
        <v>30</v>
      </c>
      <c r="BC124" s="50" t="s">
        <v>153</v>
      </c>
      <c r="BD124" s="49" t="s">
        <v>5</v>
      </c>
      <c r="BE124" s="50" t="s">
        <v>140</v>
      </c>
      <c r="BF124" s="49"/>
      <c r="BG124" s="50"/>
    </row>
    <row r="125" spans="1:59" s="44" customFormat="1" x14ac:dyDescent="0.25">
      <c r="A125" s="24">
        <v>160259</v>
      </c>
      <c r="B125" s="25" t="s">
        <v>286</v>
      </c>
      <c r="C125" s="26" t="s">
        <v>86</v>
      </c>
      <c r="D125" s="27" t="s">
        <v>70</v>
      </c>
      <c r="E125" s="28" t="s">
        <v>14</v>
      </c>
      <c r="F125" s="25" t="s">
        <v>126</v>
      </c>
      <c r="G125" s="28" t="s">
        <v>87</v>
      </c>
      <c r="H125" s="28" t="s">
        <v>14</v>
      </c>
      <c r="I125" s="29" t="s">
        <v>14</v>
      </c>
      <c r="J125" s="28" t="s">
        <v>14</v>
      </c>
      <c r="K125" s="30" t="s">
        <v>1850</v>
      </c>
      <c r="L125" s="31" t="s">
        <v>1842</v>
      </c>
      <c r="M125" s="45" t="str">
        <f>IFERROR(VLOOKUP(A125,Lookups!#REF!,3,FALSE),"")</f>
        <v/>
      </c>
      <c r="N125" s="46">
        <v>19</v>
      </c>
      <c r="O125" s="47">
        <v>0</v>
      </c>
      <c r="P125" s="48">
        <v>0</v>
      </c>
      <c r="Q125" s="36">
        <v>91.49</v>
      </c>
      <c r="R125" s="37">
        <v>0</v>
      </c>
      <c r="S125" s="38">
        <f t="shared" si="11"/>
        <v>0</v>
      </c>
      <c r="T125" s="39">
        <f t="shared" si="12"/>
        <v>13</v>
      </c>
      <c r="U125" s="40">
        <f t="shared" si="13"/>
        <v>0</v>
      </c>
      <c r="V125" s="40">
        <f t="shared" si="14"/>
        <v>0</v>
      </c>
      <c r="W125" s="40">
        <f t="shared" si="15"/>
        <v>0</v>
      </c>
      <c r="X125" s="40">
        <f t="shared" si="19"/>
        <v>0</v>
      </c>
      <c r="Y125" s="40">
        <f t="shared" si="16"/>
        <v>0</v>
      </c>
      <c r="Z125" s="40">
        <f t="shared" si="17"/>
        <v>0</v>
      </c>
      <c r="AA125" s="40">
        <f t="shared" si="18"/>
        <v>0</v>
      </c>
      <c r="AB125" s="40">
        <f t="shared" si="20"/>
        <v>0</v>
      </c>
      <c r="AC125" s="41">
        <f t="shared" si="21"/>
        <v>0</v>
      </c>
      <c r="AD125" s="49" t="s">
        <v>5</v>
      </c>
      <c r="AE125" s="50" t="s">
        <v>89</v>
      </c>
      <c r="AF125" s="49" t="s">
        <v>5</v>
      </c>
      <c r="AG125" s="50" t="s">
        <v>73</v>
      </c>
      <c r="AH125" s="49"/>
      <c r="AI125" s="50"/>
      <c r="AJ125" s="49" t="s">
        <v>5</v>
      </c>
      <c r="AK125" s="50" t="s">
        <v>91</v>
      </c>
      <c r="AL125" s="49" t="s">
        <v>5</v>
      </c>
      <c r="AM125" s="50" t="s">
        <v>84</v>
      </c>
      <c r="AN125" s="49"/>
      <c r="AO125" s="50"/>
      <c r="AP125" s="49" t="s">
        <v>5</v>
      </c>
      <c r="AQ125" s="50" t="s">
        <v>92</v>
      </c>
      <c r="AR125" s="49" t="s">
        <v>5</v>
      </c>
      <c r="AS125" s="50" t="s">
        <v>93</v>
      </c>
      <c r="AT125" s="49" t="s">
        <v>5</v>
      </c>
      <c r="AU125" s="50" t="s">
        <v>78</v>
      </c>
      <c r="AV125" s="49" t="s">
        <v>5</v>
      </c>
      <c r="AW125" s="50" t="s">
        <v>136</v>
      </c>
      <c r="AX125" s="49" t="s">
        <v>5</v>
      </c>
      <c r="AY125" s="50" t="s">
        <v>95</v>
      </c>
      <c r="AZ125" s="49" t="s">
        <v>5</v>
      </c>
      <c r="BA125" s="50" t="s">
        <v>81</v>
      </c>
      <c r="BB125" s="49" t="s">
        <v>5</v>
      </c>
      <c r="BC125" s="50" t="s">
        <v>108</v>
      </c>
      <c r="BD125" s="49" t="s">
        <v>5</v>
      </c>
      <c r="BE125" s="50" t="s">
        <v>98</v>
      </c>
      <c r="BF125" s="49" t="s">
        <v>5</v>
      </c>
      <c r="BG125" s="50" t="s">
        <v>84</v>
      </c>
    </row>
    <row r="126" spans="1:59" s="44" customFormat="1" x14ac:dyDescent="0.25">
      <c r="A126" s="24">
        <v>160260</v>
      </c>
      <c r="B126" s="25" t="s">
        <v>287</v>
      </c>
      <c r="C126" s="26" t="s">
        <v>129</v>
      </c>
      <c r="D126" s="27" t="s">
        <v>12</v>
      </c>
      <c r="E126" s="28" t="s">
        <v>87</v>
      </c>
      <c r="F126" s="25" t="s">
        <v>88</v>
      </c>
      <c r="G126" s="28" t="s">
        <v>87</v>
      </c>
      <c r="H126" s="28" t="s">
        <v>87</v>
      </c>
      <c r="I126" s="29" t="s">
        <v>14</v>
      </c>
      <c r="J126" s="28" t="s">
        <v>14</v>
      </c>
      <c r="K126" s="30" t="s">
        <v>1850</v>
      </c>
      <c r="L126" s="31" t="s">
        <v>1846</v>
      </c>
      <c r="M126" s="45" t="str">
        <f>IFERROR(VLOOKUP(A126,Lookups!#REF!,3,FALSE),"")</f>
        <v/>
      </c>
      <c r="N126" s="46">
        <v>38</v>
      </c>
      <c r="O126" s="47">
        <v>0</v>
      </c>
      <c r="P126" s="48">
        <v>0</v>
      </c>
      <c r="Q126" s="36">
        <v>100</v>
      </c>
      <c r="R126" s="37">
        <v>0</v>
      </c>
      <c r="S126" s="38">
        <f t="shared" si="11"/>
        <v>2</v>
      </c>
      <c r="T126" s="39">
        <f t="shared" si="12"/>
        <v>11</v>
      </c>
      <c r="U126" s="40">
        <f t="shared" si="13"/>
        <v>0</v>
      </c>
      <c r="V126" s="40">
        <f t="shared" si="14"/>
        <v>0</v>
      </c>
      <c r="W126" s="40">
        <f t="shared" si="15"/>
        <v>0</v>
      </c>
      <c r="X126" s="40">
        <f t="shared" si="19"/>
        <v>0</v>
      </c>
      <c r="Y126" s="40">
        <f t="shared" si="16"/>
        <v>0</v>
      </c>
      <c r="Z126" s="40">
        <f t="shared" si="17"/>
        <v>0</v>
      </c>
      <c r="AA126" s="40">
        <f t="shared" si="18"/>
        <v>0</v>
      </c>
      <c r="AB126" s="40">
        <f t="shared" si="20"/>
        <v>0</v>
      </c>
      <c r="AC126" s="41">
        <f t="shared" si="21"/>
        <v>0</v>
      </c>
      <c r="AD126" s="49" t="s">
        <v>5</v>
      </c>
      <c r="AE126" s="50" t="s">
        <v>89</v>
      </c>
      <c r="AF126" s="49" t="s">
        <v>1</v>
      </c>
      <c r="AG126" s="50" t="s">
        <v>73</v>
      </c>
      <c r="AH126" s="49"/>
      <c r="AI126" s="50"/>
      <c r="AJ126" s="49" t="s">
        <v>5</v>
      </c>
      <c r="AK126" s="50" t="s">
        <v>118</v>
      </c>
      <c r="AL126" s="49" t="s">
        <v>5</v>
      </c>
      <c r="AM126" s="50" t="s">
        <v>74</v>
      </c>
      <c r="AN126" s="49" t="s">
        <v>5</v>
      </c>
      <c r="AO126" s="50" t="s">
        <v>130</v>
      </c>
      <c r="AP126" s="49" t="s">
        <v>5</v>
      </c>
      <c r="AQ126" s="50" t="s">
        <v>131</v>
      </c>
      <c r="AR126" s="49" t="s">
        <v>5</v>
      </c>
      <c r="AS126" s="50" t="s">
        <v>132</v>
      </c>
      <c r="AT126" s="49" t="s">
        <v>5</v>
      </c>
      <c r="AU126" s="50" t="s">
        <v>105</v>
      </c>
      <c r="AV126" s="49" t="s">
        <v>1</v>
      </c>
      <c r="AW126" s="50" t="s">
        <v>79</v>
      </c>
      <c r="AX126" s="49" t="s">
        <v>5</v>
      </c>
      <c r="AY126" s="50" t="s">
        <v>80</v>
      </c>
      <c r="AZ126" s="49" t="s">
        <v>5</v>
      </c>
      <c r="BA126" s="50" t="s">
        <v>107</v>
      </c>
      <c r="BB126" s="49" t="s">
        <v>5</v>
      </c>
      <c r="BC126" s="50" t="s">
        <v>153</v>
      </c>
      <c r="BD126" s="49" t="s">
        <v>5</v>
      </c>
      <c r="BE126" s="50" t="s">
        <v>133</v>
      </c>
      <c r="BF126" s="49"/>
      <c r="BG126" s="50"/>
    </row>
    <row r="127" spans="1:59" s="44" customFormat="1" x14ac:dyDescent="0.25">
      <c r="A127" s="24">
        <v>160261</v>
      </c>
      <c r="B127" s="25" t="s">
        <v>288</v>
      </c>
      <c r="C127" s="26" t="s">
        <v>129</v>
      </c>
      <c r="D127" s="27" t="s">
        <v>70</v>
      </c>
      <c r="E127" s="28" t="s">
        <v>14</v>
      </c>
      <c r="F127" s="25" t="s">
        <v>88</v>
      </c>
      <c r="G127" s="28" t="s">
        <v>14</v>
      </c>
      <c r="H127" s="28" t="s">
        <v>14</v>
      </c>
      <c r="I127" s="29" t="s">
        <v>14</v>
      </c>
      <c r="J127" s="28" t="s">
        <v>14</v>
      </c>
      <c r="K127" s="30" t="s">
        <v>1850</v>
      </c>
      <c r="L127" s="31" t="s">
        <v>1845</v>
      </c>
      <c r="M127" s="45" t="str">
        <f>IFERROR(VLOOKUP(A127,Lookups!#REF!,3,FALSE),"")</f>
        <v/>
      </c>
      <c r="N127" s="46">
        <v>34</v>
      </c>
      <c r="O127" s="47">
        <v>0</v>
      </c>
      <c r="P127" s="48">
        <v>1</v>
      </c>
      <c r="Q127" s="36">
        <v>100</v>
      </c>
      <c r="R127" s="37">
        <v>2</v>
      </c>
      <c r="S127" s="38">
        <f t="shared" si="11"/>
        <v>0</v>
      </c>
      <c r="T127" s="39">
        <f t="shared" si="12"/>
        <v>13</v>
      </c>
      <c r="U127" s="40">
        <f t="shared" si="13"/>
        <v>0</v>
      </c>
      <c r="V127" s="40">
        <f t="shared" si="14"/>
        <v>0</v>
      </c>
      <c r="W127" s="40">
        <f t="shared" si="15"/>
        <v>0</v>
      </c>
      <c r="X127" s="40">
        <f t="shared" si="19"/>
        <v>0</v>
      </c>
      <c r="Y127" s="40">
        <f t="shared" si="16"/>
        <v>0</v>
      </c>
      <c r="Z127" s="40">
        <f t="shared" si="17"/>
        <v>0</v>
      </c>
      <c r="AA127" s="40">
        <f t="shared" si="18"/>
        <v>0</v>
      </c>
      <c r="AB127" s="40">
        <f t="shared" si="20"/>
        <v>0</v>
      </c>
      <c r="AC127" s="41">
        <f t="shared" si="21"/>
        <v>0</v>
      </c>
      <c r="AD127" s="49" t="s">
        <v>5</v>
      </c>
      <c r="AE127" s="50" t="s">
        <v>89</v>
      </c>
      <c r="AF127" s="49"/>
      <c r="AG127" s="50"/>
      <c r="AH127" s="49" t="s">
        <v>5</v>
      </c>
      <c r="AI127" s="50" t="s">
        <v>101</v>
      </c>
      <c r="AJ127" s="49" t="s">
        <v>5</v>
      </c>
      <c r="AK127" s="50" t="s">
        <v>118</v>
      </c>
      <c r="AL127" s="49" t="s">
        <v>5</v>
      </c>
      <c r="AM127" s="50" t="s">
        <v>74</v>
      </c>
      <c r="AN127" s="49" t="s">
        <v>5</v>
      </c>
      <c r="AO127" s="50" t="s">
        <v>130</v>
      </c>
      <c r="AP127" s="49" t="s">
        <v>5</v>
      </c>
      <c r="AQ127" s="50" t="s">
        <v>144</v>
      </c>
      <c r="AR127" s="49" t="s">
        <v>5</v>
      </c>
      <c r="AS127" s="50" t="s">
        <v>132</v>
      </c>
      <c r="AT127" s="49" t="s">
        <v>5</v>
      </c>
      <c r="AU127" s="50" t="s">
        <v>105</v>
      </c>
      <c r="AV127" s="49" t="s">
        <v>5</v>
      </c>
      <c r="AW127" s="50" t="s">
        <v>106</v>
      </c>
      <c r="AX127" s="49" t="s">
        <v>5</v>
      </c>
      <c r="AY127" s="50" t="s">
        <v>80</v>
      </c>
      <c r="AZ127" s="49" t="s">
        <v>5</v>
      </c>
      <c r="BA127" s="50" t="s">
        <v>81</v>
      </c>
      <c r="BB127" s="49" t="s">
        <v>5</v>
      </c>
      <c r="BC127" s="50" t="s">
        <v>153</v>
      </c>
      <c r="BD127" s="49" t="s">
        <v>5</v>
      </c>
      <c r="BE127" s="50" t="s">
        <v>133</v>
      </c>
      <c r="BF127" s="49"/>
      <c r="BG127" s="50"/>
    </row>
    <row r="128" spans="1:59" s="44" customFormat="1" x14ac:dyDescent="0.25">
      <c r="A128" s="24">
        <v>160262</v>
      </c>
      <c r="B128" s="25" t="s">
        <v>289</v>
      </c>
      <c r="C128" s="26" t="s">
        <v>168</v>
      </c>
      <c r="D128" s="27" t="s">
        <v>70</v>
      </c>
      <c r="E128" s="28" t="s">
        <v>87</v>
      </c>
      <c r="F128" s="25" t="s">
        <v>88</v>
      </c>
      <c r="G128" s="28" t="s">
        <v>87</v>
      </c>
      <c r="H128" s="28" t="s">
        <v>87</v>
      </c>
      <c r="I128" s="29" t="s">
        <v>14</v>
      </c>
      <c r="J128" s="28" t="s">
        <v>14</v>
      </c>
      <c r="K128" s="30" t="s">
        <v>1850</v>
      </c>
      <c r="L128" s="31" t="s">
        <v>1846</v>
      </c>
      <c r="M128" s="45" t="str">
        <f>IFERROR(VLOOKUP(A128,Lookups!#REF!,3,FALSE),"")</f>
        <v/>
      </c>
      <c r="N128" s="46">
        <v>26</v>
      </c>
      <c r="O128" s="47">
        <v>0</v>
      </c>
      <c r="P128" s="48">
        <v>0</v>
      </c>
      <c r="Q128" s="36">
        <v>100</v>
      </c>
      <c r="R128" s="37">
        <v>0</v>
      </c>
      <c r="S128" s="38">
        <f t="shared" si="11"/>
        <v>1</v>
      </c>
      <c r="T128" s="39">
        <f t="shared" si="12"/>
        <v>12</v>
      </c>
      <c r="U128" s="40">
        <f t="shared" si="13"/>
        <v>0</v>
      </c>
      <c r="V128" s="40">
        <f t="shared" si="14"/>
        <v>0</v>
      </c>
      <c r="W128" s="40">
        <f t="shared" si="15"/>
        <v>0</v>
      </c>
      <c r="X128" s="40">
        <f t="shared" si="19"/>
        <v>0</v>
      </c>
      <c r="Y128" s="40">
        <f t="shared" si="16"/>
        <v>0</v>
      </c>
      <c r="Z128" s="40">
        <f t="shared" si="17"/>
        <v>0</v>
      </c>
      <c r="AA128" s="40">
        <f t="shared" si="18"/>
        <v>0</v>
      </c>
      <c r="AB128" s="40">
        <f t="shared" si="20"/>
        <v>0</v>
      </c>
      <c r="AC128" s="41">
        <f t="shared" si="21"/>
        <v>0</v>
      </c>
      <c r="AD128" s="49" t="s">
        <v>5</v>
      </c>
      <c r="AE128" s="50" t="s">
        <v>116</v>
      </c>
      <c r="AF128" s="49" t="s">
        <v>5</v>
      </c>
      <c r="AG128" s="50" t="s">
        <v>135</v>
      </c>
      <c r="AH128" s="49"/>
      <c r="AI128" s="50"/>
      <c r="AJ128" s="49" t="s">
        <v>5</v>
      </c>
      <c r="AK128" s="50" t="s">
        <v>169</v>
      </c>
      <c r="AL128" s="49" t="s">
        <v>5</v>
      </c>
      <c r="AM128" s="50" t="s">
        <v>170</v>
      </c>
      <c r="AN128" s="49" t="s">
        <v>5</v>
      </c>
      <c r="AO128" s="50" t="s">
        <v>75</v>
      </c>
      <c r="AP128" s="49" t="s">
        <v>5</v>
      </c>
      <c r="AQ128" s="50" t="s">
        <v>92</v>
      </c>
      <c r="AR128" s="49" t="s">
        <v>5</v>
      </c>
      <c r="AS128" s="50" t="s">
        <v>120</v>
      </c>
      <c r="AT128" s="49" t="s">
        <v>5</v>
      </c>
      <c r="AU128" s="50" t="s">
        <v>78</v>
      </c>
      <c r="AV128" s="49" t="s">
        <v>1</v>
      </c>
      <c r="AW128" s="50" t="s">
        <v>79</v>
      </c>
      <c r="AX128" s="49" t="s">
        <v>5</v>
      </c>
      <c r="AY128" s="50" t="s">
        <v>95</v>
      </c>
      <c r="AZ128" s="49" t="s">
        <v>5</v>
      </c>
      <c r="BA128" s="50" t="s">
        <v>152</v>
      </c>
      <c r="BB128" s="49" t="s">
        <v>5</v>
      </c>
      <c r="BC128" s="50" t="s">
        <v>82</v>
      </c>
      <c r="BD128" s="49" t="s">
        <v>5</v>
      </c>
      <c r="BE128" s="50" t="s">
        <v>170</v>
      </c>
      <c r="BF128" s="49"/>
      <c r="BG128" s="50"/>
    </row>
    <row r="129" spans="1:59" s="44" customFormat="1" x14ac:dyDescent="0.25">
      <c r="A129" s="24">
        <v>160263</v>
      </c>
      <c r="B129" s="25" t="s">
        <v>290</v>
      </c>
      <c r="C129" s="26" t="s">
        <v>86</v>
      </c>
      <c r="D129" s="27" t="s">
        <v>12</v>
      </c>
      <c r="E129" s="28" t="s">
        <v>14</v>
      </c>
      <c r="F129" s="25" t="s">
        <v>71</v>
      </c>
      <c r="G129" s="28" t="s">
        <v>87</v>
      </c>
      <c r="H129" s="28" t="s">
        <v>14</v>
      </c>
      <c r="I129" s="29" t="s">
        <v>14</v>
      </c>
      <c r="J129" s="28" t="s">
        <v>14</v>
      </c>
      <c r="K129" s="30" t="s">
        <v>1850</v>
      </c>
      <c r="L129" s="31" t="s">
        <v>1844</v>
      </c>
      <c r="M129" s="45" t="str">
        <f>IFERROR(VLOOKUP(A129,Lookups!#REF!,3,FALSE),"")</f>
        <v/>
      </c>
      <c r="N129" s="46">
        <v>16</v>
      </c>
      <c r="O129" s="47">
        <v>0</v>
      </c>
      <c r="P129" s="48">
        <v>0</v>
      </c>
      <c r="Q129" s="36">
        <v>91.49</v>
      </c>
      <c r="R129" s="37">
        <v>1</v>
      </c>
      <c r="S129" s="38">
        <f t="shared" si="11"/>
        <v>0</v>
      </c>
      <c r="T129" s="39">
        <f t="shared" si="12"/>
        <v>13</v>
      </c>
      <c r="U129" s="40">
        <f t="shared" si="13"/>
        <v>0</v>
      </c>
      <c r="V129" s="40">
        <f t="shared" si="14"/>
        <v>0</v>
      </c>
      <c r="W129" s="40">
        <f t="shared" si="15"/>
        <v>0</v>
      </c>
      <c r="X129" s="40">
        <f t="shared" si="19"/>
        <v>0</v>
      </c>
      <c r="Y129" s="40">
        <f t="shared" si="16"/>
        <v>0</v>
      </c>
      <c r="Z129" s="40">
        <f t="shared" si="17"/>
        <v>0</v>
      </c>
      <c r="AA129" s="40">
        <f t="shared" si="18"/>
        <v>0</v>
      </c>
      <c r="AB129" s="40">
        <f t="shared" si="20"/>
        <v>0</v>
      </c>
      <c r="AC129" s="41">
        <f t="shared" si="21"/>
        <v>0</v>
      </c>
      <c r="AD129" s="49" t="s">
        <v>5</v>
      </c>
      <c r="AE129" s="50" t="s">
        <v>89</v>
      </c>
      <c r="AF129" s="49"/>
      <c r="AG129" s="50"/>
      <c r="AH129" s="49" t="s">
        <v>5</v>
      </c>
      <c r="AI129" s="50" t="s">
        <v>101</v>
      </c>
      <c r="AJ129" s="49" t="s">
        <v>5</v>
      </c>
      <c r="AK129" s="50" t="s">
        <v>91</v>
      </c>
      <c r="AL129" s="49" t="s">
        <v>5</v>
      </c>
      <c r="AM129" s="50" t="s">
        <v>84</v>
      </c>
      <c r="AN129" s="49"/>
      <c r="AO129" s="50"/>
      <c r="AP129" s="49" t="s">
        <v>5</v>
      </c>
      <c r="AQ129" s="50" t="s">
        <v>92</v>
      </c>
      <c r="AR129" s="49" t="s">
        <v>5</v>
      </c>
      <c r="AS129" s="50" t="s">
        <v>93</v>
      </c>
      <c r="AT129" s="49" t="s">
        <v>5</v>
      </c>
      <c r="AU129" s="50" t="s">
        <v>78</v>
      </c>
      <c r="AV129" s="49" t="s">
        <v>5</v>
      </c>
      <c r="AW129" s="50" t="s">
        <v>136</v>
      </c>
      <c r="AX129" s="49" t="s">
        <v>5</v>
      </c>
      <c r="AY129" s="50" t="s">
        <v>95</v>
      </c>
      <c r="AZ129" s="49" t="s">
        <v>5</v>
      </c>
      <c r="BA129" s="50" t="s">
        <v>96</v>
      </c>
      <c r="BB129" s="49" t="s">
        <v>5</v>
      </c>
      <c r="BC129" s="50" t="s">
        <v>108</v>
      </c>
      <c r="BD129" s="49" t="s">
        <v>5</v>
      </c>
      <c r="BE129" s="50" t="s">
        <v>98</v>
      </c>
      <c r="BF129" s="49" t="s">
        <v>5</v>
      </c>
      <c r="BG129" s="50" t="s">
        <v>84</v>
      </c>
    </row>
    <row r="130" spans="1:59" s="44" customFormat="1" x14ac:dyDescent="0.25">
      <c r="A130" s="24">
        <v>160264</v>
      </c>
      <c r="B130" s="25" t="s">
        <v>291</v>
      </c>
      <c r="C130" s="26" t="s">
        <v>86</v>
      </c>
      <c r="D130" s="27" t="s">
        <v>12</v>
      </c>
      <c r="E130" s="28" t="s">
        <v>14</v>
      </c>
      <c r="F130" s="25" t="s">
        <v>71</v>
      </c>
      <c r="G130" s="28" t="s">
        <v>14</v>
      </c>
      <c r="H130" s="28" t="s">
        <v>14</v>
      </c>
      <c r="I130" s="29" t="s">
        <v>14</v>
      </c>
      <c r="J130" s="28" t="s">
        <v>14</v>
      </c>
      <c r="K130" s="30" t="s">
        <v>1850</v>
      </c>
      <c r="L130" s="31" t="s">
        <v>1842</v>
      </c>
      <c r="M130" s="45" t="str">
        <f>IFERROR(VLOOKUP(A130,Lookups!#REF!,3,FALSE),"")</f>
        <v/>
      </c>
      <c r="N130" s="46">
        <v>20</v>
      </c>
      <c r="O130" s="47">
        <v>1</v>
      </c>
      <c r="P130" s="48">
        <v>0</v>
      </c>
      <c r="Q130" s="36">
        <v>100</v>
      </c>
      <c r="R130" s="37">
        <v>1</v>
      </c>
      <c r="S130" s="38">
        <f t="shared" ref="S130:S193" si="22">COUNTIF($AD130:$BK130,"Outstanding")</f>
        <v>2</v>
      </c>
      <c r="T130" s="39">
        <f t="shared" ref="T130:T193" si="23">COUNTIF($AD130:$BK130,"Good")</f>
        <v>10</v>
      </c>
      <c r="U130" s="40">
        <f t="shared" ref="U130:U193" si="24">COUNTIF($AD130:$BK130,"N2Improve - Engagement")</f>
        <v>1</v>
      </c>
      <c r="V130" s="40">
        <f t="shared" ref="V130:V193" si="25">COUNTIF($AD130:$BK130,"N2Improve - Community Conduct")</f>
        <v>0</v>
      </c>
      <c r="W130" s="40">
        <f t="shared" ref="W130:W193" si="26">COUNTIF($AD130:$BK130,"N2Improve - Personal Org.")</f>
        <v>0</v>
      </c>
      <c r="X130" s="40">
        <f t="shared" si="19"/>
        <v>1</v>
      </c>
      <c r="Y130" s="40">
        <f t="shared" ref="Y130:Y193" si="27">COUNTIF($AD130:$BK130,"Serious Conc - Engagement")</f>
        <v>0</v>
      </c>
      <c r="Z130" s="40">
        <f t="shared" ref="Z130:Z193" si="28">COUNTIF($AD130:$BK130,"Serious Conc - Comm. Concern")</f>
        <v>0</v>
      </c>
      <c r="AA130" s="40">
        <f t="shared" ref="AA130:AA193" si="29">COUNTIF($AD130:$BK130,"Serious Conc - Personal Org.")</f>
        <v>0</v>
      </c>
      <c r="AB130" s="40">
        <f t="shared" si="20"/>
        <v>0</v>
      </c>
      <c r="AC130" s="41">
        <f t="shared" si="21"/>
        <v>0</v>
      </c>
      <c r="AD130" s="49" t="s">
        <v>5</v>
      </c>
      <c r="AE130" s="50" t="s">
        <v>72</v>
      </c>
      <c r="AF130" s="49" t="s">
        <v>5</v>
      </c>
      <c r="AG130" s="50" t="s">
        <v>117</v>
      </c>
      <c r="AH130" s="49"/>
      <c r="AI130" s="50"/>
      <c r="AJ130" s="49" t="s">
        <v>30</v>
      </c>
      <c r="AK130" s="50" t="s">
        <v>91</v>
      </c>
      <c r="AL130" s="49" t="s">
        <v>5</v>
      </c>
      <c r="AM130" s="50" t="s">
        <v>84</v>
      </c>
      <c r="AN130" s="49"/>
      <c r="AO130" s="50"/>
      <c r="AP130" s="49" t="s">
        <v>5</v>
      </c>
      <c r="AQ130" s="50" t="s">
        <v>92</v>
      </c>
      <c r="AR130" s="49" t="s">
        <v>5</v>
      </c>
      <c r="AS130" s="50" t="s">
        <v>93</v>
      </c>
      <c r="AT130" s="49" t="s">
        <v>5</v>
      </c>
      <c r="AU130" s="50" t="s">
        <v>78</v>
      </c>
      <c r="AV130" s="49" t="s">
        <v>1</v>
      </c>
      <c r="AW130" s="50" t="s">
        <v>136</v>
      </c>
      <c r="AX130" s="49" t="s">
        <v>5</v>
      </c>
      <c r="AY130" s="50" t="s">
        <v>95</v>
      </c>
      <c r="AZ130" s="49" t="s">
        <v>5</v>
      </c>
      <c r="BA130" s="50" t="s">
        <v>96</v>
      </c>
      <c r="BB130" s="49" t="s">
        <v>5</v>
      </c>
      <c r="BC130" s="50" t="s">
        <v>108</v>
      </c>
      <c r="BD130" s="49" t="s">
        <v>1</v>
      </c>
      <c r="BE130" s="50" t="s">
        <v>98</v>
      </c>
      <c r="BF130" s="49" t="s">
        <v>5</v>
      </c>
      <c r="BG130" s="50" t="s">
        <v>84</v>
      </c>
    </row>
    <row r="131" spans="1:59" s="44" customFormat="1" x14ac:dyDescent="0.25">
      <c r="A131" s="24">
        <v>160265</v>
      </c>
      <c r="B131" s="25" t="s">
        <v>292</v>
      </c>
      <c r="C131" s="26" t="s">
        <v>168</v>
      </c>
      <c r="D131" s="27" t="s">
        <v>12</v>
      </c>
      <c r="E131" s="28" t="s">
        <v>14</v>
      </c>
      <c r="F131" s="25" t="s">
        <v>71</v>
      </c>
      <c r="G131" s="28" t="s">
        <v>14</v>
      </c>
      <c r="H131" s="28" t="s">
        <v>14</v>
      </c>
      <c r="I131" s="29" t="s">
        <v>14</v>
      </c>
      <c r="J131" s="28" t="s">
        <v>14</v>
      </c>
      <c r="K131" s="30" t="s">
        <v>1850</v>
      </c>
      <c r="L131" s="31" t="s">
        <v>1842</v>
      </c>
      <c r="M131" s="45" t="str">
        <f>IFERROR(VLOOKUP(A131,Lookups!#REF!,3,FALSE),"")</f>
        <v/>
      </c>
      <c r="N131" s="46">
        <v>18</v>
      </c>
      <c r="O131" s="47">
        <v>0</v>
      </c>
      <c r="P131" s="48">
        <v>0</v>
      </c>
      <c r="Q131" s="36">
        <v>100</v>
      </c>
      <c r="R131" s="37">
        <v>0</v>
      </c>
      <c r="S131" s="38">
        <f t="shared" si="22"/>
        <v>3</v>
      </c>
      <c r="T131" s="39">
        <f t="shared" si="23"/>
        <v>10</v>
      </c>
      <c r="U131" s="40">
        <f t="shared" si="24"/>
        <v>0</v>
      </c>
      <c r="V131" s="40">
        <f t="shared" si="25"/>
        <v>0</v>
      </c>
      <c r="W131" s="40">
        <f t="shared" si="26"/>
        <v>0</v>
      </c>
      <c r="X131" s="40">
        <f t="shared" ref="X131:X194" si="30">SUM(U131:W131)</f>
        <v>0</v>
      </c>
      <c r="Y131" s="40">
        <f t="shared" si="27"/>
        <v>0</v>
      </c>
      <c r="Z131" s="40">
        <f t="shared" si="28"/>
        <v>0</v>
      </c>
      <c r="AA131" s="40">
        <f t="shared" si="29"/>
        <v>0</v>
      </c>
      <c r="AB131" s="40">
        <f t="shared" ref="AB131:AB194" si="31">SUM(Y131:AA131)</f>
        <v>0</v>
      </c>
      <c r="AC131" s="41">
        <f t="shared" ref="AC131:AC194" si="32">COUNTIF(AD131:BG131,"*still*")</f>
        <v>0</v>
      </c>
      <c r="AD131" s="49" t="s">
        <v>5</v>
      </c>
      <c r="AE131" s="50" t="s">
        <v>116</v>
      </c>
      <c r="AF131" s="49" t="s">
        <v>5</v>
      </c>
      <c r="AG131" s="50" t="s">
        <v>90</v>
      </c>
      <c r="AH131" s="49"/>
      <c r="AI131" s="50"/>
      <c r="AJ131" s="49" t="s">
        <v>5</v>
      </c>
      <c r="AK131" s="50" t="s">
        <v>169</v>
      </c>
      <c r="AL131" s="49" t="s">
        <v>5</v>
      </c>
      <c r="AM131" s="50" t="s">
        <v>170</v>
      </c>
      <c r="AN131" s="49" t="s">
        <v>5</v>
      </c>
      <c r="AO131" s="50" t="s">
        <v>75</v>
      </c>
      <c r="AP131" s="49" t="s">
        <v>5</v>
      </c>
      <c r="AQ131" s="50" t="s">
        <v>92</v>
      </c>
      <c r="AR131" s="49" t="s">
        <v>5</v>
      </c>
      <c r="AS131" s="50" t="s">
        <v>120</v>
      </c>
      <c r="AT131" s="49" t="s">
        <v>5</v>
      </c>
      <c r="AU131" s="50" t="s">
        <v>78</v>
      </c>
      <c r="AV131" s="49" t="s">
        <v>5</v>
      </c>
      <c r="AW131" s="50" t="s">
        <v>94</v>
      </c>
      <c r="AX131" s="49" t="s">
        <v>1</v>
      </c>
      <c r="AY131" s="50" t="s">
        <v>95</v>
      </c>
      <c r="AZ131" s="49" t="s">
        <v>1</v>
      </c>
      <c r="BA131" s="50" t="s">
        <v>96</v>
      </c>
      <c r="BB131" s="49" t="s">
        <v>5</v>
      </c>
      <c r="BC131" s="50" t="s">
        <v>82</v>
      </c>
      <c r="BD131" s="49" t="s">
        <v>1</v>
      </c>
      <c r="BE131" s="50" t="s">
        <v>170</v>
      </c>
      <c r="BF131" s="49"/>
      <c r="BG131" s="50"/>
    </row>
    <row r="132" spans="1:59" s="44" customFormat="1" x14ac:dyDescent="0.25">
      <c r="A132" s="24">
        <v>160266</v>
      </c>
      <c r="B132" s="25" t="s">
        <v>293</v>
      </c>
      <c r="C132" s="26" t="s">
        <v>86</v>
      </c>
      <c r="D132" s="27" t="s">
        <v>12</v>
      </c>
      <c r="E132" s="28" t="s">
        <v>14</v>
      </c>
      <c r="F132" s="25" t="s">
        <v>275</v>
      </c>
      <c r="G132" s="28" t="s">
        <v>14</v>
      </c>
      <c r="H132" s="28" t="s">
        <v>14</v>
      </c>
      <c r="I132" s="29" t="s">
        <v>14</v>
      </c>
      <c r="J132" s="28" t="s">
        <v>14</v>
      </c>
      <c r="K132" s="30" t="s">
        <v>1850</v>
      </c>
      <c r="L132" s="31" t="s">
        <v>1841</v>
      </c>
      <c r="M132" s="45" t="str">
        <f>IFERROR(VLOOKUP(A132,Lookups!#REF!,3,FALSE),"")</f>
        <v/>
      </c>
      <c r="N132" s="46">
        <v>24</v>
      </c>
      <c r="O132" s="47">
        <v>1</v>
      </c>
      <c r="P132" s="48">
        <v>1</v>
      </c>
      <c r="Q132" s="36">
        <v>100</v>
      </c>
      <c r="R132" s="37">
        <v>0</v>
      </c>
      <c r="S132" s="38">
        <f t="shared" si="22"/>
        <v>2</v>
      </c>
      <c r="T132" s="39">
        <f t="shared" si="23"/>
        <v>12</v>
      </c>
      <c r="U132" s="40">
        <f t="shared" si="24"/>
        <v>0</v>
      </c>
      <c r="V132" s="40">
        <f t="shared" si="25"/>
        <v>0</v>
      </c>
      <c r="W132" s="40">
        <f t="shared" si="26"/>
        <v>0</v>
      </c>
      <c r="X132" s="40">
        <f t="shared" si="30"/>
        <v>0</v>
      </c>
      <c r="Y132" s="40">
        <f t="shared" si="27"/>
        <v>0</v>
      </c>
      <c r="Z132" s="40">
        <f t="shared" si="28"/>
        <v>0</v>
      </c>
      <c r="AA132" s="40">
        <f t="shared" si="29"/>
        <v>0</v>
      </c>
      <c r="AB132" s="40">
        <f t="shared" si="31"/>
        <v>0</v>
      </c>
      <c r="AC132" s="41">
        <f t="shared" si="32"/>
        <v>0</v>
      </c>
      <c r="AD132" s="49" t="s">
        <v>5</v>
      </c>
      <c r="AE132" s="50" t="s">
        <v>72</v>
      </c>
      <c r="AF132" s="49" t="s">
        <v>5</v>
      </c>
      <c r="AG132" s="50" t="s">
        <v>135</v>
      </c>
      <c r="AH132" s="49"/>
      <c r="AI132" s="50"/>
      <c r="AJ132" s="49" t="s">
        <v>5</v>
      </c>
      <c r="AK132" s="50" t="s">
        <v>111</v>
      </c>
      <c r="AL132" s="49" t="s">
        <v>5</v>
      </c>
      <c r="AM132" s="50" t="s">
        <v>84</v>
      </c>
      <c r="AN132" s="49" t="s">
        <v>5</v>
      </c>
      <c r="AO132" s="50"/>
      <c r="AP132" s="49" t="s">
        <v>1</v>
      </c>
      <c r="AQ132" s="50" t="s">
        <v>92</v>
      </c>
      <c r="AR132" s="49" t="s">
        <v>5</v>
      </c>
      <c r="AS132" s="50" t="s">
        <v>93</v>
      </c>
      <c r="AT132" s="49" t="s">
        <v>5</v>
      </c>
      <c r="AU132" s="50" t="s">
        <v>78</v>
      </c>
      <c r="AV132" s="49" t="s">
        <v>5</v>
      </c>
      <c r="AW132" s="50" t="s">
        <v>94</v>
      </c>
      <c r="AX132" s="49" t="s">
        <v>5</v>
      </c>
      <c r="AY132" s="50" t="s">
        <v>95</v>
      </c>
      <c r="AZ132" s="49" t="s">
        <v>5</v>
      </c>
      <c r="BA132" s="50" t="s">
        <v>96</v>
      </c>
      <c r="BB132" s="49" t="s">
        <v>5</v>
      </c>
      <c r="BC132" s="50" t="s">
        <v>108</v>
      </c>
      <c r="BD132" s="49" t="s">
        <v>1</v>
      </c>
      <c r="BE132" s="50" t="s">
        <v>98</v>
      </c>
      <c r="BF132" s="49" t="s">
        <v>5</v>
      </c>
      <c r="BG132" s="50" t="s">
        <v>84</v>
      </c>
    </row>
    <row r="133" spans="1:59" s="44" customFormat="1" x14ac:dyDescent="0.25">
      <c r="A133" s="24">
        <v>160267</v>
      </c>
      <c r="B133" s="25" t="s">
        <v>294</v>
      </c>
      <c r="C133" s="26" t="s">
        <v>86</v>
      </c>
      <c r="D133" s="27" t="s">
        <v>12</v>
      </c>
      <c r="E133" s="28" t="s">
        <v>14</v>
      </c>
      <c r="F133" s="25" t="s">
        <v>71</v>
      </c>
      <c r="G133" s="28" t="s">
        <v>87</v>
      </c>
      <c r="H133" s="28" t="s">
        <v>14</v>
      </c>
      <c r="I133" s="29" t="s">
        <v>14</v>
      </c>
      <c r="J133" s="28" t="s">
        <v>14</v>
      </c>
      <c r="K133" s="30" t="s">
        <v>1850</v>
      </c>
      <c r="L133" s="31" t="s">
        <v>1844</v>
      </c>
      <c r="M133" s="45" t="str">
        <f>IFERROR(VLOOKUP(A133,Lookups!#REF!,3,FALSE),"")</f>
        <v/>
      </c>
      <c r="N133" s="46">
        <v>17</v>
      </c>
      <c r="O133" s="47">
        <v>1</v>
      </c>
      <c r="P133" s="48">
        <v>0</v>
      </c>
      <c r="Q133" s="36">
        <v>93.62</v>
      </c>
      <c r="R133" s="37">
        <v>0</v>
      </c>
      <c r="S133" s="38">
        <f t="shared" si="22"/>
        <v>1</v>
      </c>
      <c r="T133" s="39">
        <f t="shared" si="23"/>
        <v>12</v>
      </c>
      <c r="U133" s="40">
        <f t="shared" si="24"/>
        <v>0</v>
      </c>
      <c r="V133" s="40">
        <f t="shared" si="25"/>
        <v>0</v>
      </c>
      <c r="W133" s="40">
        <f t="shared" si="26"/>
        <v>0</v>
      </c>
      <c r="X133" s="40">
        <f t="shared" si="30"/>
        <v>0</v>
      </c>
      <c r="Y133" s="40">
        <f t="shared" si="27"/>
        <v>0</v>
      </c>
      <c r="Z133" s="40">
        <f t="shared" si="28"/>
        <v>0</v>
      </c>
      <c r="AA133" s="40">
        <f t="shared" si="29"/>
        <v>0</v>
      </c>
      <c r="AB133" s="40">
        <f t="shared" si="31"/>
        <v>0</v>
      </c>
      <c r="AC133" s="41">
        <f t="shared" si="32"/>
        <v>0</v>
      </c>
      <c r="AD133" s="49" t="s">
        <v>5</v>
      </c>
      <c r="AE133" s="50" t="s">
        <v>89</v>
      </c>
      <c r="AF133" s="49" t="s">
        <v>5</v>
      </c>
      <c r="AG133" s="50" t="s">
        <v>90</v>
      </c>
      <c r="AH133" s="49"/>
      <c r="AI133" s="50"/>
      <c r="AJ133" s="49" t="s">
        <v>5</v>
      </c>
      <c r="AK133" s="50" t="s">
        <v>111</v>
      </c>
      <c r="AL133" s="49" t="s">
        <v>5</v>
      </c>
      <c r="AM133" s="50" t="s">
        <v>84</v>
      </c>
      <c r="AN133" s="49"/>
      <c r="AO133" s="50"/>
      <c r="AP133" s="49" t="s">
        <v>1</v>
      </c>
      <c r="AQ133" s="50" t="s">
        <v>92</v>
      </c>
      <c r="AR133" s="49" t="s">
        <v>5</v>
      </c>
      <c r="AS133" s="50" t="s">
        <v>93</v>
      </c>
      <c r="AT133" s="49" t="s">
        <v>5</v>
      </c>
      <c r="AU133" s="50" t="s">
        <v>78</v>
      </c>
      <c r="AV133" s="49" t="s">
        <v>5</v>
      </c>
      <c r="AW133" s="50" t="s">
        <v>94</v>
      </c>
      <c r="AX133" s="49" t="s">
        <v>5</v>
      </c>
      <c r="AY133" s="50" t="s">
        <v>95</v>
      </c>
      <c r="AZ133" s="49" t="s">
        <v>5</v>
      </c>
      <c r="BA133" s="50" t="s">
        <v>96</v>
      </c>
      <c r="BB133" s="49" t="s">
        <v>5</v>
      </c>
      <c r="BC133" s="50" t="s">
        <v>108</v>
      </c>
      <c r="BD133" s="49" t="s">
        <v>5</v>
      </c>
      <c r="BE133" s="50" t="s">
        <v>98</v>
      </c>
      <c r="BF133" s="49" t="s">
        <v>5</v>
      </c>
      <c r="BG133" s="50" t="s">
        <v>84</v>
      </c>
    </row>
    <row r="134" spans="1:59" s="44" customFormat="1" x14ac:dyDescent="0.25">
      <c r="A134" s="24">
        <v>160268</v>
      </c>
      <c r="B134" s="25" t="s">
        <v>295</v>
      </c>
      <c r="C134" s="26" t="s">
        <v>86</v>
      </c>
      <c r="D134" s="27" t="s">
        <v>12</v>
      </c>
      <c r="E134" s="28" t="s">
        <v>14</v>
      </c>
      <c r="F134" s="25" t="s">
        <v>71</v>
      </c>
      <c r="G134" s="28" t="s">
        <v>14</v>
      </c>
      <c r="H134" s="28" t="s">
        <v>14</v>
      </c>
      <c r="I134" s="29" t="s">
        <v>14</v>
      </c>
      <c r="J134" s="28" t="s">
        <v>14</v>
      </c>
      <c r="K134" s="30" t="s">
        <v>1850</v>
      </c>
      <c r="L134" s="31" t="s">
        <v>1845</v>
      </c>
      <c r="M134" s="45" t="str">
        <f>IFERROR(VLOOKUP(A134,Lookups!#REF!,3,FALSE),"")</f>
        <v/>
      </c>
      <c r="N134" s="46">
        <v>17</v>
      </c>
      <c r="O134" s="47">
        <v>0</v>
      </c>
      <c r="P134" s="48">
        <v>0</v>
      </c>
      <c r="Q134" s="36">
        <v>97.87</v>
      </c>
      <c r="R134" s="37">
        <v>4</v>
      </c>
      <c r="S134" s="38">
        <f t="shared" si="22"/>
        <v>1</v>
      </c>
      <c r="T134" s="39">
        <f t="shared" si="23"/>
        <v>12</v>
      </c>
      <c r="U134" s="40">
        <f t="shared" si="24"/>
        <v>0</v>
      </c>
      <c r="V134" s="40">
        <f t="shared" si="25"/>
        <v>0</v>
      </c>
      <c r="W134" s="40">
        <f t="shared" si="26"/>
        <v>0</v>
      </c>
      <c r="X134" s="40">
        <f t="shared" si="30"/>
        <v>0</v>
      </c>
      <c r="Y134" s="40">
        <f t="shared" si="27"/>
        <v>0</v>
      </c>
      <c r="Z134" s="40">
        <f t="shared" si="28"/>
        <v>0</v>
      </c>
      <c r="AA134" s="40">
        <f t="shared" si="29"/>
        <v>0</v>
      </c>
      <c r="AB134" s="40">
        <f t="shared" si="31"/>
        <v>0</v>
      </c>
      <c r="AC134" s="41">
        <f t="shared" si="32"/>
        <v>0</v>
      </c>
      <c r="AD134" s="49" t="s">
        <v>5</v>
      </c>
      <c r="AE134" s="50" t="s">
        <v>89</v>
      </c>
      <c r="AF134" s="49" t="s">
        <v>5</v>
      </c>
      <c r="AG134" s="50" t="s">
        <v>73</v>
      </c>
      <c r="AH134" s="49"/>
      <c r="AI134" s="50"/>
      <c r="AJ134" s="49" t="s">
        <v>5</v>
      </c>
      <c r="AK134" s="50" t="s">
        <v>111</v>
      </c>
      <c r="AL134" s="49" t="s">
        <v>5</v>
      </c>
      <c r="AM134" s="50" t="s">
        <v>84</v>
      </c>
      <c r="AN134" s="49"/>
      <c r="AO134" s="50"/>
      <c r="AP134" s="49" t="s">
        <v>5</v>
      </c>
      <c r="AQ134" s="50" t="s">
        <v>92</v>
      </c>
      <c r="AR134" s="49" t="s">
        <v>5</v>
      </c>
      <c r="AS134" s="50" t="s">
        <v>93</v>
      </c>
      <c r="AT134" s="49" t="s">
        <v>5</v>
      </c>
      <c r="AU134" s="50" t="s">
        <v>78</v>
      </c>
      <c r="AV134" s="49" t="s">
        <v>5</v>
      </c>
      <c r="AW134" s="50" t="s">
        <v>112</v>
      </c>
      <c r="AX134" s="49" t="s">
        <v>5</v>
      </c>
      <c r="AY134" s="50" t="s">
        <v>95</v>
      </c>
      <c r="AZ134" s="49" t="s">
        <v>5</v>
      </c>
      <c r="BA134" s="50" t="s">
        <v>96</v>
      </c>
      <c r="BB134" s="49" t="s">
        <v>5</v>
      </c>
      <c r="BC134" s="50" t="s">
        <v>108</v>
      </c>
      <c r="BD134" s="49" t="s">
        <v>1</v>
      </c>
      <c r="BE134" s="50" t="s">
        <v>98</v>
      </c>
      <c r="BF134" s="49" t="s">
        <v>5</v>
      </c>
      <c r="BG134" s="50" t="s">
        <v>84</v>
      </c>
    </row>
    <row r="135" spans="1:59" s="44" customFormat="1" x14ac:dyDescent="0.25">
      <c r="A135" s="24">
        <v>160269</v>
      </c>
      <c r="B135" s="25" t="s">
        <v>296</v>
      </c>
      <c r="C135" s="26" t="s">
        <v>168</v>
      </c>
      <c r="D135" s="27" t="s">
        <v>70</v>
      </c>
      <c r="E135" s="28" t="s">
        <v>14</v>
      </c>
      <c r="F135" s="25" t="s">
        <v>126</v>
      </c>
      <c r="G135" s="28" t="s">
        <v>87</v>
      </c>
      <c r="H135" s="28" t="s">
        <v>14</v>
      </c>
      <c r="I135" s="29" t="s">
        <v>14</v>
      </c>
      <c r="J135" s="28" t="s">
        <v>4</v>
      </c>
      <c r="K135" s="30" t="s">
        <v>1850</v>
      </c>
      <c r="L135" s="31" t="s">
        <v>1847</v>
      </c>
      <c r="M135" s="45" t="str">
        <f>IFERROR(VLOOKUP(A135,Lookups!#REF!,3,FALSE),"")</f>
        <v/>
      </c>
      <c r="N135" s="46">
        <v>16</v>
      </c>
      <c r="O135" s="47">
        <v>0</v>
      </c>
      <c r="P135" s="48">
        <v>0</v>
      </c>
      <c r="Q135" s="36">
        <v>91.49</v>
      </c>
      <c r="R135" s="37">
        <v>4</v>
      </c>
      <c r="S135" s="38">
        <f t="shared" si="22"/>
        <v>0</v>
      </c>
      <c r="T135" s="39">
        <f t="shared" si="23"/>
        <v>13</v>
      </c>
      <c r="U135" s="40">
        <f t="shared" si="24"/>
        <v>0</v>
      </c>
      <c r="V135" s="40">
        <f t="shared" si="25"/>
        <v>0</v>
      </c>
      <c r="W135" s="40">
        <f t="shared" si="26"/>
        <v>0</v>
      </c>
      <c r="X135" s="40">
        <f t="shared" si="30"/>
        <v>0</v>
      </c>
      <c r="Y135" s="40">
        <f t="shared" si="27"/>
        <v>0</v>
      </c>
      <c r="Z135" s="40">
        <f t="shared" si="28"/>
        <v>0</v>
      </c>
      <c r="AA135" s="40">
        <f t="shared" si="29"/>
        <v>0</v>
      </c>
      <c r="AB135" s="40">
        <f t="shared" si="31"/>
        <v>0</v>
      </c>
      <c r="AC135" s="41">
        <f t="shared" si="32"/>
        <v>0</v>
      </c>
      <c r="AD135" s="49" t="s">
        <v>5</v>
      </c>
      <c r="AE135" s="50" t="s">
        <v>116</v>
      </c>
      <c r="AF135" s="49" t="s">
        <v>5</v>
      </c>
      <c r="AG135" s="50" t="s">
        <v>73</v>
      </c>
      <c r="AH135" s="49"/>
      <c r="AI135" s="50"/>
      <c r="AJ135" s="49" t="s">
        <v>5</v>
      </c>
      <c r="AK135" s="50" t="s">
        <v>142</v>
      </c>
      <c r="AL135" s="49" t="s">
        <v>5</v>
      </c>
      <c r="AM135" s="50" t="s">
        <v>169</v>
      </c>
      <c r="AN135" s="49" t="s">
        <v>5</v>
      </c>
      <c r="AO135" s="50" t="s">
        <v>75</v>
      </c>
      <c r="AP135" s="49" t="s">
        <v>5</v>
      </c>
      <c r="AQ135" s="50" t="s">
        <v>131</v>
      </c>
      <c r="AR135" s="49" t="s">
        <v>5</v>
      </c>
      <c r="AS135" s="50" t="s">
        <v>120</v>
      </c>
      <c r="AT135" s="49" t="s">
        <v>5</v>
      </c>
      <c r="AU135" s="50" t="s">
        <v>78</v>
      </c>
      <c r="AV135" s="49" t="s">
        <v>5</v>
      </c>
      <c r="AW135" s="50" t="s">
        <v>139</v>
      </c>
      <c r="AX135" s="49" t="s">
        <v>5</v>
      </c>
      <c r="AY135" s="50" t="s">
        <v>95</v>
      </c>
      <c r="AZ135" s="49" t="s">
        <v>5</v>
      </c>
      <c r="BA135" s="50" t="s">
        <v>152</v>
      </c>
      <c r="BB135" s="49" t="s">
        <v>5</v>
      </c>
      <c r="BC135" s="50" t="s">
        <v>82</v>
      </c>
      <c r="BD135" s="49" t="s">
        <v>5</v>
      </c>
      <c r="BE135" s="50" t="s">
        <v>140</v>
      </c>
      <c r="BF135" s="49"/>
      <c r="BG135" s="50"/>
    </row>
    <row r="136" spans="1:59" s="44" customFormat="1" x14ac:dyDescent="0.25">
      <c r="A136" s="24">
        <v>160270</v>
      </c>
      <c r="B136" s="25" t="s">
        <v>297</v>
      </c>
      <c r="C136" s="26" t="s">
        <v>100</v>
      </c>
      <c r="D136" s="27" t="s">
        <v>70</v>
      </c>
      <c r="E136" s="28" t="s">
        <v>14</v>
      </c>
      <c r="F136" s="25" t="s">
        <v>88</v>
      </c>
      <c r="G136" s="28" t="s">
        <v>14</v>
      </c>
      <c r="H136" s="28" t="s">
        <v>14</v>
      </c>
      <c r="I136" s="29" t="s">
        <v>14</v>
      </c>
      <c r="J136" s="28" t="s">
        <v>14</v>
      </c>
      <c r="K136" s="30" t="s">
        <v>1850</v>
      </c>
      <c r="L136" s="31" t="s">
        <v>1845</v>
      </c>
      <c r="M136" s="45" t="str">
        <f>IFERROR(VLOOKUP(A136,Lookups!#REF!,3,FALSE),"")</f>
        <v/>
      </c>
      <c r="N136" s="46">
        <v>19</v>
      </c>
      <c r="O136" s="47">
        <v>0</v>
      </c>
      <c r="P136" s="48">
        <v>0</v>
      </c>
      <c r="Q136" s="36">
        <v>100</v>
      </c>
      <c r="R136" s="37">
        <v>0</v>
      </c>
      <c r="S136" s="38">
        <f t="shared" si="22"/>
        <v>0</v>
      </c>
      <c r="T136" s="39">
        <f t="shared" si="23"/>
        <v>13</v>
      </c>
      <c r="U136" s="40">
        <f t="shared" si="24"/>
        <v>0</v>
      </c>
      <c r="V136" s="40">
        <f t="shared" si="25"/>
        <v>0</v>
      </c>
      <c r="W136" s="40">
        <f t="shared" si="26"/>
        <v>0</v>
      </c>
      <c r="X136" s="40">
        <f t="shared" si="30"/>
        <v>0</v>
      </c>
      <c r="Y136" s="40">
        <f t="shared" si="27"/>
        <v>0</v>
      </c>
      <c r="Z136" s="40">
        <f t="shared" si="28"/>
        <v>0</v>
      </c>
      <c r="AA136" s="40">
        <f t="shared" si="29"/>
        <v>0</v>
      </c>
      <c r="AB136" s="40">
        <f t="shared" si="31"/>
        <v>0</v>
      </c>
      <c r="AC136" s="41">
        <f t="shared" si="32"/>
        <v>0</v>
      </c>
      <c r="AD136" s="49" t="s">
        <v>5</v>
      </c>
      <c r="AE136" s="50" t="s">
        <v>72</v>
      </c>
      <c r="AF136" s="49" t="s">
        <v>5</v>
      </c>
      <c r="AG136" s="50" t="s">
        <v>73</v>
      </c>
      <c r="AH136" s="49"/>
      <c r="AI136" s="50"/>
      <c r="AJ136" s="49" t="s">
        <v>5</v>
      </c>
      <c r="AK136" s="50" t="s">
        <v>102</v>
      </c>
      <c r="AL136" s="49" t="s">
        <v>5</v>
      </c>
      <c r="AM136" s="50" t="s">
        <v>76</v>
      </c>
      <c r="AN136" s="49" t="s">
        <v>5</v>
      </c>
      <c r="AO136" s="50" t="s">
        <v>103</v>
      </c>
      <c r="AP136" s="49" t="s">
        <v>5</v>
      </c>
      <c r="AQ136" s="50" t="s">
        <v>92</v>
      </c>
      <c r="AR136" s="49" t="s">
        <v>5</v>
      </c>
      <c r="AS136" s="50" t="s">
        <v>120</v>
      </c>
      <c r="AT136" s="49" t="s">
        <v>5</v>
      </c>
      <c r="AU136" s="50" t="s">
        <v>105</v>
      </c>
      <c r="AV136" s="49" t="s">
        <v>5</v>
      </c>
      <c r="AW136" s="50" t="s">
        <v>106</v>
      </c>
      <c r="AX136" s="49" t="s">
        <v>5</v>
      </c>
      <c r="AY136" s="50" t="s">
        <v>80</v>
      </c>
      <c r="AZ136" s="49" t="s">
        <v>5</v>
      </c>
      <c r="BA136" s="50" t="s">
        <v>121</v>
      </c>
      <c r="BB136" s="49" t="s">
        <v>5</v>
      </c>
      <c r="BC136" s="50" t="s">
        <v>108</v>
      </c>
      <c r="BD136" s="49" t="s">
        <v>5</v>
      </c>
      <c r="BE136" s="50" t="s">
        <v>206</v>
      </c>
      <c r="BF136" s="49"/>
      <c r="BG136" s="50"/>
    </row>
    <row r="137" spans="1:59" s="44" customFormat="1" x14ac:dyDescent="0.25">
      <c r="A137" s="24">
        <v>160272</v>
      </c>
      <c r="B137" s="25" t="s">
        <v>298</v>
      </c>
      <c r="C137" s="26" t="s">
        <v>100</v>
      </c>
      <c r="D137" s="27" t="s">
        <v>70</v>
      </c>
      <c r="E137" s="28" t="s">
        <v>14</v>
      </c>
      <c r="F137" s="25" t="s">
        <v>71</v>
      </c>
      <c r="G137" s="28" t="s">
        <v>14</v>
      </c>
      <c r="H137" s="28" t="s">
        <v>14</v>
      </c>
      <c r="I137" s="29" t="s">
        <v>14</v>
      </c>
      <c r="J137" s="28" t="s">
        <v>14</v>
      </c>
      <c r="K137" s="30" t="s">
        <v>1850</v>
      </c>
      <c r="L137" s="31" t="s">
        <v>1845</v>
      </c>
      <c r="M137" s="45" t="str">
        <f>IFERROR(VLOOKUP(A137,Lookups!#REF!,3,FALSE),"")</f>
        <v/>
      </c>
      <c r="N137" s="46">
        <v>22</v>
      </c>
      <c r="O137" s="47">
        <v>0</v>
      </c>
      <c r="P137" s="48">
        <v>0</v>
      </c>
      <c r="Q137" s="36">
        <v>100</v>
      </c>
      <c r="R137" s="37">
        <v>0</v>
      </c>
      <c r="S137" s="38">
        <f t="shared" si="22"/>
        <v>1</v>
      </c>
      <c r="T137" s="39">
        <f t="shared" si="23"/>
        <v>12</v>
      </c>
      <c r="U137" s="40">
        <f t="shared" si="24"/>
        <v>0</v>
      </c>
      <c r="V137" s="40">
        <f t="shared" si="25"/>
        <v>0</v>
      </c>
      <c r="W137" s="40">
        <f t="shared" si="26"/>
        <v>0</v>
      </c>
      <c r="X137" s="40">
        <f t="shared" si="30"/>
        <v>0</v>
      </c>
      <c r="Y137" s="40">
        <f t="shared" si="27"/>
        <v>0</v>
      </c>
      <c r="Z137" s="40">
        <f t="shared" si="28"/>
        <v>0</v>
      </c>
      <c r="AA137" s="40">
        <f t="shared" si="29"/>
        <v>0</v>
      </c>
      <c r="AB137" s="40">
        <f t="shared" si="31"/>
        <v>0</v>
      </c>
      <c r="AC137" s="41">
        <f t="shared" si="32"/>
        <v>0</v>
      </c>
      <c r="AD137" s="49" t="s">
        <v>5</v>
      </c>
      <c r="AE137" s="50" t="s">
        <v>72</v>
      </c>
      <c r="AF137" s="49"/>
      <c r="AG137" s="50"/>
      <c r="AH137" s="49" t="s">
        <v>5</v>
      </c>
      <c r="AI137" s="50" t="s">
        <v>101</v>
      </c>
      <c r="AJ137" s="49" t="s">
        <v>5</v>
      </c>
      <c r="AK137" s="50" t="s">
        <v>102</v>
      </c>
      <c r="AL137" s="49" t="s">
        <v>5</v>
      </c>
      <c r="AM137" s="50" t="s">
        <v>76</v>
      </c>
      <c r="AN137" s="49" t="s">
        <v>5</v>
      </c>
      <c r="AO137" s="50" t="s">
        <v>103</v>
      </c>
      <c r="AP137" s="49" t="s">
        <v>5</v>
      </c>
      <c r="AQ137" s="50" t="s">
        <v>92</v>
      </c>
      <c r="AR137" s="49" t="s">
        <v>5</v>
      </c>
      <c r="AS137" s="50" t="s">
        <v>120</v>
      </c>
      <c r="AT137" s="49" t="s">
        <v>5</v>
      </c>
      <c r="AU137" s="50" t="s">
        <v>105</v>
      </c>
      <c r="AV137" s="49" t="s">
        <v>1</v>
      </c>
      <c r="AW137" s="50" t="s">
        <v>106</v>
      </c>
      <c r="AX137" s="49" t="s">
        <v>5</v>
      </c>
      <c r="AY137" s="50" t="s">
        <v>80</v>
      </c>
      <c r="AZ137" s="49" t="s">
        <v>5</v>
      </c>
      <c r="BA137" s="50" t="s">
        <v>121</v>
      </c>
      <c r="BB137" s="49" t="s">
        <v>5</v>
      </c>
      <c r="BC137" s="50" t="s">
        <v>108</v>
      </c>
      <c r="BD137" s="49" t="s">
        <v>5</v>
      </c>
      <c r="BE137" s="50" t="s">
        <v>109</v>
      </c>
      <c r="BF137" s="49"/>
      <c r="BG137" s="50"/>
    </row>
    <row r="138" spans="1:59" s="44" customFormat="1" x14ac:dyDescent="0.25">
      <c r="A138" s="24">
        <v>160273</v>
      </c>
      <c r="B138" s="25" t="s">
        <v>299</v>
      </c>
      <c r="C138" s="26" t="s">
        <v>69</v>
      </c>
      <c r="D138" s="27" t="s">
        <v>70</v>
      </c>
      <c r="E138" s="28" t="s">
        <v>87</v>
      </c>
      <c r="F138" s="25" t="s">
        <v>88</v>
      </c>
      <c r="G138" s="28" t="s">
        <v>87</v>
      </c>
      <c r="H138" s="28" t="s">
        <v>87</v>
      </c>
      <c r="I138" s="29" t="s">
        <v>14</v>
      </c>
      <c r="J138" s="28" t="s">
        <v>14</v>
      </c>
      <c r="K138" s="30" t="s">
        <v>1850</v>
      </c>
      <c r="L138" s="31" t="s">
        <v>1842</v>
      </c>
      <c r="M138" s="45" t="str">
        <f>IFERROR(VLOOKUP(A138,Lookups!#REF!,3,FALSE),"")</f>
        <v/>
      </c>
      <c r="N138" s="46">
        <v>24</v>
      </c>
      <c r="O138" s="47">
        <v>1</v>
      </c>
      <c r="P138" s="48">
        <v>0</v>
      </c>
      <c r="Q138" s="36">
        <v>100</v>
      </c>
      <c r="R138" s="37">
        <v>0</v>
      </c>
      <c r="S138" s="38">
        <f t="shared" si="22"/>
        <v>0</v>
      </c>
      <c r="T138" s="39">
        <f t="shared" si="23"/>
        <v>13</v>
      </c>
      <c r="U138" s="40">
        <f t="shared" si="24"/>
        <v>0</v>
      </c>
      <c r="V138" s="40">
        <f t="shared" si="25"/>
        <v>0</v>
      </c>
      <c r="W138" s="40">
        <f t="shared" si="26"/>
        <v>0</v>
      </c>
      <c r="X138" s="40">
        <f t="shared" si="30"/>
        <v>0</v>
      </c>
      <c r="Y138" s="40">
        <f t="shared" si="27"/>
        <v>0</v>
      </c>
      <c r="Z138" s="40">
        <f t="shared" si="28"/>
        <v>0</v>
      </c>
      <c r="AA138" s="40">
        <f t="shared" si="29"/>
        <v>0</v>
      </c>
      <c r="AB138" s="40">
        <f t="shared" si="31"/>
        <v>0</v>
      </c>
      <c r="AC138" s="41">
        <f t="shared" si="32"/>
        <v>0</v>
      </c>
      <c r="AD138" s="49" t="s">
        <v>5</v>
      </c>
      <c r="AE138" s="50" t="s">
        <v>72</v>
      </c>
      <c r="AF138" s="49" t="s">
        <v>5</v>
      </c>
      <c r="AG138" s="50" t="s">
        <v>73</v>
      </c>
      <c r="AH138" s="49"/>
      <c r="AI138" s="50"/>
      <c r="AJ138" s="49" t="s">
        <v>5</v>
      </c>
      <c r="AK138" s="50" t="s">
        <v>127</v>
      </c>
      <c r="AL138" s="49" t="s">
        <v>5</v>
      </c>
      <c r="AM138" s="50" t="s">
        <v>75</v>
      </c>
      <c r="AN138" s="49"/>
      <c r="AO138" s="50"/>
      <c r="AP138" s="49" t="s">
        <v>5</v>
      </c>
      <c r="AQ138" s="50" t="s">
        <v>76</v>
      </c>
      <c r="AR138" s="49" t="s">
        <v>5</v>
      </c>
      <c r="AS138" s="50" t="s">
        <v>77</v>
      </c>
      <c r="AT138" s="49" t="s">
        <v>5</v>
      </c>
      <c r="AU138" s="50" t="s">
        <v>78</v>
      </c>
      <c r="AV138" s="49" t="s">
        <v>5</v>
      </c>
      <c r="AW138" s="50" t="s">
        <v>94</v>
      </c>
      <c r="AX138" s="49" t="s">
        <v>5</v>
      </c>
      <c r="AY138" s="50" t="s">
        <v>80</v>
      </c>
      <c r="AZ138" s="49" t="s">
        <v>5</v>
      </c>
      <c r="BA138" s="50" t="s">
        <v>81</v>
      </c>
      <c r="BB138" s="49" t="s">
        <v>5</v>
      </c>
      <c r="BC138" s="50" t="s">
        <v>82</v>
      </c>
      <c r="BD138" s="49" t="s">
        <v>5</v>
      </c>
      <c r="BE138" s="50" t="s">
        <v>83</v>
      </c>
      <c r="BF138" s="49" t="s">
        <v>5</v>
      </c>
      <c r="BG138" s="50" t="s">
        <v>84</v>
      </c>
    </row>
    <row r="139" spans="1:59" s="44" customFormat="1" x14ac:dyDescent="0.25">
      <c r="A139" s="24">
        <v>160274</v>
      </c>
      <c r="B139" s="25" t="s">
        <v>300</v>
      </c>
      <c r="C139" s="26" t="s">
        <v>100</v>
      </c>
      <c r="D139" s="27" t="s">
        <v>12</v>
      </c>
      <c r="E139" s="28" t="s">
        <v>14</v>
      </c>
      <c r="F139" s="25" t="s">
        <v>88</v>
      </c>
      <c r="G139" s="28" t="s">
        <v>87</v>
      </c>
      <c r="H139" s="28" t="s">
        <v>14</v>
      </c>
      <c r="I139" s="29" t="s">
        <v>14</v>
      </c>
      <c r="J139" s="28" t="s">
        <v>14</v>
      </c>
      <c r="K139" s="30" t="s">
        <v>1850</v>
      </c>
      <c r="L139" s="31" t="s">
        <v>1844</v>
      </c>
      <c r="M139" s="45" t="str">
        <f>IFERROR(VLOOKUP(A139,Lookups!#REF!,3,FALSE),"")</f>
        <v/>
      </c>
      <c r="N139" s="46">
        <v>17</v>
      </c>
      <c r="O139" s="47">
        <v>0</v>
      </c>
      <c r="P139" s="48">
        <v>0</v>
      </c>
      <c r="Q139" s="36">
        <v>100</v>
      </c>
      <c r="R139" s="37">
        <v>0</v>
      </c>
      <c r="S139" s="38">
        <f t="shared" si="22"/>
        <v>0</v>
      </c>
      <c r="T139" s="39">
        <f t="shared" si="23"/>
        <v>13</v>
      </c>
      <c r="U139" s="40">
        <f t="shared" si="24"/>
        <v>0</v>
      </c>
      <c r="V139" s="40">
        <f t="shared" si="25"/>
        <v>0</v>
      </c>
      <c r="W139" s="40">
        <f t="shared" si="26"/>
        <v>0</v>
      </c>
      <c r="X139" s="40">
        <f t="shared" si="30"/>
        <v>0</v>
      </c>
      <c r="Y139" s="40">
        <f t="shared" si="27"/>
        <v>0</v>
      </c>
      <c r="Z139" s="40">
        <f t="shared" si="28"/>
        <v>0</v>
      </c>
      <c r="AA139" s="40">
        <f t="shared" si="29"/>
        <v>0</v>
      </c>
      <c r="AB139" s="40">
        <f t="shared" si="31"/>
        <v>0</v>
      </c>
      <c r="AC139" s="41">
        <f t="shared" si="32"/>
        <v>0</v>
      </c>
      <c r="AD139" s="49" t="s">
        <v>5</v>
      </c>
      <c r="AE139" s="50" t="s">
        <v>72</v>
      </c>
      <c r="AF139" s="49"/>
      <c r="AG139" s="50"/>
      <c r="AH139" s="49" t="s">
        <v>5</v>
      </c>
      <c r="AI139" s="50" t="s">
        <v>101</v>
      </c>
      <c r="AJ139" s="49" t="s">
        <v>5</v>
      </c>
      <c r="AK139" s="50" t="s">
        <v>102</v>
      </c>
      <c r="AL139" s="49" t="s">
        <v>5</v>
      </c>
      <c r="AM139" s="50" t="s">
        <v>76</v>
      </c>
      <c r="AN139" s="49" t="s">
        <v>5</v>
      </c>
      <c r="AO139" s="50" t="s">
        <v>103</v>
      </c>
      <c r="AP139" s="49" t="s">
        <v>5</v>
      </c>
      <c r="AQ139" s="50" t="s">
        <v>92</v>
      </c>
      <c r="AR139" s="49" t="s">
        <v>5</v>
      </c>
      <c r="AS139" s="50" t="s">
        <v>104</v>
      </c>
      <c r="AT139" s="49" t="s">
        <v>5</v>
      </c>
      <c r="AU139" s="50" t="s">
        <v>105</v>
      </c>
      <c r="AV139" s="49" t="s">
        <v>5</v>
      </c>
      <c r="AW139" s="50" t="s">
        <v>112</v>
      </c>
      <c r="AX139" s="49" t="s">
        <v>5</v>
      </c>
      <c r="AY139" s="50" t="s">
        <v>80</v>
      </c>
      <c r="AZ139" s="49" t="s">
        <v>5</v>
      </c>
      <c r="BA139" s="50" t="s">
        <v>107</v>
      </c>
      <c r="BB139" s="49" t="s">
        <v>5</v>
      </c>
      <c r="BC139" s="50" t="s">
        <v>108</v>
      </c>
      <c r="BD139" s="49" t="s">
        <v>5</v>
      </c>
      <c r="BE139" s="50" t="s">
        <v>206</v>
      </c>
      <c r="BF139" s="49"/>
      <c r="BG139" s="50"/>
    </row>
    <row r="140" spans="1:59" s="44" customFormat="1" x14ac:dyDescent="0.25">
      <c r="A140" s="24">
        <v>160275</v>
      </c>
      <c r="B140" s="25" t="s">
        <v>301</v>
      </c>
      <c r="C140" s="26" t="s">
        <v>129</v>
      </c>
      <c r="D140" s="27" t="s">
        <v>70</v>
      </c>
      <c r="E140" s="28" t="s">
        <v>14</v>
      </c>
      <c r="F140" s="25" t="s">
        <v>158</v>
      </c>
      <c r="G140" s="28" t="s">
        <v>14</v>
      </c>
      <c r="H140" s="28" t="s">
        <v>14</v>
      </c>
      <c r="I140" s="29" t="s">
        <v>14</v>
      </c>
      <c r="J140" s="28" t="s">
        <v>14</v>
      </c>
      <c r="K140" s="30" t="s">
        <v>1850</v>
      </c>
      <c r="L140" s="31" t="s">
        <v>1842</v>
      </c>
      <c r="M140" s="45" t="str">
        <f>IFERROR(VLOOKUP(A140,Lookups!#REF!,3,FALSE),"")</f>
        <v/>
      </c>
      <c r="N140" s="46">
        <v>36</v>
      </c>
      <c r="O140" s="47">
        <v>0</v>
      </c>
      <c r="P140" s="48">
        <v>1</v>
      </c>
      <c r="Q140" s="36">
        <v>100</v>
      </c>
      <c r="R140" s="37">
        <v>1</v>
      </c>
      <c r="S140" s="38">
        <f t="shared" si="22"/>
        <v>2</v>
      </c>
      <c r="T140" s="39">
        <f t="shared" si="23"/>
        <v>11</v>
      </c>
      <c r="U140" s="40">
        <f t="shared" si="24"/>
        <v>0</v>
      </c>
      <c r="V140" s="40">
        <f t="shared" si="25"/>
        <v>0</v>
      </c>
      <c r="W140" s="40">
        <f t="shared" si="26"/>
        <v>0</v>
      </c>
      <c r="X140" s="40">
        <f t="shared" si="30"/>
        <v>0</v>
      </c>
      <c r="Y140" s="40">
        <f t="shared" si="27"/>
        <v>0</v>
      </c>
      <c r="Z140" s="40">
        <f t="shared" si="28"/>
        <v>0</v>
      </c>
      <c r="AA140" s="40">
        <f t="shared" si="29"/>
        <v>0</v>
      </c>
      <c r="AB140" s="40">
        <f t="shared" si="31"/>
        <v>0</v>
      </c>
      <c r="AC140" s="41">
        <f t="shared" si="32"/>
        <v>0</v>
      </c>
      <c r="AD140" s="49" t="s">
        <v>5</v>
      </c>
      <c r="AE140" s="50" t="s">
        <v>89</v>
      </c>
      <c r="AF140" s="49" t="s">
        <v>5</v>
      </c>
      <c r="AG140" s="50" t="s">
        <v>117</v>
      </c>
      <c r="AH140" s="49"/>
      <c r="AI140" s="50"/>
      <c r="AJ140" s="49" t="s">
        <v>5</v>
      </c>
      <c r="AK140" s="50" t="s">
        <v>118</v>
      </c>
      <c r="AL140" s="49" t="s">
        <v>5</v>
      </c>
      <c r="AM140" s="50" t="s">
        <v>74</v>
      </c>
      <c r="AN140" s="49" t="s">
        <v>5</v>
      </c>
      <c r="AO140" s="50" t="s">
        <v>130</v>
      </c>
      <c r="AP140" s="49" t="s">
        <v>5</v>
      </c>
      <c r="AQ140" s="50" t="s">
        <v>144</v>
      </c>
      <c r="AR140" s="49" t="s">
        <v>5</v>
      </c>
      <c r="AS140" s="50" t="s">
        <v>132</v>
      </c>
      <c r="AT140" s="49" t="s">
        <v>5</v>
      </c>
      <c r="AU140" s="50" t="s">
        <v>105</v>
      </c>
      <c r="AV140" s="49" t="s">
        <v>1</v>
      </c>
      <c r="AW140" s="50" t="s">
        <v>79</v>
      </c>
      <c r="AX140" s="49" t="s">
        <v>1</v>
      </c>
      <c r="AY140" s="50" t="s">
        <v>80</v>
      </c>
      <c r="AZ140" s="49" t="s">
        <v>5</v>
      </c>
      <c r="BA140" s="50" t="s">
        <v>81</v>
      </c>
      <c r="BB140" s="49" t="s">
        <v>5</v>
      </c>
      <c r="BC140" s="50" t="s">
        <v>153</v>
      </c>
      <c r="BD140" s="49" t="s">
        <v>5</v>
      </c>
      <c r="BE140" s="50" t="s">
        <v>133</v>
      </c>
      <c r="BF140" s="49"/>
      <c r="BG140" s="50"/>
    </row>
    <row r="141" spans="1:59" s="44" customFormat="1" x14ac:dyDescent="0.25">
      <c r="A141" s="24">
        <v>160276</v>
      </c>
      <c r="B141" s="25" t="s">
        <v>302</v>
      </c>
      <c r="C141" s="26" t="s">
        <v>86</v>
      </c>
      <c r="D141" s="27" t="s">
        <v>70</v>
      </c>
      <c r="E141" s="28" t="s">
        <v>87</v>
      </c>
      <c r="F141" s="25" t="s">
        <v>88</v>
      </c>
      <c r="G141" s="28" t="s">
        <v>14</v>
      </c>
      <c r="H141" s="28" t="s">
        <v>87</v>
      </c>
      <c r="I141" s="29" t="s">
        <v>14</v>
      </c>
      <c r="J141" s="28" t="s">
        <v>14</v>
      </c>
      <c r="K141" s="30" t="s">
        <v>1850</v>
      </c>
      <c r="L141" s="31" t="s">
        <v>1845</v>
      </c>
      <c r="M141" s="45" t="str">
        <f>IFERROR(VLOOKUP(A141,Lookups!#REF!,3,FALSE),"")</f>
        <v/>
      </c>
      <c r="N141" s="46">
        <v>17</v>
      </c>
      <c r="O141" s="47">
        <v>0</v>
      </c>
      <c r="P141" s="48">
        <v>0</v>
      </c>
      <c r="Q141" s="36">
        <v>95.74</v>
      </c>
      <c r="R141" s="37">
        <v>3</v>
      </c>
      <c r="S141" s="38">
        <f t="shared" si="22"/>
        <v>1</v>
      </c>
      <c r="T141" s="39">
        <f t="shared" si="23"/>
        <v>12</v>
      </c>
      <c r="U141" s="40">
        <f t="shared" si="24"/>
        <v>0</v>
      </c>
      <c r="V141" s="40">
        <f t="shared" si="25"/>
        <v>0</v>
      </c>
      <c r="W141" s="40">
        <f t="shared" si="26"/>
        <v>0</v>
      </c>
      <c r="X141" s="40">
        <f t="shared" si="30"/>
        <v>0</v>
      </c>
      <c r="Y141" s="40">
        <f t="shared" si="27"/>
        <v>0</v>
      </c>
      <c r="Z141" s="40">
        <f t="shared" si="28"/>
        <v>0</v>
      </c>
      <c r="AA141" s="40">
        <f t="shared" si="29"/>
        <v>0</v>
      </c>
      <c r="AB141" s="40">
        <f t="shared" si="31"/>
        <v>0</v>
      </c>
      <c r="AC141" s="41">
        <f t="shared" si="32"/>
        <v>0</v>
      </c>
      <c r="AD141" s="49" t="s">
        <v>5</v>
      </c>
      <c r="AE141" s="50" t="s">
        <v>89</v>
      </c>
      <c r="AF141" s="49"/>
      <c r="AG141" s="50"/>
      <c r="AH141" s="49" t="s">
        <v>5</v>
      </c>
      <c r="AI141" s="50" t="s">
        <v>101</v>
      </c>
      <c r="AJ141" s="49" t="s">
        <v>5</v>
      </c>
      <c r="AK141" s="50" t="s">
        <v>91</v>
      </c>
      <c r="AL141" s="49" t="s">
        <v>5</v>
      </c>
      <c r="AM141" s="50" t="s">
        <v>84</v>
      </c>
      <c r="AN141" s="49"/>
      <c r="AO141" s="50"/>
      <c r="AP141" s="49" t="s">
        <v>5</v>
      </c>
      <c r="AQ141" s="50" t="s">
        <v>92</v>
      </c>
      <c r="AR141" s="49" t="s">
        <v>5</v>
      </c>
      <c r="AS141" s="50" t="s">
        <v>93</v>
      </c>
      <c r="AT141" s="49" t="s">
        <v>5</v>
      </c>
      <c r="AU141" s="50" t="s">
        <v>78</v>
      </c>
      <c r="AV141" s="49" t="s">
        <v>5</v>
      </c>
      <c r="AW141" s="50" t="s">
        <v>106</v>
      </c>
      <c r="AX141" s="49" t="s">
        <v>5</v>
      </c>
      <c r="AY141" s="50" t="s">
        <v>95</v>
      </c>
      <c r="AZ141" s="49" t="s">
        <v>5</v>
      </c>
      <c r="BA141" s="50" t="s">
        <v>81</v>
      </c>
      <c r="BB141" s="49" t="s">
        <v>5</v>
      </c>
      <c r="BC141" s="50" t="s">
        <v>108</v>
      </c>
      <c r="BD141" s="49" t="s">
        <v>1</v>
      </c>
      <c r="BE141" s="50" t="s">
        <v>98</v>
      </c>
      <c r="BF141" s="49" t="s">
        <v>5</v>
      </c>
      <c r="BG141" s="50" t="s">
        <v>84</v>
      </c>
    </row>
    <row r="142" spans="1:59" s="44" customFormat="1" x14ac:dyDescent="0.25">
      <c r="A142" s="24">
        <v>160277</v>
      </c>
      <c r="B142" s="25" t="s">
        <v>303</v>
      </c>
      <c r="C142" s="26" t="s">
        <v>69</v>
      </c>
      <c r="D142" s="27" t="s">
        <v>12</v>
      </c>
      <c r="E142" s="28" t="s">
        <v>14</v>
      </c>
      <c r="F142" s="25" t="s">
        <v>88</v>
      </c>
      <c r="G142" s="28" t="s">
        <v>87</v>
      </c>
      <c r="H142" s="28" t="s">
        <v>14</v>
      </c>
      <c r="I142" s="29" t="s">
        <v>14</v>
      </c>
      <c r="J142" s="28" t="s">
        <v>6</v>
      </c>
      <c r="K142" s="30" t="s">
        <v>1850</v>
      </c>
      <c r="L142" s="31" t="s">
        <v>1842</v>
      </c>
      <c r="M142" s="45" t="str">
        <f>IFERROR(VLOOKUP(A142,Lookups!#REF!,3,FALSE),"")</f>
        <v/>
      </c>
      <c r="N142" s="46">
        <v>31</v>
      </c>
      <c r="O142" s="47">
        <v>0</v>
      </c>
      <c r="P142" s="48">
        <v>0</v>
      </c>
      <c r="Q142" s="36">
        <v>100</v>
      </c>
      <c r="R142" s="37">
        <v>0</v>
      </c>
      <c r="S142" s="38">
        <f t="shared" si="22"/>
        <v>1</v>
      </c>
      <c r="T142" s="39">
        <f t="shared" si="23"/>
        <v>12</v>
      </c>
      <c r="U142" s="40">
        <f t="shared" si="24"/>
        <v>0</v>
      </c>
      <c r="V142" s="40">
        <f t="shared" si="25"/>
        <v>0</v>
      </c>
      <c r="W142" s="40">
        <f t="shared" si="26"/>
        <v>0</v>
      </c>
      <c r="X142" s="40">
        <f t="shared" si="30"/>
        <v>0</v>
      </c>
      <c r="Y142" s="40">
        <f t="shared" si="27"/>
        <v>0</v>
      </c>
      <c r="Z142" s="40">
        <f t="shared" si="28"/>
        <v>0</v>
      </c>
      <c r="AA142" s="40">
        <f t="shared" si="29"/>
        <v>0</v>
      </c>
      <c r="AB142" s="40">
        <f t="shared" si="31"/>
        <v>0</v>
      </c>
      <c r="AC142" s="41">
        <f t="shared" si="32"/>
        <v>0</v>
      </c>
      <c r="AD142" s="49" t="s">
        <v>5</v>
      </c>
      <c r="AE142" s="50" t="s">
        <v>116</v>
      </c>
      <c r="AF142" s="49"/>
      <c r="AG142" s="50"/>
      <c r="AH142" s="49" t="s">
        <v>5</v>
      </c>
      <c r="AI142" s="50" t="s">
        <v>101</v>
      </c>
      <c r="AJ142" s="49" t="s">
        <v>5</v>
      </c>
      <c r="AK142" s="50" t="s">
        <v>74</v>
      </c>
      <c r="AL142" s="49" t="s">
        <v>5</v>
      </c>
      <c r="AM142" s="50" t="s">
        <v>75</v>
      </c>
      <c r="AN142" s="49"/>
      <c r="AO142" s="50"/>
      <c r="AP142" s="49" t="s">
        <v>5</v>
      </c>
      <c r="AQ142" s="50" t="s">
        <v>131</v>
      </c>
      <c r="AR142" s="49" t="s">
        <v>5</v>
      </c>
      <c r="AS142" s="50" t="s">
        <v>120</v>
      </c>
      <c r="AT142" s="49" t="s">
        <v>5</v>
      </c>
      <c r="AU142" s="50" t="s">
        <v>78</v>
      </c>
      <c r="AV142" s="49" t="s">
        <v>5</v>
      </c>
      <c r="AW142" s="50" t="s">
        <v>94</v>
      </c>
      <c r="AX142" s="49" t="s">
        <v>5</v>
      </c>
      <c r="AY142" s="50" t="s">
        <v>80</v>
      </c>
      <c r="AZ142" s="49" t="s">
        <v>1</v>
      </c>
      <c r="BA142" s="50" t="s">
        <v>96</v>
      </c>
      <c r="BB142" s="49" t="s">
        <v>5</v>
      </c>
      <c r="BC142" s="50" t="s">
        <v>82</v>
      </c>
      <c r="BD142" s="49" t="s">
        <v>5</v>
      </c>
      <c r="BE142" s="50" t="s">
        <v>83</v>
      </c>
      <c r="BF142" s="49" t="s">
        <v>5</v>
      </c>
      <c r="BG142" s="50" t="s">
        <v>84</v>
      </c>
    </row>
    <row r="143" spans="1:59" s="44" customFormat="1" x14ac:dyDescent="0.25">
      <c r="A143" s="24">
        <v>160278</v>
      </c>
      <c r="B143" s="25" t="s">
        <v>304</v>
      </c>
      <c r="C143" s="26" t="s">
        <v>114</v>
      </c>
      <c r="D143" s="27" t="s">
        <v>70</v>
      </c>
      <c r="E143" s="28" t="s">
        <v>14</v>
      </c>
      <c r="F143" s="25" t="s">
        <v>88</v>
      </c>
      <c r="G143" s="28" t="s">
        <v>87</v>
      </c>
      <c r="H143" s="28" t="s">
        <v>14</v>
      </c>
      <c r="I143" s="29" t="s">
        <v>14</v>
      </c>
      <c r="J143" s="28" t="s">
        <v>14</v>
      </c>
      <c r="K143" s="30" t="s">
        <v>1850</v>
      </c>
      <c r="L143" s="31" t="s">
        <v>1842</v>
      </c>
      <c r="M143" s="45" t="str">
        <f>IFERROR(VLOOKUP(A143,Lookups!#REF!,3,FALSE),"")</f>
        <v/>
      </c>
      <c r="N143" s="46">
        <v>30</v>
      </c>
      <c r="O143" s="47">
        <v>0</v>
      </c>
      <c r="P143" s="48">
        <v>2</v>
      </c>
      <c r="Q143" s="36">
        <v>100</v>
      </c>
      <c r="R143" s="37">
        <v>1</v>
      </c>
      <c r="S143" s="38">
        <f t="shared" si="22"/>
        <v>0</v>
      </c>
      <c r="T143" s="39">
        <f t="shared" si="23"/>
        <v>13</v>
      </c>
      <c r="U143" s="40">
        <f t="shared" si="24"/>
        <v>0</v>
      </c>
      <c r="V143" s="40">
        <f t="shared" si="25"/>
        <v>0</v>
      </c>
      <c r="W143" s="40">
        <f t="shared" si="26"/>
        <v>0</v>
      </c>
      <c r="X143" s="40">
        <f t="shared" si="30"/>
        <v>0</v>
      </c>
      <c r="Y143" s="40">
        <f t="shared" si="27"/>
        <v>0</v>
      </c>
      <c r="Z143" s="40">
        <f t="shared" si="28"/>
        <v>0</v>
      </c>
      <c r="AA143" s="40">
        <f t="shared" si="29"/>
        <v>0</v>
      </c>
      <c r="AB143" s="40">
        <f t="shared" si="31"/>
        <v>0</v>
      </c>
      <c r="AC143" s="41">
        <f t="shared" si="32"/>
        <v>0</v>
      </c>
      <c r="AD143" s="49" t="s">
        <v>5</v>
      </c>
      <c r="AE143" s="50" t="s">
        <v>116</v>
      </c>
      <c r="AF143" s="49" t="s">
        <v>5</v>
      </c>
      <c r="AG143" s="50" t="s">
        <v>90</v>
      </c>
      <c r="AH143" s="49"/>
      <c r="AI143" s="50"/>
      <c r="AJ143" s="49" t="s">
        <v>5</v>
      </c>
      <c r="AK143" s="50" t="s">
        <v>118</v>
      </c>
      <c r="AL143" s="49" t="s">
        <v>5</v>
      </c>
      <c r="AM143" s="50" t="s">
        <v>112</v>
      </c>
      <c r="AN143" s="49"/>
      <c r="AO143" s="50"/>
      <c r="AP143" s="49" t="s">
        <v>5</v>
      </c>
      <c r="AQ143" s="50" t="s">
        <v>119</v>
      </c>
      <c r="AR143" s="49" t="s">
        <v>5</v>
      </c>
      <c r="AS143" s="50" t="s">
        <v>120</v>
      </c>
      <c r="AT143" s="49" t="s">
        <v>5</v>
      </c>
      <c r="AU143" s="50" t="s">
        <v>78</v>
      </c>
      <c r="AV143" s="49" t="s">
        <v>5</v>
      </c>
      <c r="AW143" s="50" t="s">
        <v>112</v>
      </c>
      <c r="AX143" s="49" t="s">
        <v>5</v>
      </c>
      <c r="AY143" s="50" t="s">
        <v>95</v>
      </c>
      <c r="AZ143" s="49" t="s">
        <v>5</v>
      </c>
      <c r="BA143" s="50" t="s">
        <v>121</v>
      </c>
      <c r="BB143" s="49" t="s">
        <v>5</v>
      </c>
      <c r="BC143" s="50" t="s">
        <v>122</v>
      </c>
      <c r="BD143" s="49" t="s">
        <v>5</v>
      </c>
      <c r="BE143" s="50" t="s">
        <v>137</v>
      </c>
      <c r="BF143" s="49" t="s">
        <v>5</v>
      </c>
      <c r="BG143" s="50" t="s">
        <v>124</v>
      </c>
    </row>
    <row r="144" spans="1:59" s="44" customFormat="1" x14ac:dyDescent="0.25">
      <c r="A144" s="24">
        <v>160279</v>
      </c>
      <c r="B144" s="25" t="s">
        <v>305</v>
      </c>
      <c r="C144" s="26" t="s">
        <v>69</v>
      </c>
      <c r="D144" s="27" t="s">
        <v>70</v>
      </c>
      <c r="E144" s="28" t="s">
        <v>14</v>
      </c>
      <c r="F144" s="25" t="s">
        <v>88</v>
      </c>
      <c r="G144" s="28" t="s">
        <v>87</v>
      </c>
      <c r="H144" s="28" t="s">
        <v>14</v>
      </c>
      <c r="I144" s="29" t="s">
        <v>14</v>
      </c>
      <c r="J144" s="28" t="s">
        <v>14</v>
      </c>
      <c r="K144" s="30" t="s">
        <v>1850</v>
      </c>
      <c r="L144" s="31" t="s">
        <v>1846</v>
      </c>
      <c r="M144" s="45" t="str">
        <f>IFERROR(VLOOKUP(A144,Lookups!#REF!,3,FALSE),"")</f>
        <v/>
      </c>
      <c r="N144" s="46">
        <v>23</v>
      </c>
      <c r="O144" s="47">
        <v>0</v>
      </c>
      <c r="P144" s="48">
        <v>0</v>
      </c>
      <c r="Q144" s="36">
        <v>100</v>
      </c>
      <c r="R144" s="37">
        <v>0</v>
      </c>
      <c r="S144" s="38">
        <f t="shared" si="22"/>
        <v>0</v>
      </c>
      <c r="T144" s="39">
        <f t="shared" si="23"/>
        <v>13</v>
      </c>
      <c r="U144" s="40">
        <f t="shared" si="24"/>
        <v>0</v>
      </c>
      <c r="V144" s="40">
        <f t="shared" si="25"/>
        <v>0</v>
      </c>
      <c r="W144" s="40">
        <f t="shared" si="26"/>
        <v>0</v>
      </c>
      <c r="X144" s="40">
        <f t="shared" si="30"/>
        <v>0</v>
      </c>
      <c r="Y144" s="40">
        <f t="shared" si="27"/>
        <v>0</v>
      </c>
      <c r="Z144" s="40">
        <f t="shared" si="28"/>
        <v>0</v>
      </c>
      <c r="AA144" s="40">
        <f t="shared" si="29"/>
        <v>0</v>
      </c>
      <c r="AB144" s="40">
        <f t="shared" si="31"/>
        <v>0</v>
      </c>
      <c r="AC144" s="41">
        <f t="shared" si="32"/>
        <v>0</v>
      </c>
      <c r="AD144" s="49" t="s">
        <v>5</v>
      </c>
      <c r="AE144" s="50" t="s">
        <v>72</v>
      </c>
      <c r="AF144" s="49" t="s">
        <v>5</v>
      </c>
      <c r="AG144" s="50" t="s">
        <v>117</v>
      </c>
      <c r="AH144" s="49"/>
      <c r="AI144" s="50"/>
      <c r="AJ144" s="49" t="s">
        <v>5</v>
      </c>
      <c r="AK144" s="50" t="s">
        <v>74</v>
      </c>
      <c r="AL144" s="49" t="s">
        <v>5</v>
      </c>
      <c r="AM144" s="50" t="s">
        <v>75</v>
      </c>
      <c r="AN144" s="49"/>
      <c r="AO144" s="50"/>
      <c r="AP144" s="49" t="s">
        <v>5</v>
      </c>
      <c r="AQ144" s="50" t="s">
        <v>76</v>
      </c>
      <c r="AR144" s="49" t="s">
        <v>5</v>
      </c>
      <c r="AS144" s="50" t="s">
        <v>77</v>
      </c>
      <c r="AT144" s="49" t="s">
        <v>5</v>
      </c>
      <c r="AU144" s="50" t="s">
        <v>78</v>
      </c>
      <c r="AV144" s="49" t="s">
        <v>5</v>
      </c>
      <c r="AW144" s="50" t="s">
        <v>79</v>
      </c>
      <c r="AX144" s="49" t="s">
        <v>5</v>
      </c>
      <c r="AY144" s="50" t="s">
        <v>80</v>
      </c>
      <c r="AZ144" s="49" t="s">
        <v>5</v>
      </c>
      <c r="BA144" s="50" t="s">
        <v>81</v>
      </c>
      <c r="BB144" s="49" t="s">
        <v>5</v>
      </c>
      <c r="BC144" s="50" t="s">
        <v>82</v>
      </c>
      <c r="BD144" s="49" t="s">
        <v>5</v>
      </c>
      <c r="BE144" s="50" t="s">
        <v>83</v>
      </c>
      <c r="BF144" s="49" t="s">
        <v>5</v>
      </c>
      <c r="BG144" s="50" t="s">
        <v>84</v>
      </c>
    </row>
    <row r="145" spans="1:59" s="44" customFormat="1" x14ac:dyDescent="0.25">
      <c r="A145" s="24">
        <v>160280</v>
      </c>
      <c r="B145" s="25" t="s">
        <v>306</v>
      </c>
      <c r="C145" s="26" t="s">
        <v>69</v>
      </c>
      <c r="D145" s="27" t="s">
        <v>12</v>
      </c>
      <c r="E145" s="28" t="s">
        <v>14</v>
      </c>
      <c r="F145" s="25" t="s">
        <v>71</v>
      </c>
      <c r="G145" s="28" t="s">
        <v>14</v>
      </c>
      <c r="H145" s="28" t="s">
        <v>14</v>
      </c>
      <c r="I145" s="29" t="s">
        <v>14</v>
      </c>
      <c r="J145" s="28" t="s">
        <v>14</v>
      </c>
      <c r="K145" s="30" t="s">
        <v>1850</v>
      </c>
      <c r="L145" s="31" t="s">
        <v>1848</v>
      </c>
      <c r="M145" s="45" t="str">
        <f>IFERROR(VLOOKUP(A145,Lookups!#REF!,3,FALSE),"")</f>
        <v/>
      </c>
      <c r="N145" s="46">
        <v>29</v>
      </c>
      <c r="O145" s="47">
        <v>1</v>
      </c>
      <c r="P145" s="48">
        <v>0</v>
      </c>
      <c r="Q145" s="36">
        <v>100</v>
      </c>
      <c r="R145" s="37">
        <v>0</v>
      </c>
      <c r="S145" s="38">
        <f t="shared" si="22"/>
        <v>1</v>
      </c>
      <c r="T145" s="39">
        <f t="shared" si="23"/>
        <v>12</v>
      </c>
      <c r="U145" s="40">
        <f t="shared" si="24"/>
        <v>0</v>
      </c>
      <c r="V145" s="40">
        <f t="shared" si="25"/>
        <v>0</v>
      </c>
      <c r="W145" s="40">
        <f t="shared" si="26"/>
        <v>0</v>
      </c>
      <c r="X145" s="40">
        <f t="shared" si="30"/>
        <v>0</v>
      </c>
      <c r="Y145" s="40">
        <f t="shared" si="27"/>
        <v>0</v>
      </c>
      <c r="Z145" s="40">
        <f t="shared" si="28"/>
        <v>0</v>
      </c>
      <c r="AA145" s="40">
        <f t="shared" si="29"/>
        <v>0</v>
      </c>
      <c r="AB145" s="40">
        <f t="shared" si="31"/>
        <v>0</v>
      </c>
      <c r="AC145" s="41">
        <f t="shared" si="32"/>
        <v>0</v>
      </c>
      <c r="AD145" s="49" t="s">
        <v>5</v>
      </c>
      <c r="AE145" s="50" t="s">
        <v>72</v>
      </c>
      <c r="AF145" s="49" t="s">
        <v>5</v>
      </c>
      <c r="AG145" s="50" t="s">
        <v>135</v>
      </c>
      <c r="AH145" s="49"/>
      <c r="AI145" s="50"/>
      <c r="AJ145" s="49" t="s">
        <v>5</v>
      </c>
      <c r="AK145" s="50" t="s">
        <v>74</v>
      </c>
      <c r="AL145" s="49" t="s">
        <v>5</v>
      </c>
      <c r="AM145" s="50" t="s">
        <v>75</v>
      </c>
      <c r="AN145" s="49"/>
      <c r="AO145" s="50"/>
      <c r="AP145" s="49" t="s">
        <v>5</v>
      </c>
      <c r="AQ145" s="50" t="s">
        <v>76</v>
      </c>
      <c r="AR145" s="49" t="s">
        <v>5</v>
      </c>
      <c r="AS145" s="50" t="s">
        <v>77</v>
      </c>
      <c r="AT145" s="49" t="s">
        <v>5</v>
      </c>
      <c r="AU145" s="50" t="s">
        <v>78</v>
      </c>
      <c r="AV145" s="49" t="s">
        <v>5</v>
      </c>
      <c r="AW145" s="50" t="s">
        <v>112</v>
      </c>
      <c r="AX145" s="49" t="s">
        <v>5</v>
      </c>
      <c r="AY145" s="50" t="s">
        <v>80</v>
      </c>
      <c r="AZ145" s="49" t="s">
        <v>1</v>
      </c>
      <c r="BA145" s="50" t="s">
        <v>96</v>
      </c>
      <c r="BB145" s="49" t="s">
        <v>5</v>
      </c>
      <c r="BC145" s="50" t="s">
        <v>82</v>
      </c>
      <c r="BD145" s="49" t="s">
        <v>5</v>
      </c>
      <c r="BE145" s="50" t="s">
        <v>83</v>
      </c>
      <c r="BF145" s="49" t="s">
        <v>5</v>
      </c>
      <c r="BG145" s="50" t="s">
        <v>84</v>
      </c>
    </row>
    <row r="146" spans="1:59" s="44" customFormat="1" x14ac:dyDescent="0.25">
      <c r="A146" s="24">
        <v>160281</v>
      </c>
      <c r="B146" s="25" t="s">
        <v>307</v>
      </c>
      <c r="C146" s="26" t="s">
        <v>149</v>
      </c>
      <c r="D146" s="27" t="s">
        <v>70</v>
      </c>
      <c r="E146" s="28" t="s">
        <v>14</v>
      </c>
      <c r="F146" s="25" t="s">
        <v>71</v>
      </c>
      <c r="G146" s="28" t="s">
        <v>14</v>
      </c>
      <c r="H146" s="28" t="s">
        <v>14</v>
      </c>
      <c r="I146" s="29" t="s">
        <v>14</v>
      </c>
      <c r="J146" s="28" t="s">
        <v>14</v>
      </c>
      <c r="K146" s="30" t="s">
        <v>1850</v>
      </c>
      <c r="L146" s="31" t="s">
        <v>1842</v>
      </c>
      <c r="M146" s="45" t="str">
        <f>IFERROR(VLOOKUP(A146,Lookups!#REF!,3,FALSE),"")</f>
        <v/>
      </c>
      <c r="N146" s="46">
        <v>15</v>
      </c>
      <c r="O146" s="47">
        <v>0</v>
      </c>
      <c r="P146" s="48">
        <v>0</v>
      </c>
      <c r="Q146" s="36">
        <v>97.87</v>
      </c>
      <c r="R146" s="37">
        <v>0</v>
      </c>
      <c r="S146" s="38">
        <f t="shared" si="22"/>
        <v>2</v>
      </c>
      <c r="T146" s="39">
        <f t="shared" si="23"/>
        <v>11</v>
      </c>
      <c r="U146" s="40">
        <f t="shared" si="24"/>
        <v>0</v>
      </c>
      <c r="V146" s="40">
        <f t="shared" si="25"/>
        <v>0</v>
      </c>
      <c r="W146" s="40">
        <f t="shared" si="26"/>
        <v>0</v>
      </c>
      <c r="X146" s="40">
        <f t="shared" si="30"/>
        <v>0</v>
      </c>
      <c r="Y146" s="40">
        <f t="shared" si="27"/>
        <v>0</v>
      </c>
      <c r="Z146" s="40">
        <f t="shared" si="28"/>
        <v>0</v>
      </c>
      <c r="AA146" s="40">
        <f t="shared" si="29"/>
        <v>0</v>
      </c>
      <c r="AB146" s="40">
        <f t="shared" si="31"/>
        <v>0</v>
      </c>
      <c r="AC146" s="41">
        <f t="shared" si="32"/>
        <v>0</v>
      </c>
      <c r="AD146" s="49" t="s">
        <v>5</v>
      </c>
      <c r="AE146" s="50" t="s">
        <v>116</v>
      </c>
      <c r="AF146" s="49" t="s">
        <v>5</v>
      </c>
      <c r="AG146" s="50" t="s">
        <v>117</v>
      </c>
      <c r="AH146" s="49"/>
      <c r="AI146" s="50"/>
      <c r="AJ146" s="49" t="s">
        <v>5</v>
      </c>
      <c r="AK146" s="50" t="s">
        <v>151</v>
      </c>
      <c r="AL146" s="49" t="s">
        <v>1</v>
      </c>
      <c r="AM146" s="50" t="s">
        <v>78</v>
      </c>
      <c r="AN146" s="49"/>
      <c r="AO146" s="50"/>
      <c r="AP146" s="49" t="s">
        <v>5</v>
      </c>
      <c r="AQ146" s="50" t="s">
        <v>131</v>
      </c>
      <c r="AR146" s="49" t="s">
        <v>1</v>
      </c>
      <c r="AS146" s="50" t="s">
        <v>104</v>
      </c>
      <c r="AT146" s="49" t="s">
        <v>5</v>
      </c>
      <c r="AU146" s="50" t="s">
        <v>105</v>
      </c>
      <c r="AV146" s="49" t="s">
        <v>5</v>
      </c>
      <c r="AW146" s="50" t="s">
        <v>94</v>
      </c>
      <c r="AX146" s="49" t="s">
        <v>5</v>
      </c>
      <c r="AY146" s="50" t="s">
        <v>80</v>
      </c>
      <c r="AZ146" s="49" t="s">
        <v>5</v>
      </c>
      <c r="BA146" s="50" t="s">
        <v>152</v>
      </c>
      <c r="BB146" s="49" t="s">
        <v>5</v>
      </c>
      <c r="BC146" s="50" t="s">
        <v>153</v>
      </c>
      <c r="BD146" s="49" t="s">
        <v>5</v>
      </c>
      <c r="BE146" s="50" t="s">
        <v>154</v>
      </c>
      <c r="BF146" s="49" t="s">
        <v>5</v>
      </c>
      <c r="BG146" s="50" t="s">
        <v>103</v>
      </c>
    </row>
    <row r="147" spans="1:59" s="44" customFormat="1" x14ac:dyDescent="0.25">
      <c r="A147" s="24">
        <v>160282</v>
      </c>
      <c r="B147" s="25" t="s">
        <v>308</v>
      </c>
      <c r="C147" s="26" t="s">
        <v>149</v>
      </c>
      <c r="D147" s="27" t="s">
        <v>12</v>
      </c>
      <c r="E147" s="28" t="s">
        <v>87</v>
      </c>
      <c r="F147" s="25"/>
      <c r="G147" s="28" t="s">
        <v>14</v>
      </c>
      <c r="H147" s="28" t="s">
        <v>87</v>
      </c>
      <c r="I147" s="29" t="s">
        <v>14</v>
      </c>
      <c r="J147" s="28" t="s">
        <v>14</v>
      </c>
      <c r="K147" s="30" t="s">
        <v>1850</v>
      </c>
      <c r="L147" s="31" t="s">
        <v>1842</v>
      </c>
      <c r="M147" s="45" t="str">
        <f>IFERROR(VLOOKUP(A147,Lookups!#REF!,3,FALSE),"")</f>
        <v/>
      </c>
      <c r="N147" s="46">
        <v>23</v>
      </c>
      <c r="O147" s="47">
        <v>0</v>
      </c>
      <c r="P147" s="48">
        <v>1</v>
      </c>
      <c r="Q147" s="36">
        <v>100</v>
      </c>
      <c r="R147" s="37">
        <v>0</v>
      </c>
      <c r="S147" s="38">
        <f t="shared" si="22"/>
        <v>0</v>
      </c>
      <c r="T147" s="39">
        <f t="shared" si="23"/>
        <v>13</v>
      </c>
      <c r="U147" s="40">
        <f t="shared" si="24"/>
        <v>0</v>
      </c>
      <c r="V147" s="40">
        <f t="shared" si="25"/>
        <v>0</v>
      </c>
      <c r="W147" s="40">
        <f t="shared" si="26"/>
        <v>0</v>
      </c>
      <c r="X147" s="40">
        <f t="shared" si="30"/>
        <v>0</v>
      </c>
      <c r="Y147" s="40">
        <f t="shared" si="27"/>
        <v>0</v>
      </c>
      <c r="Z147" s="40">
        <f t="shared" si="28"/>
        <v>0</v>
      </c>
      <c r="AA147" s="40">
        <f t="shared" si="29"/>
        <v>0</v>
      </c>
      <c r="AB147" s="40">
        <f t="shared" si="31"/>
        <v>0</v>
      </c>
      <c r="AC147" s="41">
        <f t="shared" si="32"/>
        <v>0</v>
      </c>
      <c r="AD147" s="49" t="s">
        <v>5</v>
      </c>
      <c r="AE147" s="50" t="s">
        <v>72</v>
      </c>
      <c r="AF147" s="49" t="s">
        <v>5</v>
      </c>
      <c r="AG147" s="50" t="s">
        <v>135</v>
      </c>
      <c r="AH147" s="49"/>
      <c r="AI147" s="50"/>
      <c r="AJ147" s="49" t="s">
        <v>5</v>
      </c>
      <c r="AK147" s="50" t="s">
        <v>151</v>
      </c>
      <c r="AL147" s="49" t="s">
        <v>5</v>
      </c>
      <c r="AM147" s="50" t="s">
        <v>78</v>
      </c>
      <c r="AN147" s="49"/>
      <c r="AO147" s="50"/>
      <c r="AP147" s="49" t="s">
        <v>5</v>
      </c>
      <c r="AQ147" s="50" t="s">
        <v>131</v>
      </c>
      <c r="AR147" s="49" t="s">
        <v>5</v>
      </c>
      <c r="AS147" s="50" t="s">
        <v>104</v>
      </c>
      <c r="AT147" s="49" t="s">
        <v>5</v>
      </c>
      <c r="AU147" s="50" t="s">
        <v>105</v>
      </c>
      <c r="AV147" s="49" t="s">
        <v>5</v>
      </c>
      <c r="AW147" s="50" t="s">
        <v>112</v>
      </c>
      <c r="AX147" s="49" t="s">
        <v>5</v>
      </c>
      <c r="AY147" s="50" t="s">
        <v>80</v>
      </c>
      <c r="AZ147" s="49" t="s">
        <v>5</v>
      </c>
      <c r="BA147" s="50" t="s">
        <v>107</v>
      </c>
      <c r="BB147" s="49" t="s">
        <v>5</v>
      </c>
      <c r="BC147" s="50" t="s">
        <v>153</v>
      </c>
      <c r="BD147" s="49" t="s">
        <v>5</v>
      </c>
      <c r="BE147" s="50" t="s">
        <v>154</v>
      </c>
      <c r="BF147" s="49" t="s">
        <v>5</v>
      </c>
      <c r="BG147" s="50" t="s">
        <v>103</v>
      </c>
    </row>
    <row r="148" spans="1:59" s="44" customFormat="1" x14ac:dyDescent="0.25">
      <c r="A148" s="24">
        <v>160283</v>
      </c>
      <c r="B148" s="25" t="s">
        <v>309</v>
      </c>
      <c r="C148" s="26" t="s">
        <v>168</v>
      </c>
      <c r="D148" s="27" t="s">
        <v>70</v>
      </c>
      <c r="E148" s="28" t="s">
        <v>14</v>
      </c>
      <c r="F148" s="25" t="s">
        <v>88</v>
      </c>
      <c r="G148" s="28" t="s">
        <v>14</v>
      </c>
      <c r="H148" s="28" t="s">
        <v>14</v>
      </c>
      <c r="I148" s="29" t="s">
        <v>14</v>
      </c>
      <c r="J148" s="28" t="s">
        <v>14</v>
      </c>
      <c r="K148" s="30" t="s">
        <v>1850</v>
      </c>
      <c r="L148" s="31" t="s">
        <v>1842</v>
      </c>
      <c r="M148" s="45" t="str">
        <f>IFERROR(VLOOKUP(A148,Lookups!#REF!,3,FALSE),"")</f>
        <v/>
      </c>
      <c r="N148" s="46">
        <v>20</v>
      </c>
      <c r="O148" s="47">
        <v>1</v>
      </c>
      <c r="P148" s="48">
        <v>2</v>
      </c>
      <c r="Q148" s="36">
        <v>100</v>
      </c>
      <c r="R148" s="37">
        <v>0</v>
      </c>
      <c r="S148" s="38">
        <f t="shared" si="22"/>
        <v>0</v>
      </c>
      <c r="T148" s="39">
        <f t="shared" si="23"/>
        <v>12</v>
      </c>
      <c r="U148" s="40">
        <f t="shared" si="24"/>
        <v>1</v>
      </c>
      <c r="V148" s="40">
        <f t="shared" si="25"/>
        <v>0</v>
      </c>
      <c r="W148" s="40">
        <f t="shared" si="26"/>
        <v>0</v>
      </c>
      <c r="X148" s="40">
        <f t="shared" si="30"/>
        <v>1</v>
      </c>
      <c r="Y148" s="40">
        <f t="shared" si="27"/>
        <v>0</v>
      </c>
      <c r="Z148" s="40">
        <f t="shared" si="28"/>
        <v>0</v>
      </c>
      <c r="AA148" s="40">
        <f t="shared" si="29"/>
        <v>0</v>
      </c>
      <c r="AB148" s="40">
        <f t="shared" si="31"/>
        <v>0</v>
      </c>
      <c r="AC148" s="41">
        <f t="shared" si="32"/>
        <v>0</v>
      </c>
      <c r="AD148" s="49" t="s">
        <v>5</v>
      </c>
      <c r="AE148" s="50" t="s">
        <v>116</v>
      </c>
      <c r="AF148" s="49"/>
      <c r="AG148" s="50"/>
      <c r="AH148" s="49" t="s">
        <v>5</v>
      </c>
      <c r="AI148" s="50" t="s">
        <v>101</v>
      </c>
      <c r="AJ148" s="49" t="s">
        <v>5</v>
      </c>
      <c r="AK148" s="50" t="s">
        <v>169</v>
      </c>
      <c r="AL148" s="49" t="s">
        <v>30</v>
      </c>
      <c r="AM148" s="50" t="s">
        <v>170</v>
      </c>
      <c r="AN148" s="49" t="s">
        <v>5</v>
      </c>
      <c r="AO148" s="50" t="s">
        <v>75</v>
      </c>
      <c r="AP148" s="49" t="s">
        <v>5</v>
      </c>
      <c r="AQ148" s="50" t="s">
        <v>131</v>
      </c>
      <c r="AR148" s="49" t="s">
        <v>5</v>
      </c>
      <c r="AS148" s="50" t="s">
        <v>120</v>
      </c>
      <c r="AT148" s="49" t="s">
        <v>5</v>
      </c>
      <c r="AU148" s="50" t="s">
        <v>78</v>
      </c>
      <c r="AV148" s="49" t="s">
        <v>5</v>
      </c>
      <c r="AW148" s="50" t="s">
        <v>79</v>
      </c>
      <c r="AX148" s="49" t="s">
        <v>5</v>
      </c>
      <c r="AY148" s="50" t="s">
        <v>95</v>
      </c>
      <c r="AZ148" s="49" t="s">
        <v>5</v>
      </c>
      <c r="BA148" s="50" t="s">
        <v>152</v>
      </c>
      <c r="BB148" s="49" t="s">
        <v>5</v>
      </c>
      <c r="BC148" s="50" t="s">
        <v>82</v>
      </c>
      <c r="BD148" s="49" t="s">
        <v>5</v>
      </c>
      <c r="BE148" s="50" t="s">
        <v>170</v>
      </c>
      <c r="BF148" s="49"/>
      <c r="BG148" s="50"/>
    </row>
    <row r="149" spans="1:59" s="44" customFormat="1" x14ac:dyDescent="0.25">
      <c r="A149" s="24">
        <v>160284</v>
      </c>
      <c r="B149" s="25" t="s">
        <v>310</v>
      </c>
      <c r="C149" s="26" t="s">
        <v>114</v>
      </c>
      <c r="D149" s="27" t="s">
        <v>12</v>
      </c>
      <c r="E149" s="28" t="s">
        <v>87</v>
      </c>
      <c r="F149" s="25" t="s">
        <v>88</v>
      </c>
      <c r="G149" s="28" t="s">
        <v>87</v>
      </c>
      <c r="H149" s="28" t="s">
        <v>87</v>
      </c>
      <c r="I149" s="29" t="s">
        <v>14</v>
      </c>
      <c r="J149" s="28" t="s">
        <v>6</v>
      </c>
      <c r="K149" s="30" t="s">
        <v>1850</v>
      </c>
      <c r="L149" s="31" t="s">
        <v>1845</v>
      </c>
      <c r="M149" s="45" t="str">
        <f>IFERROR(VLOOKUP(A149,Lookups!#REF!,3,FALSE),"")</f>
        <v/>
      </c>
      <c r="N149" s="46">
        <v>35</v>
      </c>
      <c r="O149" s="47">
        <v>0</v>
      </c>
      <c r="P149" s="48">
        <v>1</v>
      </c>
      <c r="Q149" s="36">
        <v>100</v>
      </c>
      <c r="R149" s="37">
        <v>2</v>
      </c>
      <c r="S149" s="38">
        <f t="shared" si="22"/>
        <v>3</v>
      </c>
      <c r="T149" s="39">
        <f t="shared" si="23"/>
        <v>10</v>
      </c>
      <c r="U149" s="40">
        <f t="shared" si="24"/>
        <v>0</v>
      </c>
      <c r="V149" s="40">
        <f t="shared" si="25"/>
        <v>0</v>
      </c>
      <c r="W149" s="40">
        <f t="shared" si="26"/>
        <v>0</v>
      </c>
      <c r="X149" s="40">
        <f t="shared" si="30"/>
        <v>0</v>
      </c>
      <c r="Y149" s="40">
        <f t="shared" si="27"/>
        <v>0</v>
      </c>
      <c r="Z149" s="40">
        <f t="shared" si="28"/>
        <v>0</v>
      </c>
      <c r="AA149" s="40">
        <f t="shared" si="29"/>
        <v>0</v>
      </c>
      <c r="AB149" s="40">
        <f t="shared" si="31"/>
        <v>0</v>
      </c>
      <c r="AC149" s="41">
        <f t="shared" si="32"/>
        <v>0</v>
      </c>
      <c r="AD149" s="49" t="s">
        <v>5</v>
      </c>
      <c r="AE149" s="50" t="s">
        <v>116</v>
      </c>
      <c r="AF149" s="49" t="s">
        <v>1</v>
      </c>
      <c r="AG149" s="50" t="s">
        <v>73</v>
      </c>
      <c r="AH149" s="49"/>
      <c r="AI149" s="50"/>
      <c r="AJ149" s="49" t="s">
        <v>5</v>
      </c>
      <c r="AK149" s="50" t="s">
        <v>118</v>
      </c>
      <c r="AL149" s="49" t="s">
        <v>1</v>
      </c>
      <c r="AM149" s="50" t="s">
        <v>112</v>
      </c>
      <c r="AN149" s="49"/>
      <c r="AO149" s="50"/>
      <c r="AP149" s="49" t="s">
        <v>5</v>
      </c>
      <c r="AQ149" s="50" t="s">
        <v>119</v>
      </c>
      <c r="AR149" s="49" t="s">
        <v>5</v>
      </c>
      <c r="AS149" s="50" t="s">
        <v>120</v>
      </c>
      <c r="AT149" s="49" t="s">
        <v>5</v>
      </c>
      <c r="AU149" s="50" t="s">
        <v>78</v>
      </c>
      <c r="AV149" s="49" t="s">
        <v>1</v>
      </c>
      <c r="AW149" s="50" t="s">
        <v>112</v>
      </c>
      <c r="AX149" s="49" t="s">
        <v>5</v>
      </c>
      <c r="AY149" s="50" t="s">
        <v>95</v>
      </c>
      <c r="AZ149" s="49" t="s">
        <v>5</v>
      </c>
      <c r="BA149" s="50" t="s">
        <v>96</v>
      </c>
      <c r="BB149" s="49" t="s">
        <v>5</v>
      </c>
      <c r="BC149" s="50" t="s">
        <v>122</v>
      </c>
      <c r="BD149" s="49" t="s">
        <v>5</v>
      </c>
      <c r="BE149" s="50" t="s">
        <v>137</v>
      </c>
      <c r="BF149" s="49" t="s">
        <v>5</v>
      </c>
      <c r="BG149" s="50" t="s">
        <v>124</v>
      </c>
    </row>
    <row r="150" spans="1:59" s="44" customFormat="1" x14ac:dyDescent="0.25">
      <c r="A150" s="24">
        <v>160285</v>
      </c>
      <c r="B150" s="25" t="s">
        <v>311</v>
      </c>
      <c r="C150" s="26" t="s">
        <v>86</v>
      </c>
      <c r="D150" s="27" t="s">
        <v>70</v>
      </c>
      <c r="E150" s="28" t="s">
        <v>14</v>
      </c>
      <c r="F150" s="25" t="s">
        <v>312</v>
      </c>
      <c r="G150" s="28" t="s">
        <v>14</v>
      </c>
      <c r="H150" s="28" t="s">
        <v>14</v>
      </c>
      <c r="I150" s="29" t="s">
        <v>14</v>
      </c>
      <c r="J150" s="28" t="s">
        <v>14</v>
      </c>
      <c r="K150" s="30" t="s">
        <v>1850</v>
      </c>
      <c r="L150" s="31" t="s">
        <v>1846</v>
      </c>
      <c r="M150" s="45" t="str">
        <f>IFERROR(VLOOKUP(A150,Lookups!#REF!,3,FALSE),"")</f>
        <v/>
      </c>
      <c r="N150" s="46">
        <v>21</v>
      </c>
      <c r="O150" s="47">
        <v>0</v>
      </c>
      <c r="P150" s="48">
        <v>0</v>
      </c>
      <c r="Q150" s="36">
        <v>100</v>
      </c>
      <c r="R150" s="37">
        <v>1</v>
      </c>
      <c r="S150" s="38">
        <f t="shared" si="22"/>
        <v>1</v>
      </c>
      <c r="T150" s="39">
        <f t="shared" si="23"/>
        <v>12</v>
      </c>
      <c r="U150" s="40">
        <f t="shared" si="24"/>
        <v>0</v>
      </c>
      <c r="V150" s="40">
        <f t="shared" si="25"/>
        <v>0</v>
      </c>
      <c r="W150" s="40">
        <f t="shared" si="26"/>
        <v>0</v>
      </c>
      <c r="X150" s="40">
        <f t="shared" si="30"/>
        <v>0</v>
      </c>
      <c r="Y150" s="40">
        <f t="shared" si="27"/>
        <v>0</v>
      </c>
      <c r="Z150" s="40">
        <f t="shared" si="28"/>
        <v>0</v>
      </c>
      <c r="AA150" s="40">
        <f t="shared" si="29"/>
        <v>0</v>
      </c>
      <c r="AB150" s="40">
        <f t="shared" si="31"/>
        <v>0</v>
      </c>
      <c r="AC150" s="41">
        <f t="shared" si="32"/>
        <v>0</v>
      </c>
      <c r="AD150" s="49" t="s">
        <v>5</v>
      </c>
      <c r="AE150" s="50" t="s">
        <v>72</v>
      </c>
      <c r="AF150" s="49" t="s">
        <v>5</v>
      </c>
      <c r="AG150" s="50" t="s">
        <v>117</v>
      </c>
      <c r="AH150" s="49"/>
      <c r="AI150" s="50"/>
      <c r="AJ150" s="49" t="s">
        <v>5</v>
      </c>
      <c r="AK150" s="50" t="s">
        <v>91</v>
      </c>
      <c r="AL150" s="49" t="s">
        <v>5</v>
      </c>
      <c r="AM150" s="50" t="s">
        <v>84</v>
      </c>
      <c r="AN150" s="49"/>
      <c r="AO150" s="50"/>
      <c r="AP150" s="49" t="s">
        <v>5</v>
      </c>
      <c r="AQ150" s="50" t="s">
        <v>92</v>
      </c>
      <c r="AR150" s="49" t="s">
        <v>5</v>
      </c>
      <c r="AS150" s="50" t="s">
        <v>93</v>
      </c>
      <c r="AT150" s="49" t="s">
        <v>5</v>
      </c>
      <c r="AU150" s="50" t="s">
        <v>78</v>
      </c>
      <c r="AV150" s="49" t="s">
        <v>5</v>
      </c>
      <c r="AW150" s="50" t="s">
        <v>136</v>
      </c>
      <c r="AX150" s="49" t="s">
        <v>5</v>
      </c>
      <c r="AY150" s="50" t="s">
        <v>95</v>
      </c>
      <c r="AZ150" s="49" t="s">
        <v>5</v>
      </c>
      <c r="BA150" s="50" t="s">
        <v>81</v>
      </c>
      <c r="BB150" s="49" t="s">
        <v>5</v>
      </c>
      <c r="BC150" s="50" t="s">
        <v>108</v>
      </c>
      <c r="BD150" s="49" t="s">
        <v>1</v>
      </c>
      <c r="BE150" s="50" t="s">
        <v>98</v>
      </c>
      <c r="BF150" s="49" t="s">
        <v>5</v>
      </c>
      <c r="BG150" s="50" t="s">
        <v>84</v>
      </c>
    </row>
    <row r="151" spans="1:59" s="44" customFormat="1" x14ac:dyDescent="0.25">
      <c r="A151" s="24">
        <v>160286</v>
      </c>
      <c r="B151" s="25" t="s">
        <v>313</v>
      </c>
      <c r="C151" s="26" t="s">
        <v>129</v>
      </c>
      <c r="D151" s="27" t="s">
        <v>12</v>
      </c>
      <c r="E151" s="28" t="s">
        <v>87</v>
      </c>
      <c r="F151" s="25" t="s">
        <v>158</v>
      </c>
      <c r="G151" s="28" t="s">
        <v>87</v>
      </c>
      <c r="H151" s="28" t="s">
        <v>87</v>
      </c>
      <c r="I151" s="29" t="s">
        <v>14</v>
      </c>
      <c r="J151" s="28" t="s">
        <v>14</v>
      </c>
      <c r="K151" s="30" t="s">
        <v>1850</v>
      </c>
      <c r="L151" s="31" t="s">
        <v>1842</v>
      </c>
      <c r="M151" s="45" t="str">
        <f>IFERROR(VLOOKUP(A151,Lookups!#REF!,3,FALSE),"")</f>
        <v/>
      </c>
      <c r="N151" s="46">
        <v>37</v>
      </c>
      <c r="O151" s="47">
        <v>0</v>
      </c>
      <c r="P151" s="48">
        <v>4</v>
      </c>
      <c r="Q151" s="36">
        <v>100</v>
      </c>
      <c r="R151" s="37">
        <v>0</v>
      </c>
      <c r="S151" s="38">
        <f t="shared" si="22"/>
        <v>1</v>
      </c>
      <c r="T151" s="39">
        <f t="shared" si="23"/>
        <v>12</v>
      </c>
      <c r="U151" s="40">
        <f t="shared" si="24"/>
        <v>0</v>
      </c>
      <c r="V151" s="40">
        <f t="shared" si="25"/>
        <v>0</v>
      </c>
      <c r="W151" s="40">
        <f t="shared" si="26"/>
        <v>0</v>
      </c>
      <c r="X151" s="40">
        <f t="shared" si="30"/>
        <v>0</v>
      </c>
      <c r="Y151" s="40">
        <f t="shared" si="27"/>
        <v>0</v>
      </c>
      <c r="Z151" s="40">
        <f t="shared" si="28"/>
        <v>0</v>
      </c>
      <c r="AA151" s="40">
        <f t="shared" si="29"/>
        <v>0</v>
      </c>
      <c r="AB151" s="40">
        <f t="shared" si="31"/>
        <v>0</v>
      </c>
      <c r="AC151" s="41">
        <f t="shared" si="32"/>
        <v>0</v>
      </c>
      <c r="AD151" s="49" t="s">
        <v>5</v>
      </c>
      <c r="AE151" s="50" t="s">
        <v>89</v>
      </c>
      <c r="AF151" s="49" t="s">
        <v>5</v>
      </c>
      <c r="AG151" s="50" t="s">
        <v>135</v>
      </c>
      <c r="AH151" s="49"/>
      <c r="AI151" s="50"/>
      <c r="AJ151" s="49" t="s">
        <v>5</v>
      </c>
      <c r="AK151" s="50" t="s">
        <v>118</v>
      </c>
      <c r="AL151" s="49" t="s">
        <v>5</v>
      </c>
      <c r="AM151" s="50" t="s">
        <v>74</v>
      </c>
      <c r="AN151" s="49" t="s">
        <v>5</v>
      </c>
      <c r="AO151" s="50" t="s">
        <v>130</v>
      </c>
      <c r="AP151" s="49" t="s">
        <v>5</v>
      </c>
      <c r="AQ151" s="50" t="s">
        <v>144</v>
      </c>
      <c r="AR151" s="49" t="s">
        <v>5</v>
      </c>
      <c r="AS151" s="50" t="s">
        <v>132</v>
      </c>
      <c r="AT151" s="49" t="s">
        <v>5</v>
      </c>
      <c r="AU151" s="50" t="s">
        <v>105</v>
      </c>
      <c r="AV151" s="49" t="s">
        <v>5</v>
      </c>
      <c r="AW151" s="50" t="s">
        <v>112</v>
      </c>
      <c r="AX151" s="49" t="s">
        <v>1</v>
      </c>
      <c r="AY151" s="50" t="s">
        <v>80</v>
      </c>
      <c r="AZ151" s="49" t="s">
        <v>5</v>
      </c>
      <c r="BA151" s="50" t="s">
        <v>107</v>
      </c>
      <c r="BB151" s="49" t="s">
        <v>5</v>
      </c>
      <c r="BC151" s="50" t="s">
        <v>108</v>
      </c>
      <c r="BD151" s="49" t="s">
        <v>5</v>
      </c>
      <c r="BE151" s="50" t="s">
        <v>133</v>
      </c>
      <c r="BF151" s="49"/>
      <c r="BG151" s="50"/>
    </row>
    <row r="152" spans="1:59" s="44" customFormat="1" x14ac:dyDescent="0.25">
      <c r="A152" s="24">
        <v>160287</v>
      </c>
      <c r="B152" s="25" t="s">
        <v>314</v>
      </c>
      <c r="C152" s="26" t="s">
        <v>129</v>
      </c>
      <c r="D152" s="27" t="s">
        <v>12</v>
      </c>
      <c r="E152" s="28" t="s">
        <v>14</v>
      </c>
      <c r="F152" s="25" t="s">
        <v>71</v>
      </c>
      <c r="G152" s="28" t="s">
        <v>14</v>
      </c>
      <c r="H152" s="28" t="s">
        <v>14</v>
      </c>
      <c r="I152" s="29" t="s">
        <v>14</v>
      </c>
      <c r="J152" s="28" t="s">
        <v>14</v>
      </c>
      <c r="K152" s="30" t="s">
        <v>1850</v>
      </c>
      <c r="L152" s="31" t="s">
        <v>1842</v>
      </c>
      <c r="M152" s="45" t="str">
        <f>IFERROR(VLOOKUP(A152,Lookups!#REF!,3,FALSE),"")</f>
        <v/>
      </c>
      <c r="N152" s="46">
        <v>36</v>
      </c>
      <c r="O152" s="47">
        <v>0</v>
      </c>
      <c r="P152" s="48">
        <v>0</v>
      </c>
      <c r="Q152" s="36">
        <v>100</v>
      </c>
      <c r="R152" s="37">
        <v>0</v>
      </c>
      <c r="S152" s="38">
        <f t="shared" si="22"/>
        <v>1</v>
      </c>
      <c r="T152" s="39">
        <f t="shared" si="23"/>
        <v>12</v>
      </c>
      <c r="U152" s="40">
        <f t="shared" si="24"/>
        <v>0</v>
      </c>
      <c r="V152" s="40">
        <f t="shared" si="25"/>
        <v>0</v>
      </c>
      <c r="W152" s="40">
        <f t="shared" si="26"/>
        <v>0</v>
      </c>
      <c r="X152" s="40">
        <f t="shared" si="30"/>
        <v>0</v>
      </c>
      <c r="Y152" s="40">
        <f t="shared" si="27"/>
        <v>0</v>
      </c>
      <c r="Z152" s="40">
        <f t="shared" si="28"/>
        <v>0</v>
      </c>
      <c r="AA152" s="40">
        <f t="shared" si="29"/>
        <v>0</v>
      </c>
      <c r="AB152" s="40">
        <f t="shared" si="31"/>
        <v>0</v>
      </c>
      <c r="AC152" s="41">
        <f t="shared" si="32"/>
        <v>0</v>
      </c>
      <c r="AD152" s="49" t="s">
        <v>5</v>
      </c>
      <c r="AE152" s="50" t="s">
        <v>89</v>
      </c>
      <c r="AF152" s="49" t="s">
        <v>5</v>
      </c>
      <c r="AG152" s="50" t="s">
        <v>117</v>
      </c>
      <c r="AH152" s="49"/>
      <c r="AI152" s="50"/>
      <c r="AJ152" s="49" t="s">
        <v>5</v>
      </c>
      <c r="AK152" s="50" t="s">
        <v>118</v>
      </c>
      <c r="AL152" s="49" t="s">
        <v>5</v>
      </c>
      <c r="AM152" s="50" t="s">
        <v>74</v>
      </c>
      <c r="AN152" s="49" t="s">
        <v>5</v>
      </c>
      <c r="AO152" s="50" t="s">
        <v>130</v>
      </c>
      <c r="AP152" s="49" t="s">
        <v>5</v>
      </c>
      <c r="AQ152" s="50" t="s">
        <v>144</v>
      </c>
      <c r="AR152" s="49" t="s">
        <v>5</v>
      </c>
      <c r="AS152" s="50" t="s">
        <v>132</v>
      </c>
      <c r="AT152" s="49" t="s">
        <v>5</v>
      </c>
      <c r="AU152" s="50" t="s">
        <v>105</v>
      </c>
      <c r="AV152" s="49" t="s">
        <v>1</v>
      </c>
      <c r="AW152" s="50" t="s">
        <v>112</v>
      </c>
      <c r="AX152" s="49" t="s">
        <v>5</v>
      </c>
      <c r="AY152" s="50" t="s">
        <v>80</v>
      </c>
      <c r="AZ152" s="49" t="s">
        <v>5</v>
      </c>
      <c r="BA152" s="50" t="s">
        <v>107</v>
      </c>
      <c r="BB152" s="49" t="s">
        <v>5</v>
      </c>
      <c r="BC152" s="50" t="s">
        <v>108</v>
      </c>
      <c r="BD152" s="49" t="s">
        <v>5</v>
      </c>
      <c r="BE152" s="50" t="s">
        <v>133</v>
      </c>
      <c r="BF152" s="49"/>
      <c r="BG152" s="50"/>
    </row>
    <row r="153" spans="1:59" s="44" customFormat="1" x14ac:dyDescent="0.25">
      <c r="A153" s="24">
        <v>160288</v>
      </c>
      <c r="B153" s="25" t="s">
        <v>315</v>
      </c>
      <c r="C153" s="26" t="s">
        <v>162</v>
      </c>
      <c r="D153" s="27" t="s">
        <v>70</v>
      </c>
      <c r="E153" s="28" t="s">
        <v>14</v>
      </c>
      <c r="F153" s="25" t="s">
        <v>71</v>
      </c>
      <c r="G153" s="28" t="s">
        <v>14</v>
      </c>
      <c r="H153" s="28" t="s">
        <v>14</v>
      </c>
      <c r="I153" s="29" t="s">
        <v>14</v>
      </c>
      <c r="J153" s="28" t="s">
        <v>14</v>
      </c>
      <c r="K153" s="30" t="s">
        <v>1850</v>
      </c>
      <c r="L153" s="31" t="s">
        <v>1842</v>
      </c>
      <c r="M153" s="45" t="str">
        <f>IFERROR(VLOOKUP(A153,Lookups!#REF!,3,FALSE),"")</f>
        <v/>
      </c>
      <c r="N153" s="46">
        <v>26</v>
      </c>
      <c r="O153" s="47">
        <v>0</v>
      </c>
      <c r="P153" s="48">
        <v>0</v>
      </c>
      <c r="Q153" s="36">
        <v>100</v>
      </c>
      <c r="R153" s="37">
        <v>0</v>
      </c>
      <c r="S153" s="38">
        <f t="shared" si="22"/>
        <v>0</v>
      </c>
      <c r="T153" s="39">
        <f t="shared" si="23"/>
        <v>13</v>
      </c>
      <c r="U153" s="40">
        <f t="shared" si="24"/>
        <v>0</v>
      </c>
      <c r="V153" s="40">
        <f t="shared" si="25"/>
        <v>0</v>
      </c>
      <c r="W153" s="40">
        <f t="shared" si="26"/>
        <v>0</v>
      </c>
      <c r="X153" s="40">
        <f t="shared" si="30"/>
        <v>0</v>
      </c>
      <c r="Y153" s="40">
        <f t="shared" si="27"/>
        <v>0</v>
      </c>
      <c r="Z153" s="40">
        <f t="shared" si="28"/>
        <v>0</v>
      </c>
      <c r="AA153" s="40">
        <f t="shared" si="29"/>
        <v>0</v>
      </c>
      <c r="AB153" s="40">
        <f t="shared" si="31"/>
        <v>0</v>
      </c>
      <c r="AC153" s="41">
        <f t="shared" si="32"/>
        <v>0</v>
      </c>
      <c r="AD153" s="49" t="s">
        <v>5</v>
      </c>
      <c r="AE153" s="50" t="s">
        <v>72</v>
      </c>
      <c r="AF153" s="49" t="s">
        <v>5</v>
      </c>
      <c r="AG153" s="50" t="s">
        <v>117</v>
      </c>
      <c r="AH153" s="49"/>
      <c r="AI153" s="50"/>
      <c r="AJ153" s="49" t="s">
        <v>5</v>
      </c>
      <c r="AK153" s="50" t="s">
        <v>194</v>
      </c>
      <c r="AL153" s="49" t="s">
        <v>5</v>
      </c>
      <c r="AM153" s="50" t="s">
        <v>72</v>
      </c>
      <c r="AN153" s="49" t="s">
        <v>5</v>
      </c>
      <c r="AO153" s="50" t="s">
        <v>143</v>
      </c>
      <c r="AP153" s="49" t="s">
        <v>5</v>
      </c>
      <c r="AQ153" s="50" t="s">
        <v>131</v>
      </c>
      <c r="AR153" s="49" t="s">
        <v>5</v>
      </c>
      <c r="AS153" s="50" t="s">
        <v>104</v>
      </c>
      <c r="AT153" s="49" t="s">
        <v>5</v>
      </c>
      <c r="AU153" s="50" t="s">
        <v>163</v>
      </c>
      <c r="AV153" s="49" t="s">
        <v>5</v>
      </c>
      <c r="AW153" s="50" t="s">
        <v>94</v>
      </c>
      <c r="AX153" s="49" t="s">
        <v>5</v>
      </c>
      <c r="AY153" s="50" t="s">
        <v>95</v>
      </c>
      <c r="AZ153" s="49" t="s">
        <v>5</v>
      </c>
      <c r="BA153" s="50" t="s">
        <v>81</v>
      </c>
      <c r="BB153" s="49" t="s">
        <v>5</v>
      </c>
      <c r="BC153" s="50" t="s">
        <v>97</v>
      </c>
      <c r="BD153" s="49" t="s">
        <v>5</v>
      </c>
      <c r="BE153" s="50" t="s">
        <v>164</v>
      </c>
      <c r="BF153" s="49"/>
      <c r="BG153" s="50"/>
    </row>
    <row r="154" spans="1:59" s="44" customFormat="1" x14ac:dyDescent="0.25">
      <c r="A154" s="24">
        <v>160289</v>
      </c>
      <c r="B154" s="25" t="s">
        <v>316</v>
      </c>
      <c r="C154" s="26" t="s">
        <v>86</v>
      </c>
      <c r="D154" s="27" t="s">
        <v>70</v>
      </c>
      <c r="E154" s="28" t="s">
        <v>14</v>
      </c>
      <c r="F154" s="25" t="s">
        <v>71</v>
      </c>
      <c r="G154" s="28" t="s">
        <v>14</v>
      </c>
      <c r="H154" s="28" t="s">
        <v>14</v>
      </c>
      <c r="I154" s="29" t="s">
        <v>14</v>
      </c>
      <c r="J154" s="28" t="s">
        <v>14</v>
      </c>
      <c r="K154" s="30" t="s">
        <v>1850</v>
      </c>
      <c r="L154" s="31" t="s">
        <v>1842</v>
      </c>
      <c r="M154" s="45" t="str">
        <f>IFERROR(VLOOKUP(A154,Lookups!#REF!,3,FALSE),"")</f>
        <v/>
      </c>
      <c r="N154" s="46">
        <v>26</v>
      </c>
      <c r="O154" s="47">
        <v>0</v>
      </c>
      <c r="P154" s="48">
        <v>0</v>
      </c>
      <c r="Q154" s="36">
        <v>100</v>
      </c>
      <c r="R154" s="37">
        <v>0</v>
      </c>
      <c r="S154" s="38">
        <f t="shared" si="22"/>
        <v>2</v>
      </c>
      <c r="T154" s="39">
        <f t="shared" si="23"/>
        <v>11</v>
      </c>
      <c r="U154" s="40">
        <f t="shared" si="24"/>
        <v>0</v>
      </c>
      <c r="V154" s="40">
        <f t="shared" si="25"/>
        <v>0</v>
      </c>
      <c r="W154" s="40">
        <f t="shared" si="26"/>
        <v>0</v>
      </c>
      <c r="X154" s="40">
        <f t="shared" si="30"/>
        <v>0</v>
      </c>
      <c r="Y154" s="40">
        <f t="shared" si="27"/>
        <v>0</v>
      </c>
      <c r="Z154" s="40">
        <f t="shared" si="28"/>
        <v>0</v>
      </c>
      <c r="AA154" s="40">
        <f t="shared" si="29"/>
        <v>0</v>
      </c>
      <c r="AB154" s="40">
        <f t="shared" si="31"/>
        <v>0</v>
      </c>
      <c r="AC154" s="41">
        <f t="shared" si="32"/>
        <v>0</v>
      </c>
      <c r="AD154" s="49" t="s">
        <v>5</v>
      </c>
      <c r="AE154" s="50" t="s">
        <v>89</v>
      </c>
      <c r="AF154" s="49" t="s">
        <v>5</v>
      </c>
      <c r="AG154" s="50" t="s">
        <v>135</v>
      </c>
      <c r="AH154" s="49"/>
      <c r="AI154" s="50"/>
      <c r="AJ154" s="49" t="s">
        <v>5</v>
      </c>
      <c r="AK154" s="50" t="s">
        <v>111</v>
      </c>
      <c r="AL154" s="49" t="s">
        <v>5</v>
      </c>
      <c r="AM154" s="50" t="s">
        <v>84</v>
      </c>
      <c r="AN154" s="49"/>
      <c r="AO154" s="50"/>
      <c r="AP154" s="49" t="s">
        <v>1</v>
      </c>
      <c r="AQ154" s="50" t="s">
        <v>92</v>
      </c>
      <c r="AR154" s="49" t="s">
        <v>5</v>
      </c>
      <c r="AS154" s="50" t="s">
        <v>93</v>
      </c>
      <c r="AT154" s="49" t="s">
        <v>5</v>
      </c>
      <c r="AU154" s="50" t="s">
        <v>78</v>
      </c>
      <c r="AV154" s="49" t="s">
        <v>5</v>
      </c>
      <c r="AW154" s="50" t="s">
        <v>136</v>
      </c>
      <c r="AX154" s="49" t="s">
        <v>5</v>
      </c>
      <c r="AY154" s="50" t="s">
        <v>95</v>
      </c>
      <c r="AZ154" s="49" t="s">
        <v>5</v>
      </c>
      <c r="BA154" s="50" t="s">
        <v>81</v>
      </c>
      <c r="BB154" s="49" t="s">
        <v>5</v>
      </c>
      <c r="BC154" s="50" t="s">
        <v>97</v>
      </c>
      <c r="BD154" s="49" t="s">
        <v>1</v>
      </c>
      <c r="BE154" s="50" t="s">
        <v>98</v>
      </c>
      <c r="BF154" s="49" t="s">
        <v>5</v>
      </c>
      <c r="BG154" s="50" t="s">
        <v>84</v>
      </c>
    </row>
    <row r="155" spans="1:59" s="44" customFormat="1" x14ac:dyDescent="0.25">
      <c r="A155" s="24">
        <v>160290</v>
      </c>
      <c r="B155" s="25" t="s">
        <v>317</v>
      </c>
      <c r="C155" s="26" t="s">
        <v>162</v>
      </c>
      <c r="D155" s="27" t="s">
        <v>12</v>
      </c>
      <c r="E155" s="28" t="s">
        <v>14</v>
      </c>
      <c r="F155" s="25" t="s">
        <v>126</v>
      </c>
      <c r="G155" s="28" t="s">
        <v>87</v>
      </c>
      <c r="H155" s="28" t="s">
        <v>14</v>
      </c>
      <c r="I155" s="29" t="s">
        <v>14</v>
      </c>
      <c r="J155" s="28" t="s">
        <v>14</v>
      </c>
      <c r="K155" s="30" t="s">
        <v>1850</v>
      </c>
      <c r="L155" s="31" t="s">
        <v>1844</v>
      </c>
      <c r="M155" s="45" t="str">
        <f>IFERROR(VLOOKUP(A155,Lookups!#REF!,3,FALSE),"")</f>
        <v/>
      </c>
      <c r="N155" s="46">
        <v>29</v>
      </c>
      <c r="O155" s="47">
        <v>0</v>
      </c>
      <c r="P155" s="48">
        <v>0</v>
      </c>
      <c r="Q155" s="36">
        <v>97.92</v>
      </c>
      <c r="R155" s="37">
        <v>0</v>
      </c>
      <c r="S155" s="38">
        <f t="shared" si="22"/>
        <v>0</v>
      </c>
      <c r="T155" s="39">
        <f t="shared" si="23"/>
        <v>13</v>
      </c>
      <c r="U155" s="40">
        <f t="shared" si="24"/>
        <v>0</v>
      </c>
      <c r="V155" s="40">
        <f t="shared" si="25"/>
        <v>0</v>
      </c>
      <c r="W155" s="40">
        <f t="shared" si="26"/>
        <v>0</v>
      </c>
      <c r="X155" s="40">
        <f t="shared" si="30"/>
        <v>0</v>
      </c>
      <c r="Y155" s="40">
        <f t="shared" si="27"/>
        <v>0</v>
      </c>
      <c r="Z155" s="40">
        <f t="shared" si="28"/>
        <v>0</v>
      </c>
      <c r="AA155" s="40">
        <f t="shared" si="29"/>
        <v>0</v>
      </c>
      <c r="AB155" s="40">
        <f t="shared" si="31"/>
        <v>0</v>
      </c>
      <c r="AC155" s="41">
        <f t="shared" si="32"/>
        <v>0</v>
      </c>
      <c r="AD155" s="49" t="s">
        <v>5</v>
      </c>
      <c r="AE155" s="50" t="s">
        <v>72</v>
      </c>
      <c r="AF155" s="49" t="s">
        <v>5</v>
      </c>
      <c r="AG155" s="50" t="s">
        <v>135</v>
      </c>
      <c r="AH155" s="49"/>
      <c r="AI155" s="50"/>
      <c r="AJ155" s="49" t="s">
        <v>5</v>
      </c>
      <c r="AK155" s="50" t="s">
        <v>194</v>
      </c>
      <c r="AL155" s="49" t="s">
        <v>5</v>
      </c>
      <c r="AM155" s="50" t="s">
        <v>72</v>
      </c>
      <c r="AN155" s="49" t="s">
        <v>5</v>
      </c>
      <c r="AO155" s="50" t="s">
        <v>143</v>
      </c>
      <c r="AP155" s="49" t="s">
        <v>5</v>
      </c>
      <c r="AQ155" s="50" t="s">
        <v>144</v>
      </c>
      <c r="AR155" s="49" t="s">
        <v>5</v>
      </c>
      <c r="AS155" s="50" t="s">
        <v>104</v>
      </c>
      <c r="AT155" s="49" t="s">
        <v>5</v>
      </c>
      <c r="AU155" s="50" t="s">
        <v>163</v>
      </c>
      <c r="AV155" s="49" t="s">
        <v>5</v>
      </c>
      <c r="AW155" s="50" t="s">
        <v>94</v>
      </c>
      <c r="AX155" s="49" t="s">
        <v>5</v>
      </c>
      <c r="AY155" s="50" t="s">
        <v>95</v>
      </c>
      <c r="AZ155" s="49" t="s">
        <v>5</v>
      </c>
      <c r="BA155" s="50" t="s">
        <v>107</v>
      </c>
      <c r="BB155" s="49" t="s">
        <v>5</v>
      </c>
      <c r="BC155" s="50" t="s">
        <v>97</v>
      </c>
      <c r="BD155" s="49" t="s">
        <v>5</v>
      </c>
      <c r="BE155" s="50" t="s">
        <v>164</v>
      </c>
      <c r="BF155" s="49"/>
      <c r="BG155" s="50"/>
    </row>
    <row r="156" spans="1:59" s="44" customFormat="1" x14ac:dyDescent="0.25">
      <c r="A156" s="24">
        <v>160291</v>
      </c>
      <c r="B156" s="25" t="s">
        <v>318</v>
      </c>
      <c r="C156" s="26" t="s">
        <v>162</v>
      </c>
      <c r="D156" s="27" t="s">
        <v>70</v>
      </c>
      <c r="E156" s="28" t="s">
        <v>14</v>
      </c>
      <c r="F156" s="25" t="s">
        <v>220</v>
      </c>
      <c r="G156" s="28" t="s">
        <v>14</v>
      </c>
      <c r="H156" s="28" t="s">
        <v>14</v>
      </c>
      <c r="I156" s="29" t="s">
        <v>14</v>
      </c>
      <c r="J156" s="28" t="s">
        <v>14</v>
      </c>
      <c r="K156" s="30" t="s">
        <v>1850</v>
      </c>
      <c r="L156" s="31" t="s">
        <v>1841</v>
      </c>
      <c r="M156" s="45" t="str">
        <f>IFERROR(VLOOKUP(A156,Lookups!#REF!,3,FALSE),"")</f>
        <v/>
      </c>
      <c r="N156" s="46">
        <v>21</v>
      </c>
      <c r="O156" s="47">
        <v>0</v>
      </c>
      <c r="P156" s="48">
        <v>0</v>
      </c>
      <c r="Q156" s="36">
        <v>100</v>
      </c>
      <c r="R156" s="37">
        <v>0</v>
      </c>
      <c r="S156" s="38">
        <f t="shared" si="22"/>
        <v>0</v>
      </c>
      <c r="T156" s="39">
        <f t="shared" si="23"/>
        <v>13</v>
      </c>
      <c r="U156" s="40">
        <f t="shared" si="24"/>
        <v>0</v>
      </c>
      <c r="V156" s="40">
        <f t="shared" si="25"/>
        <v>0</v>
      </c>
      <c r="W156" s="40">
        <f t="shared" si="26"/>
        <v>0</v>
      </c>
      <c r="X156" s="40">
        <f t="shared" si="30"/>
        <v>0</v>
      </c>
      <c r="Y156" s="40">
        <f t="shared" si="27"/>
        <v>0</v>
      </c>
      <c r="Z156" s="40">
        <f t="shared" si="28"/>
        <v>0</v>
      </c>
      <c r="AA156" s="40">
        <f t="shared" si="29"/>
        <v>0</v>
      </c>
      <c r="AB156" s="40">
        <f t="shared" si="31"/>
        <v>0</v>
      </c>
      <c r="AC156" s="41">
        <f t="shared" si="32"/>
        <v>0</v>
      </c>
      <c r="AD156" s="49" t="s">
        <v>5</v>
      </c>
      <c r="AE156" s="50" t="s">
        <v>72</v>
      </c>
      <c r="AF156" s="49" t="s">
        <v>5</v>
      </c>
      <c r="AG156" s="50" t="s">
        <v>90</v>
      </c>
      <c r="AH156" s="49"/>
      <c r="AI156" s="50"/>
      <c r="AJ156" s="49" t="s">
        <v>5</v>
      </c>
      <c r="AK156" s="50" t="s">
        <v>127</v>
      </c>
      <c r="AL156" s="49" t="s">
        <v>5</v>
      </c>
      <c r="AM156" s="50" t="s">
        <v>72</v>
      </c>
      <c r="AN156" s="49" t="s">
        <v>5</v>
      </c>
      <c r="AO156" s="50" t="s">
        <v>143</v>
      </c>
      <c r="AP156" s="49" t="s">
        <v>5</v>
      </c>
      <c r="AQ156" s="50" t="s">
        <v>144</v>
      </c>
      <c r="AR156" s="49" t="s">
        <v>5</v>
      </c>
      <c r="AS156" s="50" t="s">
        <v>104</v>
      </c>
      <c r="AT156" s="49" t="s">
        <v>5</v>
      </c>
      <c r="AU156" s="50" t="s">
        <v>163</v>
      </c>
      <c r="AV156" s="49" t="s">
        <v>5</v>
      </c>
      <c r="AW156" s="50" t="s">
        <v>136</v>
      </c>
      <c r="AX156" s="49" t="s">
        <v>5</v>
      </c>
      <c r="AY156" s="50" t="s">
        <v>95</v>
      </c>
      <c r="AZ156" s="49" t="s">
        <v>5</v>
      </c>
      <c r="BA156" s="50" t="s">
        <v>81</v>
      </c>
      <c r="BB156" s="49" t="s">
        <v>5</v>
      </c>
      <c r="BC156" s="50" t="s">
        <v>153</v>
      </c>
      <c r="BD156" s="49" t="s">
        <v>5</v>
      </c>
      <c r="BE156" s="50" t="s">
        <v>164</v>
      </c>
      <c r="BF156" s="49"/>
      <c r="BG156" s="50"/>
    </row>
    <row r="157" spans="1:59" s="44" customFormat="1" x14ac:dyDescent="0.25">
      <c r="A157" s="24">
        <v>160292</v>
      </c>
      <c r="B157" s="25" t="s">
        <v>319</v>
      </c>
      <c r="C157" s="26" t="s">
        <v>129</v>
      </c>
      <c r="D157" s="27" t="s">
        <v>70</v>
      </c>
      <c r="E157" s="28" t="s">
        <v>14</v>
      </c>
      <c r="F157" s="25" t="s">
        <v>71</v>
      </c>
      <c r="G157" s="28" t="s">
        <v>14</v>
      </c>
      <c r="H157" s="28" t="s">
        <v>14</v>
      </c>
      <c r="I157" s="29" t="s">
        <v>14</v>
      </c>
      <c r="J157" s="28" t="s">
        <v>14</v>
      </c>
      <c r="K157" s="30" t="s">
        <v>1850</v>
      </c>
      <c r="L157" s="31" t="s">
        <v>1842</v>
      </c>
      <c r="M157" s="45" t="str">
        <f>IFERROR(VLOOKUP(A157,Lookups!#REF!,3,FALSE),"")</f>
        <v/>
      </c>
      <c r="N157" s="46">
        <v>34</v>
      </c>
      <c r="O157" s="47">
        <v>0</v>
      </c>
      <c r="P157" s="48">
        <v>0</v>
      </c>
      <c r="Q157" s="36">
        <v>100</v>
      </c>
      <c r="R157" s="37">
        <v>0</v>
      </c>
      <c r="S157" s="38">
        <f t="shared" si="22"/>
        <v>1</v>
      </c>
      <c r="T157" s="39">
        <f t="shared" si="23"/>
        <v>12</v>
      </c>
      <c r="U157" s="40">
        <f t="shared" si="24"/>
        <v>0</v>
      </c>
      <c r="V157" s="40">
        <f t="shared" si="25"/>
        <v>0</v>
      </c>
      <c r="W157" s="40">
        <f t="shared" si="26"/>
        <v>0</v>
      </c>
      <c r="X157" s="40">
        <f t="shared" si="30"/>
        <v>0</v>
      </c>
      <c r="Y157" s="40">
        <f t="shared" si="27"/>
        <v>0</v>
      </c>
      <c r="Z157" s="40">
        <f t="shared" si="28"/>
        <v>0</v>
      </c>
      <c r="AA157" s="40">
        <f t="shared" si="29"/>
        <v>0</v>
      </c>
      <c r="AB157" s="40">
        <f t="shared" si="31"/>
        <v>0</v>
      </c>
      <c r="AC157" s="41">
        <f t="shared" si="32"/>
        <v>0</v>
      </c>
      <c r="AD157" s="49" t="s">
        <v>5</v>
      </c>
      <c r="AE157" s="50" t="s">
        <v>89</v>
      </c>
      <c r="AF157" s="49" t="s">
        <v>5</v>
      </c>
      <c r="AG157" s="50" t="s">
        <v>73</v>
      </c>
      <c r="AH157" s="49"/>
      <c r="AI157" s="50"/>
      <c r="AJ157" s="49" t="s">
        <v>5</v>
      </c>
      <c r="AK157" s="50" t="s">
        <v>118</v>
      </c>
      <c r="AL157" s="49" t="s">
        <v>5</v>
      </c>
      <c r="AM157" s="50" t="s">
        <v>74</v>
      </c>
      <c r="AN157" s="49" t="s">
        <v>5</v>
      </c>
      <c r="AO157" s="50" t="s">
        <v>130</v>
      </c>
      <c r="AP157" s="49" t="s">
        <v>5</v>
      </c>
      <c r="AQ157" s="50" t="s">
        <v>144</v>
      </c>
      <c r="AR157" s="49" t="s">
        <v>5</v>
      </c>
      <c r="AS157" s="50" t="s">
        <v>132</v>
      </c>
      <c r="AT157" s="49" t="s">
        <v>5</v>
      </c>
      <c r="AU157" s="50" t="s">
        <v>105</v>
      </c>
      <c r="AV157" s="49" t="s">
        <v>5</v>
      </c>
      <c r="AW157" s="50" t="s">
        <v>94</v>
      </c>
      <c r="AX157" s="49" t="s">
        <v>1</v>
      </c>
      <c r="AY157" s="50" t="s">
        <v>80</v>
      </c>
      <c r="AZ157" s="49" t="s">
        <v>5</v>
      </c>
      <c r="BA157" s="50" t="s">
        <v>81</v>
      </c>
      <c r="BB157" s="49" t="s">
        <v>5</v>
      </c>
      <c r="BC157" s="50" t="s">
        <v>153</v>
      </c>
      <c r="BD157" s="49" t="s">
        <v>5</v>
      </c>
      <c r="BE157" s="50" t="s">
        <v>133</v>
      </c>
      <c r="BF157" s="49"/>
      <c r="BG157" s="50"/>
    </row>
    <row r="158" spans="1:59" s="44" customFormat="1" x14ac:dyDescent="0.25">
      <c r="A158" s="24">
        <v>160293</v>
      </c>
      <c r="B158" s="25" t="s">
        <v>320</v>
      </c>
      <c r="C158" s="26" t="s">
        <v>129</v>
      </c>
      <c r="D158" s="27" t="s">
        <v>70</v>
      </c>
      <c r="E158" s="28" t="s">
        <v>14</v>
      </c>
      <c r="F158" s="25" t="s">
        <v>71</v>
      </c>
      <c r="G158" s="28" t="s">
        <v>14</v>
      </c>
      <c r="H158" s="28" t="s">
        <v>14</v>
      </c>
      <c r="I158" s="29" t="s">
        <v>14</v>
      </c>
      <c r="J158" s="28" t="s">
        <v>14</v>
      </c>
      <c r="K158" s="30" t="s">
        <v>1850</v>
      </c>
      <c r="L158" s="31" t="s">
        <v>1843</v>
      </c>
      <c r="M158" s="45" t="str">
        <f>IFERROR(VLOOKUP(A158,Lookups!#REF!,3,FALSE),"")</f>
        <v/>
      </c>
      <c r="N158" s="46">
        <v>31</v>
      </c>
      <c r="O158" s="47">
        <v>1</v>
      </c>
      <c r="P158" s="48">
        <v>0</v>
      </c>
      <c r="Q158" s="36">
        <v>100</v>
      </c>
      <c r="R158" s="37">
        <v>0</v>
      </c>
      <c r="S158" s="38">
        <f t="shared" si="22"/>
        <v>0</v>
      </c>
      <c r="T158" s="39">
        <f t="shared" si="23"/>
        <v>13</v>
      </c>
      <c r="U158" s="40">
        <f t="shared" si="24"/>
        <v>0</v>
      </c>
      <c r="V158" s="40">
        <f t="shared" si="25"/>
        <v>0</v>
      </c>
      <c r="W158" s="40">
        <f t="shared" si="26"/>
        <v>0</v>
      </c>
      <c r="X158" s="40">
        <f t="shared" si="30"/>
        <v>0</v>
      </c>
      <c r="Y158" s="40">
        <f t="shared" si="27"/>
        <v>0</v>
      </c>
      <c r="Z158" s="40">
        <f t="shared" si="28"/>
        <v>0</v>
      </c>
      <c r="AA158" s="40">
        <f t="shared" si="29"/>
        <v>0</v>
      </c>
      <c r="AB158" s="40">
        <f t="shared" si="31"/>
        <v>0</v>
      </c>
      <c r="AC158" s="41">
        <f t="shared" si="32"/>
        <v>0</v>
      </c>
      <c r="AD158" s="49" t="s">
        <v>5</v>
      </c>
      <c r="AE158" s="50" t="s">
        <v>89</v>
      </c>
      <c r="AF158" s="49"/>
      <c r="AG158" s="50"/>
      <c r="AH158" s="49" t="s">
        <v>5</v>
      </c>
      <c r="AI158" s="50" t="s">
        <v>101</v>
      </c>
      <c r="AJ158" s="49" t="s">
        <v>5</v>
      </c>
      <c r="AK158" s="50" t="s">
        <v>118</v>
      </c>
      <c r="AL158" s="49" t="s">
        <v>5</v>
      </c>
      <c r="AM158" s="50" t="s">
        <v>74</v>
      </c>
      <c r="AN158" s="49" t="s">
        <v>5</v>
      </c>
      <c r="AO158" s="50" t="s">
        <v>130</v>
      </c>
      <c r="AP158" s="49" t="s">
        <v>5</v>
      </c>
      <c r="AQ158" s="50" t="s">
        <v>144</v>
      </c>
      <c r="AR158" s="49" t="s">
        <v>5</v>
      </c>
      <c r="AS158" s="50" t="s">
        <v>132</v>
      </c>
      <c r="AT158" s="49" t="s">
        <v>5</v>
      </c>
      <c r="AU158" s="50" t="s">
        <v>105</v>
      </c>
      <c r="AV158" s="49" t="s">
        <v>5</v>
      </c>
      <c r="AW158" s="50" t="s">
        <v>106</v>
      </c>
      <c r="AX158" s="49" t="s">
        <v>5</v>
      </c>
      <c r="AY158" s="50" t="s">
        <v>80</v>
      </c>
      <c r="AZ158" s="49" t="s">
        <v>5</v>
      </c>
      <c r="BA158" s="50" t="s">
        <v>81</v>
      </c>
      <c r="BB158" s="49" t="s">
        <v>5</v>
      </c>
      <c r="BC158" s="50" t="s">
        <v>108</v>
      </c>
      <c r="BD158" s="49" t="s">
        <v>5</v>
      </c>
      <c r="BE158" s="50" t="s">
        <v>133</v>
      </c>
      <c r="BF158" s="49"/>
      <c r="BG158" s="50"/>
    </row>
    <row r="159" spans="1:59" s="44" customFormat="1" x14ac:dyDescent="0.25">
      <c r="A159" s="24">
        <v>160294</v>
      </c>
      <c r="B159" s="25" t="s">
        <v>321</v>
      </c>
      <c r="C159" s="26" t="s">
        <v>100</v>
      </c>
      <c r="D159" s="27" t="s">
        <v>12</v>
      </c>
      <c r="E159" s="28" t="s">
        <v>14</v>
      </c>
      <c r="F159" s="25" t="s">
        <v>220</v>
      </c>
      <c r="G159" s="28" t="s">
        <v>87</v>
      </c>
      <c r="H159" s="28" t="s">
        <v>14</v>
      </c>
      <c r="I159" s="29" t="s">
        <v>14</v>
      </c>
      <c r="J159" s="28" t="s">
        <v>14</v>
      </c>
      <c r="K159" s="30" t="s">
        <v>1850</v>
      </c>
      <c r="L159" s="31" t="s">
        <v>1846</v>
      </c>
      <c r="M159" s="45" t="str">
        <f>IFERROR(VLOOKUP(A159,Lookups!#REF!,3,FALSE),"")</f>
        <v/>
      </c>
      <c r="N159" s="46">
        <v>19</v>
      </c>
      <c r="O159" s="47">
        <v>1</v>
      </c>
      <c r="P159" s="48">
        <v>0</v>
      </c>
      <c r="Q159" s="36">
        <v>100</v>
      </c>
      <c r="R159" s="37">
        <v>0</v>
      </c>
      <c r="S159" s="38">
        <f t="shared" si="22"/>
        <v>0</v>
      </c>
      <c r="T159" s="39">
        <f t="shared" si="23"/>
        <v>13</v>
      </c>
      <c r="U159" s="40">
        <f t="shared" si="24"/>
        <v>0</v>
      </c>
      <c r="V159" s="40">
        <f t="shared" si="25"/>
        <v>0</v>
      </c>
      <c r="W159" s="40">
        <f t="shared" si="26"/>
        <v>0</v>
      </c>
      <c r="X159" s="40">
        <f t="shared" si="30"/>
        <v>0</v>
      </c>
      <c r="Y159" s="40">
        <f t="shared" si="27"/>
        <v>0</v>
      </c>
      <c r="Z159" s="40">
        <f t="shared" si="28"/>
        <v>0</v>
      </c>
      <c r="AA159" s="40">
        <f t="shared" si="29"/>
        <v>0</v>
      </c>
      <c r="AB159" s="40">
        <f t="shared" si="31"/>
        <v>0</v>
      </c>
      <c r="AC159" s="41">
        <f t="shared" si="32"/>
        <v>0</v>
      </c>
      <c r="AD159" s="49" t="s">
        <v>5</v>
      </c>
      <c r="AE159" s="50" t="s">
        <v>72</v>
      </c>
      <c r="AF159" s="49" t="s">
        <v>5</v>
      </c>
      <c r="AG159" s="50" t="s">
        <v>135</v>
      </c>
      <c r="AH159" s="49"/>
      <c r="AI159" s="50"/>
      <c r="AJ159" s="49" t="s">
        <v>5</v>
      </c>
      <c r="AK159" s="50" t="s">
        <v>102</v>
      </c>
      <c r="AL159" s="49" t="s">
        <v>5</v>
      </c>
      <c r="AM159" s="50" t="s">
        <v>76</v>
      </c>
      <c r="AN159" s="49" t="s">
        <v>5</v>
      </c>
      <c r="AO159" s="50" t="s">
        <v>103</v>
      </c>
      <c r="AP159" s="49" t="s">
        <v>5</v>
      </c>
      <c r="AQ159" s="50" t="s">
        <v>92</v>
      </c>
      <c r="AR159" s="49" t="s">
        <v>5</v>
      </c>
      <c r="AS159" s="50" t="s">
        <v>104</v>
      </c>
      <c r="AT159" s="49" t="s">
        <v>5</v>
      </c>
      <c r="AU159" s="50" t="s">
        <v>105</v>
      </c>
      <c r="AV159" s="49" t="s">
        <v>5</v>
      </c>
      <c r="AW159" s="50" t="s">
        <v>136</v>
      </c>
      <c r="AX159" s="49" t="s">
        <v>5</v>
      </c>
      <c r="AY159" s="50" t="s">
        <v>80</v>
      </c>
      <c r="AZ159" s="49" t="s">
        <v>5</v>
      </c>
      <c r="BA159" s="50" t="s">
        <v>107</v>
      </c>
      <c r="BB159" s="49" t="s">
        <v>5</v>
      </c>
      <c r="BC159" s="50" t="s">
        <v>108</v>
      </c>
      <c r="BD159" s="49" t="s">
        <v>5</v>
      </c>
      <c r="BE159" s="50" t="s">
        <v>206</v>
      </c>
      <c r="BF159" s="49"/>
      <c r="BG159" s="50"/>
    </row>
    <row r="160" spans="1:59" s="44" customFormat="1" x14ac:dyDescent="0.25">
      <c r="A160" s="24">
        <v>160295</v>
      </c>
      <c r="B160" s="25" t="s">
        <v>322</v>
      </c>
      <c r="C160" s="26" t="s">
        <v>149</v>
      </c>
      <c r="D160" s="27" t="s">
        <v>70</v>
      </c>
      <c r="E160" s="28" t="s">
        <v>14</v>
      </c>
      <c r="F160" s="25" t="s">
        <v>71</v>
      </c>
      <c r="G160" s="28" t="s">
        <v>14</v>
      </c>
      <c r="H160" s="28" t="s">
        <v>14</v>
      </c>
      <c r="I160" s="29" t="s">
        <v>14</v>
      </c>
      <c r="J160" s="28" t="s">
        <v>14</v>
      </c>
      <c r="K160" s="30" t="s">
        <v>1850</v>
      </c>
      <c r="L160" s="31" t="s">
        <v>1843</v>
      </c>
      <c r="M160" s="45" t="str">
        <f>IFERROR(VLOOKUP(A160,Lookups!#REF!,3,FALSE),"")</f>
        <v/>
      </c>
      <c r="N160" s="46">
        <v>17</v>
      </c>
      <c r="O160" s="47">
        <v>0</v>
      </c>
      <c r="P160" s="48">
        <v>0</v>
      </c>
      <c r="Q160" s="36">
        <v>100</v>
      </c>
      <c r="R160" s="37">
        <v>0</v>
      </c>
      <c r="S160" s="38">
        <f t="shared" si="22"/>
        <v>1</v>
      </c>
      <c r="T160" s="39">
        <f t="shared" si="23"/>
        <v>12</v>
      </c>
      <c r="U160" s="40">
        <f t="shared" si="24"/>
        <v>0</v>
      </c>
      <c r="V160" s="40">
        <f t="shared" si="25"/>
        <v>0</v>
      </c>
      <c r="W160" s="40">
        <f t="shared" si="26"/>
        <v>0</v>
      </c>
      <c r="X160" s="40">
        <f t="shared" si="30"/>
        <v>0</v>
      </c>
      <c r="Y160" s="40">
        <f t="shared" si="27"/>
        <v>0</v>
      </c>
      <c r="Z160" s="40">
        <f t="shared" si="28"/>
        <v>0</v>
      </c>
      <c r="AA160" s="40">
        <f t="shared" si="29"/>
        <v>0</v>
      </c>
      <c r="AB160" s="40">
        <f t="shared" si="31"/>
        <v>0</v>
      </c>
      <c r="AC160" s="41">
        <f t="shared" si="32"/>
        <v>0</v>
      </c>
      <c r="AD160" s="49" t="s">
        <v>5</v>
      </c>
      <c r="AE160" s="50" t="s">
        <v>116</v>
      </c>
      <c r="AF160" s="49" t="s">
        <v>5</v>
      </c>
      <c r="AG160" s="50" t="s">
        <v>90</v>
      </c>
      <c r="AH160" s="49"/>
      <c r="AI160" s="50"/>
      <c r="AJ160" s="49" t="s">
        <v>5</v>
      </c>
      <c r="AK160" s="50" t="s">
        <v>91</v>
      </c>
      <c r="AL160" s="49" t="s">
        <v>1</v>
      </c>
      <c r="AM160" s="50" t="s">
        <v>78</v>
      </c>
      <c r="AN160" s="49"/>
      <c r="AO160" s="50"/>
      <c r="AP160" s="49" t="s">
        <v>5</v>
      </c>
      <c r="AQ160" s="50" t="s">
        <v>131</v>
      </c>
      <c r="AR160" s="49" t="s">
        <v>5</v>
      </c>
      <c r="AS160" s="50" t="s">
        <v>104</v>
      </c>
      <c r="AT160" s="49" t="s">
        <v>5</v>
      </c>
      <c r="AU160" s="50" t="s">
        <v>105</v>
      </c>
      <c r="AV160" s="49" t="s">
        <v>5</v>
      </c>
      <c r="AW160" s="50" t="s">
        <v>139</v>
      </c>
      <c r="AX160" s="49" t="s">
        <v>5</v>
      </c>
      <c r="AY160" s="50" t="s">
        <v>80</v>
      </c>
      <c r="AZ160" s="49" t="s">
        <v>5</v>
      </c>
      <c r="BA160" s="50" t="s">
        <v>152</v>
      </c>
      <c r="BB160" s="49" t="s">
        <v>5</v>
      </c>
      <c r="BC160" s="50" t="s">
        <v>153</v>
      </c>
      <c r="BD160" s="49" t="s">
        <v>5</v>
      </c>
      <c r="BE160" s="50" t="s">
        <v>154</v>
      </c>
      <c r="BF160" s="49" t="s">
        <v>5</v>
      </c>
      <c r="BG160" s="50" t="s">
        <v>103</v>
      </c>
    </row>
    <row r="161" spans="1:59" s="44" customFormat="1" x14ac:dyDescent="0.25">
      <c r="A161" s="24">
        <v>160296</v>
      </c>
      <c r="B161" s="25" t="s">
        <v>323</v>
      </c>
      <c r="C161" s="26" t="s">
        <v>100</v>
      </c>
      <c r="D161" s="27" t="s">
        <v>12</v>
      </c>
      <c r="E161" s="28" t="s">
        <v>14</v>
      </c>
      <c r="F161" s="25" t="s">
        <v>230</v>
      </c>
      <c r="G161" s="28" t="s">
        <v>87</v>
      </c>
      <c r="H161" s="28" t="s">
        <v>14</v>
      </c>
      <c r="I161" s="29" t="s">
        <v>14</v>
      </c>
      <c r="J161" s="28" t="s">
        <v>14</v>
      </c>
      <c r="K161" s="30" t="s">
        <v>1850</v>
      </c>
      <c r="L161" s="31" t="s">
        <v>1846</v>
      </c>
      <c r="M161" s="45" t="str">
        <f>IFERROR(VLOOKUP(A161,Lookups!#REF!,3,FALSE),"")</f>
        <v/>
      </c>
      <c r="N161" s="46">
        <v>17</v>
      </c>
      <c r="O161" s="47">
        <v>0</v>
      </c>
      <c r="P161" s="48">
        <v>0</v>
      </c>
      <c r="Q161" s="36">
        <v>100</v>
      </c>
      <c r="R161" s="37">
        <v>1</v>
      </c>
      <c r="S161" s="38">
        <f t="shared" si="22"/>
        <v>0</v>
      </c>
      <c r="T161" s="39">
        <f t="shared" si="23"/>
        <v>13</v>
      </c>
      <c r="U161" s="40">
        <f t="shared" si="24"/>
        <v>0</v>
      </c>
      <c r="V161" s="40">
        <f t="shared" si="25"/>
        <v>0</v>
      </c>
      <c r="W161" s="40">
        <f t="shared" si="26"/>
        <v>0</v>
      </c>
      <c r="X161" s="40">
        <f t="shared" si="30"/>
        <v>0</v>
      </c>
      <c r="Y161" s="40">
        <f t="shared" si="27"/>
        <v>0</v>
      </c>
      <c r="Z161" s="40">
        <f t="shared" si="28"/>
        <v>0</v>
      </c>
      <c r="AA161" s="40">
        <f t="shared" si="29"/>
        <v>0</v>
      </c>
      <c r="AB161" s="40">
        <f t="shared" si="31"/>
        <v>0</v>
      </c>
      <c r="AC161" s="41">
        <f t="shared" si="32"/>
        <v>0</v>
      </c>
      <c r="AD161" s="49" t="s">
        <v>5</v>
      </c>
      <c r="AE161" s="50" t="s">
        <v>72</v>
      </c>
      <c r="AF161" s="49" t="s">
        <v>5</v>
      </c>
      <c r="AG161" s="50" t="s">
        <v>90</v>
      </c>
      <c r="AH161" s="49"/>
      <c r="AI161" s="50"/>
      <c r="AJ161" s="49" t="s">
        <v>5</v>
      </c>
      <c r="AK161" s="50" t="s">
        <v>102</v>
      </c>
      <c r="AL161" s="49" t="s">
        <v>5</v>
      </c>
      <c r="AM161" s="50" t="s">
        <v>76</v>
      </c>
      <c r="AN161" s="49" t="s">
        <v>5</v>
      </c>
      <c r="AO161" s="50" t="s">
        <v>103</v>
      </c>
      <c r="AP161" s="49" t="s">
        <v>5</v>
      </c>
      <c r="AQ161" s="50" t="s">
        <v>92</v>
      </c>
      <c r="AR161" s="49" t="s">
        <v>5</v>
      </c>
      <c r="AS161" s="50" t="s">
        <v>104</v>
      </c>
      <c r="AT161" s="49" t="s">
        <v>5</v>
      </c>
      <c r="AU161" s="50" t="s">
        <v>105</v>
      </c>
      <c r="AV161" s="49" t="s">
        <v>5</v>
      </c>
      <c r="AW161" s="50" t="s">
        <v>136</v>
      </c>
      <c r="AX161" s="49" t="s">
        <v>5</v>
      </c>
      <c r="AY161" s="50" t="s">
        <v>80</v>
      </c>
      <c r="AZ161" s="49" t="s">
        <v>5</v>
      </c>
      <c r="BA161" s="50" t="s">
        <v>107</v>
      </c>
      <c r="BB161" s="49" t="s">
        <v>5</v>
      </c>
      <c r="BC161" s="50" t="s">
        <v>108</v>
      </c>
      <c r="BD161" s="49" t="s">
        <v>5</v>
      </c>
      <c r="BE161" s="50" t="s">
        <v>109</v>
      </c>
      <c r="BF161" s="49"/>
      <c r="BG161" s="50"/>
    </row>
    <row r="162" spans="1:59" s="44" customFormat="1" x14ac:dyDescent="0.25">
      <c r="A162" s="24">
        <v>160297</v>
      </c>
      <c r="B162" s="25" t="s">
        <v>324</v>
      </c>
      <c r="C162" s="26" t="s">
        <v>69</v>
      </c>
      <c r="D162" s="27" t="s">
        <v>70</v>
      </c>
      <c r="E162" s="28" t="s">
        <v>14</v>
      </c>
      <c r="F162" s="25" t="s">
        <v>71</v>
      </c>
      <c r="G162" s="28" t="s">
        <v>14</v>
      </c>
      <c r="H162" s="28" t="s">
        <v>14</v>
      </c>
      <c r="I162" s="29" t="s">
        <v>14</v>
      </c>
      <c r="J162" s="28" t="s">
        <v>14</v>
      </c>
      <c r="K162" s="30" t="s">
        <v>1850</v>
      </c>
      <c r="L162" s="31" t="s">
        <v>1844</v>
      </c>
      <c r="M162" s="45" t="str">
        <f>IFERROR(VLOOKUP(A162,Lookups!#REF!,3,FALSE),"")</f>
        <v/>
      </c>
      <c r="N162" s="46">
        <v>26</v>
      </c>
      <c r="O162" s="47">
        <v>1</v>
      </c>
      <c r="P162" s="48">
        <v>0</v>
      </c>
      <c r="Q162" s="36">
        <v>95.83</v>
      </c>
      <c r="R162" s="37">
        <v>0</v>
      </c>
      <c r="S162" s="38">
        <f t="shared" si="22"/>
        <v>1</v>
      </c>
      <c r="T162" s="39">
        <f t="shared" si="23"/>
        <v>12</v>
      </c>
      <c r="U162" s="40">
        <f t="shared" si="24"/>
        <v>0</v>
      </c>
      <c r="V162" s="40">
        <f t="shared" si="25"/>
        <v>0</v>
      </c>
      <c r="W162" s="40">
        <f t="shared" si="26"/>
        <v>0</v>
      </c>
      <c r="X162" s="40">
        <f t="shared" si="30"/>
        <v>0</v>
      </c>
      <c r="Y162" s="40">
        <f t="shared" si="27"/>
        <v>0</v>
      </c>
      <c r="Z162" s="40">
        <f t="shared" si="28"/>
        <v>0</v>
      </c>
      <c r="AA162" s="40">
        <f t="shared" si="29"/>
        <v>0</v>
      </c>
      <c r="AB162" s="40">
        <f t="shared" si="31"/>
        <v>0</v>
      </c>
      <c r="AC162" s="41">
        <f t="shared" si="32"/>
        <v>0</v>
      </c>
      <c r="AD162" s="49" t="s">
        <v>5</v>
      </c>
      <c r="AE162" s="50" t="s">
        <v>72</v>
      </c>
      <c r="AF162" s="49" t="s">
        <v>5</v>
      </c>
      <c r="AG162" s="50" t="s">
        <v>90</v>
      </c>
      <c r="AH162" s="49"/>
      <c r="AI162" s="50"/>
      <c r="AJ162" s="49" t="s">
        <v>5</v>
      </c>
      <c r="AK162" s="50" t="s">
        <v>74</v>
      </c>
      <c r="AL162" s="49" t="s">
        <v>5</v>
      </c>
      <c r="AM162" s="50" t="s">
        <v>75</v>
      </c>
      <c r="AN162" s="49"/>
      <c r="AO162" s="50"/>
      <c r="AP162" s="49" t="s">
        <v>5</v>
      </c>
      <c r="AQ162" s="50" t="s">
        <v>131</v>
      </c>
      <c r="AR162" s="49" t="s">
        <v>5</v>
      </c>
      <c r="AS162" s="50" t="s">
        <v>120</v>
      </c>
      <c r="AT162" s="49" t="s">
        <v>5</v>
      </c>
      <c r="AU162" s="50" t="s">
        <v>78</v>
      </c>
      <c r="AV162" s="49" t="s">
        <v>1</v>
      </c>
      <c r="AW162" s="50" t="s">
        <v>112</v>
      </c>
      <c r="AX162" s="49" t="s">
        <v>5</v>
      </c>
      <c r="AY162" s="50" t="s">
        <v>80</v>
      </c>
      <c r="AZ162" s="49" t="s">
        <v>5</v>
      </c>
      <c r="BA162" s="50" t="s">
        <v>81</v>
      </c>
      <c r="BB162" s="49" t="s">
        <v>5</v>
      </c>
      <c r="BC162" s="50" t="s">
        <v>82</v>
      </c>
      <c r="BD162" s="49" t="s">
        <v>5</v>
      </c>
      <c r="BE162" s="50" t="s">
        <v>83</v>
      </c>
      <c r="BF162" s="49" t="s">
        <v>5</v>
      </c>
      <c r="BG162" s="50" t="s">
        <v>84</v>
      </c>
    </row>
    <row r="163" spans="1:59" s="44" customFormat="1" x14ac:dyDescent="0.25">
      <c r="A163" s="24">
        <v>160298</v>
      </c>
      <c r="B163" s="25" t="s">
        <v>325</v>
      </c>
      <c r="C163" s="26" t="s">
        <v>100</v>
      </c>
      <c r="D163" s="27" t="s">
        <v>70</v>
      </c>
      <c r="E163" s="28" t="s">
        <v>14</v>
      </c>
      <c r="F163" s="25" t="s">
        <v>71</v>
      </c>
      <c r="G163" s="28" t="s">
        <v>14</v>
      </c>
      <c r="H163" s="28" t="s">
        <v>14</v>
      </c>
      <c r="I163" s="29" t="s">
        <v>14</v>
      </c>
      <c r="J163" s="28" t="s">
        <v>14</v>
      </c>
      <c r="K163" s="30" t="s">
        <v>1850</v>
      </c>
      <c r="L163" s="31" t="s">
        <v>1844</v>
      </c>
      <c r="M163" s="45" t="str">
        <f>IFERROR(VLOOKUP(A163,Lookups!#REF!,3,FALSE),"")</f>
        <v/>
      </c>
      <c r="N163" s="46">
        <v>17</v>
      </c>
      <c r="O163" s="47">
        <v>0</v>
      </c>
      <c r="P163" s="48">
        <v>0</v>
      </c>
      <c r="Q163" s="36">
        <v>95.74</v>
      </c>
      <c r="R163" s="37">
        <v>0</v>
      </c>
      <c r="S163" s="38">
        <f t="shared" si="22"/>
        <v>0</v>
      </c>
      <c r="T163" s="39">
        <f t="shared" si="23"/>
        <v>13</v>
      </c>
      <c r="U163" s="40">
        <f t="shared" si="24"/>
        <v>0</v>
      </c>
      <c r="V163" s="40">
        <f t="shared" si="25"/>
        <v>0</v>
      </c>
      <c r="W163" s="40">
        <f t="shared" si="26"/>
        <v>0</v>
      </c>
      <c r="X163" s="40">
        <f t="shared" si="30"/>
        <v>0</v>
      </c>
      <c r="Y163" s="40">
        <f t="shared" si="27"/>
        <v>0</v>
      </c>
      <c r="Z163" s="40">
        <f t="shared" si="28"/>
        <v>0</v>
      </c>
      <c r="AA163" s="40">
        <f t="shared" si="29"/>
        <v>0</v>
      </c>
      <c r="AB163" s="40">
        <f t="shared" si="31"/>
        <v>0</v>
      </c>
      <c r="AC163" s="41">
        <f t="shared" si="32"/>
        <v>0</v>
      </c>
      <c r="AD163" s="49" t="s">
        <v>5</v>
      </c>
      <c r="AE163" s="50" t="s">
        <v>72</v>
      </c>
      <c r="AF163" s="49" t="s">
        <v>5</v>
      </c>
      <c r="AG163" s="50" t="s">
        <v>73</v>
      </c>
      <c r="AH163" s="49"/>
      <c r="AI163" s="50"/>
      <c r="AJ163" s="49" t="s">
        <v>5</v>
      </c>
      <c r="AK163" s="50" t="s">
        <v>102</v>
      </c>
      <c r="AL163" s="49" t="s">
        <v>5</v>
      </c>
      <c r="AM163" s="50" t="s">
        <v>76</v>
      </c>
      <c r="AN163" s="49" t="s">
        <v>5</v>
      </c>
      <c r="AO163" s="50" t="s">
        <v>103</v>
      </c>
      <c r="AP163" s="49" t="s">
        <v>5</v>
      </c>
      <c r="AQ163" s="50" t="s">
        <v>92</v>
      </c>
      <c r="AR163" s="49" t="s">
        <v>5</v>
      </c>
      <c r="AS163" s="50" t="s">
        <v>104</v>
      </c>
      <c r="AT163" s="49" t="s">
        <v>5</v>
      </c>
      <c r="AU163" s="50" t="s">
        <v>105</v>
      </c>
      <c r="AV163" s="49" t="s">
        <v>5</v>
      </c>
      <c r="AW163" s="50" t="s">
        <v>112</v>
      </c>
      <c r="AX163" s="49" t="s">
        <v>5</v>
      </c>
      <c r="AY163" s="50" t="s">
        <v>80</v>
      </c>
      <c r="AZ163" s="49" t="s">
        <v>5</v>
      </c>
      <c r="BA163" s="50" t="s">
        <v>121</v>
      </c>
      <c r="BB163" s="49" t="s">
        <v>5</v>
      </c>
      <c r="BC163" s="50" t="s">
        <v>108</v>
      </c>
      <c r="BD163" s="49" t="s">
        <v>5</v>
      </c>
      <c r="BE163" s="50" t="s">
        <v>206</v>
      </c>
      <c r="BF163" s="49"/>
      <c r="BG163" s="50"/>
    </row>
    <row r="164" spans="1:59" s="44" customFormat="1" x14ac:dyDescent="0.25">
      <c r="A164" s="24">
        <v>160299</v>
      </c>
      <c r="B164" s="25" t="s">
        <v>326</v>
      </c>
      <c r="C164" s="26" t="s">
        <v>162</v>
      </c>
      <c r="D164" s="27" t="s">
        <v>70</v>
      </c>
      <c r="E164" s="28" t="s">
        <v>14</v>
      </c>
      <c r="F164" s="25" t="s">
        <v>88</v>
      </c>
      <c r="G164" s="28" t="s">
        <v>14</v>
      </c>
      <c r="H164" s="28" t="s">
        <v>14</v>
      </c>
      <c r="I164" s="29" t="s">
        <v>14</v>
      </c>
      <c r="J164" s="28" t="s">
        <v>14</v>
      </c>
      <c r="K164" s="30" t="s">
        <v>1850</v>
      </c>
      <c r="L164" s="31" t="s">
        <v>1845</v>
      </c>
      <c r="M164" s="45" t="str">
        <f>IFERROR(VLOOKUP(A164,Lookups!#REF!,3,FALSE),"")</f>
        <v/>
      </c>
      <c r="N164" s="46">
        <v>24</v>
      </c>
      <c r="O164" s="47">
        <v>0</v>
      </c>
      <c r="P164" s="48">
        <v>0</v>
      </c>
      <c r="Q164" s="36">
        <v>100</v>
      </c>
      <c r="R164" s="37">
        <v>0</v>
      </c>
      <c r="S164" s="38">
        <f t="shared" si="22"/>
        <v>2</v>
      </c>
      <c r="T164" s="39">
        <f t="shared" si="23"/>
        <v>11</v>
      </c>
      <c r="U164" s="40">
        <f t="shared" si="24"/>
        <v>0</v>
      </c>
      <c r="V164" s="40">
        <f t="shared" si="25"/>
        <v>0</v>
      </c>
      <c r="W164" s="40">
        <f t="shared" si="26"/>
        <v>0</v>
      </c>
      <c r="X164" s="40">
        <f t="shared" si="30"/>
        <v>0</v>
      </c>
      <c r="Y164" s="40">
        <f t="shared" si="27"/>
        <v>0</v>
      </c>
      <c r="Z164" s="40">
        <f t="shared" si="28"/>
        <v>0</v>
      </c>
      <c r="AA164" s="40">
        <f t="shared" si="29"/>
        <v>0</v>
      </c>
      <c r="AB164" s="40">
        <f t="shared" si="31"/>
        <v>0</v>
      </c>
      <c r="AC164" s="41">
        <f t="shared" si="32"/>
        <v>0</v>
      </c>
      <c r="AD164" s="49" t="s">
        <v>5</v>
      </c>
      <c r="AE164" s="50" t="s">
        <v>72</v>
      </c>
      <c r="AF164" s="49" t="s">
        <v>5</v>
      </c>
      <c r="AG164" s="50" t="s">
        <v>73</v>
      </c>
      <c r="AH164" s="49"/>
      <c r="AI164" s="50"/>
      <c r="AJ164" s="49" t="s">
        <v>5</v>
      </c>
      <c r="AK164" s="50" t="s">
        <v>194</v>
      </c>
      <c r="AL164" s="49" t="s">
        <v>5</v>
      </c>
      <c r="AM164" s="50" t="s">
        <v>72</v>
      </c>
      <c r="AN164" s="49" t="s">
        <v>5</v>
      </c>
      <c r="AO164" s="50" t="s">
        <v>143</v>
      </c>
      <c r="AP164" s="49" t="s">
        <v>5</v>
      </c>
      <c r="AQ164" s="50" t="s">
        <v>131</v>
      </c>
      <c r="AR164" s="49" t="s">
        <v>1</v>
      </c>
      <c r="AS164" s="50" t="s">
        <v>104</v>
      </c>
      <c r="AT164" s="49" t="s">
        <v>5</v>
      </c>
      <c r="AU164" s="50" t="s">
        <v>163</v>
      </c>
      <c r="AV164" s="49" t="s">
        <v>1</v>
      </c>
      <c r="AW164" s="50" t="s">
        <v>112</v>
      </c>
      <c r="AX164" s="49" t="s">
        <v>5</v>
      </c>
      <c r="AY164" s="50" t="s">
        <v>95</v>
      </c>
      <c r="AZ164" s="49" t="s">
        <v>5</v>
      </c>
      <c r="BA164" s="50" t="s">
        <v>107</v>
      </c>
      <c r="BB164" s="49" t="s">
        <v>5</v>
      </c>
      <c r="BC164" s="50" t="s">
        <v>97</v>
      </c>
      <c r="BD164" s="49" t="s">
        <v>5</v>
      </c>
      <c r="BE164" s="50" t="s">
        <v>164</v>
      </c>
      <c r="BF164" s="49"/>
      <c r="BG164" s="50"/>
    </row>
    <row r="165" spans="1:59" s="44" customFormat="1" x14ac:dyDescent="0.25">
      <c r="A165" s="24">
        <v>160300</v>
      </c>
      <c r="B165" s="25" t="s">
        <v>327</v>
      </c>
      <c r="C165" s="26" t="s">
        <v>100</v>
      </c>
      <c r="D165" s="27" t="s">
        <v>12</v>
      </c>
      <c r="E165" s="28" t="s">
        <v>14</v>
      </c>
      <c r="F165" s="25" t="s">
        <v>220</v>
      </c>
      <c r="G165" s="28" t="s">
        <v>87</v>
      </c>
      <c r="H165" s="28" t="s">
        <v>14</v>
      </c>
      <c r="I165" s="29" t="s">
        <v>14</v>
      </c>
      <c r="J165" s="28" t="s">
        <v>14</v>
      </c>
      <c r="K165" s="30" t="s">
        <v>1850</v>
      </c>
      <c r="L165" s="31" t="s">
        <v>1842</v>
      </c>
      <c r="M165" s="45" t="str">
        <f>IFERROR(VLOOKUP(A165,Lookups!#REF!,3,FALSE),"")</f>
        <v/>
      </c>
      <c r="N165" s="46">
        <v>15</v>
      </c>
      <c r="O165" s="47">
        <v>1</v>
      </c>
      <c r="P165" s="48">
        <v>0</v>
      </c>
      <c r="Q165" s="36">
        <v>95.74</v>
      </c>
      <c r="R165" s="37">
        <v>0</v>
      </c>
      <c r="S165" s="38">
        <f t="shared" si="22"/>
        <v>0</v>
      </c>
      <c r="T165" s="39">
        <f t="shared" si="23"/>
        <v>13</v>
      </c>
      <c r="U165" s="40">
        <f t="shared" si="24"/>
        <v>0</v>
      </c>
      <c r="V165" s="40">
        <f t="shared" si="25"/>
        <v>0</v>
      </c>
      <c r="W165" s="40">
        <f t="shared" si="26"/>
        <v>0</v>
      </c>
      <c r="X165" s="40">
        <f t="shared" si="30"/>
        <v>0</v>
      </c>
      <c r="Y165" s="40">
        <f t="shared" si="27"/>
        <v>0</v>
      </c>
      <c r="Z165" s="40">
        <f t="shared" si="28"/>
        <v>0</v>
      </c>
      <c r="AA165" s="40">
        <f t="shared" si="29"/>
        <v>0</v>
      </c>
      <c r="AB165" s="40">
        <f t="shared" si="31"/>
        <v>0</v>
      </c>
      <c r="AC165" s="41">
        <f t="shared" si="32"/>
        <v>0</v>
      </c>
      <c r="AD165" s="49" t="s">
        <v>5</v>
      </c>
      <c r="AE165" s="50" t="s">
        <v>72</v>
      </c>
      <c r="AF165" s="49"/>
      <c r="AG165" s="50"/>
      <c r="AH165" s="49" t="s">
        <v>5</v>
      </c>
      <c r="AI165" s="50" t="s">
        <v>101</v>
      </c>
      <c r="AJ165" s="49" t="s">
        <v>5</v>
      </c>
      <c r="AK165" s="50" t="s">
        <v>102</v>
      </c>
      <c r="AL165" s="49" t="s">
        <v>5</v>
      </c>
      <c r="AM165" s="50" t="s">
        <v>76</v>
      </c>
      <c r="AN165" s="49" t="s">
        <v>5</v>
      </c>
      <c r="AO165" s="50" t="s">
        <v>103</v>
      </c>
      <c r="AP165" s="49" t="s">
        <v>5</v>
      </c>
      <c r="AQ165" s="50" t="s">
        <v>92</v>
      </c>
      <c r="AR165" s="49" t="s">
        <v>5</v>
      </c>
      <c r="AS165" s="50" t="s">
        <v>104</v>
      </c>
      <c r="AT165" s="49" t="s">
        <v>5</v>
      </c>
      <c r="AU165" s="50" t="s">
        <v>105</v>
      </c>
      <c r="AV165" s="49" t="s">
        <v>5</v>
      </c>
      <c r="AW165" s="50" t="s">
        <v>136</v>
      </c>
      <c r="AX165" s="49" t="s">
        <v>5</v>
      </c>
      <c r="AY165" s="50" t="s">
        <v>80</v>
      </c>
      <c r="AZ165" s="49" t="s">
        <v>5</v>
      </c>
      <c r="BA165" s="50" t="s">
        <v>107</v>
      </c>
      <c r="BB165" s="49" t="s">
        <v>5</v>
      </c>
      <c r="BC165" s="50" t="s">
        <v>108</v>
      </c>
      <c r="BD165" s="49" t="s">
        <v>5</v>
      </c>
      <c r="BE165" s="50" t="s">
        <v>206</v>
      </c>
      <c r="BF165" s="49"/>
      <c r="BG165" s="50"/>
    </row>
    <row r="166" spans="1:59" s="44" customFormat="1" x14ac:dyDescent="0.25">
      <c r="A166" s="24">
        <v>160301</v>
      </c>
      <c r="B166" s="25" t="s">
        <v>328</v>
      </c>
      <c r="C166" s="26" t="s">
        <v>129</v>
      </c>
      <c r="D166" s="27" t="s">
        <v>70</v>
      </c>
      <c r="E166" s="28" t="s">
        <v>14</v>
      </c>
      <c r="F166" s="25" t="s">
        <v>71</v>
      </c>
      <c r="G166" s="28" t="s">
        <v>14</v>
      </c>
      <c r="H166" s="28" t="s">
        <v>14</v>
      </c>
      <c r="I166" s="29" t="s">
        <v>14</v>
      </c>
      <c r="J166" s="28" t="s">
        <v>14</v>
      </c>
      <c r="K166" s="30" t="s">
        <v>1850</v>
      </c>
      <c r="L166" s="31" t="s">
        <v>1844</v>
      </c>
      <c r="M166" s="45" t="str">
        <f>IFERROR(VLOOKUP(A166,Lookups!#REF!,3,FALSE),"")</f>
        <v/>
      </c>
      <c r="N166" s="46">
        <v>37</v>
      </c>
      <c r="O166" s="47">
        <v>0</v>
      </c>
      <c r="P166" s="48">
        <v>0</v>
      </c>
      <c r="Q166" s="36">
        <v>100</v>
      </c>
      <c r="R166" s="37">
        <v>0</v>
      </c>
      <c r="S166" s="38">
        <f t="shared" si="22"/>
        <v>0</v>
      </c>
      <c r="T166" s="39">
        <f t="shared" si="23"/>
        <v>13</v>
      </c>
      <c r="U166" s="40">
        <f t="shared" si="24"/>
        <v>0</v>
      </c>
      <c r="V166" s="40">
        <f t="shared" si="25"/>
        <v>0</v>
      </c>
      <c r="W166" s="40">
        <f t="shared" si="26"/>
        <v>0</v>
      </c>
      <c r="X166" s="40">
        <f t="shared" si="30"/>
        <v>0</v>
      </c>
      <c r="Y166" s="40">
        <f t="shared" si="27"/>
        <v>0</v>
      </c>
      <c r="Z166" s="40">
        <f t="shared" si="28"/>
        <v>0</v>
      </c>
      <c r="AA166" s="40">
        <f t="shared" si="29"/>
        <v>0</v>
      </c>
      <c r="AB166" s="40">
        <f t="shared" si="31"/>
        <v>0</v>
      </c>
      <c r="AC166" s="41">
        <f t="shared" si="32"/>
        <v>0</v>
      </c>
      <c r="AD166" s="49" t="s">
        <v>5</v>
      </c>
      <c r="AE166" s="50" t="s">
        <v>89</v>
      </c>
      <c r="AF166" s="49" t="s">
        <v>5</v>
      </c>
      <c r="AG166" s="50" t="s">
        <v>117</v>
      </c>
      <c r="AH166" s="49"/>
      <c r="AI166" s="50"/>
      <c r="AJ166" s="49" t="s">
        <v>5</v>
      </c>
      <c r="AK166" s="50" t="s">
        <v>118</v>
      </c>
      <c r="AL166" s="49" t="s">
        <v>5</v>
      </c>
      <c r="AM166" s="50" t="s">
        <v>74</v>
      </c>
      <c r="AN166" s="49" t="s">
        <v>5</v>
      </c>
      <c r="AO166" s="50" t="s">
        <v>130</v>
      </c>
      <c r="AP166" s="49" t="s">
        <v>5</v>
      </c>
      <c r="AQ166" s="50" t="s">
        <v>144</v>
      </c>
      <c r="AR166" s="49" t="s">
        <v>5</v>
      </c>
      <c r="AS166" s="50" t="s">
        <v>132</v>
      </c>
      <c r="AT166" s="49" t="s">
        <v>5</v>
      </c>
      <c r="AU166" s="50" t="s">
        <v>105</v>
      </c>
      <c r="AV166" s="49" t="s">
        <v>5</v>
      </c>
      <c r="AW166" s="50" t="s">
        <v>94</v>
      </c>
      <c r="AX166" s="49" t="s">
        <v>5</v>
      </c>
      <c r="AY166" s="50" t="s">
        <v>80</v>
      </c>
      <c r="AZ166" s="49" t="s">
        <v>5</v>
      </c>
      <c r="BA166" s="50" t="s">
        <v>81</v>
      </c>
      <c r="BB166" s="49" t="s">
        <v>5</v>
      </c>
      <c r="BC166" s="50" t="s">
        <v>108</v>
      </c>
      <c r="BD166" s="49" t="s">
        <v>5</v>
      </c>
      <c r="BE166" s="50" t="s">
        <v>133</v>
      </c>
      <c r="BF166" s="49"/>
      <c r="BG166" s="50"/>
    </row>
    <row r="167" spans="1:59" s="44" customFormat="1" x14ac:dyDescent="0.25">
      <c r="A167" s="24">
        <v>160302</v>
      </c>
      <c r="B167" s="25" t="s">
        <v>329</v>
      </c>
      <c r="C167" s="26" t="s">
        <v>162</v>
      </c>
      <c r="D167" s="27" t="s">
        <v>70</v>
      </c>
      <c r="E167" s="28" t="s">
        <v>14</v>
      </c>
      <c r="F167" s="25" t="s">
        <v>71</v>
      </c>
      <c r="G167" s="28" t="s">
        <v>14</v>
      </c>
      <c r="H167" s="28" t="s">
        <v>14</v>
      </c>
      <c r="I167" s="29" t="s">
        <v>14</v>
      </c>
      <c r="J167" s="28" t="s">
        <v>14</v>
      </c>
      <c r="K167" s="30" t="s">
        <v>1850</v>
      </c>
      <c r="L167" s="31" t="s">
        <v>1842</v>
      </c>
      <c r="M167" s="45" t="str">
        <f>IFERROR(VLOOKUP(A167,Lookups!#REF!,3,FALSE),"")</f>
        <v/>
      </c>
      <c r="N167" s="46">
        <v>24</v>
      </c>
      <c r="O167" s="47">
        <v>0</v>
      </c>
      <c r="P167" s="48">
        <v>0</v>
      </c>
      <c r="Q167" s="36">
        <v>100</v>
      </c>
      <c r="R167" s="37">
        <v>0</v>
      </c>
      <c r="S167" s="38">
        <f t="shared" si="22"/>
        <v>1</v>
      </c>
      <c r="T167" s="39">
        <f t="shared" si="23"/>
        <v>12</v>
      </c>
      <c r="U167" s="40">
        <f t="shared" si="24"/>
        <v>0</v>
      </c>
      <c r="V167" s="40">
        <f t="shared" si="25"/>
        <v>0</v>
      </c>
      <c r="W167" s="40">
        <f t="shared" si="26"/>
        <v>0</v>
      </c>
      <c r="X167" s="40">
        <f t="shared" si="30"/>
        <v>0</v>
      </c>
      <c r="Y167" s="40">
        <f t="shared" si="27"/>
        <v>0</v>
      </c>
      <c r="Z167" s="40">
        <f t="shared" si="28"/>
        <v>0</v>
      </c>
      <c r="AA167" s="40">
        <f t="shared" si="29"/>
        <v>0</v>
      </c>
      <c r="AB167" s="40">
        <f t="shared" si="31"/>
        <v>0</v>
      </c>
      <c r="AC167" s="41">
        <f t="shared" si="32"/>
        <v>0</v>
      </c>
      <c r="AD167" s="49" t="s">
        <v>5</v>
      </c>
      <c r="AE167" s="50" t="s">
        <v>72</v>
      </c>
      <c r="AF167" s="49"/>
      <c r="AG167" s="50"/>
      <c r="AH167" s="49" t="s">
        <v>5</v>
      </c>
      <c r="AI167" s="50" t="s">
        <v>101</v>
      </c>
      <c r="AJ167" s="49" t="s">
        <v>5</v>
      </c>
      <c r="AK167" s="50" t="s">
        <v>127</v>
      </c>
      <c r="AL167" s="49" t="s">
        <v>5</v>
      </c>
      <c r="AM167" s="50" t="s">
        <v>72</v>
      </c>
      <c r="AN167" s="49" t="s">
        <v>5</v>
      </c>
      <c r="AO167" s="50" t="s">
        <v>143</v>
      </c>
      <c r="AP167" s="49" t="s">
        <v>5</v>
      </c>
      <c r="AQ167" s="50" t="s">
        <v>144</v>
      </c>
      <c r="AR167" s="49" t="s">
        <v>5</v>
      </c>
      <c r="AS167" s="50" t="s">
        <v>104</v>
      </c>
      <c r="AT167" s="49" t="s">
        <v>5</v>
      </c>
      <c r="AU167" s="50" t="s">
        <v>163</v>
      </c>
      <c r="AV167" s="49" t="s">
        <v>1</v>
      </c>
      <c r="AW167" s="50" t="s">
        <v>136</v>
      </c>
      <c r="AX167" s="49" t="s">
        <v>5</v>
      </c>
      <c r="AY167" s="50" t="s">
        <v>95</v>
      </c>
      <c r="AZ167" s="49" t="s">
        <v>5</v>
      </c>
      <c r="BA167" s="50" t="s">
        <v>81</v>
      </c>
      <c r="BB167" s="49" t="s">
        <v>5</v>
      </c>
      <c r="BC167" s="50" t="s">
        <v>97</v>
      </c>
      <c r="BD167" s="49" t="s">
        <v>5</v>
      </c>
      <c r="BE167" s="50" t="s">
        <v>164</v>
      </c>
      <c r="BF167" s="49"/>
      <c r="BG167" s="50"/>
    </row>
    <row r="168" spans="1:59" s="44" customFormat="1" x14ac:dyDescent="0.25">
      <c r="A168" s="24">
        <v>160303</v>
      </c>
      <c r="B168" s="25" t="s">
        <v>330</v>
      </c>
      <c r="C168" s="26" t="s">
        <v>69</v>
      </c>
      <c r="D168" s="27" t="s">
        <v>70</v>
      </c>
      <c r="E168" s="28" t="s">
        <v>14</v>
      </c>
      <c r="F168" s="25" t="s">
        <v>71</v>
      </c>
      <c r="G168" s="28" t="s">
        <v>14</v>
      </c>
      <c r="H168" s="28" t="s">
        <v>14</v>
      </c>
      <c r="I168" s="29" t="s">
        <v>14</v>
      </c>
      <c r="J168" s="28" t="s">
        <v>14</v>
      </c>
      <c r="K168" s="30" t="s">
        <v>1850</v>
      </c>
      <c r="L168" s="31" t="s">
        <v>1846</v>
      </c>
      <c r="M168" s="45" t="str">
        <f>IFERROR(VLOOKUP(A168,Lookups!#REF!,3,FALSE),"")</f>
        <v/>
      </c>
      <c r="N168" s="46">
        <v>37</v>
      </c>
      <c r="O168" s="47">
        <v>0</v>
      </c>
      <c r="P168" s="48">
        <v>0</v>
      </c>
      <c r="Q168" s="36">
        <v>100</v>
      </c>
      <c r="R168" s="37">
        <v>0</v>
      </c>
      <c r="S168" s="38">
        <f t="shared" si="22"/>
        <v>0</v>
      </c>
      <c r="T168" s="39">
        <f t="shared" si="23"/>
        <v>13</v>
      </c>
      <c r="U168" s="40">
        <f t="shared" si="24"/>
        <v>0</v>
      </c>
      <c r="V168" s="40">
        <f t="shared" si="25"/>
        <v>0</v>
      </c>
      <c r="W168" s="40">
        <f t="shared" si="26"/>
        <v>0</v>
      </c>
      <c r="X168" s="40">
        <f t="shared" si="30"/>
        <v>0</v>
      </c>
      <c r="Y168" s="40">
        <f t="shared" si="27"/>
        <v>0</v>
      </c>
      <c r="Z168" s="40">
        <f t="shared" si="28"/>
        <v>0</v>
      </c>
      <c r="AA168" s="40">
        <f t="shared" si="29"/>
        <v>0</v>
      </c>
      <c r="AB168" s="40">
        <f t="shared" si="31"/>
        <v>0</v>
      </c>
      <c r="AC168" s="41">
        <f t="shared" si="32"/>
        <v>0</v>
      </c>
      <c r="AD168" s="49" t="s">
        <v>5</v>
      </c>
      <c r="AE168" s="50" t="s">
        <v>116</v>
      </c>
      <c r="AF168" s="49" t="s">
        <v>5</v>
      </c>
      <c r="AG168" s="50" t="s">
        <v>73</v>
      </c>
      <c r="AH168" s="49"/>
      <c r="AI168" s="50"/>
      <c r="AJ168" s="49" t="s">
        <v>5</v>
      </c>
      <c r="AK168" s="50" t="s">
        <v>74</v>
      </c>
      <c r="AL168" s="49" t="s">
        <v>5</v>
      </c>
      <c r="AM168" s="50" t="s">
        <v>75</v>
      </c>
      <c r="AN168" s="49"/>
      <c r="AO168" s="50"/>
      <c r="AP168" s="49" t="s">
        <v>5</v>
      </c>
      <c r="AQ168" s="50" t="s">
        <v>76</v>
      </c>
      <c r="AR168" s="49" t="s">
        <v>5</v>
      </c>
      <c r="AS168" s="50" t="s">
        <v>77</v>
      </c>
      <c r="AT168" s="49" t="s">
        <v>5</v>
      </c>
      <c r="AU168" s="50" t="s">
        <v>78</v>
      </c>
      <c r="AV168" s="49" t="s">
        <v>5</v>
      </c>
      <c r="AW168" s="50" t="s">
        <v>79</v>
      </c>
      <c r="AX168" s="49" t="s">
        <v>5</v>
      </c>
      <c r="AY168" s="50" t="s">
        <v>80</v>
      </c>
      <c r="AZ168" s="49" t="s">
        <v>5</v>
      </c>
      <c r="BA168" s="50" t="s">
        <v>81</v>
      </c>
      <c r="BB168" s="49" t="s">
        <v>5</v>
      </c>
      <c r="BC168" s="50" t="s">
        <v>82</v>
      </c>
      <c r="BD168" s="49" t="s">
        <v>5</v>
      </c>
      <c r="BE168" s="50" t="s">
        <v>83</v>
      </c>
      <c r="BF168" s="49" t="s">
        <v>5</v>
      </c>
      <c r="BG168" s="50" t="s">
        <v>84</v>
      </c>
    </row>
    <row r="169" spans="1:59" s="44" customFormat="1" x14ac:dyDescent="0.25">
      <c r="A169" s="24">
        <v>160304</v>
      </c>
      <c r="B169" s="25" t="s">
        <v>331</v>
      </c>
      <c r="C169" s="26" t="s">
        <v>129</v>
      </c>
      <c r="D169" s="27" t="s">
        <v>12</v>
      </c>
      <c r="E169" s="28" t="s">
        <v>14</v>
      </c>
      <c r="F169" s="25" t="s">
        <v>71</v>
      </c>
      <c r="G169" s="28" t="s">
        <v>14</v>
      </c>
      <c r="H169" s="28" t="s">
        <v>14</v>
      </c>
      <c r="I169" s="29" t="s">
        <v>14</v>
      </c>
      <c r="J169" s="28" t="s">
        <v>14</v>
      </c>
      <c r="K169" s="30" t="s">
        <v>1850</v>
      </c>
      <c r="L169" s="31" t="s">
        <v>1844</v>
      </c>
      <c r="M169" s="45" t="str">
        <f>IFERROR(VLOOKUP(A169,Lookups!#REF!,3,FALSE),"")</f>
        <v/>
      </c>
      <c r="N169" s="46">
        <v>41</v>
      </c>
      <c r="O169" s="47">
        <v>0</v>
      </c>
      <c r="P169" s="48">
        <v>1</v>
      </c>
      <c r="Q169" s="36">
        <v>100</v>
      </c>
      <c r="R169" s="37">
        <v>1</v>
      </c>
      <c r="S169" s="38">
        <f t="shared" si="22"/>
        <v>1</v>
      </c>
      <c r="T169" s="39">
        <f t="shared" si="23"/>
        <v>11</v>
      </c>
      <c r="U169" s="40">
        <f t="shared" si="24"/>
        <v>0</v>
      </c>
      <c r="V169" s="40">
        <f t="shared" si="25"/>
        <v>0</v>
      </c>
      <c r="W169" s="40">
        <f t="shared" si="26"/>
        <v>1</v>
      </c>
      <c r="X169" s="40">
        <f t="shared" si="30"/>
        <v>1</v>
      </c>
      <c r="Y169" s="40">
        <f t="shared" si="27"/>
        <v>0</v>
      </c>
      <c r="Z169" s="40">
        <f t="shared" si="28"/>
        <v>0</v>
      </c>
      <c r="AA169" s="40">
        <f t="shared" si="29"/>
        <v>0</v>
      </c>
      <c r="AB169" s="40">
        <f t="shared" si="31"/>
        <v>0</v>
      </c>
      <c r="AC169" s="41">
        <f t="shared" si="32"/>
        <v>0</v>
      </c>
      <c r="AD169" s="49" t="s">
        <v>5</v>
      </c>
      <c r="AE169" s="50" t="s">
        <v>89</v>
      </c>
      <c r="AF169" s="49" t="s">
        <v>5</v>
      </c>
      <c r="AG169" s="50" t="s">
        <v>135</v>
      </c>
      <c r="AH169" s="49"/>
      <c r="AI169" s="50"/>
      <c r="AJ169" s="49" t="s">
        <v>32</v>
      </c>
      <c r="AK169" s="50" t="s">
        <v>118</v>
      </c>
      <c r="AL169" s="49" t="s">
        <v>1</v>
      </c>
      <c r="AM169" s="50" t="s">
        <v>74</v>
      </c>
      <c r="AN169" s="49" t="s">
        <v>5</v>
      </c>
      <c r="AO169" s="50" t="s">
        <v>130</v>
      </c>
      <c r="AP169" s="49" t="s">
        <v>5</v>
      </c>
      <c r="AQ169" s="50" t="s">
        <v>131</v>
      </c>
      <c r="AR169" s="49" t="s">
        <v>5</v>
      </c>
      <c r="AS169" s="50" t="s">
        <v>132</v>
      </c>
      <c r="AT169" s="49" t="s">
        <v>5</v>
      </c>
      <c r="AU169" s="50" t="s">
        <v>105</v>
      </c>
      <c r="AV169" s="49" t="s">
        <v>5</v>
      </c>
      <c r="AW169" s="50" t="s">
        <v>112</v>
      </c>
      <c r="AX169" s="49" t="s">
        <v>5</v>
      </c>
      <c r="AY169" s="50" t="s">
        <v>80</v>
      </c>
      <c r="AZ169" s="49" t="s">
        <v>5</v>
      </c>
      <c r="BA169" s="50" t="s">
        <v>107</v>
      </c>
      <c r="BB169" s="49" t="s">
        <v>5</v>
      </c>
      <c r="BC169" s="50" t="s">
        <v>153</v>
      </c>
      <c r="BD169" s="49" t="s">
        <v>5</v>
      </c>
      <c r="BE169" s="50" t="s">
        <v>133</v>
      </c>
      <c r="BF169" s="49"/>
      <c r="BG169" s="50"/>
    </row>
    <row r="170" spans="1:59" s="44" customFormat="1" x14ac:dyDescent="0.25">
      <c r="A170" s="24">
        <v>160305</v>
      </c>
      <c r="B170" s="25" t="s">
        <v>332</v>
      </c>
      <c r="C170" s="26" t="s">
        <v>86</v>
      </c>
      <c r="D170" s="27" t="s">
        <v>70</v>
      </c>
      <c r="E170" s="28" t="s">
        <v>87</v>
      </c>
      <c r="F170" s="25" t="s">
        <v>71</v>
      </c>
      <c r="G170" s="28" t="s">
        <v>14</v>
      </c>
      <c r="H170" s="28" t="s">
        <v>87</v>
      </c>
      <c r="I170" s="29" t="s">
        <v>14</v>
      </c>
      <c r="J170" s="28" t="s">
        <v>14</v>
      </c>
      <c r="K170" s="30" t="s">
        <v>1850</v>
      </c>
      <c r="L170" s="31" t="s">
        <v>1846</v>
      </c>
      <c r="M170" s="45" t="str">
        <f>IFERROR(VLOOKUP(A170,Lookups!#REF!,3,FALSE),"")</f>
        <v/>
      </c>
      <c r="N170" s="46">
        <v>15</v>
      </c>
      <c r="O170" s="47">
        <v>5</v>
      </c>
      <c r="P170" s="48">
        <v>1</v>
      </c>
      <c r="Q170" s="36">
        <v>89.36</v>
      </c>
      <c r="R170" s="37">
        <v>5</v>
      </c>
      <c r="S170" s="38">
        <f t="shared" si="22"/>
        <v>0</v>
      </c>
      <c r="T170" s="39">
        <f t="shared" si="23"/>
        <v>11</v>
      </c>
      <c r="U170" s="40">
        <f t="shared" si="24"/>
        <v>1</v>
      </c>
      <c r="V170" s="40">
        <f t="shared" si="25"/>
        <v>1</v>
      </c>
      <c r="W170" s="40">
        <f t="shared" si="26"/>
        <v>0</v>
      </c>
      <c r="X170" s="40">
        <f t="shared" si="30"/>
        <v>2</v>
      </c>
      <c r="Y170" s="40">
        <f t="shared" si="27"/>
        <v>0</v>
      </c>
      <c r="Z170" s="40">
        <f t="shared" si="28"/>
        <v>0</v>
      </c>
      <c r="AA170" s="40">
        <f t="shared" si="29"/>
        <v>0</v>
      </c>
      <c r="AB170" s="40">
        <f t="shared" si="31"/>
        <v>0</v>
      </c>
      <c r="AC170" s="41">
        <f t="shared" si="32"/>
        <v>0</v>
      </c>
      <c r="AD170" s="49" t="s">
        <v>5</v>
      </c>
      <c r="AE170" s="50" t="s">
        <v>72</v>
      </c>
      <c r="AF170" s="49" t="s">
        <v>31</v>
      </c>
      <c r="AG170" s="50" t="s">
        <v>90</v>
      </c>
      <c r="AH170" s="49"/>
      <c r="AI170" s="50"/>
      <c r="AJ170" s="49" t="s">
        <v>30</v>
      </c>
      <c r="AK170" s="50" t="s">
        <v>111</v>
      </c>
      <c r="AL170" s="49" t="s">
        <v>5</v>
      </c>
      <c r="AM170" s="50" t="s">
        <v>84</v>
      </c>
      <c r="AN170" s="49"/>
      <c r="AO170" s="50"/>
      <c r="AP170" s="49" t="s">
        <v>5</v>
      </c>
      <c r="AQ170" s="50" t="s">
        <v>92</v>
      </c>
      <c r="AR170" s="49" t="s">
        <v>5</v>
      </c>
      <c r="AS170" s="50" t="s">
        <v>93</v>
      </c>
      <c r="AT170" s="49" t="s">
        <v>5</v>
      </c>
      <c r="AU170" s="50" t="s">
        <v>78</v>
      </c>
      <c r="AV170" s="49" t="s">
        <v>5</v>
      </c>
      <c r="AW170" s="50" t="s">
        <v>94</v>
      </c>
      <c r="AX170" s="49" t="s">
        <v>5</v>
      </c>
      <c r="AY170" s="50" t="s">
        <v>95</v>
      </c>
      <c r="AZ170" s="49" t="s">
        <v>5</v>
      </c>
      <c r="BA170" s="50" t="s">
        <v>81</v>
      </c>
      <c r="BB170" s="49" t="s">
        <v>5</v>
      </c>
      <c r="BC170" s="50" t="s">
        <v>97</v>
      </c>
      <c r="BD170" s="49" t="s">
        <v>5</v>
      </c>
      <c r="BE170" s="50" t="s">
        <v>98</v>
      </c>
      <c r="BF170" s="49" t="s">
        <v>5</v>
      </c>
      <c r="BG170" s="50" t="s">
        <v>84</v>
      </c>
    </row>
    <row r="171" spans="1:59" s="44" customFormat="1" x14ac:dyDescent="0.25">
      <c r="A171" s="24">
        <v>160306</v>
      </c>
      <c r="B171" s="25" t="s">
        <v>333</v>
      </c>
      <c r="C171" s="26" t="s">
        <v>69</v>
      </c>
      <c r="D171" s="27" t="s">
        <v>12</v>
      </c>
      <c r="E171" s="28" t="s">
        <v>14</v>
      </c>
      <c r="F171" s="25" t="s">
        <v>184</v>
      </c>
      <c r="G171" s="28" t="s">
        <v>14</v>
      </c>
      <c r="H171" s="28" t="s">
        <v>14</v>
      </c>
      <c r="I171" s="29" t="s">
        <v>14</v>
      </c>
      <c r="J171" s="28" t="s">
        <v>14</v>
      </c>
      <c r="K171" s="30" t="s">
        <v>1850</v>
      </c>
      <c r="L171" s="31" t="s">
        <v>1842</v>
      </c>
      <c r="M171" s="45" t="str">
        <f>IFERROR(VLOOKUP(A171,Lookups!#REF!,3,FALSE),"")</f>
        <v/>
      </c>
      <c r="N171" s="46">
        <v>37</v>
      </c>
      <c r="O171" s="47">
        <v>0</v>
      </c>
      <c r="P171" s="48">
        <v>0</v>
      </c>
      <c r="Q171" s="36">
        <v>100</v>
      </c>
      <c r="R171" s="37">
        <v>0</v>
      </c>
      <c r="S171" s="38">
        <f t="shared" si="22"/>
        <v>2</v>
      </c>
      <c r="T171" s="39">
        <f t="shared" si="23"/>
        <v>11</v>
      </c>
      <c r="U171" s="40">
        <f t="shared" si="24"/>
        <v>0</v>
      </c>
      <c r="V171" s="40">
        <f t="shared" si="25"/>
        <v>0</v>
      </c>
      <c r="W171" s="40">
        <f t="shared" si="26"/>
        <v>0</v>
      </c>
      <c r="X171" s="40">
        <f t="shared" si="30"/>
        <v>0</v>
      </c>
      <c r="Y171" s="40">
        <f t="shared" si="27"/>
        <v>0</v>
      </c>
      <c r="Z171" s="40">
        <f t="shared" si="28"/>
        <v>0</v>
      </c>
      <c r="AA171" s="40">
        <f t="shared" si="29"/>
        <v>0</v>
      </c>
      <c r="AB171" s="40">
        <f t="shared" si="31"/>
        <v>0</v>
      </c>
      <c r="AC171" s="41">
        <f t="shared" si="32"/>
        <v>0</v>
      </c>
      <c r="AD171" s="49" t="s">
        <v>5</v>
      </c>
      <c r="AE171" s="50" t="s">
        <v>116</v>
      </c>
      <c r="AF171" s="49"/>
      <c r="AG171" s="50"/>
      <c r="AH171" s="49" t="s">
        <v>5</v>
      </c>
      <c r="AI171" s="50" t="s">
        <v>101</v>
      </c>
      <c r="AJ171" s="49" t="s">
        <v>5</v>
      </c>
      <c r="AK171" s="50" t="s">
        <v>74</v>
      </c>
      <c r="AL171" s="49" t="s">
        <v>5</v>
      </c>
      <c r="AM171" s="50" t="s">
        <v>75</v>
      </c>
      <c r="AN171" s="49"/>
      <c r="AO171" s="50"/>
      <c r="AP171" s="49" t="s">
        <v>5</v>
      </c>
      <c r="AQ171" s="50" t="s">
        <v>131</v>
      </c>
      <c r="AR171" s="49" t="s">
        <v>5</v>
      </c>
      <c r="AS171" s="50" t="s">
        <v>120</v>
      </c>
      <c r="AT171" s="49" t="s">
        <v>5</v>
      </c>
      <c r="AU171" s="50" t="s">
        <v>78</v>
      </c>
      <c r="AV171" s="49" t="s">
        <v>1</v>
      </c>
      <c r="AW171" s="50" t="s">
        <v>79</v>
      </c>
      <c r="AX171" s="49" t="s">
        <v>5</v>
      </c>
      <c r="AY171" s="50" t="s">
        <v>80</v>
      </c>
      <c r="AZ171" s="49" t="s">
        <v>1</v>
      </c>
      <c r="BA171" s="50" t="s">
        <v>96</v>
      </c>
      <c r="BB171" s="49" t="s">
        <v>5</v>
      </c>
      <c r="BC171" s="50" t="s">
        <v>82</v>
      </c>
      <c r="BD171" s="49" t="s">
        <v>5</v>
      </c>
      <c r="BE171" s="50" t="s">
        <v>83</v>
      </c>
      <c r="BF171" s="49" t="s">
        <v>5</v>
      </c>
      <c r="BG171" s="50" t="s">
        <v>84</v>
      </c>
    </row>
    <row r="172" spans="1:59" s="44" customFormat="1" x14ac:dyDescent="0.25">
      <c r="A172" s="24">
        <v>160307</v>
      </c>
      <c r="B172" s="25" t="s">
        <v>334</v>
      </c>
      <c r="C172" s="26" t="s">
        <v>114</v>
      </c>
      <c r="D172" s="27" t="s">
        <v>70</v>
      </c>
      <c r="E172" s="28" t="s">
        <v>14</v>
      </c>
      <c r="F172" s="25" t="s">
        <v>88</v>
      </c>
      <c r="G172" s="28" t="s">
        <v>87</v>
      </c>
      <c r="H172" s="28" t="s">
        <v>14</v>
      </c>
      <c r="I172" s="29" t="s">
        <v>14</v>
      </c>
      <c r="J172" s="28" t="s">
        <v>14</v>
      </c>
      <c r="K172" s="30" t="s">
        <v>1850</v>
      </c>
      <c r="L172" s="31" t="s">
        <v>1842</v>
      </c>
      <c r="M172" s="45" t="str">
        <f>IFERROR(VLOOKUP(A172,Lookups!#REF!,3,FALSE),"")</f>
        <v/>
      </c>
      <c r="N172" s="46">
        <v>32</v>
      </c>
      <c r="O172" s="47">
        <v>0</v>
      </c>
      <c r="P172" s="48">
        <v>0</v>
      </c>
      <c r="Q172" s="36">
        <v>97.87</v>
      </c>
      <c r="R172" s="37">
        <v>3</v>
      </c>
      <c r="S172" s="38">
        <f t="shared" si="22"/>
        <v>0</v>
      </c>
      <c r="T172" s="39">
        <f t="shared" si="23"/>
        <v>13</v>
      </c>
      <c r="U172" s="40">
        <f t="shared" si="24"/>
        <v>0</v>
      </c>
      <c r="V172" s="40">
        <f t="shared" si="25"/>
        <v>0</v>
      </c>
      <c r="W172" s="40">
        <f t="shared" si="26"/>
        <v>0</v>
      </c>
      <c r="X172" s="40">
        <f t="shared" si="30"/>
        <v>0</v>
      </c>
      <c r="Y172" s="40">
        <f t="shared" si="27"/>
        <v>0</v>
      </c>
      <c r="Z172" s="40">
        <f t="shared" si="28"/>
        <v>0</v>
      </c>
      <c r="AA172" s="40">
        <f t="shared" si="29"/>
        <v>0</v>
      </c>
      <c r="AB172" s="40">
        <f t="shared" si="31"/>
        <v>0</v>
      </c>
      <c r="AC172" s="41">
        <f t="shared" si="32"/>
        <v>0</v>
      </c>
      <c r="AD172" s="49" t="s">
        <v>5</v>
      </c>
      <c r="AE172" s="50" t="s">
        <v>116</v>
      </c>
      <c r="AF172" s="49"/>
      <c r="AG172" s="50"/>
      <c r="AH172" s="49" t="s">
        <v>5</v>
      </c>
      <c r="AI172" s="50" t="s">
        <v>101</v>
      </c>
      <c r="AJ172" s="49" t="s">
        <v>5</v>
      </c>
      <c r="AK172" s="50" t="s">
        <v>118</v>
      </c>
      <c r="AL172" s="49" t="s">
        <v>5</v>
      </c>
      <c r="AM172" s="50" t="s">
        <v>112</v>
      </c>
      <c r="AN172" s="49"/>
      <c r="AO172" s="50"/>
      <c r="AP172" s="49" t="s">
        <v>5</v>
      </c>
      <c r="AQ172" s="50" t="s">
        <v>119</v>
      </c>
      <c r="AR172" s="49" t="s">
        <v>5</v>
      </c>
      <c r="AS172" s="50" t="s">
        <v>120</v>
      </c>
      <c r="AT172" s="49" t="s">
        <v>5</v>
      </c>
      <c r="AU172" s="50" t="s">
        <v>78</v>
      </c>
      <c r="AV172" s="49" t="s">
        <v>5</v>
      </c>
      <c r="AW172" s="50" t="s">
        <v>112</v>
      </c>
      <c r="AX172" s="49" t="s">
        <v>5</v>
      </c>
      <c r="AY172" s="50" t="s">
        <v>95</v>
      </c>
      <c r="AZ172" s="49" t="s">
        <v>5</v>
      </c>
      <c r="BA172" s="50" t="s">
        <v>121</v>
      </c>
      <c r="BB172" s="49" t="s">
        <v>5</v>
      </c>
      <c r="BC172" s="50" t="s">
        <v>122</v>
      </c>
      <c r="BD172" s="49" t="s">
        <v>5</v>
      </c>
      <c r="BE172" s="50" t="s">
        <v>137</v>
      </c>
      <c r="BF172" s="49" t="s">
        <v>5</v>
      </c>
      <c r="BG172" s="50" t="s">
        <v>124</v>
      </c>
    </row>
    <row r="173" spans="1:59" s="44" customFormat="1" x14ac:dyDescent="0.25">
      <c r="A173" s="24">
        <v>160308</v>
      </c>
      <c r="B173" s="25" t="s">
        <v>335</v>
      </c>
      <c r="C173" s="26" t="s">
        <v>168</v>
      </c>
      <c r="D173" s="27" t="s">
        <v>12</v>
      </c>
      <c r="E173" s="28" t="s">
        <v>14</v>
      </c>
      <c r="F173" s="25" t="s">
        <v>150</v>
      </c>
      <c r="G173" s="28" t="s">
        <v>87</v>
      </c>
      <c r="H173" s="28" t="s">
        <v>14</v>
      </c>
      <c r="I173" s="29" t="s">
        <v>14</v>
      </c>
      <c r="J173" s="28" t="s">
        <v>14</v>
      </c>
      <c r="K173" s="30" t="s">
        <v>1850</v>
      </c>
      <c r="L173" s="31" t="s">
        <v>1841</v>
      </c>
      <c r="M173" s="45" t="str">
        <f>IFERROR(VLOOKUP(A173,Lookups!#REF!,3,FALSE),"")</f>
        <v/>
      </c>
      <c r="N173" s="46">
        <v>17</v>
      </c>
      <c r="O173" s="47">
        <v>0</v>
      </c>
      <c r="P173" s="48">
        <v>1</v>
      </c>
      <c r="Q173" s="36">
        <v>100</v>
      </c>
      <c r="R173" s="37">
        <v>0</v>
      </c>
      <c r="S173" s="38">
        <f t="shared" si="22"/>
        <v>1</v>
      </c>
      <c r="T173" s="39">
        <f t="shared" si="23"/>
        <v>12</v>
      </c>
      <c r="U173" s="40">
        <f t="shared" si="24"/>
        <v>0</v>
      </c>
      <c r="V173" s="40">
        <f t="shared" si="25"/>
        <v>0</v>
      </c>
      <c r="W173" s="40">
        <f t="shared" si="26"/>
        <v>0</v>
      </c>
      <c r="X173" s="40">
        <f t="shared" si="30"/>
        <v>0</v>
      </c>
      <c r="Y173" s="40">
        <f t="shared" si="27"/>
        <v>0</v>
      </c>
      <c r="Z173" s="40">
        <f t="shared" si="28"/>
        <v>0</v>
      </c>
      <c r="AA173" s="40">
        <f t="shared" si="29"/>
        <v>0</v>
      </c>
      <c r="AB173" s="40">
        <f t="shared" si="31"/>
        <v>0</v>
      </c>
      <c r="AC173" s="41">
        <f t="shared" si="32"/>
        <v>0</v>
      </c>
      <c r="AD173" s="49" t="s">
        <v>5</v>
      </c>
      <c r="AE173" s="50" t="s">
        <v>116</v>
      </c>
      <c r="AF173" s="49" t="s">
        <v>5</v>
      </c>
      <c r="AG173" s="50" t="s">
        <v>117</v>
      </c>
      <c r="AH173" s="49"/>
      <c r="AI173" s="50"/>
      <c r="AJ173" s="49" t="s">
        <v>5</v>
      </c>
      <c r="AK173" s="50" t="s">
        <v>169</v>
      </c>
      <c r="AL173" s="49" t="s">
        <v>5</v>
      </c>
      <c r="AM173" s="50" t="s">
        <v>170</v>
      </c>
      <c r="AN173" s="49" t="s">
        <v>5</v>
      </c>
      <c r="AO173" s="50" t="s">
        <v>75</v>
      </c>
      <c r="AP173" s="49" t="s">
        <v>5</v>
      </c>
      <c r="AQ173" s="50" t="s">
        <v>131</v>
      </c>
      <c r="AR173" s="49" t="s">
        <v>5</v>
      </c>
      <c r="AS173" s="50" t="s">
        <v>120</v>
      </c>
      <c r="AT173" s="49" t="s">
        <v>5</v>
      </c>
      <c r="AU173" s="50" t="s">
        <v>78</v>
      </c>
      <c r="AV173" s="49" t="s">
        <v>5</v>
      </c>
      <c r="AW173" s="50" t="s">
        <v>94</v>
      </c>
      <c r="AX173" s="49" t="s">
        <v>5</v>
      </c>
      <c r="AY173" s="50" t="s">
        <v>95</v>
      </c>
      <c r="AZ173" s="49" t="s">
        <v>1</v>
      </c>
      <c r="BA173" s="50" t="s">
        <v>96</v>
      </c>
      <c r="BB173" s="49" t="s">
        <v>5</v>
      </c>
      <c r="BC173" s="50" t="s">
        <v>82</v>
      </c>
      <c r="BD173" s="49" t="s">
        <v>5</v>
      </c>
      <c r="BE173" s="50" t="s">
        <v>170</v>
      </c>
      <c r="BF173" s="49"/>
      <c r="BG173" s="50"/>
    </row>
    <row r="174" spans="1:59" s="44" customFormat="1" x14ac:dyDescent="0.25">
      <c r="A174" s="24">
        <v>160309</v>
      </c>
      <c r="B174" s="25" t="s">
        <v>336</v>
      </c>
      <c r="C174" s="26" t="s">
        <v>168</v>
      </c>
      <c r="D174" s="27" t="s">
        <v>12</v>
      </c>
      <c r="E174" s="28" t="s">
        <v>14</v>
      </c>
      <c r="F174" s="25" t="s">
        <v>230</v>
      </c>
      <c r="G174" s="28" t="s">
        <v>87</v>
      </c>
      <c r="H174" s="28" t="s">
        <v>14</v>
      </c>
      <c r="I174" s="29" t="s">
        <v>14</v>
      </c>
      <c r="J174" s="28" t="s">
        <v>14</v>
      </c>
      <c r="K174" s="30" t="s">
        <v>1850</v>
      </c>
      <c r="L174" s="31" t="s">
        <v>1844</v>
      </c>
      <c r="M174" s="45" t="str">
        <f>IFERROR(VLOOKUP(A174,Lookups!#REF!,3,FALSE),"")</f>
        <v/>
      </c>
      <c r="N174" s="46">
        <v>26</v>
      </c>
      <c r="O174" s="47">
        <v>0</v>
      </c>
      <c r="P174" s="48">
        <v>1</v>
      </c>
      <c r="Q174" s="36">
        <v>97.87</v>
      </c>
      <c r="R174" s="37">
        <v>0</v>
      </c>
      <c r="S174" s="38">
        <f t="shared" si="22"/>
        <v>3</v>
      </c>
      <c r="T174" s="39">
        <f t="shared" si="23"/>
        <v>10</v>
      </c>
      <c r="U174" s="40">
        <f t="shared" si="24"/>
        <v>0</v>
      </c>
      <c r="V174" s="40">
        <f t="shared" si="25"/>
        <v>0</v>
      </c>
      <c r="W174" s="40">
        <f t="shared" si="26"/>
        <v>0</v>
      </c>
      <c r="X174" s="40">
        <f t="shared" si="30"/>
        <v>0</v>
      </c>
      <c r="Y174" s="40">
        <f t="shared" si="27"/>
        <v>0</v>
      </c>
      <c r="Z174" s="40">
        <f t="shared" si="28"/>
        <v>0</v>
      </c>
      <c r="AA174" s="40">
        <f t="shared" si="29"/>
        <v>0</v>
      </c>
      <c r="AB174" s="40">
        <f t="shared" si="31"/>
        <v>0</v>
      </c>
      <c r="AC174" s="41">
        <f t="shared" si="32"/>
        <v>0</v>
      </c>
      <c r="AD174" s="49" t="s">
        <v>5</v>
      </c>
      <c r="AE174" s="50" t="s">
        <v>116</v>
      </c>
      <c r="AF174" s="49" t="s">
        <v>5</v>
      </c>
      <c r="AG174" s="50" t="s">
        <v>135</v>
      </c>
      <c r="AH174" s="49"/>
      <c r="AI174" s="50"/>
      <c r="AJ174" s="49" t="s">
        <v>5</v>
      </c>
      <c r="AK174" s="50" t="s">
        <v>169</v>
      </c>
      <c r="AL174" s="49" t="s">
        <v>5</v>
      </c>
      <c r="AM174" s="50" t="s">
        <v>170</v>
      </c>
      <c r="AN174" s="49" t="s">
        <v>5</v>
      </c>
      <c r="AO174" s="50" t="s">
        <v>75</v>
      </c>
      <c r="AP174" s="49" t="s">
        <v>5</v>
      </c>
      <c r="AQ174" s="50" t="s">
        <v>131</v>
      </c>
      <c r="AR174" s="49" t="s">
        <v>5</v>
      </c>
      <c r="AS174" s="50" t="s">
        <v>120</v>
      </c>
      <c r="AT174" s="49" t="s">
        <v>5</v>
      </c>
      <c r="AU174" s="50" t="s">
        <v>78</v>
      </c>
      <c r="AV174" s="49" t="s">
        <v>5</v>
      </c>
      <c r="AW174" s="50" t="s">
        <v>94</v>
      </c>
      <c r="AX174" s="49" t="s">
        <v>1</v>
      </c>
      <c r="AY174" s="50" t="s">
        <v>95</v>
      </c>
      <c r="AZ174" s="49" t="s">
        <v>1</v>
      </c>
      <c r="BA174" s="50" t="s">
        <v>96</v>
      </c>
      <c r="BB174" s="49" t="s">
        <v>5</v>
      </c>
      <c r="BC174" s="50" t="s">
        <v>82</v>
      </c>
      <c r="BD174" s="49" t="s">
        <v>1</v>
      </c>
      <c r="BE174" s="50" t="s">
        <v>170</v>
      </c>
      <c r="BF174" s="49"/>
      <c r="BG174" s="50"/>
    </row>
    <row r="175" spans="1:59" s="44" customFormat="1" x14ac:dyDescent="0.25">
      <c r="A175" s="24">
        <v>160310</v>
      </c>
      <c r="B175" s="25" t="s">
        <v>337</v>
      </c>
      <c r="C175" s="26" t="s">
        <v>69</v>
      </c>
      <c r="D175" s="27" t="s">
        <v>70</v>
      </c>
      <c r="E175" s="28" t="s">
        <v>87</v>
      </c>
      <c r="F175" s="25" t="s">
        <v>71</v>
      </c>
      <c r="G175" s="28" t="s">
        <v>14</v>
      </c>
      <c r="H175" s="28" t="s">
        <v>87</v>
      </c>
      <c r="I175" s="29" t="s">
        <v>14</v>
      </c>
      <c r="J175" s="28" t="s">
        <v>14</v>
      </c>
      <c r="K175" s="30" t="s">
        <v>1850</v>
      </c>
      <c r="L175" s="31" t="s">
        <v>1845</v>
      </c>
      <c r="M175" s="45" t="str">
        <f>IFERROR(VLOOKUP(A175,Lookups!#REF!,3,FALSE),"")</f>
        <v/>
      </c>
      <c r="N175" s="46">
        <v>27</v>
      </c>
      <c r="O175" s="47">
        <v>1</v>
      </c>
      <c r="P175" s="48">
        <v>0</v>
      </c>
      <c r="Q175" s="36">
        <v>100</v>
      </c>
      <c r="R175" s="37">
        <v>1</v>
      </c>
      <c r="S175" s="38">
        <f t="shared" si="22"/>
        <v>0</v>
      </c>
      <c r="T175" s="39">
        <f t="shared" si="23"/>
        <v>13</v>
      </c>
      <c r="U175" s="40">
        <f t="shared" si="24"/>
        <v>0</v>
      </c>
      <c r="V175" s="40">
        <f t="shared" si="25"/>
        <v>0</v>
      </c>
      <c r="W175" s="40">
        <f t="shared" si="26"/>
        <v>0</v>
      </c>
      <c r="X175" s="40">
        <f t="shared" si="30"/>
        <v>0</v>
      </c>
      <c r="Y175" s="40">
        <f t="shared" si="27"/>
        <v>0</v>
      </c>
      <c r="Z175" s="40">
        <f t="shared" si="28"/>
        <v>0</v>
      </c>
      <c r="AA175" s="40">
        <f t="shared" si="29"/>
        <v>0</v>
      </c>
      <c r="AB175" s="40">
        <f t="shared" si="31"/>
        <v>0</v>
      </c>
      <c r="AC175" s="41">
        <f t="shared" si="32"/>
        <v>0</v>
      </c>
      <c r="AD175" s="49" t="s">
        <v>5</v>
      </c>
      <c r="AE175" s="50" t="s">
        <v>116</v>
      </c>
      <c r="AF175" s="49" t="s">
        <v>5</v>
      </c>
      <c r="AG175" s="50" t="s">
        <v>117</v>
      </c>
      <c r="AH175" s="49"/>
      <c r="AI175" s="50"/>
      <c r="AJ175" s="49" t="s">
        <v>5</v>
      </c>
      <c r="AK175" s="50" t="s">
        <v>74</v>
      </c>
      <c r="AL175" s="49" t="s">
        <v>5</v>
      </c>
      <c r="AM175" s="50" t="s">
        <v>75</v>
      </c>
      <c r="AN175" s="49"/>
      <c r="AO175" s="50"/>
      <c r="AP175" s="49" t="s">
        <v>5</v>
      </c>
      <c r="AQ175" s="50" t="s">
        <v>76</v>
      </c>
      <c r="AR175" s="49" t="s">
        <v>5</v>
      </c>
      <c r="AS175" s="50" t="s">
        <v>120</v>
      </c>
      <c r="AT175" s="49" t="s">
        <v>5</v>
      </c>
      <c r="AU175" s="50" t="s">
        <v>78</v>
      </c>
      <c r="AV175" s="49" t="s">
        <v>5</v>
      </c>
      <c r="AW175" s="50" t="s">
        <v>106</v>
      </c>
      <c r="AX175" s="49" t="s">
        <v>5</v>
      </c>
      <c r="AY175" s="50" t="s">
        <v>80</v>
      </c>
      <c r="AZ175" s="49" t="s">
        <v>5</v>
      </c>
      <c r="BA175" s="50" t="s">
        <v>81</v>
      </c>
      <c r="BB175" s="49" t="s">
        <v>5</v>
      </c>
      <c r="BC175" s="50" t="s">
        <v>82</v>
      </c>
      <c r="BD175" s="49" t="s">
        <v>5</v>
      </c>
      <c r="BE175" s="50" t="s">
        <v>83</v>
      </c>
      <c r="BF175" s="49" t="s">
        <v>5</v>
      </c>
      <c r="BG175" s="50" t="s">
        <v>84</v>
      </c>
    </row>
    <row r="176" spans="1:59" s="44" customFormat="1" x14ac:dyDescent="0.25">
      <c r="A176" s="24">
        <v>160311</v>
      </c>
      <c r="B176" s="25" t="s">
        <v>338</v>
      </c>
      <c r="C176" s="26" t="s">
        <v>168</v>
      </c>
      <c r="D176" s="27" t="s">
        <v>12</v>
      </c>
      <c r="E176" s="28" t="s">
        <v>14</v>
      </c>
      <c r="F176" s="25" t="s">
        <v>220</v>
      </c>
      <c r="G176" s="28" t="s">
        <v>87</v>
      </c>
      <c r="H176" s="28" t="s">
        <v>14</v>
      </c>
      <c r="I176" s="29" t="s">
        <v>14</v>
      </c>
      <c r="J176" s="28" t="s">
        <v>14</v>
      </c>
      <c r="K176" s="30" t="s">
        <v>1850</v>
      </c>
      <c r="L176" s="31" t="s">
        <v>1843</v>
      </c>
      <c r="M176" s="45" t="str">
        <f>IFERROR(VLOOKUP(A176,Lookups!#REF!,3,FALSE),"")</f>
        <v/>
      </c>
      <c r="N176" s="46">
        <v>15</v>
      </c>
      <c r="O176" s="47">
        <v>1</v>
      </c>
      <c r="P176" s="48">
        <v>0</v>
      </c>
      <c r="Q176" s="36">
        <v>95.74</v>
      </c>
      <c r="R176" s="37">
        <v>0</v>
      </c>
      <c r="S176" s="38">
        <f t="shared" si="22"/>
        <v>1</v>
      </c>
      <c r="T176" s="39">
        <f t="shared" si="23"/>
        <v>12</v>
      </c>
      <c r="U176" s="40">
        <f t="shared" si="24"/>
        <v>0</v>
      </c>
      <c r="V176" s="40">
        <f t="shared" si="25"/>
        <v>0</v>
      </c>
      <c r="W176" s="40">
        <f t="shared" si="26"/>
        <v>0</v>
      </c>
      <c r="X176" s="40">
        <f t="shared" si="30"/>
        <v>0</v>
      </c>
      <c r="Y176" s="40">
        <f t="shared" si="27"/>
        <v>0</v>
      </c>
      <c r="Z176" s="40">
        <f t="shared" si="28"/>
        <v>0</v>
      </c>
      <c r="AA176" s="40">
        <f t="shared" si="29"/>
        <v>0</v>
      </c>
      <c r="AB176" s="40">
        <f t="shared" si="31"/>
        <v>0</v>
      </c>
      <c r="AC176" s="41">
        <f t="shared" si="32"/>
        <v>0</v>
      </c>
      <c r="AD176" s="49" t="s">
        <v>5</v>
      </c>
      <c r="AE176" s="50" t="s">
        <v>116</v>
      </c>
      <c r="AF176" s="49" t="s">
        <v>5</v>
      </c>
      <c r="AG176" s="50" t="s">
        <v>90</v>
      </c>
      <c r="AH176" s="49"/>
      <c r="AI176" s="50"/>
      <c r="AJ176" s="49" t="s">
        <v>5</v>
      </c>
      <c r="AK176" s="50" t="s">
        <v>169</v>
      </c>
      <c r="AL176" s="49" t="s">
        <v>5</v>
      </c>
      <c r="AM176" s="50" t="s">
        <v>169</v>
      </c>
      <c r="AN176" s="49" t="s">
        <v>5</v>
      </c>
      <c r="AO176" s="50" t="s">
        <v>75</v>
      </c>
      <c r="AP176" s="49" t="s">
        <v>5</v>
      </c>
      <c r="AQ176" s="50" t="s">
        <v>131</v>
      </c>
      <c r="AR176" s="49" t="s">
        <v>5</v>
      </c>
      <c r="AS176" s="50" t="s">
        <v>120</v>
      </c>
      <c r="AT176" s="49" t="s">
        <v>5</v>
      </c>
      <c r="AU176" s="50" t="s">
        <v>78</v>
      </c>
      <c r="AV176" s="49" t="s">
        <v>5</v>
      </c>
      <c r="AW176" s="50" t="s">
        <v>139</v>
      </c>
      <c r="AX176" s="49" t="s">
        <v>5</v>
      </c>
      <c r="AY176" s="50" t="s">
        <v>95</v>
      </c>
      <c r="AZ176" s="49" t="s">
        <v>1</v>
      </c>
      <c r="BA176" s="50" t="s">
        <v>96</v>
      </c>
      <c r="BB176" s="49" t="s">
        <v>5</v>
      </c>
      <c r="BC176" s="50" t="s">
        <v>82</v>
      </c>
      <c r="BD176" s="49" t="s">
        <v>5</v>
      </c>
      <c r="BE176" s="50" t="s">
        <v>170</v>
      </c>
      <c r="BF176" s="49"/>
      <c r="BG176" s="50"/>
    </row>
    <row r="177" spans="1:59" s="44" customFormat="1" x14ac:dyDescent="0.25">
      <c r="A177" s="24">
        <v>160312</v>
      </c>
      <c r="B177" s="25" t="s">
        <v>339</v>
      </c>
      <c r="C177" s="26" t="s">
        <v>162</v>
      </c>
      <c r="D177" s="27" t="s">
        <v>70</v>
      </c>
      <c r="E177" s="28" t="s">
        <v>14</v>
      </c>
      <c r="F177" s="25" t="s">
        <v>115</v>
      </c>
      <c r="G177" s="28" t="s">
        <v>14</v>
      </c>
      <c r="H177" s="28" t="s">
        <v>14</v>
      </c>
      <c r="I177" s="29" t="s">
        <v>14</v>
      </c>
      <c r="J177" s="28" t="s">
        <v>14</v>
      </c>
      <c r="K177" s="30" t="s">
        <v>1850</v>
      </c>
      <c r="L177" s="31" t="s">
        <v>1844</v>
      </c>
      <c r="M177" s="45" t="str">
        <f>IFERROR(VLOOKUP(A177,Lookups!#REF!,3,FALSE),"")</f>
        <v/>
      </c>
      <c r="N177" s="46">
        <v>22</v>
      </c>
      <c r="O177" s="47">
        <v>0</v>
      </c>
      <c r="P177" s="48">
        <v>0</v>
      </c>
      <c r="Q177" s="36">
        <v>91.67</v>
      </c>
      <c r="R177" s="37">
        <v>0</v>
      </c>
      <c r="S177" s="38">
        <f t="shared" si="22"/>
        <v>0</v>
      </c>
      <c r="T177" s="39">
        <f t="shared" si="23"/>
        <v>13</v>
      </c>
      <c r="U177" s="40">
        <f t="shared" si="24"/>
        <v>0</v>
      </c>
      <c r="V177" s="40">
        <f t="shared" si="25"/>
        <v>0</v>
      </c>
      <c r="W177" s="40">
        <f t="shared" si="26"/>
        <v>0</v>
      </c>
      <c r="X177" s="40">
        <f t="shared" si="30"/>
        <v>0</v>
      </c>
      <c r="Y177" s="40">
        <f t="shared" si="27"/>
        <v>0</v>
      </c>
      <c r="Z177" s="40">
        <f t="shared" si="28"/>
        <v>0</v>
      </c>
      <c r="AA177" s="40">
        <f t="shared" si="29"/>
        <v>0</v>
      </c>
      <c r="AB177" s="40">
        <f t="shared" si="31"/>
        <v>0</v>
      </c>
      <c r="AC177" s="41">
        <f t="shared" si="32"/>
        <v>0</v>
      </c>
      <c r="AD177" s="49" t="s">
        <v>5</v>
      </c>
      <c r="AE177" s="50" t="s">
        <v>72</v>
      </c>
      <c r="AF177" s="49" t="s">
        <v>5</v>
      </c>
      <c r="AG177" s="50" t="s">
        <v>117</v>
      </c>
      <c r="AH177" s="49"/>
      <c r="AI177" s="50"/>
      <c r="AJ177" s="49" t="s">
        <v>5</v>
      </c>
      <c r="AK177" s="50" t="s">
        <v>127</v>
      </c>
      <c r="AL177" s="49" t="s">
        <v>5</v>
      </c>
      <c r="AM177" s="50" t="s">
        <v>72</v>
      </c>
      <c r="AN177" s="49" t="s">
        <v>5</v>
      </c>
      <c r="AO177" s="50" t="s">
        <v>143</v>
      </c>
      <c r="AP177" s="49" t="s">
        <v>5</v>
      </c>
      <c r="AQ177" s="50" t="s">
        <v>131</v>
      </c>
      <c r="AR177" s="49" t="s">
        <v>5</v>
      </c>
      <c r="AS177" s="50" t="s">
        <v>104</v>
      </c>
      <c r="AT177" s="49" t="s">
        <v>5</v>
      </c>
      <c r="AU177" s="50" t="s">
        <v>163</v>
      </c>
      <c r="AV177" s="49" t="s">
        <v>5</v>
      </c>
      <c r="AW177" s="50" t="s">
        <v>112</v>
      </c>
      <c r="AX177" s="49" t="s">
        <v>5</v>
      </c>
      <c r="AY177" s="50" t="s">
        <v>95</v>
      </c>
      <c r="AZ177" s="49" t="s">
        <v>5</v>
      </c>
      <c r="BA177" s="50" t="s">
        <v>81</v>
      </c>
      <c r="BB177" s="49" t="s">
        <v>5</v>
      </c>
      <c r="BC177" s="50" t="s">
        <v>97</v>
      </c>
      <c r="BD177" s="49" t="s">
        <v>5</v>
      </c>
      <c r="BE177" s="50" t="s">
        <v>164</v>
      </c>
      <c r="BF177" s="49"/>
      <c r="BG177" s="50"/>
    </row>
    <row r="178" spans="1:59" s="44" customFormat="1" x14ac:dyDescent="0.25">
      <c r="A178" s="24">
        <v>160313</v>
      </c>
      <c r="B178" s="25" t="s">
        <v>340</v>
      </c>
      <c r="C178" s="26" t="s">
        <v>114</v>
      </c>
      <c r="D178" s="27" t="s">
        <v>70</v>
      </c>
      <c r="E178" s="28" t="s">
        <v>14</v>
      </c>
      <c r="F178" s="25" t="s">
        <v>220</v>
      </c>
      <c r="G178" s="28" t="s">
        <v>87</v>
      </c>
      <c r="H178" s="28" t="s">
        <v>14</v>
      </c>
      <c r="I178" s="29" t="s">
        <v>14</v>
      </c>
      <c r="J178" s="28" t="s">
        <v>14</v>
      </c>
      <c r="K178" s="30" t="s">
        <v>1850</v>
      </c>
      <c r="L178" s="31" t="s">
        <v>1842</v>
      </c>
      <c r="M178" s="45" t="str">
        <f>IFERROR(VLOOKUP(A178,Lookups!#REF!,3,FALSE),"")</f>
        <v/>
      </c>
      <c r="N178" s="46">
        <v>38</v>
      </c>
      <c r="O178" s="47">
        <v>0</v>
      </c>
      <c r="P178" s="48">
        <v>0</v>
      </c>
      <c r="Q178" s="36">
        <v>100</v>
      </c>
      <c r="R178" s="37">
        <v>0</v>
      </c>
      <c r="S178" s="38">
        <f t="shared" si="22"/>
        <v>1</v>
      </c>
      <c r="T178" s="39">
        <f t="shared" si="23"/>
        <v>12</v>
      </c>
      <c r="U178" s="40">
        <f t="shared" si="24"/>
        <v>0</v>
      </c>
      <c r="V178" s="40">
        <f t="shared" si="25"/>
        <v>0</v>
      </c>
      <c r="W178" s="40">
        <f t="shared" si="26"/>
        <v>0</v>
      </c>
      <c r="X178" s="40">
        <f t="shared" si="30"/>
        <v>0</v>
      </c>
      <c r="Y178" s="40">
        <f t="shared" si="27"/>
        <v>0</v>
      </c>
      <c r="Z178" s="40">
        <f t="shared" si="28"/>
        <v>0</v>
      </c>
      <c r="AA178" s="40">
        <f t="shared" si="29"/>
        <v>0</v>
      </c>
      <c r="AB178" s="40">
        <f t="shared" si="31"/>
        <v>0</v>
      </c>
      <c r="AC178" s="41">
        <f t="shared" si="32"/>
        <v>0</v>
      </c>
      <c r="AD178" s="49" t="s">
        <v>5</v>
      </c>
      <c r="AE178" s="50" t="s">
        <v>116</v>
      </c>
      <c r="AF178" s="49" t="s">
        <v>5</v>
      </c>
      <c r="AG178" s="50" t="s">
        <v>117</v>
      </c>
      <c r="AH178" s="49"/>
      <c r="AI178" s="50"/>
      <c r="AJ178" s="49" t="s">
        <v>5</v>
      </c>
      <c r="AK178" s="50" t="s">
        <v>118</v>
      </c>
      <c r="AL178" s="49" t="s">
        <v>1</v>
      </c>
      <c r="AM178" s="50" t="s">
        <v>112</v>
      </c>
      <c r="AN178" s="49"/>
      <c r="AO178" s="50"/>
      <c r="AP178" s="49" t="s">
        <v>5</v>
      </c>
      <c r="AQ178" s="50" t="s">
        <v>119</v>
      </c>
      <c r="AR178" s="49" t="s">
        <v>5</v>
      </c>
      <c r="AS178" s="50" t="s">
        <v>120</v>
      </c>
      <c r="AT178" s="49" t="s">
        <v>5</v>
      </c>
      <c r="AU178" s="50" t="s">
        <v>78</v>
      </c>
      <c r="AV178" s="49" t="s">
        <v>5</v>
      </c>
      <c r="AW178" s="50" t="s">
        <v>94</v>
      </c>
      <c r="AX178" s="49" t="s">
        <v>5</v>
      </c>
      <c r="AY178" s="50" t="s">
        <v>95</v>
      </c>
      <c r="AZ178" s="49" t="s">
        <v>5</v>
      </c>
      <c r="BA178" s="50" t="s">
        <v>121</v>
      </c>
      <c r="BB178" s="49" t="s">
        <v>5</v>
      </c>
      <c r="BC178" s="50" t="s">
        <v>122</v>
      </c>
      <c r="BD178" s="49" t="s">
        <v>5</v>
      </c>
      <c r="BE178" s="50" t="s">
        <v>123</v>
      </c>
      <c r="BF178" s="49" t="s">
        <v>5</v>
      </c>
      <c r="BG178" s="50" t="s">
        <v>124</v>
      </c>
    </row>
    <row r="179" spans="1:59" s="44" customFormat="1" x14ac:dyDescent="0.25">
      <c r="A179" s="24">
        <v>160314</v>
      </c>
      <c r="B179" s="25" t="s">
        <v>341</v>
      </c>
      <c r="C179" s="26" t="s">
        <v>168</v>
      </c>
      <c r="D179" s="27" t="s">
        <v>70</v>
      </c>
      <c r="E179" s="28" t="s">
        <v>14</v>
      </c>
      <c r="F179" s="25" t="s">
        <v>71</v>
      </c>
      <c r="G179" s="28" t="s">
        <v>14</v>
      </c>
      <c r="H179" s="28" t="s">
        <v>14</v>
      </c>
      <c r="I179" s="29" t="s">
        <v>14</v>
      </c>
      <c r="J179" s="28" t="s">
        <v>14</v>
      </c>
      <c r="K179" s="30" t="s">
        <v>1850</v>
      </c>
      <c r="L179" s="31" t="s">
        <v>1841</v>
      </c>
      <c r="M179" s="45" t="str">
        <f>IFERROR(VLOOKUP(A179,Lookups!#REF!,3,FALSE),"")</f>
        <v/>
      </c>
      <c r="N179" s="46">
        <v>18</v>
      </c>
      <c r="O179" s="47">
        <v>0</v>
      </c>
      <c r="P179" s="48">
        <v>0</v>
      </c>
      <c r="Q179" s="36">
        <v>100</v>
      </c>
      <c r="R179" s="37">
        <v>0</v>
      </c>
      <c r="S179" s="38">
        <f t="shared" si="22"/>
        <v>1</v>
      </c>
      <c r="T179" s="39">
        <f t="shared" si="23"/>
        <v>12</v>
      </c>
      <c r="U179" s="40">
        <f t="shared" si="24"/>
        <v>0</v>
      </c>
      <c r="V179" s="40">
        <f t="shared" si="25"/>
        <v>0</v>
      </c>
      <c r="W179" s="40">
        <f t="shared" si="26"/>
        <v>0</v>
      </c>
      <c r="X179" s="40">
        <f t="shared" si="30"/>
        <v>0</v>
      </c>
      <c r="Y179" s="40">
        <f t="shared" si="27"/>
        <v>0</v>
      </c>
      <c r="Z179" s="40">
        <f t="shared" si="28"/>
        <v>0</v>
      </c>
      <c r="AA179" s="40">
        <f t="shared" si="29"/>
        <v>0</v>
      </c>
      <c r="AB179" s="40">
        <f t="shared" si="31"/>
        <v>0</v>
      </c>
      <c r="AC179" s="41">
        <f t="shared" si="32"/>
        <v>0</v>
      </c>
      <c r="AD179" s="49" t="s">
        <v>5</v>
      </c>
      <c r="AE179" s="50" t="s">
        <v>116</v>
      </c>
      <c r="AF179" s="49" t="s">
        <v>5</v>
      </c>
      <c r="AG179" s="50" t="s">
        <v>73</v>
      </c>
      <c r="AH179" s="49"/>
      <c r="AI179" s="50"/>
      <c r="AJ179" s="49" t="s">
        <v>5</v>
      </c>
      <c r="AK179" s="50" t="s">
        <v>169</v>
      </c>
      <c r="AL179" s="49" t="s">
        <v>5</v>
      </c>
      <c r="AM179" s="50" t="s">
        <v>170</v>
      </c>
      <c r="AN179" s="49" t="s">
        <v>5</v>
      </c>
      <c r="AO179" s="50" t="s">
        <v>75</v>
      </c>
      <c r="AP179" s="49" t="s">
        <v>5</v>
      </c>
      <c r="AQ179" s="50" t="s">
        <v>131</v>
      </c>
      <c r="AR179" s="49" t="s">
        <v>5</v>
      </c>
      <c r="AS179" s="50" t="s">
        <v>120</v>
      </c>
      <c r="AT179" s="49" t="s">
        <v>5</v>
      </c>
      <c r="AU179" s="50" t="s">
        <v>78</v>
      </c>
      <c r="AV179" s="49" t="s">
        <v>5</v>
      </c>
      <c r="AW179" s="50" t="s">
        <v>79</v>
      </c>
      <c r="AX179" s="49" t="s">
        <v>1</v>
      </c>
      <c r="AY179" s="50" t="s">
        <v>95</v>
      </c>
      <c r="AZ179" s="49" t="s">
        <v>5</v>
      </c>
      <c r="BA179" s="50" t="s">
        <v>152</v>
      </c>
      <c r="BB179" s="49" t="s">
        <v>5</v>
      </c>
      <c r="BC179" s="50" t="s">
        <v>82</v>
      </c>
      <c r="BD179" s="49" t="s">
        <v>5</v>
      </c>
      <c r="BE179" s="50" t="s">
        <v>170</v>
      </c>
      <c r="BF179" s="49"/>
      <c r="BG179" s="50"/>
    </row>
    <row r="180" spans="1:59" s="44" customFormat="1" x14ac:dyDescent="0.25">
      <c r="A180" s="24">
        <v>160315</v>
      </c>
      <c r="B180" s="25" t="s">
        <v>342</v>
      </c>
      <c r="C180" s="26" t="s">
        <v>114</v>
      </c>
      <c r="D180" s="27" t="s">
        <v>70</v>
      </c>
      <c r="E180" s="28" t="s">
        <v>14</v>
      </c>
      <c r="F180" s="25"/>
      <c r="G180" s="28" t="s">
        <v>14</v>
      </c>
      <c r="H180" s="28" t="s">
        <v>14</v>
      </c>
      <c r="I180" s="29" t="s">
        <v>14</v>
      </c>
      <c r="J180" s="28" t="s">
        <v>14</v>
      </c>
      <c r="K180" s="30" t="s">
        <v>1850</v>
      </c>
      <c r="L180" s="31" t="s">
        <v>1844</v>
      </c>
      <c r="M180" s="45" t="str">
        <f>IFERROR(VLOOKUP(A180,Lookups!#REF!,3,FALSE),"")</f>
        <v/>
      </c>
      <c r="N180" s="46">
        <v>37</v>
      </c>
      <c r="O180" s="47">
        <v>1</v>
      </c>
      <c r="P180" s="48">
        <v>3</v>
      </c>
      <c r="Q180" s="36">
        <v>97.87</v>
      </c>
      <c r="R180" s="37">
        <v>4</v>
      </c>
      <c r="S180" s="38">
        <f t="shared" si="22"/>
        <v>2</v>
      </c>
      <c r="T180" s="39">
        <f t="shared" si="23"/>
        <v>10</v>
      </c>
      <c r="U180" s="40">
        <f t="shared" si="24"/>
        <v>0</v>
      </c>
      <c r="V180" s="40">
        <f t="shared" si="25"/>
        <v>0</v>
      </c>
      <c r="W180" s="40">
        <f t="shared" si="26"/>
        <v>1</v>
      </c>
      <c r="X180" s="40">
        <f t="shared" si="30"/>
        <v>1</v>
      </c>
      <c r="Y180" s="40">
        <f t="shared" si="27"/>
        <v>0</v>
      </c>
      <c r="Z180" s="40">
        <f t="shared" si="28"/>
        <v>0</v>
      </c>
      <c r="AA180" s="40">
        <f t="shared" si="29"/>
        <v>0</v>
      </c>
      <c r="AB180" s="40">
        <f t="shared" si="31"/>
        <v>0</v>
      </c>
      <c r="AC180" s="41">
        <f t="shared" si="32"/>
        <v>0</v>
      </c>
      <c r="AD180" s="49" t="s">
        <v>5</v>
      </c>
      <c r="AE180" s="50" t="s">
        <v>116</v>
      </c>
      <c r="AF180" s="49" t="s">
        <v>5</v>
      </c>
      <c r="AG180" s="50" t="s">
        <v>135</v>
      </c>
      <c r="AH180" s="49"/>
      <c r="AI180" s="50"/>
      <c r="AJ180" s="49" t="s">
        <v>32</v>
      </c>
      <c r="AK180" s="50" t="s">
        <v>118</v>
      </c>
      <c r="AL180" s="49" t="s">
        <v>1</v>
      </c>
      <c r="AM180" s="50" t="s">
        <v>112</v>
      </c>
      <c r="AN180" s="49"/>
      <c r="AO180" s="50"/>
      <c r="AP180" s="49" t="s">
        <v>5</v>
      </c>
      <c r="AQ180" s="50" t="s">
        <v>119</v>
      </c>
      <c r="AR180" s="49" t="s">
        <v>5</v>
      </c>
      <c r="AS180" s="50" t="s">
        <v>120</v>
      </c>
      <c r="AT180" s="49" t="s">
        <v>5</v>
      </c>
      <c r="AU180" s="50" t="s">
        <v>78</v>
      </c>
      <c r="AV180" s="49" t="s">
        <v>1</v>
      </c>
      <c r="AW180" s="50" t="s">
        <v>112</v>
      </c>
      <c r="AX180" s="49" t="s">
        <v>5</v>
      </c>
      <c r="AY180" s="50" t="s">
        <v>95</v>
      </c>
      <c r="AZ180" s="49" t="s">
        <v>5</v>
      </c>
      <c r="BA180" s="50" t="s">
        <v>121</v>
      </c>
      <c r="BB180" s="49" t="s">
        <v>5</v>
      </c>
      <c r="BC180" s="50" t="s">
        <v>122</v>
      </c>
      <c r="BD180" s="49" t="s">
        <v>5</v>
      </c>
      <c r="BE180" s="50" t="s">
        <v>137</v>
      </c>
      <c r="BF180" s="49" t="s">
        <v>5</v>
      </c>
      <c r="BG180" s="50" t="s">
        <v>124</v>
      </c>
    </row>
    <row r="181" spans="1:59" s="44" customFormat="1" x14ac:dyDescent="0.25">
      <c r="A181" s="24">
        <v>160317</v>
      </c>
      <c r="B181" s="25" t="s">
        <v>343</v>
      </c>
      <c r="C181" s="26" t="s">
        <v>149</v>
      </c>
      <c r="D181" s="27" t="s">
        <v>70</v>
      </c>
      <c r="E181" s="28" t="s">
        <v>14</v>
      </c>
      <c r="F181" s="25" t="s">
        <v>220</v>
      </c>
      <c r="G181" s="28" t="s">
        <v>87</v>
      </c>
      <c r="H181" s="28" t="s">
        <v>14</v>
      </c>
      <c r="I181" s="29" t="s">
        <v>14</v>
      </c>
      <c r="J181" s="28" t="s">
        <v>14</v>
      </c>
      <c r="K181" s="30" t="s">
        <v>1850</v>
      </c>
      <c r="L181" s="31" t="s">
        <v>1844</v>
      </c>
      <c r="M181" s="45" t="str">
        <f>IFERROR(VLOOKUP(A181,Lookups!#REF!,3,FALSE),"")</f>
        <v/>
      </c>
      <c r="N181" s="46">
        <v>16</v>
      </c>
      <c r="O181" s="47">
        <v>0</v>
      </c>
      <c r="P181" s="48">
        <v>0</v>
      </c>
      <c r="Q181" s="36">
        <v>100</v>
      </c>
      <c r="R181" s="37">
        <v>0</v>
      </c>
      <c r="S181" s="38">
        <f t="shared" si="22"/>
        <v>2</v>
      </c>
      <c r="T181" s="39">
        <f t="shared" si="23"/>
        <v>11</v>
      </c>
      <c r="U181" s="40">
        <f t="shared" si="24"/>
        <v>0</v>
      </c>
      <c r="V181" s="40">
        <f t="shared" si="25"/>
        <v>0</v>
      </c>
      <c r="W181" s="40">
        <f t="shared" si="26"/>
        <v>0</v>
      </c>
      <c r="X181" s="40">
        <f t="shared" si="30"/>
        <v>0</v>
      </c>
      <c r="Y181" s="40">
        <f t="shared" si="27"/>
        <v>0</v>
      </c>
      <c r="Z181" s="40">
        <f t="shared" si="28"/>
        <v>0</v>
      </c>
      <c r="AA181" s="40">
        <f t="shared" si="29"/>
        <v>0</v>
      </c>
      <c r="AB181" s="40">
        <f t="shared" si="31"/>
        <v>0</v>
      </c>
      <c r="AC181" s="41">
        <f t="shared" si="32"/>
        <v>0</v>
      </c>
      <c r="AD181" s="49" t="s">
        <v>5</v>
      </c>
      <c r="AE181" s="50" t="s">
        <v>72</v>
      </c>
      <c r="AF181" s="49" t="s">
        <v>1</v>
      </c>
      <c r="AG181" s="50" t="s">
        <v>73</v>
      </c>
      <c r="AH181" s="49"/>
      <c r="AI181" s="50"/>
      <c r="AJ181" s="49" t="s">
        <v>5</v>
      </c>
      <c r="AK181" s="50" t="s">
        <v>91</v>
      </c>
      <c r="AL181" s="49" t="s">
        <v>5</v>
      </c>
      <c r="AM181" s="50" t="s">
        <v>78</v>
      </c>
      <c r="AN181" s="49"/>
      <c r="AO181" s="50"/>
      <c r="AP181" s="49" t="s">
        <v>5</v>
      </c>
      <c r="AQ181" s="50" t="s">
        <v>131</v>
      </c>
      <c r="AR181" s="49" t="s">
        <v>5</v>
      </c>
      <c r="AS181" s="50" t="s">
        <v>104</v>
      </c>
      <c r="AT181" s="49" t="s">
        <v>5</v>
      </c>
      <c r="AU181" s="50" t="s">
        <v>105</v>
      </c>
      <c r="AV181" s="49" t="s">
        <v>1</v>
      </c>
      <c r="AW181" s="50" t="s">
        <v>79</v>
      </c>
      <c r="AX181" s="49" t="s">
        <v>5</v>
      </c>
      <c r="AY181" s="50" t="s">
        <v>80</v>
      </c>
      <c r="AZ181" s="49" t="s">
        <v>5</v>
      </c>
      <c r="BA181" s="50" t="s">
        <v>152</v>
      </c>
      <c r="BB181" s="49" t="s">
        <v>5</v>
      </c>
      <c r="BC181" s="50" t="s">
        <v>153</v>
      </c>
      <c r="BD181" s="49" t="s">
        <v>5</v>
      </c>
      <c r="BE181" s="50" t="s">
        <v>154</v>
      </c>
      <c r="BF181" s="49" t="s">
        <v>5</v>
      </c>
      <c r="BG181" s="50" t="s">
        <v>103</v>
      </c>
    </row>
    <row r="182" spans="1:59" s="44" customFormat="1" x14ac:dyDescent="0.25">
      <c r="A182" s="24">
        <v>160318</v>
      </c>
      <c r="B182" s="25" t="s">
        <v>344</v>
      </c>
      <c r="C182" s="26" t="s">
        <v>100</v>
      </c>
      <c r="D182" s="27" t="s">
        <v>12</v>
      </c>
      <c r="E182" s="28" t="s">
        <v>14</v>
      </c>
      <c r="F182" s="25" t="s">
        <v>88</v>
      </c>
      <c r="G182" s="28" t="s">
        <v>87</v>
      </c>
      <c r="H182" s="28" t="s">
        <v>14</v>
      </c>
      <c r="I182" s="29" t="s">
        <v>14</v>
      </c>
      <c r="J182" s="28" t="s">
        <v>14</v>
      </c>
      <c r="K182" s="30" t="s">
        <v>1850</v>
      </c>
      <c r="L182" s="31" t="s">
        <v>1844</v>
      </c>
      <c r="M182" s="45" t="str">
        <f>IFERROR(VLOOKUP(A182,Lookups!#REF!,3,FALSE),"")</f>
        <v/>
      </c>
      <c r="N182" s="46">
        <v>16</v>
      </c>
      <c r="O182" s="47">
        <v>0</v>
      </c>
      <c r="P182" s="48">
        <v>0</v>
      </c>
      <c r="Q182" s="36">
        <v>100</v>
      </c>
      <c r="R182" s="37">
        <v>1</v>
      </c>
      <c r="S182" s="38">
        <f t="shared" si="22"/>
        <v>1</v>
      </c>
      <c r="T182" s="39">
        <f t="shared" si="23"/>
        <v>12</v>
      </c>
      <c r="U182" s="40">
        <f t="shared" si="24"/>
        <v>0</v>
      </c>
      <c r="V182" s="40">
        <f t="shared" si="25"/>
        <v>0</v>
      </c>
      <c r="W182" s="40">
        <f t="shared" si="26"/>
        <v>0</v>
      </c>
      <c r="X182" s="40">
        <f t="shared" si="30"/>
        <v>0</v>
      </c>
      <c r="Y182" s="40">
        <f t="shared" si="27"/>
        <v>0</v>
      </c>
      <c r="Z182" s="40">
        <f t="shared" si="28"/>
        <v>0</v>
      </c>
      <c r="AA182" s="40">
        <f t="shared" si="29"/>
        <v>0</v>
      </c>
      <c r="AB182" s="40">
        <f t="shared" si="31"/>
        <v>0</v>
      </c>
      <c r="AC182" s="41">
        <f t="shared" si="32"/>
        <v>0</v>
      </c>
      <c r="AD182" s="49" t="s">
        <v>5</v>
      </c>
      <c r="AE182" s="50" t="s">
        <v>72</v>
      </c>
      <c r="AF182" s="49" t="s">
        <v>5</v>
      </c>
      <c r="AG182" s="50" t="s">
        <v>117</v>
      </c>
      <c r="AH182" s="49"/>
      <c r="AI182" s="50"/>
      <c r="AJ182" s="49" t="s">
        <v>5</v>
      </c>
      <c r="AK182" s="50" t="s">
        <v>102</v>
      </c>
      <c r="AL182" s="49" t="s">
        <v>5</v>
      </c>
      <c r="AM182" s="50" t="s">
        <v>76</v>
      </c>
      <c r="AN182" s="49" t="s">
        <v>5</v>
      </c>
      <c r="AO182" s="50" t="s">
        <v>103</v>
      </c>
      <c r="AP182" s="49" t="s">
        <v>5</v>
      </c>
      <c r="AQ182" s="50" t="s">
        <v>92</v>
      </c>
      <c r="AR182" s="49" t="s">
        <v>5</v>
      </c>
      <c r="AS182" s="50" t="s">
        <v>104</v>
      </c>
      <c r="AT182" s="49" t="s">
        <v>5</v>
      </c>
      <c r="AU182" s="50" t="s">
        <v>105</v>
      </c>
      <c r="AV182" s="49" t="s">
        <v>1</v>
      </c>
      <c r="AW182" s="50" t="s">
        <v>112</v>
      </c>
      <c r="AX182" s="49" t="s">
        <v>5</v>
      </c>
      <c r="AY182" s="50" t="s">
        <v>80</v>
      </c>
      <c r="AZ182" s="49" t="s">
        <v>5</v>
      </c>
      <c r="BA182" s="50" t="s">
        <v>107</v>
      </c>
      <c r="BB182" s="49" t="s">
        <v>5</v>
      </c>
      <c r="BC182" s="50" t="s">
        <v>108</v>
      </c>
      <c r="BD182" s="49" t="s">
        <v>5</v>
      </c>
      <c r="BE182" s="50" t="s">
        <v>206</v>
      </c>
      <c r="BF182" s="49"/>
      <c r="BG182" s="50"/>
    </row>
    <row r="183" spans="1:59" s="44" customFormat="1" x14ac:dyDescent="0.25">
      <c r="A183" s="24">
        <v>160319</v>
      </c>
      <c r="B183" s="25" t="s">
        <v>345</v>
      </c>
      <c r="C183" s="26" t="s">
        <v>162</v>
      </c>
      <c r="D183" s="27" t="s">
        <v>70</v>
      </c>
      <c r="E183" s="28" t="s">
        <v>14</v>
      </c>
      <c r="F183" s="25" t="s">
        <v>184</v>
      </c>
      <c r="G183" s="28" t="s">
        <v>14</v>
      </c>
      <c r="H183" s="28" t="s">
        <v>14</v>
      </c>
      <c r="I183" s="29" t="s">
        <v>14</v>
      </c>
      <c r="J183" s="28" t="s">
        <v>14</v>
      </c>
      <c r="K183" s="30" t="s">
        <v>1850</v>
      </c>
      <c r="L183" s="31" t="s">
        <v>1846</v>
      </c>
      <c r="M183" s="45" t="str">
        <f>IFERROR(VLOOKUP(A183,Lookups!#REF!,3,FALSE),"")</f>
        <v/>
      </c>
      <c r="N183" s="46">
        <v>27</v>
      </c>
      <c r="O183" s="47">
        <v>0</v>
      </c>
      <c r="P183" s="48">
        <v>0</v>
      </c>
      <c r="Q183" s="36">
        <v>100</v>
      </c>
      <c r="R183" s="37">
        <v>0</v>
      </c>
      <c r="S183" s="38">
        <f t="shared" si="22"/>
        <v>1</v>
      </c>
      <c r="T183" s="39">
        <f t="shared" si="23"/>
        <v>12</v>
      </c>
      <c r="U183" s="40">
        <f t="shared" si="24"/>
        <v>0</v>
      </c>
      <c r="V183" s="40">
        <f t="shared" si="25"/>
        <v>0</v>
      </c>
      <c r="W183" s="40">
        <f t="shared" si="26"/>
        <v>0</v>
      </c>
      <c r="X183" s="40">
        <f t="shared" si="30"/>
        <v>0</v>
      </c>
      <c r="Y183" s="40">
        <f t="shared" si="27"/>
        <v>0</v>
      </c>
      <c r="Z183" s="40">
        <f t="shared" si="28"/>
        <v>0</v>
      </c>
      <c r="AA183" s="40">
        <f t="shared" si="29"/>
        <v>0</v>
      </c>
      <c r="AB183" s="40">
        <f t="shared" si="31"/>
        <v>0</v>
      </c>
      <c r="AC183" s="41">
        <f t="shared" si="32"/>
        <v>0</v>
      </c>
      <c r="AD183" s="49" t="s">
        <v>5</v>
      </c>
      <c r="AE183" s="50" t="s">
        <v>72</v>
      </c>
      <c r="AF183" s="49" t="s">
        <v>1</v>
      </c>
      <c r="AG183" s="50" t="s">
        <v>135</v>
      </c>
      <c r="AH183" s="49"/>
      <c r="AI183" s="50"/>
      <c r="AJ183" s="49" t="s">
        <v>5</v>
      </c>
      <c r="AK183" s="50" t="s">
        <v>194</v>
      </c>
      <c r="AL183" s="49" t="s">
        <v>5</v>
      </c>
      <c r="AM183" s="50" t="s">
        <v>72</v>
      </c>
      <c r="AN183" s="49" t="s">
        <v>5</v>
      </c>
      <c r="AO183" s="50" t="s">
        <v>143</v>
      </c>
      <c r="AP183" s="49" t="s">
        <v>5</v>
      </c>
      <c r="AQ183" s="50" t="s">
        <v>131</v>
      </c>
      <c r="AR183" s="49" t="s">
        <v>5</v>
      </c>
      <c r="AS183" s="50" t="s">
        <v>104</v>
      </c>
      <c r="AT183" s="49" t="s">
        <v>5</v>
      </c>
      <c r="AU183" s="50" t="s">
        <v>163</v>
      </c>
      <c r="AV183" s="49" t="s">
        <v>5</v>
      </c>
      <c r="AW183" s="50" t="s">
        <v>136</v>
      </c>
      <c r="AX183" s="49" t="s">
        <v>5</v>
      </c>
      <c r="AY183" s="50" t="s">
        <v>95</v>
      </c>
      <c r="AZ183" s="49" t="s">
        <v>5</v>
      </c>
      <c r="BA183" s="50" t="s">
        <v>81</v>
      </c>
      <c r="BB183" s="49" t="s">
        <v>5</v>
      </c>
      <c r="BC183" s="50" t="s">
        <v>97</v>
      </c>
      <c r="BD183" s="49" t="s">
        <v>5</v>
      </c>
      <c r="BE183" s="50" t="s">
        <v>164</v>
      </c>
      <c r="BF183" s="49"/>
      <c r="BG183" s="50"/>
    </row>
    <row r="184" spans="1:59" s="44" customFormat="1" x14ac:dyDescent="0.25">
      <c r="A184" s="24">
        <v>160320</v>
      </c>
      <c r="B184" s="25" t="s">
        <v>346</v>
      </c>
      <c r="C184" s="26" t="s">
        <v>168</v>
      </c>
      <c r="D184" s="27" t="s">
        <v>70</v>
      </c>
      <c r="E184" s="28" t="s">
        <v>14</v>
      </c>
      <c r="F184" s="25" t="s">
        <v>71</v>
      </c>
      <c r="G184" s="28" t="s">
        <v>14</v>
      </c>
      <c r="H184" s="28" t="s">
        <v>14</v>
      </c>
      <c r="I184" s="29" t="s">
        <v>14</v>
      </c>
      <c r="J184" s="28" t="s">
        <v>6</v>
      </c>
      <c r="K184" s="30" t="s">
        <v>1850</v>
      </c>
      <c r="L184" s="31" t="s">
        <v>1845</v>
      </c>
      <c r="M184" s="45" t="str">
        <f>IFERROR(VLOOKUP(A184,Lookups!#REF!,3,FALSE),"")</f>
        <v/>
      </c>
      <c r="N184" s="46">
        <v>21</v>
      </c>
      <c r="O184" s="47">
        <v>0</v>
      </c>
      <c r="P184" s="48">
        <v>0</v>
      </c>
      <c r="Q184" s="36">
        <v>100</v>
      </c>
      <c r="R184" s="37">
        <v>0</v>
      </c>
      <c r="S184" s="38">
        <f t="shared" si="22"/>
        <v>1</v>
      </c>
      <c r="T184" s="39">
        <f t="shared" si="23"/>
        <v>12</v>
      </c>
      <c r="U184" s="40">
        <f t="shared" si="24"/>
        <v>0</v>
      </c>
      <c r="V184" s="40">
        <f t="shared" si="25"/>
        <v>0</v>
      </c>
      <c r="W184" s="40">
        <f t="shared" si="26"/>
        <v>0</v>
      </c>
      <c r="X184" s="40">
        <f t="shared" si="30"/>
        <v>0</v>
      </c>
      <c r="Y184" s="40">
        <f t="shared" si="27"/>
        <v>0</v>
      </c>
      <c r="Z184" s="40">
        <f t="shared" si="28"/>
        <v>0</v>
      </c>
      <c r="AA184" s="40">
        <f t="shared" si="29"/>
        <v>0</v>
      </c>
      <c r="AB184" s="40">
        <f t="shared" si="31"/>
        <v>0</v>
      </c>
      <c r="AC184" s="41">
        <f t="shared" si="32"/>
        <v>0</v>
      </c>
      <c r="AD184" s="49" t="s">
        <v>5</v>
      </c>
      <c r="AE184" s="50" t="s">
        <v>116</v>
      </c>
      <c r="AF184" s="49"/>
      <c r="AG184" s="50"/>
      <c r="AH184" s="49" t="s">
        <v>5</v>
      </c>
      <c r="AI184" s="50" t="s">
        <v>101</v>
      </c>
      <c r="AJ184" s="49" t="s">
        <v>5</v>
      </c>
      <c r="AK184" s="50" t="s">
        <v>169</v>
      </c>
      <c r="AL184" s="49" t="s">
        <v>5</v>
      </c>
      <c r="AM184" s="50" t="s">
        <v>170</v>
      </c>
      <c r="AN184" s="49" t="s">
        <v>5</v>
      </c>
      <c r="AO184" s="50" t="s">
        <v>75</v>
      </c>
      <c r="AP184" s="49" t="s">
        <v>5</v>
      </c>
      <c r="AQ184" s="50" t="s">
        <v>131</v>
      </c>
      <c r="AR184" s="49" t="s">
        <v>5</v>
      </c>
      <c r="AS184" s="50" t="s">
        <v>120</v>
      </c>
      <c r="AT184" s="49" t="s">
        <v>5</v>
      </c>
      <c r="AU184" s="50" t="s">
        <v>78</v>
      </c>
      <c r="AV184" s="49" t="s">
        <v>5</v>
      </c>
      <c r="AW184" s="50" t="s">
        <v>106</v>
      </c>
      <c r="AX184" s="49" t="s">
        <v>1</v>
      </c>
      <c r="AY184" s="50" t="s">
        <v>95</v>
      </c>
      <c r="AZ184" s="49" t="s">
        <v>5</v>
      </c>
      <c r="BA184" s="50" t="s">
        <v>152</v>
      </c>
      <c r="BB184" s="49" t="s">
        <v>5</v>
      </c>
      <c r="BC184" s="50" t="s">
        <v>82</v>
      </c>
      <c r="BD184" s="49" t="s">
        <v>5</v>
      </c>
      <c r="BE184" s="50" t="s">
        <v>170</v>
      </c>
      <c r="BF184" s="49"/>
      <c r="BG184" s="50"/>
    </row>
    <row r="185" spans="1:59" s="44" customFormat="1" x14ac:dyDescent="0.25">
      <c r="A185" s="24">
        <v>160321</v>
      </c>
      <c r="B185" s="25" t="s">
        <v>347</v>
      </c>
      <c r="C185" s="26" t="s">
        <v>114</v>
      </c>
      <c r="D185" s="27" t="s">
        <v>12</v>
      </c>
      <c r="E185" s="28" t="s">
        <v>14</v>
      </c>
      <c r="F185" s="25" t="s">
        <v>71</v>
      </c>
      <c r="G185" s="28" t="s">
        <v>14</v>
      </c>
      <c r="H185" s="28" t="s">
        <v>14</v>
      </c>
      <c r="I185" s="29" t="s">
        <v>14</v>
      </c>
      <c r="J185" s="28" t="s">
        <v>14</v>
      </c>
      <c r="K185" s="30" t="s">
        <v>1850</v>
      </c>
      <c r="L185" s="31" t="s">
        <v>1846</v>
      </c>
      <c r="M185" s="45" t="str">
        <f>IFERROR(VLOOKUP(A185,Lookups!#REF!,3,FALSE),"")</f>
        <v/>
      </c>
      <c r="N185" s="46">
        <v>30</v>
      </c>
      <c r="O185" s="47">
        <v>0</v>
      </c>
      <c r="P185" s="48">
        <v>0</v>
      </c>
      <c r="Q185" s="36">
        <v>95.74</v>
      </c>
      <c r="R185" s="37">
        <v>1</v>
      </c>
      <c r="S185" s="38">
        <f t="shared" si="22"/>
        <v>0</v>
      </c>
      <c r="T185" s="39">
        <f t="shared" si="23"/>
        <v>13</v>
      </c>
      <c r="U185" s="40">
        <f t="shared" si="24"/>
        <v>0</v>
      </c>
      <c r="V185" s="40">
        <f t="shared" si="25"/>
        <v>0</v>
      </c>
      <c r="W185" s="40">
        <f t="shared" si="26"/>
        <v>0</v>
      </c>
      <c r="X185" s="40">
        <f t="shared" si="30"/>
        <v>0</v>
      </c>
      <c r="Y185" s="40">
        <f t="shared" si="27"/>
        <v>0</v>
      </c>
      <c r="Z185" s="40">
        <f t="shared" si="28"/>
        <v>0</v>
      </c>
      <c r="AA185" s="40">
        <f t="shared" si="29"/>
        <v>0</v>
      </c>
      <c r="AB185" s="40">
        <f t="shared" si="31"/>
        <v>0</v>
      </c>
      <c r="AC185" s="41">
        <f t="shared" si="32"/>
        <v>0</v>
      </c>
      <c r="AD185" s="49" t="s">
        <v>5</v>
      </c>
      <c r="AE185" s="50" t="s">
        <v>116</v>
      </c>
      <c r="AF185" s="49" t="s">
        <v>5</v>
      </c>
      <c r="AG185" s="50" t="s">
        <v>90</v>
      </c>
      <c r="AH185" s="49"/>
      <c r="AI185" s="50"/>
      <c r="AJ185" s="49" t="s">
        <v>5</v>
      </c>
      <c r="AK185" s="50" t="s">
        <v>118</v>
      </c>
      <c r="AL185" s="49" t="s">
        <v>5</v>
      </c>
      <c r="AM185" s="50" t="s">
        <v>112</v>
      </c>
      <c r="AN185" s="49"/>
      <c r="AO185" s="50"/>
      <c r="AP185" s="49" t="s">
        <v>5</v>
      </c>
      <c r="AQ185" s="50" t="s">
        <v>119</v>
      </c>
      <c r="AR185" s="49" t="s">
        <v>5</v>
      </c>
      <c r="AS185" s="50" t="s">
        <v>120</v>
      </c>
      <c r="AT185" s="49" t="s">
        <v>5</v>
      </c>
      <c r="AU185" s="50" t="s">
        <v>78</v>
      </c>
      <c r="AV185" s="49" t="s">
        <v>5</v>
      </c>
      <c r="AW185" s="50" t="s">
        <v>136</v>
      </c>
      <c r="AX185" s="49" t="s">
        <v>5</v>
      </c>
      <c r="AY185" s="50" t="s">
        <v>95</v>
      </c>
      <c r="AZ185" s="49" t="s">
        <v>5</v>
      </c>
      <c r="BA185" s="50" t="s">
        <v>96</v>
      </c>
      <c r="BB185" s="49" t="s">
        <v>5</v>
      </c>
      <c r="BC185" s="50" t="s">
        <v>122</v>
      </c>
      <c r="BD185" s="49" t="s">
        <v>5</v>
      </c>
      <c r="BE185" s="50" t="s">
        <v>123</v>
      </c>
      <c r="BF185" s="49" t="s">
        <v>5</v>
      </c>
      <c r="BG185" s="50" t="s">
        <v>124</v>
      </c>
    </row>
    <row r="186" spans="1:59" s="44" customFormat="1" x14ac:dyDescent="0.25">
      <c r="A186" s="24">
        <v>160322</v>
      </c>
      <c r="B186" s="25" t="s">
        <v>348</v>
      </c>
      <c r="C186" s="26" t="s">
        <v>149</v>
      </c>
      <c r="D186" s="27" t="s">
        <v>70</v>
      </c>
      <c r="E186" s="28" t="s">
        <v>14</v>
      </c>
      <c r="F186" s="25" t="s">
        <v>71</v>
      </c>
      <c r="G186" s="28" t="s">
        <v>14</v>
      </c>
      <c r="H186" s="28" t="s">
        <v>14</v>
      </c>
      <c r="I186" s="29" t="s">
        <v>14</v>
      </c>
      <c r="J186" s="28" t="s">
        <v>14</v>
      </c>
      <c r="K186" s="30" t="s">
        <v>1850</v>
      </c>
      <c r="L186" s="31" t="s">
        <v>1842</v>
      </c>
      <c r="M186" s="45" t="str">
        <f>IFERROR(VLOOKUP(A186,Lookups!#REF!,3,FALSE),"")</f>
        <v/>
      </c>
      <c r="N186" s="46">
        <v>17</v>
      </c>
      <c r="O186" s="47">
        <v>0</v>
      </c>
      <c r="P186" s="48">
        <v>0</v>
      </c>
      <c r="Q186" s="36">
        <v>95.74</v>
      </c>
      <c r="R186" s="37">
        <v>0</v>
      </c>
      <c r="S186" s="38">
        <f t="shared" si="22"/>
        <v>0</v>
      </c>
      <c r="T186" s="39">
        <f t="shared" si="23"/>
        <v>13</v>
      </c>
      <c r="U186" s="40">
        <f t="shared" si="24"/>
        <v>0</v>
      </c>
      <c r="V186" s="40">
        <f t="shared" si="25"/>
        <v>0</v>
      </c>
      <c r="W186" s="40">
        <f t="shared" si="26"/>
        <v>0</v>
      </c>
      <c r="X186" s="40">
        <f t="shared" si="30"/>
        <v>0</v>
      </c>
      <c r="Y186" s="40">
        <f t="shared" si="27"/>
        <v>0</v>
      </c>
      <c r="Z186" s="40">
        <f t="shared" si="28"/>
        <v>0</v>
      </c>
      <c r="AA186" s="40">
        <f t="shared" si="29"/>
        <v>0</v>
      </c>
      <c r="AB186" s="40">
        <f t="shared" si="31"/>
        <v>0</v>
      </c>
      <c r="AC186" s="41">
        <f t="shared" si="32"/>
        <v>0</v>
      </c>
      <c r="AD186" s="49" t="s">
        <v>5</v>
      </c>
      <c r="AE186" s="50" t="s">
        <v>116</v>
      </c>
      <c r="AF186" s="49"/>
      <c r="AG186" s="50"/>
      <c r="AH186" s="49" t="s">
        <v>5</v>
      </c>
      <c r="AI186" s="50" t="s">
        <v>101</v>
      </c>
      <c r="AJ186" s="49" t="s">
        <v>5</v>
      </c>
      <c r="AK186" s="50" t="s">
        <v>151</v>
      </c>
      <c r="AL186" s="49" t="s">
        <v>5</v>
      </c>
      <c r="AM186" s="50" t="s">
        <v>78</v>
      </c>
      <c r="AN186" s="49"/>
      <c r="AO186" s="50"/>
      <c r="AP186" s="49" t="s">
        <v>5</v>
      </c>
      <c r="AQ186" s="50" t="s">
        <v>131</v>
      </c>
      <c r="AR186" s="49" t="s">
        <v>5</v>
      </c>
      <c r="AS186" s="50" t="s">
        <v>104</v>
      </c>
      <c r="AT186" s="49" t="s">
        <v>5</v>
      </c>
      <c r="AU186" s="50" t="s">
        <v>105</v>
      </c>
      <c r="AV186" s="49" t="s">
        <v>5</v>
      </c>
      <c r="AW186" s="50" t="s">
        <v>94</v>
      </c>
      <c r="AX186" s="49" t="s">
        <v>5</v>
      </c>
      <c r="AY186" s="50" t="s">
        <v>80</v>
      </c>
      <c r="AZ186" s="49" t="s">
        <v>5</v>
      </c>
      <c r="BA186" s="50" t="s">
        <v>152</v>
      </c>
      <c r="BB186" s="49" t="s">
        <v>5</v>
      </c>
      <c r="BC186" s="50" t="s">
        <v>153</v>
      </c>
      <c r="BD186" s="49" t="s">
        <v>5</v>
      </c>
      <c r="BE186" s="50" t="s">
        <v>154</v>
      </c>
      <c r="BF186" s="49" t="s">
        <v>5</v>
      </c>
      <c r="BG186" s="50" t="s">
        <v>103</v>
      </c>
    </row>
    <row r="187" spans="1:59" s="44" customFormat="1" x14ac:dyDescent="0.25">
      <c r="A187" s="24">
        <v>160323</v>
      </c>
      <c r="B187" s="25" t="s">
        <v>349</v>
      </c>
      <c r="C187" s="26" t="s">
        <v>100</v>
      </c>
      <c r="D187" s="27" t="s">
        <v>70</v>
      </c>
      <c r="E187" s="28" t="s">
        <v>14</v>
      </c>
      <c r="F187" s="25" t="s">
        <v>71</v>
      </c>
      <c r="G187" s="28" t="s">
        <v>14</v>
      </c>
      <c r="H187" s="28" t="s">
        <v>14</v>
      </c>
      <c r="I187" s="29" t="s">
        <v>14</v>
      </c>
      <c r="J187" s="28" t="s">
        <v>14</v>
      </c>
      <c r="K187" s="30" t="s">
        <v>1850</v>
      </c>
      <c r="L187" s="31" t="s">
        <v>1841</v>
      </c>
      <c r="M187" s="45" t="str">
        <f>IFERROR(VLOOKUP(A187,Lookups!#REF!,3,FALSE),"")</f>
        <v/>
      </c>
      <c r="N187" s="46">
        <v>23</v>
      </c>
      <c r="O187" s="47">
        <v>0</v>
      </c>
      <c r="P187" s="48">
        <v>0</v>
      </c>
      <c r="Q187" s="36">
        <v>100</v>
      </c>
      <c r="R187" s="37">
        <v>0</v>
      </c>
      <c r="S187" s="38">
        <f t="shared" si="22"/>
        <v>2</v>
      </c>
      <c r="T187" s="39">
        <f t="shared" si="23"/>
        <v>11</v>
      </c>
      <c r="U187" s="40">
        <f t="shared" si="24"/>
        <v>0</v>
      </c>
      <c r="V187" s="40">
        <f t="shared" si="25"/>
        <v>0</v>
      </c>
      <c r="W187" s="40">
        <f t="shared" si="26"/>
        <v>0</v>
      </c>
      <c r="X187" s="40">
        <f t="shared" si="30"/>
        <v>0</v>
      </c>
      <c r="Y187" s="40">
        <f t="shared" si="27"/>
        <v>0</v>
      </c>
      <c r="Z187" s="40">
        <f t="shared" si="28"/>
        <v>0</v>
      </c>
      <c r="AA187" s="40">
        <f t="shared" si="29"/>
        <v>0</v>
      </c>
      <c r="AB187" s="40">
        <f t="shared" si="31"/>
        <v>0</v>
      </c>
      <c r="AC187" s="41">
        <f t="shared" si="32"/>
        <v>0</v>
      </c>
      <c r="AD187" s="49" t="s">
        <v>5</v>
      </c>
      <c r="AE187" s="50" t="s">
        <v>72</v>
      </c>
      <c r="AF187" s="49" t="s">
        <v>1</v>
      </c>
      <c r="AG187" s="50" t="s">
        <v>135</v>
      </c>
      <c r="AH187" s="49"/>
      <c r="AI187" s="50"/>
      <c r="AJ187" s="49" t="s">
        <v>5</v>
      </c>
      <c r="AK187" s="50" t="s">
        <v>102</v>
      </c>
      <c r="AL187" s="49" t="s">
        <v>5</v>
      </c>
      <c r="AM187" s="50" t="s">
        <v>76</v>
      </c>
      <c r="AN187" s="49" t="s">
        <v>5</v>
      </c>
      <c r="AO187" s="50" t="s">
        <v>103</v>
      </c>
      <c r="AP187" s="49" t="s">
        <v>5</v>
      </c>
      <c r="AQ187" s="50" t="s">
        <v>92</v>
      </c>
      <c r="AR187" s="49" t="s">
        <v>5</v>
      </c>
      <c r="AS187" s="50" t="s">
        <v>120</v>
      </c>
      <c r="AT187" s="49" t="s">
        <v>5</v>
      </c>
      <c r="AU187" s="50" t="s">
        <v>105</v>
      </c>
      <c r="AV187" s="49" t="s">
        <v>5</v>
      </c>
      <c r="AW187" s="50" t="s">
        <v>112</v>
      </c>
      <c r="AX187" s="49" t="s">
        <v>5</v>
      </c>
      <c r="AY187" s="50" t="s">
        <v>80</v>
      </c>
      <c r="AZ187" s="49" t="s">
        <v>5</v>
      </c>
      <c r="BA187" s="50" t="s">
        <v>121</v>
      </c>
      <c r="BB187" s="49" t="s">
        <v>5</v>
      </c>
      <c r="BC187" s="50" t="s">
        <v>108</v>
      </c>
      <c r="BD187" s="49" t="s">
        <v>1</v>
      </c>
      <c r="BE187" s="50" t="s">
        <v>206</v>
      </c>
      <c r="BF187" s="49"/>
      <c r="BG187" s="50"/>
    </row>
    <row r="188" spans="1:59" s="44" customFormat="1" x14ac:dyDescent="0.25">
      <c r="A188" s="24">
        <v>160324</v>
      </c>
      <c r="B188" s="25" t="s">
        <v>350</v>
      </c>
      <c r="C188" s="26" t="s">
        <v>69</v>
      </c>
      <c r="D188" s="27" t="s">
        <v>12</v>
      </c>
      <c r="E188" s="28" t="s">
        <v>14</v>
      </c>
      <c r="F188" s="25" t="s">
        <v>184</v>
      </c>
      <c r="G188" s="28" t="s">
        <v>14</v>
      </c>
      <c r="H188" s="28" t="s">
        <v>14</v>
      </c>
      <c r="I188" s="29" t="s">
        <v>14</v>
      </c>
      <c r="J188" s="28" t="s">
        <v>14</v>
      </c>
      <c r="K188" s="30" t="s">
        <v>1850</v>
      </c>
      <c r="L188" s="31" t="s">
        <v>1844</v>
      </c>
      <c r="M188" s="45" t="str">
        <f>IFERROR(VLOOKUP(A188,Lookups!#REF!,3,FALSE),"")</f>
        <v/>
      </c>
      <c r="N188" s="46">
        <v>38</v>
      </c>
      <c r="O188" s="47">
        <v>0</v>
      </c>
      <c r="P188" s="48">
        <v>0</v>
      </c>
      <c r="Q188" s="36">
        <v>100</v>
      </c>
      <c r="R188" s="37">
        <v>0</v>
      </c>
      <c r="S188" s="38">
        <f t="shared" si="22"/>
        <v>1</v>
      </c>
      <c r="T188" s="39">
        <f t="shared" si="23"/>
        <v>12</v>
      </c>
      <c r="U188" s="40">
        <f t="shared" si="24"/>
        <v>0</v>
      </c>
      <c r="V188" s="40">
        <f t="shared" si="25"/>
        <v>0</v>
      </c>
      <c r="W188" s="40">
        <f t="shared" si="26"/>
        <v>0</v>
      </c>
      <c r="X188" s="40">
        <f t="shared" si="30"/>
        <v>0</v>
      </c>
      <c r="Y188" s="40">
        <f t="shared" si="27"/>
        <v>0</v>
      </c>
      <c r="Z188" s="40">
        <f t="shared" si="28"/>
        <v>0</v>
      </c>
      <c r="AA188" s="40">
        <f t="shared" si="29"/>
        <v>0</v>
      </c>
      <c r="AB188" s="40">
        <f t="shared" si="31"/>
        <v>0</v>
      </c>
      <c r="AC188" s="41">
        <f t="shared" si="32"/>
        <v>0</v>
      </c>
      <c r="AD188" s="49" t="s">
        <v>5</v>
      </c>
      <c r="AE188" s="50" t="s">
        <v>72</v>
      </c>
      <c r="AF188" s="49" t="s">
        <v>5</v>
      </c>
      <c r="AG188" s="50" t="s">
        <v>135</v>
      </c>
      <c r="AH188" s="49"/>
      <c r="AI188" s="50"/>
      <c r="AJ188" s="49" t="s">
        <v>5</v>
      </c>
      <c r="AK188" s="50" t="s">
        <v>127</v>
      </c>
      <c r="AL188" s="49" t="s">
        <v>5</v>
      </c>
      <c r="AM188" s="50" t="s">
        <v>75</v>
      </c>
      <c r="AN188" s="49"/>
      <c r="AO188" s="50"/>
      <c r="AP188" s="49" t="s">
        <v>5</v>
      </c>
      <c r="AQ188" s="50" t="s">
        <v>131</v>
      </c>
      <c r="AR188" s="49" t="s">
        <v>5</v>
      </c>
      <c r="AS188" s="50" t="s">
        <v>120</v>
      </c>
      <c r="AT188" s="49" t="s">
        <v>5</v>
      </c>
      <c r="AU188" s="50" t="s">
        <v>78</v>
      </c>
      <c r="AV188" s="49" t="s">
        <v>5</v>
      </c>
      <c r="AW188" s="50" t="s">
        <v>112</v>
      </c>
      <c r="AX188" s="49" t="s">
        <v>5</v>
      </c>
      <c r="AY188" s="50" t="s">
        <v>80</v>
      </c>
      <c r="AZ188" s="49" t="s">
        <v>1</v>
      </c>
      <c r="BA188" s="50" t="s">
        <v>96</v>
      </c>
      <c r="BB188" s="49" t="s">
        <v>5</v>
      </c>
      <c r="BC188" s="50" t="s">
        <v>82</v>
      </c>
      <c r="BD188" s="49" t="s">
        <v>5</v>
      </c>
      <c r="BE188" s="50" t="s">
        <v>83</v>
      </c>
      <c r="BF188" s="49" t="s">
        <v>5</v>
      </c>
      <c r="BG188" s="50" t="s">
        <v>84</v>
      </c>
    </row>
    <row r="189" spans="1:59" s="44" customFormat="1" x14ac:dyDescent="0.25">
      <c r="A189" s="24">
        <v>160325</v>
      </c>
      <c r="B189" s="25" t="s">
        <v>351</v>
      </c>
      <c r="C189" s="26" t="s">
        <v>162</v>
      </c>
      <c r="D189" s="27" t="s">
        <v>70</v>
      </c>
      <c r="E189" s="28" t="s">
        <v>87</v>
      </c>
      <c r="F189" s="25" t="s">
        <v>198</v>
      </c>
      <c r="G189" s="28" t="s">
        <v>14</v>
      </c>
      <c r="H189" s="28" t="s">
        <v>87</v>
      </c>
      <c r="I189" s="29" t="s">
        <v>14</v>
      </c>
      <c r="J189" s="28" t="s">
        <v>14</v>
      </c>
      <c r="K189" s="30" t="s">
        <v>1850</v>
      </c>
      <c r="L189" s="31" t="s">
        <v>1845</v>
      </c>
      <c r="M189" s="45" t="str">
        <f>IFERROR(VLOOKUP(A189,Lookups!#REF!,3,FALSE),"")</f>
        <v/>
      </c>
      <c r="N189" s="46">
        <v>26</v>
      </c>
      <c r="O189" s="47">
        <v>0</v>
      </c>
      <c r="P189" s="48">
        <v>0</v>
      </c>
      <c r="Q189" s="36">
        <v>100</v>
      </c>
      <c r="R189" s="37">
        <v>0</v>
      </c>
      <c r="S189" s="38">
        <f t="shared" si="22"/>
        <v>0</v>
      </c>
      <c r="T189" s="39">
        <f t="shared" si="23"/>
        <v>13</v>
      </c>
      <c r="U189" s="40">
        <f t="shared" si="24"/>
        <v>0</v>
      </c>
      <c r="V189" s="40">
        <f t="shared" si="25"/>
        <v>0</v>
      </c>
      <c r="W189" s="40">
        <f t="shared" si="26"/>
        <v>0</v>
      </c>
      <c r="X189" s="40">
        <f t="shared" si="30"/>
        <v>0</v>
      </c>
      <c r="Y189" s="40">
        <f t="shared" si="27"/>
        <v>0</v>
      </c>
      <c r="Z189" s="40">
        <f t="shared" si="28"/>
        <v>0</v>
      </c>
      <c r="AA189" s="40">
        <f t="shared" si="29"/>
        <v>0</v>
      </c>
      <c r="AB189" s="40">
        <f t="shared" si="31"/>
        <v>0</v>
      </c>
      <c r="AC189" s="41">
        <f t="shared" si="32"/>
        <v>0</v>
      </c>
      <c r="AD189" s="49" t="s">
        <v>5</v>
      </c>
      <c r="AE189" s="50" t="s">
        <v>72</v>
      </c>
      <c r="AF189" s="49" t="s">
        <v>5</v>
      </c>
      <c r="AG189" s="50" t="s">
        <v>90</v>
      </c>
      <c r="AH189" s="49"/>
      <c r="AI189" s="50"/>
      <c r="AJ189" s="49" t="s">
        <v>5</v>
      </c>
      <c r="AK189" s="50" t="s">
        <v>127</v>
      </c>
      <c r="AL189" s="49" t="s">
        <v>5</v>
      </c>
      <c r="AM189" s="50" t="s">
        <v>72</v>
      </c>
      <c r="AN189" s="49" t="s">
        <v>5</v>
      </c>
      <c r="AO189" s="50" t="s">
        <v>143</v>
      </c>
      <c r="AP189" s="49" t="s">
        <v>5</v>
      </c>
      <c r="AQ189" s="50" t="s">
        <v>144</v>
      </c>
      <c r="AR189" s="49" t="s">
        <v>5</v>
      </c>
      <c r="AS189" s="50" t="s">
        <v>104</v>
      </c>
      <c r="AT189" s="49" t="s">
        <v>5</v>
      </c>
      <c r="AU189" s="50" t="s">
        <v>163</v>
      </c>
      <c r="AV189" s="49" t="s">
        <v>5</v>
      </c>
      <c r="AW189" s="50" t="s">
        <v>106</v>
      </c>
      <c r="AX189" s="49" t="s">
        <v>5</v>
      </c>
      <c r="AY189" s="50" t="s">
        <v>95</v>
      </c>
      <c r="AZ189" s="49" t="s">
        <v>5</v>
      </c>
      <c r="BA189" s="50" t="s">
        <v>81</v>
      </c>
      <c r="BB189" s="49" t="s">
        <v>5</v>
      </c>
      <c r="BC189" s="50" t="s">
        <v>153</v>
      </c>
      <c r="BD189" s="49" t="s">
        <v>5</v>
      </c>
      <c r="BE189" s="50" t="s">
        <v>164</v>
      </c>
      <c r="BF189" s="49"/>
      <c r="BG189" s="50"/>
    </row>
    <row r="190" spans="1:59" s="44" customFormat="1" x14ac:dyDescent="0.25">
      <c r="A190" s="24">
        <v>160326</v>
      </c>
      <c r="B190" s="25" t="s">
        <v>352</v>
      </c>
      <c r="C190" s="26" t="s">
        <v>168</v>
      </c>
      <c r="D190" s="27" t="s">
        <v>70</v>
      </c>
      <c r="E190" s="28" t="s">
        <v>14</v>
      </c>
      <c r="F190" s="25" t="s">
        <v>146</v>
      </c>
      <c r="G190" s="28" t="s">
        <v>14</v>
      </c>
      <c r="H190" s="28" t="s">
        <v>14</v>
      </c>
      <c r="I190" s="29" t="s">
        <v>14</v>
      </c>
      <c r="J190" s="28" t="s">
        <v>14</v>
      </c>
      <c r="K190" s="30" t="s">
        <v>1850</v>
      </c>
      <c r="L190" s="31" t="s">
        <v>1848</v>
      </c>
      <c r="M190" s="45" t="str">
        <f>IFERROR(VLOOKUP(A190,Lookups!#REF!,3,FALSE),"")</f>
        <v/>
      </c>
      <c r="N190" s="46">
        <v>15</v>
      </c>
      <c r="O190" s="47">
        <v>0</v>
      </c>
      <c r="P190" s="48">
        <v>0</v>
      </c>
      <c r="Q190" s="36">
        <v>100</v>
      </c>
      <c r="R190" s="37">
        <v>0</v>
      </c>
      <c r="S190" s="38">
        <f t="shared" si="22"/>
        <v>2</v>
      </c>
      <c r="T190" s="39">
        <f t="shared" si="23"/>
        <v>11</v>
      </c>
      <c r="U190" s="40">
        <f t="shared" si="24"/>
        <v>0</v>
      </c>
      <c r="V190" s="40">
        <f t="shared" si="25"/>
        <v>0</v>
      </c>
      <c r="W190" s="40">
        <f t="shared" si="26"/>
        <v>0</v>
      </c>
      <c r="X190" s="40">
        <f t="shared" si="30"/>
        <v>0</v>
      </c>
      <c r="Y190" s="40">
        <f t="shared" si="27"/>
        <v>0</v>
      </c>
      <c r="Z190" s="40">
        <f t="shared" si="28"/>
        <v>0</v>
      </c>
      <c r="AA190" s="40">
        <f t="shared" si="29"/>
        <v>0</v>
      </c>
      <c r="AB190" s="40">
        <f t="shared" si="31"/>
        <v>0</v>
      </c>
      <c r="AC190" s="41">
        <f t="shared" si="32"/>
        <v>0</v>
      </c>
      <c r="AD190" s="49" t="s">
        <v>5</v>
      </c>
      <c r="AE190" s="50" t="s">
        <v>116</v>
      </c>
      <c r="AF190" s="49" t="s">
        <v>5</v>
      </c>
      <c r="AG190" s="50" t="s">
        <v>117</v>
      </c>
      <c r="AH190" s="49"/>
      <c r="AI190" s="50"/>
      <c r="AJ190" s="49" t="s">
        <v>5</v>
      </c>
      <c r="AK190" s="50" t="s">
        <v>169</v>
      </c>
      <c r="AL190" s="49" t="s">
        <v>5</v>
      </c>
      <c r="AM190" s="50" t="s">
        <v>170</v>
      </c>
      <c r="AN190" s="49" t="s">
        <v>5</v>
      </c>
      <c r="AO190" s="50" t="s">
        <v>75</v>
      </c>
      <c r="AP190" s="49" t="s">
        <v>5</v>
      </c>
      <c r="AQ190" s="50" t="s">
        <v>131</v>
      </c>
      <c r="AR190" s="49" t="s">
        <v>5</v>
      </c>
      <c r="AS190" s="50" t="s">
        <v>120</v>
      </c>
      <c r="AT190" s="49" t="s">
        <v>5</v>
      </c>
      <c r="AU190" s="50" t="s">
        <v>78</v>
      </c>
      <c r="AV190" s="49" t="s">
        <v>1</v>
      </c>
      <c r="AW190" s="50" t="s">
        <v>106</v>
      </c>
      <c r="AX190" s="49" t="s">
        <v>1</v>
      </c>
      <c r="AY190" s="50" t="s">
        <v>95</v>
      </c>
      <c r="AZ190" s="49" t="s">
        <v>5</v>
      </c>
      <c r="BA190" s="50" t="s">
        <v>152</v>
      </c>
      <c r="BB190" s="49" t="s">
        <v>5</v>
      </c>
      <c r="BC190" s="50" t="s">
        <v>82</v>
      </c>
      <c r="BD190" s="49" t="s">
        <v>5</v>
      </c>
      <c r="BE190" s="50" t="s">
        <v>170</v>
      </c>
      <c r="BF190" s="49"/>
      <c r="BG190" s="50"/>
    </row>
    <row r="191" spans="1:59" s="44" customFormat="1" x14ac:dyDescent="0.25">
      <c r="A191" s="24">
        <v>160271</v>
      </c>
      <c r="B191" s="25" t="s">
        <v>353</v>
      </c>
      <c r="C191" s="26" t="s">
        <v>69</v>
      </c>
      <c r="D191" s="27" t="s">
        <v>12</v>
      </c>
      <c r="E191" s="28" t="s">
        <v>87</v>
      </c>
      <c r="F191" s="25" t="s">
        <v>88</v>
      </c>
      <c r="G191" s="28" t="s">
        <v>87</v>
      </c>
      <c r="H191" s="28" t="s">
        <v>87</v>
      </c>
      <c r="I191" s="29" t="s">
        <v>14</v>
      </c>
      <c r="J191" s="28" t="s">
        <v>14</v>
      </c>
      <c r="K191" s="30" t="s">
        <v>1850</v>
      </c>
      <c r="L191" s="31" t="s">
        <v>1844</v>
      </c>
      <c r="M191" s="45" t="str">
        <f>IFERROR(VLOOKUP(A191,Lookups!#REF!,3,FALSE),"")</f>
        <v/>
      </c>
      <c r="N191" s="46">
        <v>20</v>
      </c>
      <c r="O191" s="47">
        <v>1</v>
      </c>
      <c r="P191" s="48">
        <v>1</v>
      </c>
      <c r="Q191" s="36">
        <v>100</v>
      </c>
      <c r="R191" s="37">
        <v>0</v>
      </c>
      <c r="S191" s="38">
        <f t="shared" si="22"/>
        <v>1</v>
      </c>
      <c r="T191" s="39">
        <f t="shared" si="23"/>
        <v>12</v>
      </c>
      <c r="U191" s="40">
        <f t="shared" si="24"/>
        <v>0</v>
      </c>
      <c r="V191" s="40">
        <f t="shared" si="25"/>
        <v>0</v>
      </c>
      <c r="W191" s="40">
        <f t="shared" si="26"/>
        <v>0</v>
      </c>
      <c r="X191" s="40">
        <f t="shared" si="30"/>
        <v>0</v>
      </c>
      <c r="Y191" s="40">
        <f t="shared" si="27"/>
        <v>0</v>
      </c>
      <c r="Z191" s="40">
        <f t="shared" si="28"/>
        <v>0</v>
      </c>
      <c r="AA191" s="40">
        <f t="shared" si="29"/>
        <v>0</v>
      </c>
      <c r="AB191" s="40">
        <f t="shared" si="31"/>
        <v>0</v>
      </c>
      <c r="AC191" s="41">
        <f t="shared" si="32"/>
        <v>0</v>
      </c>
      <c r="AD191" s="49" t="s">
        <v>5</v>
      </c>
      <c r="AE191" s="50" t="s">
        <v>116</v>
      </c>
      <c r="AF191" s="49" t="s">
        <v>5</v>
      </c>
      <c r="AG191" s="50" t="s">
        <v>90</v>
      </c>
      <c r="AH191" s="49"/>
      <c r="AI191" s="50"/>
      <c r="AJ191" s="49" t="s">
        <v>5</v>
      </c>
      <c r="AK191" s="50" t="s">
        <v>127</v>
      </c>
      <c r="AL191" s="49" t="s">
        <v>5</v>
      </c>
      <c r="AM191" s="50" t="s">
        <v>75</v>
      </c>
      <c r="AN191" s="49"/>
      <c r="AO191" s="50"/>
      <c r="AP191" s="49" t="s">
        <v>5</v>
      </c>
      <c r="AQ191" s="50" t="s">
        <v>131</v>
      </c>
      <c r="AR191" s="49" t="s">
        <v>5</v>
      </c>
      <c r="AS191" s="50" t="s">
        <v>77</v>
      </c>
      <c r="AT191" s="49" t="s">
        <v>5</v>
      </c>
      <c r="AU191" s="50" t="s">
        <v>78</v>
      </c>
      <c r="AV191" s="49" t="s">
        <v>5</v>
      </c>
      <c r="AW191" s="50" t="s">
        <v>94</v>
      </c>
      <c r="AX191" s="49" t="s">
        <v>5</v>
      </c>
      <c r="AY191" s="50" t="s">
        <v>80</v>
      </c>
      <c r="AZ191" s="49" t="s">
        <v>1</v>
      </c>
      <c r="BA191" s="50" t="s">
        <v>96</v>
      </c>
      <c r="BB191" s="49" t="s">
        <v>5</v>
      </c>
      <c r="BC191" s="50" t="s">
        <v>82</v>
      </c>
      <c r="BD191" s="49" t="s">
        <v>5</v>
      </c>
      <c r="BE191" s="50" t="s">
        <v>83</v>
      </c>
      <c r="BF191" s="49" t="s">
        <v>5</v>
      </c>
      <c r="BG191" s="50" t="s">
        <v>84</v>
      </c>
    </row>
    <row r="192" spans="1:59" s="44" customFormat="1" x14ac:dyDescent="0.25">
      <c r="A192" s="24">
        <v>160328</v>
      </c>
      <c r="B192" s="25" t="s">
        <v>354</v>
      </c>
      <c r="C192" s="26" t="s">
        <v>100</v>
      </c>
      <c r="D192" s="27" t="s">
        <v>70</v>
      </c>
      <c r="E192" s="28" t="s">
        <v>14</v>
      </c>
      <c r="F192" s="25" t="s">
        <v>223</v>
      </c>
      <c r="G192" s="28" t="s">
        <v>87</v>
      </c>
      <c r="H192" s="28" t="s">
        <v>14</v>
      </c>
      <c r="I192" s="29" t="s">
        <v>14</v>
      </c>
      <c r="J192" s="28" t="s">
        <v>14</v>
      </c>
      <c r="K192" s="30" t="s">
        <v>1850</v>
      </c>
      <c r="L192" s="31" t="s">
        <v>1844</v>
      </c>
      <c r="M192" s="45" t="str">
        <f>IFERROR(VLOOKUP(A192,Lookups!#REF!,3,FALSE),"")</f>
        <v/>
      </c>
      <c r="N192" s="46">
        <v>20</v>
      </c>
      <c r="O192" s="47">
        <v>0</v>
      </c>
      <c r="P192" s="48">
        <v>0</v>
      </c>
      <c r="Q192" s="36">
        <v>100</v>
      </c>
      <c r="R192" s="37">
        <v>0</v>
      </c>
      <c r="S192" s="38">
        <f t="shared" si="22"/>
        <v>0</v>
      </c>
      <c r="T192" s="39">
        <f t="shared" si="23"/>
        <v>13</v>
      </c>
      <c r="U192" s="40">
        <f t="shared" si="24"/>
        <v>0</v>
      </c>
      <c r="V192" s="40">
        <f t="shared" si="25"/>
        <v>0</v>
      </c>
      <c r="W192" s="40">
        <f t="shared" si="26"/>
        <v>0</v>
      </c>
      <c r="X192" s="40">
        <f t="shared" si="30"/>
        <v>0</v>
      </c>
      <c r="Y192" s="40">
        <f t="shared" si="27"/>
        <v>0</v>
      </c>
      <c r="Z192" s="40">
        <f t="shared" si="28"/>
        <v>0</v>
      </c>
      <c r="AA192" s="40">
        <f t="shared" si="29"/>
        <v>0</v>
      </c>
      <c r="AB192" s="40">
        <f t="shared" si="31"/>
        <v>0</v>
      </c>
      <c r="AC192" s="41">
        <f t="shared" si="32"/>
        <v>0</v>
      </c>
      <c r="AD192" s="49" t="s">
        <v>5</v>
      </c>
      <c r="AE192" s="50" t="s">
        <v>72</v>
      </c>
      <c r="AF192" s="49" t="s">
        <v>5</v>
      </c>
      <c r="AG192" s="50" t="s">
        <v>90</v>
      </c>
      <c r="AH192" s="49"/>
      <c r="AI192" s="50"/>
      <c r="AJ192" s="49" t="s">
        <v>5</v>
      </c>
      <c r="AK192" s="50" t="s">
        <v>102</v>
      </c>
      <c r="AL192" s="49" t="s">
        <v>5</v>
      </c>
      <c r="AM192" s="50" t="s">
        <v>76</v>
      </c>
      <c r="AN192" s="49" t="s">
        <v>5</v>
      </c>
      <c r="AO192" s="50" t="s">
        <v>103</v>
      </c>
      <c r="AP192" s="49" t="s">
        <v>5</v>
      </c>
      <c r="AQ192" s="50" t="s">
        <v>92</v>
      </c>
      <c r="AR192" s="49" t="s">
        <v>5</v>
      </c>
      <c r="AS192" s="50" t="s">
        <v>104</v>
      </c>
      <c r="AT192" s="49" t="s">
        <v>5</v>
      </c>
      <c r="AU192" s="50" t="s">
        <v>105</v>
      </c>
      <c r="AV192" s="49" t="s">
        <v>5</v>
      </c>
      <c r="AW192" s="50" t="s">
        <v>94</v>
      </c>
      <c r="AX192" s="49" t="s">
        <v>5</v>
      </c>
      <c r="AY192" s="50" t="s">
        <v>80</v>
      </c>
      <c r="AZ192" s="49" t="s">
        <v>5</v>
      </c>
      <c r="BA192" s="50" t="s">
        <v>121</v>
      </c>
      <c r="BB192" s="49" t="s">
        <v>5</v>
      </c>
      <c r="BC192" s="50" t="s">
        <v>108</v>
      </c>
      <c r="BD192" s="49" t="s">
        <v>5</v>
      </c>
      <c r="BE192" s="50" t="s">
        <v>109</v>
      </c>
      <c r="BF192" s="49"/>
      <c r="BG192" s="50"/>
    </row>
    <row r="193" spans="1:105" s="44" customFormat="1" x14ac:dyDescent="0.25">
      <c r="A193" s="24">
        <v>160329</v>
      </c>
      <c r="B193" s="25" t="s">
        <v>355</v>
      </c>
      <c r="C193" s="26" t="s">
        <v>86</v>
      </c>
      <c r="D193" s="27" t="s">
        <v>70</v>
      </c>
      <c r="E193" s="28" t="s">
        <v>87</v>
      </c>
      <c r="F193" s="25" t="s">
        <v>88</v>
      </c>
      <c r="G193" s="28" t="s">
        <v>87</v>
      </c>
      <c r="H193" s="28" t="s">
        <v>87</v>
      </c>
      <c r="I193" s="29" t="s">
        <v>14</v>
      </c>
      <c r="J193" s="28" t="s">
        <v>14</v>
      </c>
      <c r="K193" s="30" t="s">
        <v>1850</v>
      </c>
      <c r="L193" s="31" t="s">
        <v>1842</v>
      </c>
      <c r="M193" s="45" t="str">
        <f>IFERROR(VLOOKUP(A193,Lookups!#REF!,3,FALSE),"")</f>
        <v/>
      </c>
      <c r="N193" s="46">
        <v>21</v>
      </c>
      <c r="O193" s="47">
        <v>2</v>
      </c>
      <c r="P193" s="48">
        <v>0</v>
      </c>
      <c r="Q193" s="36">
        <v>100</v>
      </c>
      <c r="R193" s="37">
        <v>2</v>
      </c>
      <c r="S193" s="38">
        <f t="shared" si="22"/>
        <v>2</v>
      </c>
      <c r="T193" s="39">
        <f t="shared" si="23"/>
        <v>10</v>
      </c>
      <c r="U193" s="40">
        <f t="shared" si="24"/>
        <v>1</v>
      </c>
      <c r="V193" s="40">
        <f t="shared" si="25"/>
        <v>0</v>
      </c>
      <c r="W193" s="40">
        <f t="shared" si="26"/>
        <v>0</v>
      </c>
      <c r="X193" s="40">
        <f t="shared" si="30"/>
        <v>1</v>
      </c>
      <c r="Y193" s="40">
        <f t="shared" si="27"/>
        <v>0</v>
      </c>
      <c r="Z193" s="40">
        <f t="shared" si="28"/>
        <v>0</v>
      </c>
      <c r="AA193" s="40">
        <f t="shared" si="29"/>
        <v>0</v>
      </c>
      <c r="AB193" s="40">
        <f t="shared" si="31"/>
        <v>0</v>
      </c>
      <c r="AC193" s="41">
        <f t="shared" si="32"/>
        <v>0</v>
      </c>
      <c r="AD193" s="49" t="s">
        <v>5</v>
      </c>
      <c r="AE193" s="50" t="s">
        <v>89</v>
      </c>
      <c r="AF193" s="49" t="s">
        <v>1</v>
      </c>
      <c r="AG193" s="50" t="s">
        <v>73</v>
      </c>
      <c r="AH193" s="49"/>
      <c r="AI193" s="50"/>
      <c r="AJ193" s="49" t="s">
        <v>30</v>
      </c>
      <c r="AK193" s="50" t="s">
        <v>91</v>
      </c>
      <c r="AL193" s="49" t="s">
        <v>5</v>
      </c>
      <c r="AM193" s="50" t="s">
        <v>84</v>
      </c>
      <c r="AN193" s="49"/>
      <c r="AO193" s="50"/>
      <c r="AP193" s="49" t="s">
        <v>1</v>
      </c>
      <c r="AQ193" s="50" t="s">
        <v>92</v>
      </c>
      <c r="AR193" s="49" t="s">
        <v>5</v>
      </c>
      <c r="AS193" s="50" t="s">
        <v>93</v>
      </c>
      <c r="AT193" s="49" t="s">
        <v>5</v>
      </c>
      <c r="AU193" s="50" t="s">
        <v>78</v>
      </c>
      <c r="AV193" s="49" t="s">
        <v>5</v>
      </c>
      <c r="AW193" s="50" t="s">
        <v>94</v>
      </c>
      <c r="AX193" s="49" t="s">
        <v>5</v>
      </c>
      <c r="AY193" s="50" t="s">
        <v>95</v>
      </c>
      <c r="AZ193" s="49" t="s">
        <v>5</v>
      </c>
      <c r="BA193" s="50" t="s">
        <v>81</v>
      </c>
      <c r="BB193" s="49" t="s">
        <v>5</v>
      </c>
      <c r="BC193" s="50" t="s">
        <v>97</v>
      </c>
      <c r="BD193" s="49" t="s">
        <v>5</v>
      </c>
      <c r="BE193" s="50" t="s">
        <v>98</v>
      </c>
      <c r="BF193" s="49" t="s">
        <v>5</v>
      </c>
      <c r="BG193" s="50" t="s">
        <v>84</v>
      </c>
    </row>
    <row r="194" spans="1:105" s="44" customFormat="1" x14ac:dyDescent="0.25">
      <c r="A194" s="24">
        <v>160330</v>
      </c>
      <c r="B194" s="25" t="s">
        <v>356</v>
      </c>
      <c r="C194" s="26" t="s">
        <v>69</v>
      </c>
      <c r="D194" s="27" t="s">
        <v>12</v>
      </c>
      <c r="E194" s="28" t="s">
        <v>14</v>
      </c>
      <c r="F194" s="25" t="s">
        <v>71</v>
      </c>
      <c r="G194" s="28" t="s">
        <v>14</v>
      </c>
      <c r="H194" s="28" t="s">
        <v>14</v>
      </c>
      <c r="I194" s="29" t="s">
        <v>14</v>
      </c>
      <c r="J194" s="28" t="s">
        <v>6</v>
      </c>
      <c r="K194" s="30" t="s">
        <v>1850</v>
      </c>
      <c r="L194" s="31" t="s">
        <v>1844</v>
      </c>
      <c r="M194" s="45" t="str">
        <f>IFERROR(VLOOKUP(A194,Lookups!#REF!,3,FALSE),"")</f>
        <v/>
      </c>
      <c r="N194" s="46">
        <v>23</v>
      </c>
      <c r="O194" s="47">
        <v>0</v>
      </c>
      <c r="P194" s="48">
        <v>0</v>
      </c>
      <c r="Q194" s="36">
        <v>87.5</v>
      </c>
      <c r="R194" s="37">
        <v>0</v>
      </c>
      <c r="S194" s="38">
        <f t="shared" ref="S194:S215" si="33">COUNTIF($AD194:$BK194,"Outstanding")</f>
        <v>2</v>
      </c>
      <c r="T194" s="39">
        <f t="shared" ref="T194:T215" si="34">COUNTIF($AD194:$BK194,"Good")</f>
        <v>11</v>
      </c>
      <c r="U194" s="40">
        <f t="shared" ref="U194:U215" si="35">COUNTIF($AD194:$BK194,"N2Improve - Engagement")</f>
        <v>0</v>
      </c>
      <c r="V194" s="40">
        <f t="shared" ref="V194:V215" si="36">COUNTIF($AD194:$BK194,"N2Improve - Community Conduct")</f>
        <v>0</v>
      </c>
      <c r="W194" s="40">
        <f t="shared" ref="W194:W215" si="37">COUNTIF($AD194:$BK194,"N2Improve - Personal Org.")</f>
        <v>0</v>
      </c>
      <c r="X194" s="40">
        <f t="shared" si="30"/>
        <v>0</v>
      </c>
      <c r="Y194" s="40">
        <f t="shared" ref="Y194:Y215" si="38">COUNTIF($AD194:$BK194,"Serious Conc - Engagement")</f>
        <v>0</v>
      </c>
      <c r="Z194" s="40">
        <f t="shared" ref="Z194:Z215" si="39">COUNTIF($AD194:$BK194,"Serious Conc - Comm. Concern")</f>
        <v>0</v>
      </c>
      <c r="AA194" s="40">
        <f t="shared" ref="AA194:AA215" si="40">COUNTIF($AD194:$BK194,"Serious Conc - Personal Org.")</f>
        <v>0</v>
      </c>
      <c r="AB194" s="40">
        <f t="shared" si="31"/>
        <v>0</v>
      </c>
      <c r="AC194" s="41">
        <f t="shared" si="32"/>
        <v>0</v>
      </c>
      <c r="AD194" s="49" t="s">
        <v>5</v>
      </c>
      <c r="AE194" s="50" t="s">
        <v>116</v>
      </c>
      <c r="AF194" s="49" t="s">
        <v>1</v>
      </c>
      <c r="AG194" s="50" t="s">
        <v>73</v>
      </c>
      <c r="AH194" s="49"/>
      <c r="AI194" s="50"/>
      <c r="AJ194" s="49" t="s">
        <v>5</v>
      </c>
      <c r="AK194" s="50" t="s">
        <v>142</v>
      </c>
      <c r="AL194" s="49" t="s">
        <v>5</v>
      </c>
      <c r="AM194" s="50" t="s">
        <v>75</v>
      </c>
      <c r="AN194" s="49"/>
      <c r="AO194" s="50"/>
      <c r="AP194" s="49" t="s">
        <v>5</v>
      </c>
      <c r="AQ194" s="50" t="s">
        <v>76</v>
      </c>
      <c r="AR194" s="49" t="s">
        <v>5</v>
      </c>
      <c r="AS194" s="50" t="s">
        <v>120</v>
      </c>
      <c r="AT194" s="49" t="s">
        <v>5</v>
      </c>
      <c r="AU194" s="50" t="s">
        <v>78</v>
      </c>
      <c r="AV194" s="49" t="s">
        <v>5</v>
      </c>
      <c r="AW194" s="50" t="s">
        <v>94</v>
      </c>
      <c r="AX194" s="49" t="s">
        <v>5</v>
      </c>
      <c r="AY194" s="50" t="s">
        <v>80</v>
      </c>
      <c r="AZ194" s="49" t="s">
        <v>1</v>
      </c>
      <c r="BA194" s="50" t="s">
        <v>96</v>
      </c>
      <c r="BB194" s="49" t="s">
        <v>5</v>
      </c>
      <c r="BC194" s="50" t="s">
        <v>82</v>
      </c>
      <c r="BD194" s="49" t="s">
        <v>5</v>
      </c>
      <c r="BE194" s="50" t="s">
        <v>140</v>
      </c>
      <c r="BF194" s="49" t="s">
        <v>5</v>
      </c>
      <c r="BG194" s="50" t="s">
        <v>84</v>
      </c>
    </row>
    <row r="195" spans="1:105" s="44" customFormat="1" x14ac:dyDescent="0.25">
      <c r="A195" s="24">
        <v>160331</v>
      </c>
      <c r="B195" s="25" t="s">
        <v>357</v>
      </c>
      <c r="C195" s="26" t="s">
        <v>149</v>
      </c>
      <c r="D195" s="27" t="s">
        <v>70</v>
      </c>
      <c r="E195" s="28" t="s">
        <v>14</v>
      </c>
      <c r="F195" s="25" t="s">
        <v>126</v>
      </c>
      <c r="G195" s="28" t="s">
        <v>87</v>
      </c>
      <c r="H195" s="28" t="s">
        <v>14</v>
      </c>
      <c r="I195" s="29" t="s">
        <v>14</v>
      </c>
      <c r="J195" s="28" t="s">
        <v>14</v>
      </c>
      <c r="K195" s="30" t="s">
        <v>1850</v>
      </c>
      <c r="L195" s="31" t="s">
        <v>1842</v>
      </c>
      <c r="M195" s="45" t="str">
        <f>IFERROR(VLOOKUP(A195,Lookups!#REF!,3,FALSE),"")</f>
        <v/>
      </c>
      <c r="N195" s="46">
        <v>16</v>
      </c>
      <c r="O195" s="47">
        <v>0</v>
      </c>
      <c r="P195" s="48">
        <v>0</v>
      </c>
      <c r="Q195" s="36">
        <v>100</v>
      </c>
      <c r="R195" s="37">
        <v>2</v>
      </c>
      <c r="S195" s="38">
        <f t="shared" si="33"/>
        <v>0</v>
      </c>
      <c r="T195" s="39">
        <f t="shared" si="34"/>
        <v>13</v>
      </c>
      <c r="U195" s="40">
        <f t="shared" si="35"/>
        <v>0</v>
      </c>
      <c r="V195" s="40">
        <f t="shared" si="36"/>
        <v>0</v>
      </c>
      <c r="W195" s="40">
        <f t="shared" si="37"/>
        <v>0</v>
      </c>
      <c r="X195" s="40">
        <f t="shared" ref="X195:X215" si="41">SUM(U195:W195)</f>
        <v>0</v>
      </c>
      <c r="Y195" s="40">
        <f t="shared" si="38"/>
        <v>0</v>
      </c>
      <c r="Z195" s="40">
        <f t="shared" si="39"/>
        <v>0</v>
      </c>
      <c r="AA195" s="40">
        <f t="shared" si="40"/>
        <v>0</v>
      </c>
      <c r="AB195" s="40">
        <f t="shared" ref="AB195:AB215" si="42">SUM(Y195:AA195)</f>
        <v>0</v>
      </c>
      <c r="AC195" s="41">
        <f t="shared" ref="AC195:AC215" si="43">COUNTIF(AD195:BG195,"*still*")</f>
        <v>0</v>
      </c>
      <c r="AD195" s="49" t="s">
        <v>5</v>
      </c>
      <c r="AE195" s="50" t="s">
        <v>116</v>
      </c>
      <c r="AF195" s="49" t="s">
        <v>5</v>
      </c>
      <c r="AG195" s="50" t="s">
        <v>117</v>
      </c>
      <c r="AH195" s="49"/>
      <c r="AI195" s="50"/>
      <c r="AJ195" s="49" t="s">
        <v>5</v>
      </c>
      <c r="AK195" s="50" t="s">
        <v>91</v>
      </c>
      <c r="AL195" s="49" t="s">
        <v>5</v>
      </c>
      <c r="AM195" s="50" t="s">
        <v>78</v>
      </c>
      <c r="AN195" s="49"/>
      <c r="AO195" s="50"/>
      <c r="AP195" s="49" t="s">
        <v>5</v>
      </c>
      <c r="AQ195" s="50" t="s">
        <v>131</v>
      </c>
      <c r="AR195" s="49" t="s">
        <v>5</v>
      </c>
      <c r="AS195" s="50" t="s">
        <v>104</v>
      </c>
      <c r="AT195" s="49" t="s">
        <v>5</v>
      </c>
      <c r="AU195" s="50" t="s">
        <v>105</v>
      </c>
      <c r="AV195" s="49" t="s">
        <v>5</v>
      </c>
      <c r="AW195" s="50" t="s">
        <v>79</v>
      </c>
      <c r="AX195" s="49" t="s">
        <v>5</v>
      </c>
      <c r="AY195" s="50" t="s">
        <v>80</v>
      </c>
      <c r="AZ195" s="49" t="s">
        <v>5</v>
      </c>
      <c r="BA195" s="50" t="s">
        <v>152</v>
      </c>
      <c r="BB195" s="49" t="s">
        <v>5</v>
      </c>
      <c r="BC195" s="50" t="s">
        <v>153</v>
      </c>
      <c r="BD195" s="49" t="s">
        <v>5</v>
      </c>
      <c r="BE195" s="50" t="s">
        <v>154</v>
      </c>
      <c r="BF195" s="49" t="s">
        <v>5</v>
      </c>
      <c r="BG195" s="50" t="s">
        <v>103</v>
      </c>
    </row>
    <row r="196" spans="1:105" s="44" customFormat="1" x14ac:dyDescent="0.25">
      <c r="A196" s="24">
        <v>160332</v>
      </c>
      <c r="B196" s="25" t="s">
        <v>358</v>
      </c>
      <c r="C196" s="26" t="s">
        <v>149</v>
      </c>
      <c r="D196" s="27" t="s">
        <v>70</v>
      </c>
      <c r="E196" s="28" t="s">
        <v>87</v>
      </c>
      <c r="F196" s="25" t="s">
        <v>150</v>
      </c>
      <c r="G196" s="28" t="s">
        <v>87</v>
      </c>
      <c r="H196" s="28" t="s">
        <v>87</v>
      </c>
      <c r="I196" s="29" t="s">
        <v>14</v>
      </c>
      <c r="J196" s="28" t="s">
        <v>14</v>
      </c>
      <c r="K196" s="30" t="s">
        <v>1850</v>
      </c>
      <c r="L196" s="31" t="s">
        <v>1842</v>
      </c>
      <c r="M196" s="45" t="str">
        <f>IFERROR(VLOOKUP(A196,Lookups!#REF!,3,FALSE),"")</f>
        <v/>
      </c>
      <c r="N196" s="46">
        <v>19</v>
      </c>
      <c r="O196" s="47">
        <v>0</v>
      </c>
      <c r="P196" s="48">
        <v>0</v>
      </c>
      <c r="Q196" s="36">
        <v>95.74</v>
      </c>
      <c r="R196" s="37">
        <v>2</v>
      </c>
      <c r="S196" s="38">
        <f t="shared" si="33"/>
        <v>1</v>
      </c>
      <c r="T196" s="39">
        <f t="shared" si="34"/>
        <v>12</v>
      </c>
      <c r="U196" s="40">
        <f t="shared" si="35"/>
        <v>0</v>
      </c>
      <c r="V196" s="40">
        <f t="shared" si="36"/>
        <v>0</v>
      </c>
      <c r="W196" s="40">
        <f t="shared" si="37"/>
        <v>0</v>
      </c>
      <c r="X196" s="40">
        <f t="shared" si="41"/>
        <v>0</v>
      </c>
      <c r="Y196" s="40">
        <f t="shared" si="38"/>
        <v>0</v>
      </c>
      <c r="Z196" s="40">
        <f t="shared" si="39"/>
        <v>0</v>
      </c>
      <c r="AA196" s="40">
        <f t="shared" si="40"/>
        <v>0</v>
      </c>
      <c r="AB196" s="40">
        <f t="shared" si="42"/>
        <v>0</v>
      </c>
      <c r="AC196" s="41">
        <f t="shared" si="43"/>
        <v>0</v>
      </c>
      <c r="AD196" s="49" t="s">
        <v>5</v>
      </c>
      <c r="AE196" s="50" t="s">
        <v>72</v>
      </c>
      <c r="AF196" s="49" t="s">
        <v>5</v>
      </c>
      <c r="AG196" s="50" t="s">
        <v>135</v>
      </c>
      <c r="AH196" s="49"/>
      <c r="AI196" s="50"/>
      <c r="AJ196" s="49" t="s">
        <v>5</v>
      </c>
      <c r="AK196" s="50" t="s">
        <v>151</v>
      </c>
      <c r="AL196" s="49" t="s">
        <v>5</v>
      </c>
      <c r="AM196" s="50" t="s">
        <v>78</v>
      </c>
      <c r="AN196" s="49"/>
      <c r="AO196" s="50"/>
      <c r="AP196" s="49" t="s">
        <v>5</v>
      </c>
      <c r="AQ196" s="50" t="s">
        <v>131</v>
      </c>
      <c r="AR196" s="49" t="s">
        <v>5</v>
      </c>
      <c r="AS196" s="50" t="s">
        <v>104</v>
      </c>
      <c r="AT196" s="49" t="s">
        <v>5</v>
      </c>
      <c r="AU196" s="50" t="s">
        <v>105</v>
      </c>
      <c r="AV196" s="49" t="s">
        <v>1</v>
      </c>
      <c r="AW196" s="50" t="s">
        <v>112</v>
      </c>
      <c r="AX196" s="49" t="s">
        <v>5</v>
      </c>
      <c r="AY196" s="50" t="s">
        <v>80</v>
      </c>
      <c r="AZ196" s="49" t="s">
        <v>5</v>
      </c>
      <c r="BA196" s="50" t="s">
        <v>152</v>
      </c>
      <c r="BB196" s="49" t="s">
        <v>5</v>
      </c>
      <c r="BC196" s="50" t="s">
        <v>153</v>
      </c>
      <c r="BD196" s="49" t="s">
        <v>5</v>
      </c>
      <c r="BE196" s="50" t="s">
        <v>154</v>
      </c>
      <c r="BF196" s="49" t="s">
        <v>5</v>
      </c>
      <c r="BG196" s="50" t="s">
        <v>103</v>
      </c>
    </row>
    <row r="197" spans="1:105" s="44" customFormat="1" x14ac:dyDescent="0.25">
      <c r="A197" s="24">
        <v>160333</v>
      </c>
      <c r="B197" s="25" t="s">
        <v>359</v>
      </c>
      <c r="C197" s="26" t="s">
        <v>86</v>
      </c>
      <c r="D197" s="27" t="s">
        <v>70</v>
      </c>
      <c r="E197" s="28" t="s">
        <v>14</v>
      </c>
      <c r="F197" s="25" t="s">
        <v>158</v>
      </c>
      <c r="G197" s="28" t="s">
        <v>14</v>
      </c>
      <c r="H197" s="28" t="s">
        <v>14</v>
      </c>
      <c r="I197" s="29" t="s">
        <v>14</v>
      </c>
      <c r="J197" s="28" t="s">
        <v>14</v>
      </c>
      <c r="K197" s="30" t="s">
        <v>1850</v>
      </c>
      <c r="L197" s="31" t="s">
        <v>1846</v>
      </c>
      <c r="M197" s="45" t="str">
        <f>IFERROR(VLOOKUP(A197,Lookups!#REF!,3,FALSE),"")</f>
        <v/>
      </c>
      <c r="N197" s="46">
        <v>16</v>
      </c>
      <c r="O197" s="47">
        <v>1</v>
      </c>
      <c r="P197" s="48">
        <v>0</v>
      </c>
      <c r="Q197" s="36">
        <v>95.74</v>
      </c>
      <c r="R197" s="37">
        <v>1</v>
      </c>
      <c r="S197" s="38">
        <f t="shared" si="33"/>
        <v>1</v>
      </c>
      <c r="T197" s="39">
        <f t="shared" si="34"/>
        <v>12</v>
      </c>
      <c r="U197" s="40">
        <f t="shared" si="35"/>
        <v>0</v>
      </c>
      <c r="V197" s="40">
        <f t="shared" si="36"/>
        <v>0</v>
      </c>
      <c r="W197" s="40">
        <f t="shared" si="37"/>
        <v>0</v>
      </c>
      <c r="X197" s="40">
        <f t="shared" si="41"/>
        <v>0</v>
      </c>
      <c r="Y197" s="40">
        <f t="shared" si="38"/>
        <v>0</v>
      </c>
      <c r="Z197" s="40">
        <f t="shared" si="39"/>
        <v>0</v>
      </c>
      <c r="AA197" s="40">
        <f t="shared" si="40"/>
        <v>0</v>
      </c>
      <c r="AB197" s="40">
        <f t="shared" si="42"/>
        <v>0</v>
      </c>
      <c r="AC197" s="41">
        <f t="shared" si="43"/>
        <v>0</v>
      </c>
      <c r="AD197" s="49" t="s">
        <v>5</v>
      </c>
      <c r="AE197" s="50" t="s">
        <v>89</v>
      </c>
      <c r="AF197" s="49"/>
      <c r="AG197" s="50"/>
      <c r="AH197" s="49" t="s">
        <v>5</v>
      </c>
      <c r="AI197" s="50" t="s">
        <v>101</v>
      </c>
      <c r="AJ197" s="49" t="s">
        <v>5</v>
      </c>
      <c r="AK197" s="50" t="s">
        <v>91</v>
      </c>
      <c r="AL197" s="49" t="s">
        <v>5</v>
      </c>
      <c r="AM197" s="50" t="s">
        <v>84</v>
      </c>
      <c r="AN197" s="49"/>
      <c r="AO197" s="50"/>
      <c r="AP197" s="49" t="s">
        <v>1</v>
      </c>
      <c r="AQ197" s="50" t="s">
        <v>92</v>
      </c>
      <c r="AR197" s="49" t="s">
        <v>5</v>
      </c>
      <c r="AS197" s="50" t="s">
        <v>93</v>
      </c>
      <c r="AT197" s="49" t="s">
        <v>5</v>
      </c>
      <c r="AU197" s="50" t="s">
        <v>78</v>
      </c>
      <c r="AV197" s="49" t="s">
        <v>5</v>
      </c>
      <c r="AW197" s="50" t="s">
        <v>94</v>
      </c>
      <c r="AX197" s="49" t="s">
        <v>5</v>
      </c>
      <c r="AY197" s="50" t="s">
        <v>95</v>
      </c>
      <c r="AZ197" s="49" t="s">
        <v>5</v>
      </c>
      <c r="BA197" s="50" t="s">
        <v>81</v>
      </c>
      <c r="BB197" s="49" t="s">
        <v>5</v>
      </c>
      <c r="BC197" s="50" t="s">
        <v>108</v>
      </c>
      <c r="BD197" s="49" t="s">
        <v>5</v>
      </c>
      <c r="BE197" s="50" t="s">
        <v>98</v>
      </c>
      <c r="BF197" s="49" t="s">
        <v>5</v>
      </c>
      <c r="BG197" s="50" t="s">
        <v>84</v>
      </c>
    </row>
    <row r="198" spans="1:105" s="44" customFormat="1" x14ac:dyDescent="0.25">
      <c r="A198" s="24">
        <v>160334</v>
      </c>
      <c r="B198" s="25" t="s">
        <v>360</v>
      </c>
      <c r="C198" s="26" t="s">
        <v>100</v>
      </c>
      <c r="D198" s="27" t="s">
        <v>70</v>
      </c>
      <c r="E198" s="28" t="s">
        <v>14</v>
      </c>
      <c r="F198" s="25" t="s">
        <v>230</v>
      </c>
      <c r="G198" s="28" t="s">
        <v>14</v>
      </c>
      <c r="H198" s="28" t="s">
        <v>14</v>
      </c>
      <c r="I198" s="29" t="s">
        <v>14</v>
      </c>
      <c r="J198" s="28" t="s">
        <v>14</v>
      </c>
      <c r="K198" s="30" t="s">
        <v>1850</v>
      </c>
      <c r="L198" s="31" t="s">
        <v>1842</v>
      </c>
      <c r="M198" s="45" t="str">
        <f>IFERROR(VLOOKUP(A198,Lookups!#REF!,3,FALSE),"")</f>
        <v/>
      </c>
      <c r="N198" s="46">
        <v>23</v>
      </c>
      <c r="O198" s="47">
        <v>0</v>
      </c>
      <c r="P198" s="48">
        <v>0</v>
      </c>
      <c r="Q198" s="36">
        <v>95.74</v>
      </c>
      <c r="R198" s="37">
        <v>0</v>
      </c>
      <c r="S198" s="38">
        <f t="shared" si="33"/>
        <v>3</v>
      </c>
      <c r="T198" s="39">
        <f t="shared" si="34"/>
        <v>10</v>
      </c>
      <c r="U198" s="40">
        <f t="shared" si="35"/>
        <v>0</v>
      </c>
      <c r="V198" s="40">
        <f t="shared" si="36"/>
        <v>0</v>
      </c>
      <c r="W198" s="40">
        <f t="shared" si="37"/>
        <v>0</v>
      </c>
      <c r="X198" s="40">
        <f t="shared" si="41"/>
        <v>0</v>
      </c>
      <c r="Y198" s="40">
        <f t="shared" si="38"/>
        <v>0</v>
      </c>
      <c r="Z198" s="40">
        <f t="shared" si="39"/>
        <v>0</v>
      </c>
      <c r="AA198" s="40">
        <f t="shared" si="40"/>
        <v>0</v>
      </c>
      <c r="AB198" s="40">
        <f t="shared" si="42"/>
        <v>0</v>
      </c>
      <c r="AC198" s="41">
        <f t="shared" si="43"/>
        <v>0</v>
      </c>
      <c r="AD198" s="49" t="s">
        <v>5</v>
      </c>
      <c r="AE198" s="50" t="s">
        <v>72</v>
      </c>
      <c r="AF198" s="49" t="s">
        <v>1</v>
      </c>
      <c r="AG198" s="50" t="s">
        <v>73</v>
      </c>
      <c r="AH198" s="49"/>
      <c r="AI198" s="50"/>
      <c r="AJ198" s="49" t="s">
        <v>5</v>
      </c>
      <c r="AK198" s="50" t="s">
        <v>102</v>
      </c>
      <c r="AL198" s="49" t="s">
        <v>5</v>
      </c>
      <c r="AM198" s="50" t="s">
        <v>76</v>
      </c>
      <c r="AN198" s="49" t="s">
        <v>5</v>
      </c>
      <c r="AO198" s="50" t="s">
        <v>103</v>
      </c>
      <c r="AP198" s="49" t="s">
        <v>1</v>
      </c>
      <c r="AQ198" s="50" t="s">
        <v>92</v>
      </c>
      <c r="AR198" s="49" t="s">
        <v>5</v>
      </c>
      <c r="AS198" s="50" t="s">
        <v>104</v>
      </c>
      <c r="AT198" s="49" t="s">
        <v>5</v>
      </c>
      <c r="AU198" s="50" t="s">
        <v>105</v>
      </c>
      <c r="AV198" s="49" t="s">
        <v>5</v>
      </c>
      <c r="AW198" s="50" t="s">
        <v>94</v>
      </c>
      <c r="AX198" s="49" t="s">
        <v>1</v>
      </c>
      <c r="AY198" s="50" t="s">
        <v>80</v>
      </c>
      <c r="AZ198" s="49" t="s">
        <v>5</v>
      </c>
      <c r="BA198" s="50" t="s">
        <v>121</v>
      </c>
      <c r="BB198" s="49" t="s">
        <v>5</v>
      </c>
      <c r="BC198" s="50" t="s">
        <v>108</v>
      </c>
      <c r="BD198" s="49" t="s">
        <v>5</v>
      </c>
      <c r="BE198" s="50" t="s">
        <v>109</v>
      </c>
      <c r="BF198" s="49"/>
      <c r="BG198" s="50"/>
    </row>
    <row r="199" spans="1:105" s="44" customFormat="1" x14ac:dyDescent="0.25">
      <c r="A199" s="24">
        <v>160335</v>
      </c>
      <c r="B199" s="25" t="s">
        <v>361</v>
      </c>
      <c r="C199" s="26" t="s">
        <v>149</v>
      </c>
      <c r="D199" s="27" t="s">
        <v>12</v>
      </c>
      <c r="E199" s="28" t="s">
        <v>14</v>
      </c>
      <c r="F199" s="25" t="s">
        <v>71</v>
      </c>
      <c r="G199" s="28" t="s">
        <v>14</v>
      </c>
      <c r="H199" s="28" t="s">
        <v>14</v>
      </c>
      <c r="I199" s="29" t="s">
        <v>14</v>
      </c>
      <c r="J199" s="28" t="s">
        <v>14</v>
      </c>
      <c r="K199" s="30" t="s">
        <v>1850</v>
      </c>
      <c r="L199" s="31" t="s">
        <v>1842</v>
      </c>
      <c r="M199" s="45" t="str">
        <f>IFERROR(VLOOKUP(A199,Lookups!#REF!,3,FALSE),"")</f>
        <v/>
      </c>
      <c r="N199" s="46">
        <v>19</v>
      </c>
      <c r="O199" s="47">
        <v>0</v>
      </c>
      <c r="P199" s="48">
        <v>0</v>
      </c>
      <c r="Q199" s="36">
        <v>100</v>
      </c>
      <c r="R199" s="37">
        <v>0</v>
      </c>
      <c r="S199" s="38">
        <f t="shared" si="33"/>
        <v>5</v>
      </c>
      <c r="T199" s="39">
        <f t="shared" si="34"/>
        <v>8</v>
      </c>
      <c r="U199" s="40">
        <f t="shared" si="35"/>
        <v>0</v>
      </c>
      <c r="V199" s="40">
        <f t="shared" si="36"/>
        <v>0</v>
      </c>
      <c r="W199" s="40">
        <f t="shared" si="37"/>
        <v>0</v>
      </c>
      <c r="X199" s="40">
        <f t="shared" si="41"/>
        <v>0</v>
      </c>
      <c r="Y199" s="40">
        <f t="shared" si="38"/>
        <v>0</v>
      </c>
      <c r="Z199" s="40">
        <f t="shared" si="39"/>
        <v>0</v>
      </c>
      <c r="AA199" s="40">
        <f t="shared" si="40"/>
        <v>0</v>
      </c>
      <c r="AB199" s="40">
        <f t="shared" si="42"/>
        <v>0</v>
      </c>
      <c r="AC199" s="41">
        <f t="shared" si="43"/>
        <v>0</v>
      </c>
      <c r="AD199" s="49" t="s">
        <v>5</v>
      </c>
      <c r="AE199" s="50" t="s">
        <v>72</v>
      </c>
      <c r="AF199" s="49" t="s">
        <v>5</v>
      </c>
      <c r="AG199" s="50" t="s">
        <v>90</v>
      </c>
      <c r="AH199" s="49"/>
      <c r="AI199" s="50"/>
      <c r="AJ199" s="49" t="s">
        <v>5</v>
      </c>
      <c r="AK199" s="50" t="s">
        <v>91</v>
      </c>
      <c r="AL199" s="49" t="s">
        <v>5</v>
      </c>
      <c r="AM199" s="50" t="s">
        <v>78</v>
      </c>
      <c r="AN199" s="49"/>
      <c r="AO199" s="50"/>
      <c r="AP199" s="49" t="s">
        <v>5</v>
      </c>
      <c r="AQ199" s="50" t="s">
        <v>131</v>
      </c>
      <c r="AR199" s="49" t="s">
        <v>1</v>
      </c>
      <c r="AS199" s="50" t="s">
        <v>104</v>
      </c>
      <c r="AT199" s="49" t="s">
        <v>5</v>
      </c>
      <c r="AU199" s="50" t="s">
        <v>105</v>
      </c>
      <c r="AV199" s="49" t="s">
        <v>1</v>
      </c>
      <c r="AW199" s="50" t="s">
        <v>79</v>
      </c>
      <c r="AX199" s="49" t="s">
        <v>1</v>
      </c>
      <c r="AY199" s="50" t="s">
        <v>80</v>
      </c>
      <c r="AZ199" s="49" t="s">
        <v>1</v>
      </c>
      <c r="BA199" s="50" t="s">
        <v>107</v>
      </c>
      <c r="BB199" s="49" t="s">
        <v>5</v>
      </c>
      <c r="BC199" s="50" t="s">
        <v>153</v>
      </c>
      <c r="BD199" s="49" t="s">
        <v>1</v>
      </c>
      <c r="BE199" s="50" t="s">
        <v>154</v>
      </c>
      <c r="BF199" s="49" t="s">
        <v>5</v>
      </c>
      <c r="BG199" s="50" t="s">
        <v>103</v>
      </c>
    </row>
    <row r="200" spans="1:105" s="44" customFormat="1" x14ac:dyDescent="0.25">
      <c r="A200" s="24">
        <v>160336</v>
      </c>
      <c r="B200" s="25" t="s">
        <v>362</v>
      </c>
      <c r="C200" s="26" t="s">
        <v>168</v>
      </c>
      <c r="D200" s="27" t="s">
        <v>70</v>
      </c>
      <c r="E200" s="28" t="s">
        <v>14</v>
      </c>
      <c r="F200" s="25" t="s">
        <v>198</v>
      </c>
      <c r="G200" s="28" t="s">
        <v>14</v>
      </c>
      <c r="H200" s="28" t="s">
        <v>14</v>
      </c>
      <c r="I200" s="29" t="s">
        <v>14</v>
      </c>
      <c r="J200" s="28" t="s">
        <v>14</v>
      </c>
      <c r="K200" s="30" t="s">
        <v>1850</v>
      </c>
      <c r="L200" s="31" t="s">
        <v>1848</v>
      </c>
      <c r="M200" s="45" t="str">
        <f>IFERROR(VLOOKUP(A200,Lookups!#REF!,3,FALSE),"")</f>
        <v/>
      </c>
      <c r="N200" s="46">
        <v>15</v>
      </c>
      <c r="O200" s="47">
        <v>3</v>
      </c>
      <c r="P200" s="48">
        <v>2</v>
      </c>
      <c r="Q200" s="36">
        <v>87.23</v>
      </c>
      <c r="R200" s="37">
        <v>1</v>
      </c>
      <c r="S200" s="38">
        <f t="shared" si="33"/>
        <v>0</v>
      </c>
      <c r="T200" s="39">
        <f t="shared" si="34"/>
        <v>11</v>
      </c>
      <c r="U200" s="40">
        <f t="shared" si="35"/>
        <v>2</v>
      </c>
      <c r="V200" s="40">
        <f t="shared" si="36"/>
        <v>0</v>
      </c>
      <c r="W200" s="40">
        <f t="shared" si="37"/>
        <v>0</v>
      </c>
      <c r="X200" s="40">
        <f t="shared" si="41"/>
        <v>2</v>
      </c>
      <c r="Y200" s="40">
        <f t="shared" si="38"/>
        <v>0</v>
      </c>
      <c r="Z200" s="40">
        <f t="shared" si="39"/>
        <v>0</v>
      </c>
      <c r="AA200" s="40">
        <f t="shared" si="40"/>
        <v>0</v>
      </c>
      <c r="AB200" s="40">
        <f t="shared" si="42"/>
        <v>0</v>
      </c>
      <c r="AC200" s="41">
        <f t="shared" si="43"/>
        <v>0</v>
      </c>
      <c r="AD200" s="49" t="s">
        <v>5</v>
      </c>
      <c r="AE200" s="50" t="s">
        <v>116</v>
      </c>
      <c r="AF200" s="49" t="s">
        <v>5</v>
      </c>
      <c r="AG200" s="50" t="s">
        <v>135</v>
      </c>
      <c r="AH200" s="49"/>
      <c r="AI200" s="50"/>
      <c r="AJ200" s="49" t="s">
        <v>5</v>
      </c>
      <c r="AK200" s="50" t="s">
        <v>169</v>
      </c>
      <c r="AL200" s="49" t="s">
        <v>5</v>
      </c>
      <c r="AM200" s="50" t="s">
        <v>170</v>
      </c>
      <c r="AN200" s="49" t="s">
        <v>5</v>
      </c>
      <c r="AO200" s="50" t="s">
        <v>75</v>
      </c>
      <c r="AP200" s="49" t="s">
        <v>5</v>
      </c>
      <c r="AQ200" s="50" t="s">
        <v>92</v>
      </c>
      <c r="AR200" s="49" t="s">
        <v>5</v>
      </c>
      <c r="AS200" s="50" t="s">
        <v>120</v>
      </c>
      <c r="AT200" s="49" t="s">
        <v>5</v>
      </c>
      <c r="AU200" s="50" t="s">
        <v>78</v>
      </c>
      <c r="AV200" s="49" t="s">
        <v>5</v>
      </c>
      <c r="AW200" s="50" t="s">
        <v>106</v>
      </c>
      <c r="AX200" s="49" t="s">
        <v>30</v>
      </c>
      <c r="AY200" s="50" t="s">
        <v>95</v>
      </c>
      <c r="AZ200" s="49" t="s">
        <v>5</v>
      </c>
      <c r="BA200" s="50" t="s">
        <v>152</v>
      </c>
      <c r="BB200" s="49" t="s">
        <v>30</v>
      </c>
      <c r="BC200" s="50" t="s">
        <v>82</v>
      </c>
      <c r="BD200" s="49" t="s">
        <v>5</v>
      </c>
      <c r="BE200" s="50" t="s">
        <v>170</v>
      </c>
      <c r="BF200" s="49"/>
      <c r="BG200" s="50"/>
    </row>
    <row r="201" spans="1:105" s="44" customFormat="1" x14ac:dyDescent="0.25">
      <c r="A201" s="24">
        <v>160337</v>
      </c>
      <c r="B201" s="25" t="s">
        <v>363</v>
      </c>
      <c r="C201" s="26" t="s">
        <v>129</v>
      </c>
      <c r="D201" s="27" t="s">
        <v>70</v>
      </c>
      <c r="E201" s="28" t="s">
        <v>14</v>
      </c>
      <c r="F201" s="25" t="s">
        <v>71</v>
      </c>
      <c r="G201" s="28" t="s">
        <v>14</v>
      </c>
      <c r="H201" s="28" t="s">
        <v>14</v>
      </c>
      <c r="I201" s="29" t="s">
        <v>14</v>
      </c>
      <c r="J201" s="28" t="s">
        <v>6</v>
      </c>
      <c r="K201" s="30" t="s">
        <v>1850</v>
      </c>
      <c r="L201" s="31" t="s">
        <v>1845</v>
      </c>
      <c r="M201" s="45" t="str">
        <f>IFERROR(VLOOKUP(A201,Lookups!#REF!,3,FALSE),"")</f>
        <v/>
      </c>
      <c r="N201" s="46">
        <v>36</v>
      </c>
      <c r="O201" s="47">
        <v>0</v>
      </c>
      <c r="P201" s="48">
        <v>0</v>
      </c>
      <c r="Q201" s="36">
        <v>97.87</v>
      </c>
      <c r="R201" s="37">
        <v>0</v>
      </c>
      <c r="S201" s="38">
        <f t="shared" si="33"/>
        <v>1</v>
      </c>
      <c r="T201" s="39">
        <f t="shared" si="34"/>
        <v>12</v>
      </c>
      <c r="U201" s="40">
        <f t="shared" si="35"/>
        <v>0</v>
      </c>
      <c r="V201" s="40">
        <f t="shared" si="36"/>
        <v>0</v>
      </c>
      <c r="W201" s="40">
        <f t="shared" si="37"/>
        <v>0</v>
      </c>
      <c r="X201" s="40">
        <f t="shared" si="41"/>
        <v>0</v>
      </c>
      <c r="Y201" s="40">
        <f t="shared" si="38"/>
        <v>0</v>
      </c>
      <c r="Z201" s="40">
        <f t="shared" si="39"/>
        <v>0</v>
      </c>
      <c r="AA201" s="40">
        <f t="shared" si="40"/>
        <v>0</v>
      </c>
      <c r="AB201" s="40">
        <f t="shared" si="42"/>
        <v>0</v>
      </c>
      <c r="AC201" s="41">
        <f t="shared" si="43"/>
        <v>0</v>
      </c>
      <c r="AD201" s="49" t="s">
        <v>5</v>
      </c>
      <c r="AE201" s="50" t="s">
        <v>89</v>
      </c>
      <c r="AF201" s="49" t="s">
        <v>5</v>
      </c>
      <c r="AG201" s="50" t="s">
        <v>73</v>
      </c>
      <c r="AH201" s="49"/>
      <c r="AI201" s="50"/>
      <c r="AJ201" s="49" t="s">
        <v>5</v>
      </c>
      <c r="AK201" s="50" t="s">
        <v>118</v>
      </c>
      <c r="AL201" s="49" t="s">
        <v>5</v>
      </c>
      <c r="AM201" s="50" t="s">
        <v>74</v>
      </c>
      <c r="AN201" s="49"/>
      <c r="AO201" s="50"/>
      <c r="AP201" s="49" t="s">
        <v>5</v>
      </c>
      <c r="AQ201" s="50" t="s">
        <v>144</v>
      </c>
      <c r="AR201" s="49" t="s">
        <v>5</v>
      </c>
      <c r="AS201" s="50" t="s">
        <v>132</v>
      </c>
      <c r="AT201" s="49" t="s">
        <v>5</v>
      </c>
      <c r="AU201" s="50" t="s">
        <v>105</v>
      </c>
      <c r="AV201" s="49" t="s">
        <v>1</v>
      </c>
      <c r="AW201" s="50" t="s">
        <v>112</v>
      </c>
      <c r="AX201" s="49" t="s">
        <v>5</v>
      </c>
      <c r="AY201" s="50" t="s">
        <v>80</v>
      </c>
      <c r="AZ201" s="49" t="s">
        <v>5</v>
      </c>
      <c r="BA201" s="50" t="s">
        <v>81</v>
      </c>
      <c r="BB201" s="49" t="s">
        <v>5</v>
      </c>
      <c r="BC201" s="50" t="s">
        <v>108</v>
      </c>
      <c r="BD201" s="49" t="s">
        <v>5</v>
      </c>
      <c r="BE201" s="50" t="s">
        <v>133</v>
      </c>
      <c r="BF201" s="49" t="s">
        <v>5</v>
      </c>
      <c r="BG201" s="50" t="s">
        <v>103</v>
      </c>
    </row>
    <row r="202" spans="1:105" s="44" customFormat="1" x14ac:dyDescent="0.25">
      <c r="A202" s="24">
        <v>160338</v>
      </c>
      <c r="B202" s="25" t="s">
        <v>364</v>
      </c>
      <c r="C202" s="26" t="s">
        <v>69</v>
      </c>
      <c r="D202" s="27" t="s">
        <v>12</v>
      </c>
      <c r="E202" s="28" t="s">
        <v>14</v>
      </c>
      <c r="F202" s="25" t="s">
        <v>71</v>
      </c>
      <c r="G202" s="28" t="s">
        <v>14</v>
      </c>
      <c r="H202" s="28" t="s">
        <v>14</v>
      </c>
      <c r="I202" s="29" t="s">
        <v>14</v>
      </c>
      <c r="J202" s="28" t="s">
        <v>14</v>
      </c>
      <c r="K202" s="30" t="s">
        <v>1850</v>
      </c>
      <c r="L202" s="31" t="s">
        <v>1842</v>
      </c>
      <c r="M202" s="45" t="str">
        <f>IFERROR(VLOOKUP(A202,Lookups!#REF!,3,FALSE),"")</f>
        <v/>
      </c>
      <c r="N202" s="46">
        <v>24</v>
      </c>
      <c r="O202" s="47">
        <v>1</v>
      </c>
      <c r="P202" s="48">
        <v>0</v>
      </c>
      <c r="Q202" s="36">
        <v>100</v>
      </c>
      <c r="R202" s="37">
        <v>0</v>
      </c>
      <c r="S202" s="38">
        <f t="shared" si="33"/>
        <v>2</v>
      </c>
      <c r="T202" s="39">
        <f t="shared" si="34"/>
        <v>11</v>
      </c>
      <c r="U202" s="40">
        <f t="shared" si="35"/>
        <v>0</v>
      </c>
      <c r="V202" s="40">
        <f t="shared" si="36"/>
        <v>0</v>
      </c>
      <c r="W202" s="40">
        <f t="shared" si="37"/>
        <v>0</v>
      </c>
      <c r="X202" s="40">
        <f t="shared" si="41"/>
        <v>0</v>
      </c>
      <c r="Y202" s="40">
        <f t="shared" si="38"/>
        <v>0</v>
      </c>
      <c r="Z202" s="40">
        <f t="shared" si="39"/>
        <v>0</v>
      </c>
      <c r="AA202" s="40">
        <f t="shared" si="40"/>
        <v>0</v>
      </c>
      <c r="AB202" s="40">
        <f t="shared" si="42"/>
        <v>0</v>
      </c>
      <c r="AC202" s="41">
        <f t="shared" si="43"/>
        <v>0</v>
      </c>
      <c r="AD202" s="49" t="s">
        <v>5</v>
      </c>
      <c r="AE202" s="50" t="s">
        <v>72</v>
      </c>
      <c r="AF202" s="49"/>
      <c r="AG202" s="50"/>
      <c r="AH202" s="49" t="s">
        <v>5</v>
      </c>
      <c r="AI202" s="50" t="s">
        <v>101</v>
      </c>
      <c r="AJ202" s="49" t="s">
        <v>5</v>
      </c>
      <c r="AK202" s="50" t="s">
        <v>74</v>
      </c>
      <c r="AL202" s="49" t="s">
        <v>5</v>
      </c>
      <c r="AM202" s="50" t="s">
        <v>75</v>
      </c>
      <c r="AN202" s="49"/>
      <c r="AO202" s="50"/>
      <c r="AP202" s="49" t="s">
        <v>5</v>
      </c>
      <c r="AQ202" s="50" t="s">
        <v>131</v>
      </c>
      <c r="AR202" s="49" t="s">
        <v>5</v>
      </c>
      <c r="AS202" s="50" t="s">
        <v>120</v>
      </c>
      <c r="AT202" s="49" t="s">
        <v>5</v>
      </c>
      <c r="AU202" s="50" t="s">
        <v>78</v>
      </c>
      <c r="AV202" s="49" t="s">
        <v>5</v>
      </c>
      <c r="AW202" s="50" t="s">
        <v>94</v>
      </c>
      <c r="AX202" s="49" t="s">
        <v>5</v>
      </c>
      <c r="AY202" s="50" t="s">
        <v>80</v>
      </c>
      <c r="AZ202" s="49" t="s">
        <v>1</v>
      </c>
      <c r="BA202" s="50" t="s">
        <v>96</v>
      </c>
      <c r="BB202" s="49" t="s">
        <v>5</v>
      </c>
      <c r="BC202" s="50" t="s">
        <v>82</v>
      </c>
      <c r="BD202" s="49" t="s">
        <v>1</v>
      </c>
      <c r="BE202" s="50" t="s">
        <v>83</v>
      </c>
      <c r="BF202" s="49" t="s">
        <v>5</v>
      </c>
      <c r="BG202" s="50" t="s">
        <v>84</v>
      </c>
    </row>
    <row r="203" spans="1:105" s="44" customFormat="1" x14ac:dyDescent="0.25">
      <c r="A203" s="24">
        <v>160339</v>
      </c>
      <c r="B203" s="25" t="s">
        <v>365</v>
      </c>
      <c r="C203" s="26" t="s">
        <v>162</v>
      </c>
      <c r="D203" s="27" t="s">
        <v>12</v>
      </c>
      <c r="E203" s="28" t="s">
        <v>14</v>
      </c>
      <c r="F203" s="25" t="s">
        <v>88</v>
      </c>
      <c r="G203" s="28" t="s">
        <v>87</v>
      </c>
      <c r="H203" s="28" t="s">
        <v>14</v>
      </c>
      <c r="I203" s="29" t="s">
        <v>14</v>
      </c>
      <c r="J203" s="28" t="s">
        <v>14</v>
      </c>
      <c r="K203" s="30" t="s">
        <v>1850</v>
      </c>
      <c r="L203" s="31" t="s">
        <v>1842</v>
      </c>
      <c r="M203" s="45" t="str">
        <f>IFERROR(VLOOKUP(A203,Lookups!#REF!,3,FALSE),"")</f>
        <v/>
      </c>
      <c r="N203" s="46">
        <v>26</v>
      </c>
      <c r="O203" s="47">
        <v>0</v>
      </c>
      <c r="P203" s="48">
        <v>0</v>
      </c>
      <c r="Q203" s="36">
        <v>95.83</v>
      </c>
      <c r="R203" s="37">
        <v>0</v>
      </c>
      <c r="S203" s="38">
        <f t="shared" si="33"/>
        <v>0</v>
      </c>
      <c r="T203" s="39">
        <f t="shared" si="34"/>
        <v>13</v>
      </c>
      <c r="U203" s="40">
        <f t="shared" si="35"/>
        <v>0</v>
      </c>
      <c r="V203" s="40">
        <f t="shared" si="36"/>
        <v>0</v>
      </c>
      <c r="W203" s="40">
        <f t="shared" si="37"/>
        <v>0</v>
      </c>
      <c r="X203" s="40">
        <f t="shared" si="41"/>
        <v>0</v>
      </c>
      <c r="Y203" s="40">
        <f t="shared" si="38"/>
        <v>0</v>
      </c>
      <c r="Z203" s="40">
        <f t="shared" si="39"/>
        <v>0</v>
      </c>
      <c r="AA203" s="40">
        <f t="shared" si="40"/>
        <v>0</v>
      </c>
      <c r="AB203" s="40">
        <f t="shared" si="42"/>
        <v>0</v>
      </c>
      <c r="AC203" s="41">
        <f t="shared" si="43"/>
        <v>0</v>
      </c>
      <c r="AD203" s="49" t="s">
        <v>5</v>
      </c>
      <c r="AE203" s="50" t="s">
        <v>72</v>
      </c>
      <c r="AF203" s="49" t="s">
        <v>5</v>
      </c>
      <c r="AG203" s="50" t="s">
        <v>73</v>
      </c>
      <c r="AH203" s="49"/>
      <c r="AI203" s="50"/>
      <c r="AJ203" s="49" t="s">
        <v>5</v>
      </c>
      <c r="AK203" s="50" t="s">
        <v>127</v>
      </c>
      <c r="AL203" s="49" t="s">
        <v>5</v>
      </c>
      <c r="AM203" s="50" t="s">
        <v>72</v>
      </c>
      <c r="AN203" s="49" t="s">
        <v>5</v>
      </c>
      <c r="AO203" s="50" t="s">
        <v>143</v>
      </c>
      <c r="AP203" s="49" t="s">
        <v>5</v>
      </c>
      <c r="AQ203" s="50" t="s">
        <v>131</v>
      </c>
      <c r="AR203" s="49" t="s">
        <v>5</v>
      </c>
      <c r="AS203" s="50" t="s">
        <v>104</v>
      </c>
      <c r="AT203" s="49" t="s">
        <v>5</v>
      </c>
      <c r="AU203" s="50" t="s">
        <v>163</v>
      </c>
      <c r="AV203" s="49" t="s">
        <v>5</v>
      </c>
      <c r="AW203" s="50" t="s">
        <v>94</v>
      </c>
      <c r="AX203" s="49" t="s">
        <v>5</v>
      </c>
      <c r="AY203" s="50" t="s">
        <v>95</v>
      </c>
      <c r="AZ203" s="49" t="s">
        <v>5</v>
      </c>
      <c r="BA203" s="50" t="s">
        <v>107</v>
      </c>
      <c r="BB203" s="49" t="s">
        <v>5</v>
      </c>
      <c r="BC203" s="50" t="s">
        <v>97</v>
      </c>
      <c r="BD203" s="49" t="s">
        <v>5</v>
      </c>
      <c r="BE203" s="50" t="s">
        <v>164</v>
      </c>
      <c r="BF203" s="49"/>
      <c r="BG203" s="50"/>
    </row>
    <row r="204" spans="1:105" s="44" customFormat="1" x14ac:dyDescent="0.25">
      <c r="A204" s="24">
        <v>160340</v>
      </c>
      <c r="B204" s="25" t="s">
        <v>366</v>
      </c>
      <c r="C204" s="26" t="s">
        <v>100</v>
      </c>
      <c r="D204" s="27" t="s">
        <v>70</v>
      </c>
      <c r="E204" s="28" t="s">
        <v>87</v>
      </c>
      <c r="F204" s="25" t="s">
        <v>218</v>
      </c>
      <c r="G204" s="28" t="s">
        <v>14</v>
      </c>
      <c r="H204" s="28" t="s">
        <v>87</v>
      </c>
      <c r="I204" s="29" t="s">
        <v>14</v>
      </c>
      <c r="J204" s="28" t="s">
        <v>14</v>
      </c>
      <c r="K204" s="30" t="s">
        <v>1850</v>
      </c>
      <c r="L204" s="31" t="s">
        <v>1842</v>
      </c>
      <c r="M204" s="45" t="str">
        <f>IFERROR(VLOOKUP(A204,Lookups!#REF!,3,FALSE),"")</f>
        <v/>
      </c>
      <c r="N204" s="46">
        <v>19</v>
      </c>
      <c r="O204" s="47">
        <v>0</v>
      </c>
      <c r="P204" s="48">
        <v>0</v>
      </c>
      <c r="Q204" s="36">
        <v>100</v>
      </c>
      <c r="R204" s="37">
        <v>0</v>
      </c>
      <c r="S204" s="38">
        <f t="shared" si="33"/>
        <v>2</v>
      </c>
      <c r="T204" s="39">
        <f t="shared" si="34"/>
        <v>11</v>
      </c>
      <c r="U204" s="40">
        <f t="shared" si="35"/>
        <v>0</v>
      </c>
      <c r="V204" s="40">
        <f t="shared" si="36"/>
        <v>0</v>
      </c>
      <c r="W204" s="40">
        <f t="shared" si="37"/>
        <v>0</v>
      </c>
      <c r="X204" s="40">
        <f t="shared" si="41"/>
        <v>0</v>
      </c>
      <c r="Y204" s="40">
        <f t="shared" si="38"/>
        <v>0</v>
      </c>
      <c r="Z204" s="40">
        <f t="shared" si="39"/>
        <v>0</v>
      </c>
      <c r="AA204" s="40">
        <f t="shared" si="40"/>
        <v>0</v>
      </c>
      <c r="AB204" s="40">
        <f t="shared" si="42"/>
        <v>0</v>
      </c>
      <c r="AC204" s="41">
        <f t="shared" si="43"/>
        <v>0</v>
      </c>
      <c r="AD204" s="49" t="s">
        <v>5</v>
      </c>
      <c r="AE204" s="50" t="s">
        <v>72</v>
      </c>
      <c r="AF204" s="49"/>
      <c r="AG204" s="50"/>
      <c r="AH204" s="49" t="s">
        <v>5</v>
      </c>
      <c r="AI204" s="50" t="s">
        <v>101</v>
      </c>
      <c r="AJ204" s="49" t="s">
        <v>5</v>
      </c>
      <c r="AK204" s="50" t="s">
        <v>102</v>
      </c>
      <c r="AL204" s="49" t="s">
        <v>5</v>
      </c>
      <c r="AM204" s="50" t="s">
        <v>76</v>
      </c>
      <c r="AN204" s="49" t="s">
        <v>5</v>
      </c>
      <c r="AO204" s="50" t="s">
        <v>103</v>
      </c>
      <c r="AP204" s="49" t="s">
        <v>1</v>
      </c>
      <c r="AQ204" s="50" t="s">
        <v>92</v>
      </c>
      <c r="AR204" s="49" t="s">
        <v>5</v>
      </c>
      <c r="AS204" s="50" t="s">
        <v>120</v>
      </c>
      <c r="AT204" s="49" t="s">
        <v>5</v>
      </c>
      <c r="AU204" s="50" t="s">
        <v>105</v>
      </c>
      <c r="AV204" s="49" t="s">
        <v>1</v>
      </c>
      <c r="AW204" s="50" t="s">
        <v>136</v>
      </c>
      <c r="AX204" s="49" t="s">
        <v>5</v>
      </c>
      <c r="AY204" s="50" t="s">
        <v>80</v>
      </c>
      <c r="AZ204" s="49" t="s">
        <v>5</v>
      </c>
      <c r="BA204" s="50" t="s">
        <v>121</v>
      </c>
      <c r="BB204" s="49" t="s">
        <v>5</v>
      </c>
      <c r="BC204" s="50" t="s">
        <v>108</v>
      </c>
      <c r="BD204" s="49" t="s">
        <v>5</v>
      </c>
      <c r="BE204" s="50" t="s">
        <v>206</v>
      </c>
      <c r="BF204" s="49"/>
      <c r="BG204" s="50"/>
    </row>
    <row r="205" spans="1:105" s="51" customFormat="1" x14ac:dyDescent="0.25">
      <c r="A205" s="24">
        <v>160341</v>
      </c>
      <c r="B205" s="25" t="s">
        <v>367</v>
      </c>
      <c r="C205" s="26" t="s">
        <v>149</v>
      </c>
      <c r="D205" s="27" t="s">
        <v>70</v>
      </c>
      <c r="E205" s="28" t="s">
        <v>14</v>
      </c>
      <c r="F205" s="25" t="s">
        <v>368</v>
      </c>
      <c r="G205" s="28" t="s">
        <v>14</v>
      </c>
      <c r="H205" s="28" t="s">
        <v>14</v>
      </c>
      <c r="I205" s="29" t="s">
        <v>14</v>
      </c>
      <c r="J205" s="28" t="s">
        <v>14</v>
      </c>
      <c r="K205" s="30" t="s">
        <v>1850</v>
      </c>
      <c r="L205" s="31" t="s">
        <v>1848</v>
      </c>
      <c r="M205" s="45" t="str">
        <f>IFERROR(VLOOKUP(A205,Lookups!#REF!,3,FALSE),"")</f>
        <v/>
      </c>
      <c r="N205" s="46">
        <v>15</v>
      </c>
      <c r="O205" s="47">
        <v>0</v>
      </c>
      <c r="P205" s="48">
        <v>0</v>
      </c>
      <c r="Q205" s="36">
        <v>100</v>
      </c>
      <c r="R205" s="37">
        <v>1</v>
      </c>
      <c r="S205" s="38">
        <f t="shared" si="33"/>
        <v>1</v>
      </c>
      <c r="T205" s="39">
        <f t="shared" si="34"/>
        <v>12</v>
      </c>
      <c r="U205" s="40">
        <f t="shared" si="35"/>
        <v>0</v>
      </c>
      <c r="V205" s="40">
        <f t="shared" si="36"/>
        <v>0</v>
      </c>
      <c r="W205" s="40">
        <f t="shared" si="37"/>
        <v>0</v>
      </c>
      <c r="X205" s="40">
        <f t="shared" si="41"/>
        <v>0</v>
      </c>
      <c r="Y205" s="40">
        <f t="shared" si="38"/>
        <v>0</v>
      </c>
      <c r="Z205" s="40">
        <f t="shared" si="39"/>
        <v>0</v>
      </c>
      <c r="AA205" s="40">
        <f t="shared" si="40"/>
        <v>0</v>
      </c>
      <c r="AB205" s="40">
        <f t="shared" si="42"/>
        <v>0</v>
      </c>
      <c r="AC205" s="41">
        <f t="shared" si="43"/>
        <v>0</v>
      </c>
      <c r="AD205" s="49" t="s">
        <v>5</v>
      </c>
      <c r="AE205" s="50" t="s">
        <v>116</v>
      </c>
      <c r="AF205" s="49" t="s">
        <v>5</v>
      </c>
      <c r="AG205" s="50" t="s">
        <v>73</v>
      </c>
      <c r="AH205" s="49"/>
      <c r="AI205" s="50"/>
      <c r="AJ205" s="49" t="s">
        <v>5</v>
      </c>
      <c r="AK205" s="50" t="s">
        <v>151</v>
      </c>
      <c r="AL205" s="49" t="s">
        <v>5</v>
      </c>
      <c r="AM205" s="50" t="s">
        <v>78</v>
      </c>
      <c r="AN205" s="49"/>
      <c r="AO205" s="50"/>
      <c r="AP205" s="49" t="s">
        <v>5</v>
      </c>
      <c r="AQ205" s="50" t="s">
        <v>131</v>
      </c>
      <c r="AR205" s="49" t="s">
        <v>5</v>
      </c>
      <c r="AS205" s="50" t="s">
        <v>104</v>
      </c>
      <c r="AT205" s="49" t="s">
        <v>5</v>
      </c>
      <c r="AU205" s="50" t="s">
        <v>105</v>
      </c>
      <c r="AV205" s="49" t="s">
        <v>1</v>
      </c>
      <c r="AW205" s="50" t="s">
        <v>112</v>
      </c>
      <c r="AX205" s="49" t="s">
        <v>5</v>
      </c>
      <c r="AY205" s="50" t="s">
        <v>80</v>
      </c>
      <c r="AZ205" s="49" t="s">
        <v>5</v>
      </c>
      <c r="BA205" s="50" t="s">
        <v>152</v>
      </c>
      <c r="BB205" s="49" t="s">
        <v>5</v>
      </c>
      <c r="BC205" s="50" t="s">
        <v>153</v>
      </c>
      <c r="BD205" s="49" t="s">
        <v>5</v>
      </c>
      <c r="BE205" s="50" t="s">
        <v>154</v>
      </c>
      <c r="BF205" s="49" t="s">
        <v>5</v>
      </c>
      <c r="BG205" s="50" t="s">
        <v>103</v>
      </c>
      <c r="BH205" s="44"/>
      <c r="BI205" s="44"/>
      <c r="BJ205" s="44"/>
      <c r="BK205" s="44"/>
      <c r="BL205" s="44"/>
      <c r="BM205" s="44"/>
      <c r="BN205" s="44"/>
      <c r="BO205" s="44"/>
      <c r="BP205" s="44"/>
      <c r="BQ205" s="44"/>
      <c r="BR205" s="44"/>
      <c r="BS205" s="44"/>
      <c r="BT205" s="44"/>
      <c r="BU205" s="44"/>
      <c r="BV205" s="44"/>
      <c r="BW205" s="44"/>
      <c r="BX205" s="44"/>
      <c r="BY205" s="44"/>
      <c r="BZ205" s="44"/>
      <c r="CA205" s="44"/>
      <c r="CB205" s="44"/>
      <c r="CC205" s="44"/>
      <c r="CD205" s="44"/>
      <c r="CE205" s="44"/>
      <c r="CF205" s="44"/>
      <c r="CG205" s="44"/>
      <c r="CH205" s="44"/>
      <c r="CI205" s="44"/>
      <c r="CJ205" s="44"/>
      <c r="CK205" s="44"/>
      <c r="CL205" s="44"/>
      <c r="CM205" s="44"/>
      <c r="CN205" s="44"/>
      <c r="CO205" s="44"/>
      <c r="CP205" s="44"/>
      <c r="CQ205" s="44"/>
      <c r="CR205" s="44"/>
      <c r="CS205" s="44"/>
      <c r="CT205" s="44"/>
      <c r="CU205" s="44"/>
      <c r="CV205" s="44"/>
      <c r="CW205" s="44"/>
      <c r="CX205" s="44"/>
      <c r="CY205" s="44"/>
      <c r="CZ205" s="44"/>
      <c r="DA205" s="44"/>
    </row>
    <row r="206" spans="1:105" s="52" customFormat="1" x14ac:dyDescent="0.25">
      <c r="A206" s="24">
        <v>160342</v>
      </c>
      <c r="B206" s="25" t="s">
        <v>369</v>
      </c>
      <c r="C206" s="26" t="s">
        <v>69</v>
      </c>
      <c r="D206" s="27" t="s">
        <v>12</v>
      </c>
      <c r="E206" s="28" t="s">
        <v>14</v>
      </c>
      <c r="F206" s="25" t="s">
        <v>71</v>
      </c>
      <c r="G206" s="28" t="s">
        <v>14</v>
      </c>
      <c r="H206" s="28" t="s">
        <v>14</v>
      </c>
      <c r="I206" s="29" t="s">
        <v>14</v>
      </c>
      <c r="J206" s="28" t="s">
        <v>14</v>
      </c>
      <c r="K206" s="30" t="s">
        <v>1850</v>
      </c>
      <c r="L206" s="31" t="s">
        <v>1844</v>
      </c>
      <c r="M206" s="45" t="str">
        <f>IFERROR(VLOOKUP(A206,Lookups!#REF!,3,FALSE),"")</f>
        <v/>
      </c>
      <c r="N206" s="46">
        <v>25</v>
      </c>
      <c r="O206" s="47">
        <v>3</v>
      </c>
      <c r="P206" s="48">
        <v>0</v>
      </c>
      <c r="Q206" s="36">
        <v>100</v>
      </c>
      <c r="R206" s="37">
        <v>0</v>
      </c>
      <c r="S206" s="38">
        <f t="shared" si="33"/>
        <v>2</v>
      </c>
      <c r="T206" s="39">
        <f t="shared" si="34"/>
        <v>11</v>
      </c>
      <c r="U206" s="40">
        <f t="shared" si="35"/>
        <v>0</v>
      </c>
      <c r="V206" s="40">
        <f t="shared" si="36"/>
        <v>0</v>
      </c>
      <c r="W206" s="40">
        <f t="shared" si="37"/>
        <v>0</v>
      </c>
      <c r="X206" s="40">
        <f t="shared" si="41"/>
        <v>0</v>
      </c>
      <c r="Y206" s="40">
        <f t="shared" si="38"/>
        <v>0</v>
      </c>
      <c r="Z206" s="40">
        <f t="shared" si="39"/>
        <v>0</v>
      </c>
      <c r="AA206" s="40">
        <f t="shared" si="40"/>
        <v>0</v>
      </c>
      <c r="AB206" s="40">
        <f t="shared" si="42"/>
        <v>0</v>
      </c>
      <c r="AC206" s="41">
        <f t="shared" si="43"/>
        <v>0</v>
      </c>
      <c r="AD206" s="49" t="s">
        <v>5</v>
      </c>
      <c r="AE206" s="50" t="s">
        <v>116</v>
      </c>
      <c r="AF206" s="49" t="s">
        <v>5</v>
      </c>
      <c r="AG206" s="50" t="s">
        <v>117</v>
      </c>
      <c r="AH206" s="49"/>
      <c r="AI206" s="50"/>
      <c r="AJ206" s="49" t="s">
        <v>5</v>
      </c>
      <c r="AK206" s="50" t="s">
        <v>127</v>
      </c>
      <c r="AL206" s="49" t="s">
        <v>5</v>
      </c>
      <c r="AM206" s="50" t="s">
        <v>75</v>
      </c>
      <c r="AN206" s="49"/>
      <c r="AO206" s="50"/>
      <c r="AP206" s="49" t="s">
        <v>5</v>
      </c>
      <c r="AQ206" s="50" t="s">
        <v>131</v>
      </c>
      <c r="AR206" s="49" t="s">
        <v>5</v>
      </c>
      <c r="AS206" s="50" t="s">
        <v>120</v>
      </c>
      <c r="AT206" s="49" t="s">
        <v>5</v>
      </c>
      <c r="AU206" s="50" t="s">
        <v>78</v>
      </c>
      <c r="AV206" s="49" t="s">
        <v>1</v>
      </c>
      <c r="AW206" s="50" t="s">
        <v>112</v>
      </c>
      <c r="AX206" s="49" t="s">
        <v>5</v>
      </c>
      <c r="AY206" s="50" t="s">
        <v>80</v>
      </c>
      <c r="AZ206" s="49" t="s">
        <v>1</v>
      </c>
      <c r="BA206" s="50" t="s">
        <v>96</v>
      </c>
      <c r="BB206" s="49" t="s">
        <v>5</v>
      </c>
      <c r="BC206" s="50" t="s">
        <v>82</v>
      </c>
      <c r="BD206" s="49" t="s">
        <v>5</v>
      </c>
      <c r="BE206" s="50" t="s">
        <v>83</v>
      </c>
      <c r="BF206" s="49" t="s">
        <v>5</v>
      </c>
      <c r="BG206" s="50" t="s">
        <v>84</v>
      </c>
      <c r="BH206" s="44"/>
      <c r="BI206" s="44"/>
      <c r="BJ206" s="44"/>
      <c r="BK206" s="44"/>
      <c r="BL206" s="44"/>
      <c r="BM206" s="44"/>
      <c r="BN206" s="44"/>
      <c r="BO206" s="44"/>
      <c r="BP206" s="44"/>
      <c r="BQ206" s="44"/>
      <c r="BR206" s="44"/>
      <c r="BS206" s="44"/>
      <c r="BT206" s="44"/>
      <c r="BU206" s="44"/>
      <c r="BV206" s="44"/>
      <c r="BW206" s="44"/>
      <c r="BX206" s="44"/>
      <c r="BY206" s="44"/>
      <c r="BZ206" s="44"/>
      <c r="CA206" s="44"/>
      <c r="CB206" s="44"/>
      <c r="CC206" s="44"/>
      <c r="CD206" s="44"/>
      <c r="CE206" s="44"/>
      <c r="CF206" s="44"/>
      <c r="CG206" s="44"/>
      <c r="CH206" s="44"/>
      <c r="CI206" s="44"/>
      <c r="CJ206" s="44"/>
      <c r="CK206" s="44"/>
      <c r="CL206" s="44"/>
      <c r="CM206" s="44"/>
      <c r="CN206" s="44"/>
      <c r="CO206" s="44"/>
      <c r="CP206" s="44"/>
      <c r="CQ206" s="44"/>
      <c r="CR206" s="44"/>
      <c r="CS206" s="44"/>
      <c r="CT206" s="44"/>
      <c r="CU206" s="44"/>
      <c r="CV206" s="44"/>
      <c r="CW206" s="44"/>
      <c r="CX206" s="44"/>
      <c r="CY206" s="44"/>
      <c r="CZ206" s="44"/>
      <c r="DA206" s="44"/>
    </row>
    <row r="207" spans="1:105" s="52" customFormat="1" x14ac:dyDescent="0.25">
      <c r="A207" s="24">
        <v>160343</v>
      </c>
      <c r="B207" s="25" t="s">
        <v>370</v>
      </c>
      <c r="C207" s="26" t="s">
        <v>100</v>
      </c>
      <c r="D207" s="27" t="s">
        <v>70</v>
      </c>
      <c r="E207" s="28" t="s">
        <v>14</v>
      </c>
      <c r="F207" s="25" t="s">
        <v>71</v>
      </c>
      <c r="G207" s="28" t="s">
        <v>14</v>
      </c>
      <c r="H207" s="28" t="s">
        <v>14</v>
      </c>
      <c r="I207" s="29" t="s">
        <v>14</v>
      </c>
      <c r="J207" s="28" t="s">
        <v>14</v>
      </c>
      <c r="K207" s="30" t="s">
        <v>1850</v>
      </c>
      <c r="L207" s="31" t="s">
        <v>1845</v>
      </c>
      <c r="M207" s="45" t="str">
        <f>IFERROR(VLOOKUP(A207,Lookups!#REF!,3,FALSE),"")</f>
        <v/>
      </c>
      <c r="N207" s="46">
        <v>18</v>
      </c>
      <c r="O207" s="47">
        <v>0</v>
      </c>
      <c r="P207" s="48">
        <v>0</v>
      </c>
      <c r="Q207" s="36">
        <v>100</v>
      </c>
      <c r="R207" s="37">
        <v>0</v>
      </c>
      <c r="S207" s="38">
        <f t="shared" si="33"/>
        <v>0</v>
      </c>
      <c r="T207" s="39">
        <f t="shared" si="34"/>
        <v>13</v>
      </c>
      <c r="U207" s="40">
        <f t="shared" si="35"/>
        <v>0</v>
      </c>
      <c r="V207" s="40">
        <f t="shared" si="36"/>
        <v>0</v>
      </c>
      <c r="W207" s="40">
        <f t="shared" si="37"/>
        <v>0</v>
      </c>
      <c r="X207" s="40">
        <f t="shared" si="41"/>
        <v>0</v>
      </c>
      <c r="Y207" s="40">
        <f t="shared" si="38"/>
        <v>0</v>
      </c>
      <c r="Z207" s="40">
        <f t="shared" si="39"/>
        <v>0</v>
      </c>
      <c r="AA207" s="40">
        <f t="shared" si="40"/>
        <v>0</v>
      </c>
      <c r="AB207" s="40">
        <f t="shared" si="42"/>
        <v>0</v>
      </c>
      <c r="AC207" s="41">
        <f t="shared" si="43"/>
        <v>0</v>
      </c>
      <c r="AD207" s="49" t="s">
        <v>5</v>
      </c>
      <c r="AE207" s="50" t="s">
        <v>72</v>
      </c>
      <c r="AF207" s="49" t="s">
        <v>5</v>
      </c>
      <c r="AG207" s="50" t="s">
        <v>117</v>
      </c>
      <c r="AH207" s="49"/>
      <c r="AI207" s="50"/>
      <c r="AJ207" s="49" t="s">
        <v>5</v>
      </c>
      <c r="AK207" s="50" t="s">
        <v>102</v>
      </c>
      <c r="AL207" s="49" t="s">
        <v>5</v>
      </c>
      <c r="AM207" s="50" t="s">
        <v>76</v>
      </c>
      <c r="AN207" s="49" t="s">
        <v>5</v>
      </c>
      <c r="AO207" s="50" t="s">
        <v>103</v>
      </c>
      <c r="AP207" s="49" t="s">
        <v>5</v>
      </c>
      <c r="AQ207" s="50" t="s">
        <v>92</v>
      </c>
      <c r="AR207" s="49" t="s">
        <v>5</v>
      </c>
      <c r="AS207" s="50" t="s">
        <v>104</v>
      </c>
      <c r="AT207" s="49" t="s">
        <v>5</v>
      </c>
      <c r="AU207" s="50" t="s">
        <v>105</v>
      </c>
      <c r="AV207" s="49" t="s">
        <v>5</v>
      </c>
      <c r="AW207" s="50" t="s">
        <v>112</v>
      </c>
      <c r="AX207" s="49" t="s">
        <v>5</v>
      </c>
      <c r="AY207" s="50" t="s">
        <v>80</v>
      </c>
      <c r="AZ207" s="49" t="s">
        <v>5</v>
      </c>
      <c r="BA207" s="50" t="s">
        <v>121</v>
      </c>
      <c r="BB207" s="49" t="s">
        <v>5</v>
      </c>
      <c r="BC207" s="50" t="s">
        <v>108</v>
      </c>
      <c r="BD207" s="49" t="s">
        <v>5</v>
      </c>
      <c r="BE207" s="50" t="s">
        <v>206</v>
      </c>
      <c r="BF207" s="49"/>
      <c r="BG207" s="50"/>
      <c r="BH207" s="44"/>
      <c r="BI207" s="44"/>
      <c r="BJ207" s="44"/>
      <c r="BK207" s="44"/>
      <c r="BL207" s="44"/>
      <c r="BM207" s="44"/>
      <c r="BN207" s="44"/>
      <c r="BO207" s="44"/>
      <c r="BP207" s="44"/>
      <c r="BQ207" s="44"/>
      <c r="BR207" s="44"/>
      <c r="BS207" s="44"/>
      <c r="BT207" s="44"/>
      <c r="BU207" s="44"/>
      <c r="BV207" s="44"/>
      <c r="BW207" s="44"/>
      <c r="BX207" s="44"/>
      <c r="BY207" s="44"/>
      <c r="BZ207" s="44"/>
      <c r="CA207" s="44"/>
      <c r="CB207" s="44"/>
      <c r="CC207" s="44"/>
      <c r="CD207" s="44"/>
      <c r="CE207" s="44"/>
      <c r="CF207" s="44"/>
      <c r="CG207" s="44"/>
      <c r="CH207" s="44"/>
      <c r="CI207" s="44"/>
      <c r="CJ207" s="44"/>
      <c r="CK207" s="44"/>
      <c r="CL207" s="44"/>
      <c r="CM207" s="44"/>
      <c r="CN207" s="44"/>
      <c r="CO207" s="44"/>
      <c r="CP207" s="44"/>
      <c r="CQ207" s="44"/>
      <c r="CR207" s="44"/>
      <c r="CS207" s="44"/>
      <c r="CT207" s="44"/>
      <c r="CU207" s="44"/>
      <c r="CV207" s="44"/>
      <c r="CW207" s="44"/>
      <c r="CX207" s="44"/>
      <c r="CY207" s="44"/>
      <c r="CZ207" s="44"/>
      <c r="DA207" s="44"/>
    </row>
    <row r="208" spans="1:105" s="52" customFormat="1" x14ac:dyDescent="0.25">
      <c r="A208" s="24">
        <v>160344</v>
      </c>
      <c r="B208" s="25" t="s">
        <v>371</v>
      </c>
      <c r="C208" s="26" t="s">
        <v>129</v>
      </c>
      <c r="D208" s="27" t="s">
        <v>70</v>
      </c>
      <c r="E208" s="28" t="s">
        <v>14</v>
      </c>
      <c r="F208" s="25"/>
      <c r="G208" s="28" t="s">
        <v>14</v>
      </c>
      <c r="H208" s="28" t="s">
        <v>14</v>
      </c>
      <c r="I208" s="29" t="s">
        <v>14</v>
      </c>
      <c r="J208" s="28" t="s">
        <v>14</v>
      </c>
      <c r="K208" s="30" t="s">
        <v>1850</v>
      </c>
      <c r="L208" s="31" t="s">
        <v>1847</v>
      </c>
      <c r="M208" s="45" t="str">
        <f>IFERROR(VLOOKUP(A208,Lookups!#REF!,3,FALSE),"")</f>
        <v/>
      </c>
      <c r="N208" s="46">
        <v>7</v>
      </c>
      <c r="O208" s="47">
        <v>0</v>
      </c>
      <c r="P208" s="48">
        <v>0</v>
      </c>
      <c r="Q208" s="36">
        <v>8.51</v>
      </c>
      <c r="R208" s="37">
        <v>0</v>
      </c>
      <c r="S208" s="38">
        <f t="shared" si="33"/>
        <v>0</v>
      </c>
      <c r="T208" s="39">
        <f t="shared" si="34"/>
        <v>7</v>
      </c>
      <c r="U208" s="40">
        <f t="shared" si="35"/>
        <v>0</v>
      </c>
      <c r="V208" s="40">
        <f t="shared" si="36"/>
        <v>0</v>
      </c>
      <c r="W208" s="40">
        <f t="shared" si="37"/>
        <v>0</v>
      </c>
      <c r="X208" s="40">
        <f t="shared" si="41"/>
        <v>0</v>
      </c>
      <c r="Y208" s="40">
        <f t="shared" si="38"/>
        <v>0</v>
      </c>
      <c r="Z208" s="40">
        <f t="shared" si="39"/>
        <v>0</v>
      </c>
      <c r="AA208" s="40">
        <f t="shared" si="40"/>
        <v>0</v>
      </c>
      <c r="AB208" s="40">
        <f t="shared" si="42"/>
        <v>0</v>
      </c>
      <c r="AC208" s="41">
        <f t="shared" si="43"/>
        <v>0</v>
      </c>
      <c r="AD208" s="49" t="s">
        <v>5</v>
      </c>
      <c r="AE208" s="50" t="s">
        <v>89</v>
      </c>
      <c r="AF208" s="49"/>
      <c r="AG208" s="50"/>
      <c r="AH208" s="49" t="s">
        <v>189</v>
      </c>
      <c r="AI208" s="50" t="s">
        <v>101</v>
      </c>
      <c r="AJ208" s="49"/>
      <c r="AK208" s="50" t="s">
        <v>142</v>
      </c>
      <c r="AL208" s="49" t="s">
        <v>5</v>
      </c>
      <c r="AM208" s="50" t="s">
        <v>74</v>
      </c>
      <c r="AN208" s="49" t="s">
        <v>189</v>
      </c>
      <c r="AO208" s="50" t="s">
        <v>130</v>
      </c>
      <c r="AP208" s="49" t="s">
        <v>5</v>
      </c>
      <c r="AQ208" s="50" t="s">
        <v>144</v>
      </c>
      <c r="AR208" s="49" t="s">
        <v>189</v>
      </c>
      <c r="AS208" s="50" t="s">
        <v>132</v>
      </c>
      <c r="AT208" s="49" t="s">
        <v>5</v>
      </c>
      <c r="AU208" s="50" t="s">
        <v>105</v>
      </c>
      <c r="AV208" s="49" t="s">
        <v>189</v>
      </c>
      <c r="AW208" s="50" t="s">
        <v>139</v>
      </c>
      <c r="AX208" s="49" t="s">
        <v>5</v>
      </c>
      <c r="AY208" s="50" t="s">
        <v>80</v>
      </c>
      <c r="AZ208" s="49" t="s">
        <v>189</v>
      </c>
      <c r="BA208" s="50" t="s">
        <v>81</v>
      </c>
      <c r="BB208" s="49" t="s">
        <v>5</v>
      </c>
      <c r="BC208" s="50" t="s">
        <v>108</v>
      </c>
      <c r="BD208" s="49" t="s">
        <v>5</v>
      </c>
      <c r="BE208" s="50" t="s">
        <v>140</v>
      </c>
      <c r="BF208" s="49"/>
      <c r="BG208" s="50"/>
      <c r="BH208" s="44"/>
      <c r="BI208" s="44"/>
      <c r="BJ208" s="44"/>
      <c r="BK208" s="44"/>
      <c r="BL208" s="44"/>
      <c r="BM208" s="44"/>
      <c r="BN208" s="44"/>
      <c r="BO208" s="44"/>
      <c r="BP208" s="44"/>
      <c r="BQ208" s="44"/>
      <c r="BR208" s="44"/>
      <c r="BS208" s="44"/>
      <c r="BT208" s="44"/>
      <c r="BU208" s="44"/>
      <c r="BV208" s="44"/>
      <c r="BW208" s="44"/>
      <c r="BX208" s="44"/>
      <c r="BY208" s="44"/>
      <c r="BZ208" s="44"/>
      <c r="CA208" s="44"/>
      <c r="CB208" s="44"/>
      <c r="CC208" s="44"/>
      <c r="CD208" s="44"/>
      <c r="CE208" s="44"/>
      <c r="CF208" s="44"/>
      <c r="CG208" s="44"/>
      <c r="CH208" s="44"/>
      <c r="CI208" s="44"/>
      <c r="CJ208" s="44"/>
      <c r="CK208" s="44"/>
      <c r="CL208" s="44"/>
      <c r="CM208" s="44"/>
      <c r="CN208" s="44"/>
      <c r="CO208" s="44"/>
      <c r="CP208" s="44"/>
      <c r="CQ208" s="44"/>
      <c r="CR208" s="44"/>
      <c r="CS208" s="44"/>
      <c r="CT208" s="44"/>
      <c r="CU208" s="44"/>
      <c r="CV208" s="44"/>
      <c r="CW208" s="44"/>
      <c r="CX208" s="44"/>
      <c r="CY208" s="44"/>
      <c r="CZ208" s="44"/>
      <c r="DA208" s="44"/>
    </row>
    <row r="209" spans="1:105" s="53" customFormat="1" x14ac:dyDescent="0.25">
      <c r="A209" s="24">
        <v>160345</v>
      </c>
      <c r="B209" s="25" t="s">
        <v>372</v>
      </c>
      <c r="C209" s="26" t="s">
        <v>168</v>
      </c>
      <c r="D209" s="27" t="s">
        <v>12</v>
      </c>
      <c r="E209" s="28" t="s">
        <v>14</v>
      </c>
      <c r="F209" s="25" t="s">
        <v>115</v>
      </c>
      <c r="G209" s="28" t="s">
        <v>87</v>
      </c>
      <c r="H209" s="28" t="s">
        <v>14</v>
      </c>
      <c r="I209" s="29" t="s">
        <v>14</v>
      </c>
      <c r="J209" s="28" t="s">
        <v>14</v>
      </c>
      <c r="K209" s="30" t="s">
        <v>1850</v>
      </c>
      <c r="L209" s="31" t="s">
        <v>1842</v>
      </c>
      <c r="M209" s="45" t="str">
        <f>IFERROR(VLOOKUP(A209,Lookups!#REF!,3,FALSE),"")</f>
        <v/>
      </c>
      <c r="N209" s="46">
        <v>21</v>
      </c>
      <c r="O209" s="47">
        <v>0</v>
      </c>
      <c r="P209" s="48">
        <v>0</v>
      </c>
      <c r="Q209" s="36">
        <v>100</v>
      </c>
      <c r="R209" s="37">
        <v>0</v>
      </c>
      <c r="S209" s="38">
        <f t="shared" si="33"/>
        <v>3</v>
      </c>
      <c r="T209" s="39">
        <f t="shared" si="34"/>
        <v>10</v>
      </c>
      <c r="U209" s="40">
        <f t="shared" si="35"/>
        <v>0</v>
      </c>
      <c r="V209" s="40">
        <f t="shared" si="36"/>
        <v>0</v>
      </c>
      <c r="W209" s="40">
        <f t="shared" si="37"/>
        <v>0</v>
      </c>
      <c r="X209" s="40">
        <f t="shared" si="41"/>
        <v>0</v>
      </c>
      <c r="Y209" s="40">
        <f t="shared" si="38"/>
        <v>0</v>
      </c>
      <c r="Z209" s="40">
        <f t="shared" si="39"/>
        <v>0</v>
      </c>
      <c r="AA209" s="40">
        <f t="shared" si="40"/>
        <v>0</v>
      </c>
      <c r="AB209" s="40">
        <f t="shared" si="42"/>
        <v>0</v>
      </c>
      <c r="AC209" s="41">
        <f t="shared" si="43"/>
        <v>0</v>
      </c>
      <c r="AD209" s="49" t="s">
        <v>5</v>
      </c>
      <c r="AE209" s="50" t="s">
        <v>116</v>
      </c>
      <c r="AF209" s="49" t="s">
        <v>5</v>
      </c>
      <c r="AG209" s="50" t="s">
        <v>90</v>
      </c>
      <c r="AH209" s="49"/>
      <c r="AI209" s="50"/>
      <c r="AJ209" s="49" t="s">
        <v>5</v>
      </c>
      <c r="AK209" s="50" t="s">
        <v>169</v>
      </c>
      <c r="AL209" s="49" t="s">
        <v>5</v>
      </c>
      <c r="AM209" s="50" t="s">
        <v>170</v>
      </c>
      <c r="AN209" s="49" t="s">
        <v>5</v>
      </c>
      <c r="AO209" s="50" t="s">
        <v>75</v>
      </c>
      <c r="AP209" s="49" t="s">
        <v>5</v>
      </c>
      <c r="AQ209" s="50" t="s">
        <v>92</v>
      </c>
      <c r="AR209" s="49" t="s">
        <v>1</v>
      </c>
      <c r="AS209" s="50" t="s">
        <v>120</v>
      </c>
      <c r="AT209" s="49" t="s">
        <v>5</v>
      </c>
      <c r="AU209" s="50" t="s">
        <v>78</v>
      </c>
      <c r="AV209" s="49" t="s">
        <v>1</v>
      </c>
      <c r="AW209" s="50" t="s">
        <v>79</v>
      </c>
      <c r="AX209" s="49" t="s">
        <v>5</v>
      </c>
      <c r="AY209" s="50" t="s">
        <v>95</v>
      </c>
      <c r="AZ209" s="49" t="s">
        <v>1</v>
      </c>
      <c r="BA209" s="50" t="s">
        <v>96</v>
      </c>
      <c r="BB209" s="49" t="s">
        <v>5</v>
      </c>
      <c r="BC209" s="50" t="s">
        <v>82</v>
      </c>
      <c r="BD209" s="49" t="s">
        <v>5</v>
      </c>
      <c r="BE209" s="50" t="s">
        <v>170</v>
      </c>
      <c r="BF209" s="49"/>
      <c r="BG209" s="50"/>
      <c r="BH209" s="44"/>
      <c r="BI209" s="44"/>
      <c r="BJ209" s="44"/>
      <c r="BK209" s="44"/>
      <c r="BL209" s="44"/>
      <c r="BM209" s="44"/>
      <c r="BN209" s="44"/>
      <c r="BO209" s="44"/>
      <c r="BP209" s="44"/>
      <c r="BQ209" s="44"/>
      <c r="BR209" s="44"/>
      <c r="BS209" s="44"/>
      <c r="BT209" s="44"/>
      <c r="BU209" s="44"/>
      <c r="BV209" s="44"/>
      <c r="BW209" s="44"/>
      <c r="BX209" s="44"/>
      <c r="BY209" s="44"/>
      <c r="BZ209" s="44"/>
      <c r="CA209" s="44"/>
      <c r="CB209" s="44"/>
      <c r="CC209" s="44"/>
      <c r="CD209" s="44"/>
      <c r="CE209" s="44"/>
      <c r="CF209" s="44"/>
      <c r="CG209" s="44"/>
      <c r="CH209" s="44"/>
      <c r="CI209" s="44"/>
      <c r="CJ209" s="44"/>
      <c r="CK209" s="44"/>
      <c r="CL209" s="44"/>
      <c r="CM209" s="44"/>
      <c r="CN209" s="44"/>
      <c r="CO209" s="44"/>
      <c r="CP209" s="44"/>
      <c r="CQ209" s="44"/>
      <c r="CR209" s="44"/>
      <c r="CS209" s="44"/>
      <c r="CT209" s="44"/>
      <c r="CU209" s="44"/>
      <c r="CV209" s="44"/>
      <c r="CW209" s="44"/>
      <c r="CX209" s="44"/>
      <c r="CY209" s="44"/>
      <c r="CZ209" s="44"/>
      <c r="DA209" s="44"/>
    </row>
    <row r="210" spans="1:105" s="44" customFormat="1" x14ac:dyDescent="0.25">
      <c r="A210" s="24">
        <v>160346</v>
      </c>
      <c r="B210" s="25" t="s">
        <v>373</v>
      </c>
      <c r="C210" s="26" t="s">
        <v>100</v>
      </c>
      <c r="D210" s="27" t="s">
        <v>12</v>
      </c>
      <c r="E210" s="28" t="s">
        <v>87</v>
      </c>
      <c r="F210" s="25" t="s">
        <v>88</v>
      </c>
      <c r="G210" s="28" t="s">
        <v>87</v>
      </c>
      <c r="H210" s="28" t="s">
        <v>87</v>
      </c>
      <c r="I210" s="29" t="s">
        <v>14</v>
      </c>
      <c r="J210" s="28" t="s">
        <v>14</v>
      </c>
      <c r="K210" s="30" t="s">
        <v>1850</v>
      </c>
      <c r="L210" s="31" t="s">
        <v>1842</v>
      </c>
      <c r="M210" s="45" t="str">
        <f>IFERROR(VLOOKUP(A210,Lookups!#REF!,3,FALSE),"")</f>
        <v/>
      </c>
      <c r="N210" s="46">
        <v>23</v>
      </c>
      <c r="O210" s="47">
        <v>0</v>
      </c>
      <c r="P210" s="48">
        <v>0</v>
      </c>
      <c r="Q210" s="36">
        <v>100</v>
      </c>
      <c r="R210" s="37">
        <v>5</v>
      </c>
      <c r="S210" s="38">
        <f t="shared" si="33"/>
        <v>0</v>
      </c>
      <c r="T210" s="39">
        <f t="shared" si="34"/>
        <v>13</v>
      </c>
      <c r="U210" s="40">
        <f t="shared" si="35"/>
        <v>0</v>
      </c>
      <c r="V210" s="40">
        <f t="shared" si="36"/>
        <v>0</v>
      </c>
      <c r="W210" s="40">
        <f t="shared" si="37"/>
        <v>0</v>
      </c>
      <c r="X210" s="40">
        <f t="shared" si="41"/>
        <v>0</v>
      </c>
      <c r="Y210" s="40">
        <f t="shared" si="38"/>
        <v>0</v>
      </c>
      <c r="Z210" s="40">
        <f t="shared" si="39"/>
        <v>0</v>
      </c>
      <c r="AA210" s="40">
        <f t="shared" si="40"/>
        <v>0</v>
      </c>
      <c r="AB210" s="40">
        <f t="shared" si="42"/>
        <v>0</v>
      </c>
      <c r="AC210" s="41">
        <f t="shared" si="43"/>
        <v>0</v>
      </c>
      <c r="AD210" s="49" t="s">
        <v>5</v>
      </c>
      <c r="AE210" s="50" t="s">
        <v>72</v>
      </c>
      <c r="AF210" s="49" t="s">
        <v>5</v>
      </c>
      <c r="AG210" s="50" t="s">
        <v>135</v>
      </c>
      <c r="AH210" s="49"/>
      <c r="AI210" s="50"/>
      <c r="AJ210" s="49" t="s">
        <v>5</v>
      </c>
      <c r="AK210" s="50" t="s">
        <v>102</v>
      </c>
      <c r="AL210" s="49" t="s">
        <v>5</v>
      </c>
      <c r="AM210" s="50" t="s">
        <v>76</v>
      </c>
      <c r="AN210" s="49" t="s">
        <v>5</v>
      </c>
      <c r="AO210" s="50" t="s">
        <v>103</v>
      </c>
      <c r="AP210" s="49" t="s">
        <v>5</v>
      </c>
      <c r="AQ210" s="50" t="s">
        <v>92</v>
      </c>
      <c r="AR210" s="49" t="s">
        <v>5</v>
      </c>
      <c r="AS210" s="50" t="s">
        <v>104</v>
      </c>
      <c r="AT210" s="49" t="s">
        <v>5</v>
      </c>
      <c r="AU210" s="50" t="s">
        <v>105</v>
      </c>
      <c r="AV210" s="49" t="s">
        <v>5</v>
      </c>
      <c r="AW210" s="50" t="s">
        <v>106</v>
      </c>
      <c r="AX210" s="49" t="s">
        <v>5</v>
      </c>
      <c r="AY210" s="50" t="s">
        <v>80</v>
      </c>
      <c r="AZ210" s="49" t="s">
        <v>5</v>
      </c>
      <c r="BA210" s="50" t="s">
        <v>107</v>
      </c>
      <c r="BB210" s="49" t="s">
        <v>5</v>
      </c>
      <c r="BC210" s="50" t="s">
        <v>108</v>
      </c>
      <c r="BD210" s="49" t="s">
        <v>5</v>
      </c>
      <c r="BE210" s="50" t="s">
        <v>206</v>
      </c>
      <c r="BF210" s="49"/>
      <c r="BG210" s="50"/>
    </row>
    <row r="211" spans="1:105" s="44" customFormat="1" x14ac:dyDescent="0.25">
      <c r="A211" s="24">
        <v>160347</v>
      </c>
      <c r="B211" s="25" t="s">
        <v>374</v>
      </c>
      <c r="C211" s="26" t="s">
        <v>149</v>
      </c>
      <c r="D211" s="27" t="s">
        <v>70</v>
      </c>
      <c r="E211" s="28" t="s">
        <v>14</v>
      </c>
      <c r="F211" s="25" t="s">
        <v>126</v>
      </c>
      <c r="G211" s="28" t="s">
        <v>14</v>
      </c>
      <c r="H211" s="28" t="s">
        <v>14</v>
      </c>
      <c r="I211" s="29" t="s">
        <v>14</v>
      </c>
      <c r="J211" s="28" t="s">
        <v>14</v>
      </c>
      <c r="K211" s="30" t="s">
        <v>1850</v>
      </c>
      <c r="L211" s="31" t="s">
        <v>1845</v>
      </c>
      <c r="M211" s="45" t="str">
        <f>IFERROR(VLOOKUP(A211,Lookups!#REF!,3,FALSE),"")</f>
        <v/>
      </c>
      <c r="N211" s="46">
        <v>18</v>
      </c>
      <c r="O211" s="47">
        <v>0</v>
      </c>
      <c r="P211" s="48">
        <v>0</v>
      </c>
      <c r="Q211" s="36">
        <v>100</v>
      </c>
      <c r="R211" s="37">
        <v>0</v>
      </c>
      <c r="S211" s="38">
        <f t="shared" si="33"/>
        <v>0</v>
      </c>
      <c r="T211" s="39">
        <f t="shared" si="34"/>
        <v>13</v>
      </c>
      <c r="U211" s="40">
        <f t="shared" si="35"/>
        <v>0</v>
      </c>
      <c r="V211" s="40">
        <f t="shared" si="36"/>
        <v>0</v>
      </c>
      <c r="W211" s="40">
        <f t="shared" si="37"/>
        <v>0</v>
      </c>
      <c r="X211" s="40">
        <f t="shared" si="41"/>
        <v>0</v>
      </c>
      <c r="Y211" s="40">
        <f t="shared" si="38"/>
        <v>0</v>
      </c>
      <c r="Z211" s="40">
        <f t="shared" si="39"/>
        <v>0</v>
      </c>
      <c r="AA211" s="40">
        <f t="shared" si="40"/>
        <v>0</v>
      </c>
      <c r="AB211" s="40">
        <f t="shared" si="42"/>
        <v>0</v>
      </c>
      <c r="AC211" s="41">
        <f t="shared" si="43"/>
        <v>0</v>
      </c>
      <c r="AD211" s="49" t="s">
        <v>5</v>
      </c>
      <c r="AE211" s="50" t="s">
        <v>72</v>
      </c>
      <c r="AF211" s="49"/>
      <c r="AG211" s="50"/>
      <c r="AH211" s="49" t="s">
        <v>5</v>
      </c>
      <c r="AI211" s="50" t="s">
        <v>101</v>
      </c>
      <c r="AJ211" s="49" t="s">
        <v>5</v>
      </c>
      <c r="AK211" s="50" t="s">
        <v>91</v>
      </c>
      <c r="AL211" s="49" t="s">
        <v>5</v>
      </c>
      <c r="AM211" s="50" t="s">
        <v>78</v>
      </c>
      <c r="AN211" s="49"/>
      <c r="AO211" s="50"/>
      <c r="AP211" s="49" t="s">
        <v>5</v>
      </c>
      <c r="AQ211" s="50" t="s">
        <v>131</v>
      </c>
      <c r="AR211" s="49" t="s">
        <v>5</v>
      </c>
      <c r="AS211" s="50" t="s">
        <v>104</v>
      </c>
      <c r="AT211" s="49" t="s">
        <v>5</v>
      </c>
      <c r="AU211" s="50" t="s">
        <v>105</v>
      </c>
      <c r="AV211" s="49" t="s">
        <v>5</v>
      </c>
      <c r="AW211" s="50" t="s">
        <v>112</v>
      </c>
      <c r="AX211" s="49" t="s">
        <v>5</v>
      </c>
      <c r="AY211" s="50" t="s">
        <v>80</v>
      </c>
      <c r="AZ211" s="49" t="s">
        <v>5</v>
      </c>
      <c r="BA211" s="50" t="s">
        <v>152</v>
      </c>
      <c r="BB211" s="49" t="s">
        <v>5</v>
      </c>
      <c r="BC211" s="50" t="s">
        <v>153</v>
      </c>
      <c r="BD211" s="49" t="s">
        <v>5</v>
      </c>
      <c r="BE211" s="50" t="s">
        <v>154</v>
      </c>
      <c r="BF211" s="49" t="s">
        <v>5</v>
      </c>
      <c r="BG211" s="50" t="s">
        <v>103</v>
      </c>
    </row>
    <row r="212" spans="1:105" s="44" customFormat="1" x14ac:dyDescent="0.25">
      <c r="A212" s="24">
        <v>160348</v>
      </c>
      <c r="B212" s="25" t="s">
        <v>375</v>
      </c>
      <c r="C212" s="26" t="s">
        <v>69</v>
      </c>
      <c r="D212" s="27" t="s">
        <v>12</v>
      </c>
      <c r="E212" s="28" t="s">
        <v>87</v>
      </c>
      <c r="F212" s="25" t="s">
        <v>223</v>
      </c>
      <c r="G212" s="28" t="s">
        <v>14</v>
      </c>
      <c r="H212" s="28" t="s">
        <v>87</v>
      </c>
      <c r="I212" s="29" t="s">
        <v>14</v>
      </c>
      <c r="J212" s="28" t="s">
        <v>6</v>
      </c>
      <c r="K212" s="30" t="s">
        <v>1850</v>
      </c>
      <c r="L212" s="31" t="s">
        <v>1848</v>
      </c>
      <c r="M212" s="45" t="str">
        <f>IFERROR(VLOOKUP(A212,Lookups!#REF!,3,FALSE),"")</f>
        <v/>
      </c>
      <c r="N212" s="46">
        <v>25</v>
      </c>
      <c r="O212" s="47">
        <v>5</v>
      </c>
      <c r="P212" s="48">
        <v>2</v>
      </c>
      <c r="Q212" s="36">
        <v>97.92</v>
      </c>
      <c r="R212" s="37">
        <v>4</v>
      </c>
      <c r="S212" s="38">
        <f t="shared" si="33"/>
        <v>0</v>
      </c>
      <c r="T212" s="39">
        <f t="shared" si="34"/>
        <v>13</v>
      </c>
      <c r="U212" s="40">
        <f t="shared" si="35"/>
        <v>0</v>
      </c>
      <c r="V212" s="40">
        <f t="shared" si="36"/>
        <v>0</v>
      </c>
      <c r="W212" s="40">
        <f t="shared" si="37"/>
        <v>0</v>
      </c>
      <c r="X212" s="40">
        <f t="shared" si="41"/>
        <v>0</v>
      </c>
      <c r="Y212" s="40">
        <f t="shared" si="38"/>
        <v>0</v>
      </c>
      <c r="Z212" s="40">
        <f t="shared" si="39"/>
        <v>0</v>
      </c>
      <c r="AA212" s="40">
        <f t="shared" si="40"/>
        <v>0</v>
      </c>
      <c r="AB212" s="40">
        <f t="shared" si="42"/>
        <v>0</v>
      </c>
      <c r="AC212" s="41">
        <f t="shared" si="43"/>
        <v>0</v>
      </c>
      <c r="AD212" s="49" t="s">
        <v>5</v>
      </c>
      <c r="AE212" s="50" t="s">
        <v>116</v>
      </c>
      <c r="AF212" s="49" t="s">
        <v>5</v>
      </c>
      <c r="AG212" s="50" t="s">
        <v>135</v>
      </c>
      <c r="AH212" s="49"/>
      <c r="AI212" s="50"/>
      <c r="AJ212" s="49" t="s">
        <v>5</v>
      </c>
      <c r="AK212" s="50" t="s">
        <v>127</v>
      </c>
      <c r="AL212" s="49" t="s">
        <v>5</v>
      </c>
      <c r="AM212" s="50" t="s">
        <v>75</v>
      </c>
      <c r="AN212" s="49"/>
      <c r="AO212" s="50"/>
      <c r="AP212" s="49" t="s">
        <v>5</v>
      </c>
      <c r="AQ212" s="50" t="s">
        <v>76</v>
      </c>
      <c r="AR212" s="49" t="s">
        <v>5</v>
      </c>
      <c r="AS212" s="50" t="s">
        <v>120</v>
      </c>
      <c r="AT212" s="49" t="s">
        <v>5</v>
      </c>
      <c r="AU212" s="50" t="s">
        <v>78</v>
      </c>
      <c r="AV212" s="49" t="s">
        <v>5</v>
      </c>
      <c r="AW212" s="50" t="s">
        <v>106</v>
      </c>
      <c r="AX212" s="49" t="s">
        <v>5</v>
      </c>
      <c r="AY212" s="50" t="s">
        <v>80</v>
      </c>
      <c r="AZ212" s="49" t="s">
        <v>5</v>
      </c>
      <c r="BA212" s="50" t="s">
        <v>96</v>
      </c>
      <c r="BB212" s="49" t="s">
        <v>5</v>
      </c>
      <c r="BC212" s="50" t="s">
        <v>82</v>
      </c>
      <c r="BD212" s="49" t="s">
        <v>5</v>
      </c>
      <c r="BE212" s="50" t="s">
        <v>140</v>
      </c>
      <c r="BF212" s="49" t="s">
        <v>5</v>
      </c>
      <c r="BG212" s="50" t="s">
        <v>84</v>
      </c>
    </row>
    <row r="213" spans="1:105" s="44" customFormat="1" x14ac:dyDescent="0.25">
      <c r="A213" s="24">
        <v>160349</v>
      </c>
      <c r="B213" s="25" t="s">
        <v>376</v>
      </c>
      <c r="C213" s="26" t="s">
        <v>149</v>
      </c>
      <c r="D213" s="27" t="s">
        <v>12</v>
      </c>
      <c r="E213" s="28" t="s">
        <v>87</v>
      </c>
      <c r="F213" s="25" t="s">
        <v>88</v>
      </c>
      <c r="G213" s="28" t="s">
        <v>87</v>
      </c>
      <c r="H213" s="28" t="s">
        <v>87</v>
      </c>
      <c r="I213" s="29" t="s">
        <v>14</v>
      </c>
      <c r="J213" s="28" t="s">
        <v>14</v>
      </c>
      <c r="K213" s="30" t="s">
        <v>1850</v>
      </c>
      <c r="L213" s="31" t="s">
        <v>1846</v>
      </c>
      <c r="M213" s="45" t="str">
        <f>IFERROR(VLOOKUP(A213,Lookups!#REF!,3,FALSE),"")</f>
        <v/>
      </c>
      <c r="N213" s="46">
        <v>18</v>
      </c>
      <c r="O213" s="47">
        <v>0</v>
      </c>
      <c r="P213" s="48">
        <v>1</v>
      </c>
      <c r="Q213" s="36">
        <v>100</v>
      </c>
      <c r="R213" s="37">
        <v>0</v>
      </c>
      <c r="S213" s="38">
        <f t="shared" si="33"/>
        <v>0</v>
      </c>
      <c r="T213" s="39">
        <f t="shared" si="34"/>
        <v>13</v>
      </c>
      <c r="U213" s="40">
        <f t="shared" si="35"/>
        <v>0</v>
      </c>
      <c r="V213" s="40">
        <f t="shared" si="36"/>
        <v>0</v>
      </c>
      <c r="W213" s="40">
        <f t="shared" si="37"/>
        <v>0</v>
      </c>
      <c r="X213" s="40">
        <f t="shared" si="41"/>
        <v>0</v>
      </c>
      <c r="Y213" s="40">
        <f t="shared" si="38"/>
        <v>0</v>
      </c>
      <c r="Z213" s="40">
        <f t="shared" si="39"/>
        <v>0</v>
      </c>
      <c r="AA213" s="40">
        <f t="shared" si="40"/>
        <v>0</v>
      </c>
      <c r="AB213" s="40">
        <f t="shared" si="42"/>
        <v>0</v>
      </c>
      <c r="AC213" s="41">
        <f t="shared" si="43"/>
        <v>0</v>
      </c>
      <c r="AD213" s="49" t="s">
        <v>5</v>
      </c>
      <c r="AE213" s="50" t="s">
        <v>72</v>
      </c>
      <c r="AF213" s="49" t="s">
        <v>5</v>
      </c>
      <c r="AG213" s="50" t="s">
        <v>117</v>
      </c>
      <c r="AH213" s="49"/>
      <c r="AI213" s="50"/>
      <c r="AJ213" s="49" t="s">
        <v>5</v>
      </c>
      <c r="AK213" s="50" t="s">
        <v>91</v>
      </c>
      <c r="AL213" s="49" t="s">
        <v>5</v>
      </c>
      <c r="AM213" s="50" t="s">
        <v>78</v>
      </c>
      <c r="AN213" s="49"/>
      <c r="AO213" s="50"/>
      <c r="AP213" s="49" t="s">
        <v>5</v>
      </c>
      <c r="AQ213" s="50" t="s">
        <v>131</v>
      </c>
      <c r="AR213" s="49" t="s">
        <v>5</v>
      </c>
      <c r="AS213" s="50" t="s">
        <v>104</v>
      </c>
      <c r="AT213" s="49" t="s">
        <v>5</v>
      </c>
      <c r="AU213" s="50" t="s">
        <v>105</v>
      </c>
      <c r="AV213" s="49" t="s">
        <v>5</v>
      </c>
      <c r="AW213" s="50" t="s">
        <v>79</v>
      </c>
      <c r="AX213" s="49" t="s">
        <v>5</v>
      </c>
      <c r="AY213" s="50" t="s">
        <v>80</v>
      </c>
      <c r="AZ213" s="49" t="s">
        <v>5</v>
      </c>
      <c r="BA213" s="50" t="s">
        <v>107</v>
      </c>
      <c r="BB213" s="49" t="s">
        <v>5</v>
      </c>
      <c r="BC213" s="50" t="s">
        <v>153</v>
      </c>
      <c r="BD213" s="49" t="s">
        <v>5</v>
      </c>
      <c r="BE213" s="50" t="s">
        <v>154</v>
      </c>
      <c r="BF213" s="49" t="s">
        <v>5</v>
      </c>
      <c r="BG213" s="50" t="s">
        <v>103</v>
      </c>
    </row>
    <row r="214" spans="1:105" s="44" customFormat="1" x14ac:dyDescent="0.25">
      <c r="A214" s="24">
        <v>160350</v>
      </c>
      <c r="B214" s="25" t="s">
        <v>377</v>
      </c>
      <c r="C214" s="26" t="s">
        <v>129</v>
      </c>
      <c r="D214" s="27" t="s">
        <v>12</v>
      </c>
      <c r="E214" s="28" t="s">
        <v>14</v>
      </c>
      <c r="F214" s="25" t="s">
        <v>88</v>
      </c>
      <c r="G214" s="28" t="s">
        <v>87</v>
      </c>
      <c r="H214" s="28" t="s">
        <v>14</v>
      </c>
      <c r="I214" s="29" t="s">
        <v>14</v>
      </c>
      <c r="J214" s="28" t="s">
        <v>14</v>
      </c>
      <c r="K214" s="30" t="s">
        <v>1850</v>
      </c>
      <c r="L214" s="31" t="s">
        <v>1841</v>
      </c>
      <c r="M214" s="45" t="str">
        <f>IFERROR(VLOOKUP(A214,Lookups!#REF!,3,FALSE),"")</f>
        <v/>
      </c>
      <c r="N214" s="46">
        <v>37</v>
      </c>
      <c r="O214" s="47">
        <v>1</v>
      </c>
      <c r="P214" s="48">
        <v>0</v>
      </c>
      <c r="Q214" s="36">
        <v>100</v>
      </c>
      <c r="R214" s="37">
        <v>0</v>
      </c>
      <c r="S214" s="38">
        <f t="shared" si="33"/>
        <v>1</v>
      </c>
      <c r="T214" s="39">
        <f t="shared" si="34"/>
        <v>12</v>
      </c>
      <c r="U214" s="40">
        <f t="shared" si="35"/>
        <v>0</v>
      </c>
      <c r="V214" s="40">
        <f t="shared" si="36"/>
        <v>0</v>
      </c>
      <c r="W214" s="40">
        <f t="shared" si="37"/>
        <v>0</v>
      </c>
      <c r="X214" s="40">
        <f t="shared" si="41"/>
        <v>0</v>
      </c>
      <c r="Y214" s="40">
        <f t="shared" si="38"/>
        <v>0</v>
      </c>
      <c r="Z214" s="40">
        <f t="shared" si="39"/>
        <v>0</v>
      </c>
      <c r="AA214" s="40">
        <f t="shared" si="40"/>
        <v>0</v>
      </c>
      <c r="AB214" s="40">
        <f t="shared" si="42"/>
        <v>0</v>
      </c>
      <c r="AC214" s="41">
        <f t="shared" si="43"/>
        <v>0</v>
      </c>
      <c r="AD214" s="49" t="s">
        <v>5</v>
      </c>
      <c r="AE214" s="50" t="s">
        <v>89</v>
      </c>
      <c r="AF214" s="49" t="s">
        <v>5</v>
      </c>
      <c r="AG214" s="50" t="s">
        <v>117</v>
      </c>
      <c r="AH214" s="49"/>
      <c r="AI214" s="50"/>
      <c r="AJ214" s="49" t="s">
        <v>5</v>
      </c>
      <c r="AK214" s="50" t="s">
        <v>118</v>
      </c>
      <c r="AL214" s="49" t="s">
        <v>5</v>
      </c>
      <c r="AM214" s="50" t="s">
        <v>74</v>
      </c>
      <c r="AN214" s="49" t="s">
        <v>5</v>
      </c>
      <c r="AO214" s="50" t="s">
        <v>130</v>
      </c>
      <c r="AP214" s="49" t="s">
        <v>5</v>
      </c>
      <c r="AQ214" s="50" t="s">
        <v>144</v>
      </c>
      <c r="AR214" s="49" t="s">
        <v>5</v>
      </c>
      <c r="AS214" s="50" t="s">
        <v>132</v>
      </c>
      <c r="AT214" s="49" t="s">
        <v>5</v>
      </c>
      <c r="AU214" s="50" t="s">
        <v>105</v>
      </c>
      <c r="AV214" s="49" t="s">
        <v>1</v>
      </c>
      <c r="AW214" s="50" t="s">
        <v>79</v>
      </c>
      <c r="AX214" s="49" t="s">
        <v>5</v>
      </c>
      <c r="AY214" s="50" t="s">
        <v>80</v>
      </c>
      <c r="AZ214" s="49" t="s">
        <v>5</v>
      </c>
      <c r="BA214" s="50" t="s">
        <v>107</v>
      </c>
      <c r="BB214" s="49" t="s">
        <v>5</v>
      </c>
      <c r="BC214" s="50" t="s">
        <v>108</v>
      </c>
      <c r="BD214" s="49" t="s">
        <v>5</v>
      </c>
      <c r="BE214" s="50" t="s">
        <v>133</v>
      </c>
      <c r="BF214" s="49"/>
      <c r="BG214" s="50"/>
    </row>
    <row r="215" spans="1:105" s="44" customFormat="1" x14ac:dyDescent="0.25">
      <c r="A215" s="24">
        <v>160351</v>
      </c>
      <c r="B215" s="25" t="s">
        <v>378</v>
      </c>
      <c r="C215" s="26" t="s">
        <v>149</v>
      </c>
      <c r="D215" s="27" t="s">
        <v>70</v>
      </c>
      <c r="E215" s="28" t="s">
        <v>14</v>
      </c>
      <c r="F215" s="25" t="s">
        <v>88</v>
      </c>
      <c r="G215" s="28" t="s">
        <v>87</v>
      </c>
      <c r="H215" s="28" t="s">
        <v>14</v>
      </c>
      <c r="I215" s="29" t="s">
        <v>14</v>
      </c>
      <c r="J215" s="28" t="s">
        <v>14</v>
      </c>
      <c r="K215" s="30" t="s">
        <v>1850</v>
      </c>
      <c r="L215" s="31" t="s">
        <v>1841</v>
      </c>
      <c r="M215" s="45" t="str">
        <f>IFERROR(VLOOKUP(A215,Lookups!#REF!,3,FALSE),"")</f>
        <v/>
      </c>
      <c r="N215" s="46">
        <v>24</v>
      </c>
      <c r="O215" s="47">
        <v>0</v>
      </c>
      <c r="P215" s="48">
        <v>0</v>
      </c>
      <c r="Q215" s="36">
        <v>100</v>
      </c>
      <c r="R215" s="37">
        <v>1</v>
      </c>
      <c r="S215" s="38">
        <f t="shared" si="33"/>
        <v>4</v>
      </c>
      <c r="T215" s="39">
        <f t="shared" si="34"/>
        <v>9</v>
      </c>
      <c r="U215" s="40">
        <f t="shared" si="35"/>
        <v>0</v>
      </c>
      <c r="V215" s="40">
        <f t="shared" si="36"/>
        <v>0</v>
      </c>
      <c r="W215" s="40">
        <f t="shared" si="37"/>
        <v>0</v>
      </c>
      <c r="X215" s="40">
        <f t="shared" si="41"/>
        <v>0</v>
      </c>
      <c r="Y215" s="40">
        <f t="shared" si="38"/>
        <v>0</v>
      </c>
      <c r="Z215" s="40">
        <f t="shared" si="39"/>
        <v>0</v>
      </c>
      <c r="AA215" s="40">
        <f t="shared" si="40"/>
        <v>0</v>
      </c>
      <c r="AB215" s="40">
        <f t="shared" si="42"/>
        <v>0</v>
      </c>
      <c r="AC215" s="41">
        <f t="shared" si="43"/>
        <v>0</v>
      </c>
      <c r="AD215" s="49" t="s">
        <v>5</v>
      </c>
      <c r="AE215" s="50" t="s">
        <v>72</v>
      </c>
      <c r="AF215" s="49" t="s">
        <v>1</v>
      </c>
      <c r="AG215" s="50" t="s">
        <v>135</v>
      </c>
      <c r="AH215" s="49"/>
      <c r="AI215" s="50"/>
      <c r="AJ215" s="49" t="s">
        <v>5</v>
      </c>
      <c r="AK215" s="50" t="s">
        <v>151</v>
      </c>
      <c r="AL215" s="49" t="s">
        <v>1</v>
      </c>
      <c r="AM215" s="50" t="s">
        <v>78</v>
      </c>
      <c r="AN215" s="49"/>
      <c r="AO215" s="50"/>
      <c r="AP215" s="49" t="s">
        <v>5</v>
      </c>
      <c r="AQ215" s="50" t="s">
        <v>131</v>
      </c>
      <c r="AR215" s="49" t="s">
        <v>1</v>
      </c>
      <c r="AS215" s="50" t="s">
        <v>104</v>
      </c>
      <c r="AT215" s="49" t="s">
        <v>5</v>
      </c>
      <c r="AU215" s="50" t="s">
        <v>105</v>
      </c>
      <c r="AV215" s="49" t="s">
        <v>1</v>
      </c>
      <c r="AW215" s="50" t="s">
        <v>79</v>
      </c>
      <c r="AX215" s="49" t="s">
        <v>5</v>
      </c>
      <c r="AY215" s="50" t="s">
        <v>80</v>
      </c>
      <c r="AZ215" s="49" t="s">
        <v>5</v>
      </c>
      <c r="BA215" s="50" t="s">
        <v>152</v>
      </c>
      <c r="BB215" s="49" t="s">
        <v>5</v>
      </c>
      <c r="BC215" s="50" t="s">
        <v>153</v>
      </c>
      <c r="BD215" s="49" t="s">
        <v>5</v>
      </c>
      <c r="BE215" s="50" t="s">
        <v>154</v>
      </c>
      <c r="BF215" s="49" t="s">
        <v>5</v>
      </c>
      <c r="BG215" s="50" t="s">
        <v>103</v>
      </c>
    </row>
  </sheetData>
  <autoFilter ref="A1:BG215" xr:uid="{00000000-0009-0000-0000-000002000000}"/>
  <conditionalFormatting sqref="Q2:Q21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15">
    <cfRule type="top10" dxfId="258" priority="47" stopIfTrue="1" percent="1" rank="10"/>
  </conditionalFormatting>
  <conditionalFormatting sqref="P2:P215">
    <cfRule type="top10" dxfId="257" priority="48" stopIfTrue="1" percent="1" rank="10"/>
  </conditionalFormatting>
  <conditionalFormatting sqref="N2:N215">
    <cfRule type="top10" dxfId="256" priority="49" percent="1" rank="10"/>
  </conditionalFormatting>
  <conditionalFormatting sqref="Q2:Q215">
    <cfRule type="top10" dxfId="255" priority="50" percent="1" bottom="1" rank="10"/>
  </conditionalFormatting>
  <conditionalFormatting sqref="S2:S215">
    <cfRule type="top10" dxfId="254" priority="14" percent="1" rank="10"/>
  </conditionalFormatting>
  <conditionalFormatting sqref="U2:U215">
    <cfRule type="top10" dxfId="253" priority="13" rank="10"/>
  </conditionalFormatting>
  <conditionalFormatting sqref="V2:AC215">
    <cfRule type="top10" dxfId="252" priority="12" rank="10"/>
  </conditionalFormatting>
  <conditionalFormatting sqref="BH1:XFD1048576 A1:AC1048576">
    <cfRule type="cellIs" dxfId="251" priority="10" operator="equal">
      <formula>"Serious Concern still"</formula>
    </cfRule>
    <cfRule type="cellIs" dxfId="250" priority="11" operator="equal">
      <formula>"N2Improve still"</formula>
    </cfRule>
  </conditionalFormatting>
  <conditionalFormatting sqref="AD2:AD1048576 AF2:AF1048576 AH2:AH1048576 AJ2:AJ1048576 AL2:AL1048576 AN2:AN1048576 AP2:AP1048576 AR2:AR1048576 AT2:AT1048576 AV2:AV1048576 AX2:AX1048576 AZ2:AZ1048576 BB2:BB1048576 BD2:BD1048576 BF2:BF1048576">
    <cfRule type="containsText" dxfId="102" priority="6" operator="containsText" text="Serious">
      <formula>NOT(ISERROR(SEARCH("Serious",AD2)))</formula>
    </cfRule>
    <cfRule type="containsText" dxfId="101" priority="7" operator="containsText" text="2">
      <formula>NOT(ISERROR(SEARCH("2",AD2)))</formula>
    </cfRule>
  </conditionalFormatting>
  <conditionalFormatting sqref="AD1:BG1048576">
    <cfRule type="cellIs" dxfId="97" priority="4" operator="equal">
      <formula>"Serious Concern still"</formula>
    </cfRule>
    <cfRule type="cellIs" dxfId="98" priority="5" operator="equal">
      <formula>"N2Improve still"</formula>
    </cfRule>
    <cfRule type="containsText" dxfId="96" priority="1" operator="containsText" text="fixed">
      <formula>NOT(ISERROR(SEARCH("fixed",AD1)))</formula>
    </cfRule>
  </conditionalFormatting>
  <conditionalFormatting sqref="AD1:BG1048576">
    <cfRule type="containsText" dxfId="100" priority="2" operator="containsText" text="Serious Concern still">
      <formula>NOT(ISERROR(SEARCH("Serious Concern still",AD1)))</formula>
    </cfRule>
    <cfRule type="containsText" dxfId="99" priority="3" operator="containsText" text="N2Improve still">
      <formula>NOT(ISERROR(SEARCH("N2Improve still",AD1)))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811E56-06A6-4F07-8C29-86594FF5F2F1}">
          <x14:formula1>
            <xm:f>Lookups!$A$1:$A$8</xm:f>
          </x14:formula1>
          <xm:sqref>AD1:AD1048576 AF1:AF1048576 AH1:AH1048576 AJ1:AJ1048576 AL1:AL1048576 AN1:AN1048576 AP1:AP1048576 AR1:AR1048576 AT1:AT1048576 AV1:AV1048576 AX1:AX1048576 AZ1:AZ1048576 BB1:BB1048576 BD1:BD1048576 BF1:BF1048576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4F747-8446-4F3E-9D32-378AA35DFFEE}">
  <sheetPr codeName="Sheet8"/>
  <dimension ref="A1:BI231"/>
  <sheetViews>
    <sheetView zoomScale="70" zoomScaleNormal="70" workbookViewId="0">
      <pane xSplit="29" ySplit="1" topLeftCell="AD2" activePane="bottomRight" state="frozen"/>
      <selection activeCell="AL12" sqref="AL12"/>
      <selection pane="topRight" activeCell="AL12" sqref="AL12"/>
      <selection pane="bottomLeft" activeCell="AL12" sqref="AL12"/>
      <selection pane="bottomRight" activeCell="AC2" sqref="AC2"/>
    </sheetView>
  </sheetViews>
  <sheetFormatPr defaultRowHeight="15" x14ac:dyDescent="0.25"/>
  <cols>
    <col min="1" max="1" width="10.7109375" style="100" customWidth="1"/>
    <col min="2" max="2" width="25.42578125" customWidth="1"/>
    <col min="3" max="3" width="7" bestFit="1" customWidth="1"/>
    <col min="4" max="4" width="5.28515625" style="55" hidden="1" customWidth="1"/>
    <col min="5" max="5" width="5.42578125" style="55" hidden="1" customWidth="1"/>
    <col min="6" max="6" width="26" hidden="1" customWidth="1"/>
    <col min="7" max="8" width="5.42578125" style="95" hidden="1" customWidth="1"/>
    <col min="9" max="9" width="5.140625" style="95" hidden="1" customWidth="1"/>
    <col min="10" max="10" width="5.7109375" style="55" hidden="1" customWidth="1"/>
    <col min="11" max="11" width="5.140625" style="161" hidden="1" customWidth="1"/>
    <col min="12" max="12" width="9.140625" hidden="1" customWidth="1"/>
    <col min="13" max="13" width="7" style="57" hidden="1" customWidth="1"/>
    <col min="14" max="16" width="7" hidden="1" customWidth="1"/>
    <col min="17" max="17" width="8" style="55" hidden="1" customWidth="1"/>
    <col min="18" max="18" width="5" style="55" hidden="1" customWidth="1"/>
    <col min="19" max="28" width="7" hidden="1" customWidth="1"/>
    <col min="29" max="29" width="7" customWidth="1"/>
    <col min="30" max="30" width="13.28515625" style="59" customWidth="1"/>
    <col min="31" max="31" width="6.42578125" style="58" customWidth="1"/>
    <col min="32" max="32" width="13.28515625" style="59" customWidth="1"/>
    <col min="33" max="33" width="6.42578125" style="58" customWidth="1"/>
    <col min="34" max="34" width="13.28515625" style="59" customWidth="1"/>
    <col min="35" max="35" width="6.42578125" style="58" customWidth="1"/>
    <col min="36" max="36" width="13.28515625" style="59" customWidth="1"/>
    <col min="37" max="37" width="6.42578125" style="58" customWidth="1"/>
    <col min="38" max="38" width="13.28515625" style="59" customWidth="1"/>
    <col min="39" max="39" width="6.42578125" style="58" customWidth="1"/>
    <col min="40" max="40" width="13.28515625" style="59" customWidth="1"/>
    <col min="41" max="41" width="6.42578125" style="58" customWidth="1"/>
    <col min="42" max="42" width="13.28515625" style="59" customWidth="1"/>
    <col min="43" max="43" width="6.42578125" style="58" customWidth="1"/>
    <col min="44" max="44" width="13.28515625" style="59" customWidth="1"/>
    <col min="45" max="45" width="6.42578125" style="58" customWidth="1"/>
    <col min="46" max="46" width="13.28515625" style="59" customWidth="1"/>
    <col min="47" max="47" width="6.42578125" style="58" customWidth="1"/>
    <col min="48" max="48" width="13.28515625" style="59" customWidth="1"/>
    <col min="49" max="49" width="6.42578125" style="58" customWidth="1"/>
    <col min="50" max="50" width="13.28515625" style="59" customWidth="1"/>
    <col min="51" max="51" width="6.42578125" style="58" customWidth="1"/>
    <col min="52" max="52" width="13.28515625" style="59" customWidth="1"/>
    <col min="53" max="53" width="6.42578125" style="58" customWidth="1"/>
    <col min="54" max="54" width="13.28515625" style="59" customWidth="1"/>
    <col min="55" max="55" width="6.42578125" style="58" customWidth="1"/>
    <col min="56" max="56" width="13.28515625" style="59" customWidth="1"/>
    <col min="57" max="57" width="6.42578125" style="58" customWidth="1"/>
    <col min="58" max="58" width="13.28515625" style="59" customWidth="1"/>
    <col min="59" max="59" width="6.42578125" style="58" customWidth="1"/>
    <col min="60" max="60" width="13.28515625" style="59" customWidth="1"/>
    <col min="61" max="61" width="6.42578125" style="58" customWidth="1"/>
    <col min="62" max="62" width="5.7109375" bestFit="1" customWidth="1"/>
    <col min="63" max="63" width="6.42578125" bestFit="1" customWidth="1"/>
    <col min="64" max="64" width="6.28515625" bestFit="1" customWidth="1"/>
    <col min="65" max="65" width="5.5703125" bestFit="1" customWidth="1"/>
    <col min="66" max="66" width="4.5703125" bestFit="1" customWidth="1"/>
    <col min="67" max="67" width="10.42578125" bestFit="1" customWidth="1"/>
    <col min="68" max="68" width="6.5703125" bestFit="1" customWidth="1"/>
    <col min="69" max="69" width="12.42578125" bestFit="1" customWidth="1"/>
  </cols>
  <sheetData>
    <row r="1" spans="1:61" s="141" customFormat="1" ht="145.5" customHeight="1" thickBot="1" x14ac:dyDescent="0.3">
      <c r="A1" s="127" t="s">
        <v>2</v>
      </c>
      <c r="B1" s="128" t="s">
        <v>3</v>
      </c>
      <c r="C1" s="129" t="s">
        <v>15</v>
      </c>
      <c r="D1" s="130" t="s">
        <v>16</v>
      </c>
      <c r="E1" s="128" t="s">
        <v>17</v>
      </c>
      <c r="F1" s="131" t="s">
        <v>18</v>
      </c>
      <c r="G1" s="131" t="s">
        <v>19</v>
      </c>
      <c r="H1" s="131" t="s">
        <v>20</v>
      </c>
      <c r="I1" s="132" t="s">
        <v>21</v>
      </c>
      <c r="J1" s="131" t="s">
        <v>0</v>
      </c>
      <c r="K1" s="133" t="s">
        <v>691</v>
      </c>
      <c r="L1" s="134" t="s">
        <v>1616</v>
      </c>
      <c r="M1" s="135" t="s">
        <v>24</v>
      </c>
      <c r="N1" s="136" t="s">
        <v>25</v>
      </c>
      <c r="O1" s="137" t="s">
        <v>26</v>
      </c>
      <c r="P1" s="138" t="s">
        <v>27</v>
      </c>
      <c r="Q1" s="139" t="s">
        <v>28</v>
      </c>
      <c r="R1" s="140" t="s">
        <v>29</v>
      </c>
      <c r="S1" s="70" t="s">
        <v>1</v>
      </c>
      <c r="T1" s="71" t="s">
        <v>5</v>
      </c>
      <c r="U1" s="72" t="s">
        <v>30</v>
      </c>
      <c r="V1" s="72" t="s">
        <v>31</v>
      </c>
      <c r="W1" s="72" t="s">
        <v>32</v>
      </c>
      <c r="X1" s="73" t="s">
        <v>33</v>
      </c>
      <c r="Y1" s="74" t="s">
        <v>34</v>
      </c>
      <c r="Z1" s="75" t="s">
        <v>35</v>
      </c>
      <c r="AA1" s="75" t="s">
        <v>36</v>
      </c>
      <c r="AB1" s="75" t="s">
        <v>37</v>
      </c>
      <c r="AC1" s="162" t="s">
        <v>1854</v>
      </c>
      <c r="AD1" s="20" t="s">
        <v>38</v>
      </c>
      <c r="AE1" s="21" t="s">
        <v>39</v>
      </c>
      <c r="AF1" s="20" t="s">
        <v>40</v>
      </c>
      <c r="AG1" s="21" t="s">
        <v>41</v>
      </c>
      <c r="AH1" s="20" t="s">
        <v>42</v>
      </c>
      <c r="AI1" s="21" t="s">
        <v>43</v>
      </c>
      <c r="AJ1" s="20" t="s">
        <v>44</v>
      </c>
      <c r="AK1" s="21" t="s">
        <v>45</v>
      </c>
      <c r="AL1" s="20" t="s">
        <v>46</v>
      </c>
      <c r="AM1" s="21" t="s">
        <v>47</v>
      </c>
      <c r="AN1" s="20" t="s">
        <v>48</v>
      </c>
      <c r="AO1" s="21" t="s">
        <v>49</v>
      </c>
      <c r="AP1" s="20" t="s">
        <v>50</v>
      </c>
      <c r="AQ1" s="21" t="s">
        <v>51</v>
      </c>
      <c r="AR1" s="20" t="s">
        <v>52</v>
      </c>
      <c r="AS1" s="21" t="s">
        <v>53</v>
      </c>
      <c r="AT1" s="20" t="s">
        <v>54</v>
      </c>
      <c r="AU1" s="21" t="s">
        <v>55</v>
      </c>
      <c r="AV1" s="20" t="s">
        <v>56</v>
      </c>
      <c r="AW1" s="21" t="s">
        <v>57</v>
      </c>
      <c r="AX1" s="20" t="s">
        <v>58</v>
      </c>
      <c r="AY1" s="21" t="s">
        <v>59</v>
      </c>
      <c r="AZ1" s="20" t="s">
        <v>1617</v>
      </c>
      <c r="BA1" s="21" t="s">
        <v>1618</v>
      </c>
      <c r="BB1" s="20" t="s">
        <v>60</v>
      </c>
      <c r="BC1" s="21" t="s">
        <v>61</v>
      </c>
      <c r="BD1" s="20" t="s">
        <v>62</v>
      </c>
      <c r="BE1" s="21" t="s">
        <v>63</v>
      </c>
      <c r="BF1" s="20" t="s">
        <v>64</v>
      </c>
      <c r="BG1" s="21" t="s">
        <v>65</v>
      </c>
      <c r="BH1" s="20" t="s">
        <v>66</v>
      </c>
      <c r="BI1" s="21" t="s">
        <v>67</v>
      </c>
    </row>
    <row r="2" spans="1:61" x14ac:dyDescent="0.25">
      <c r="A2" s="76">
        <v>152831</v>
      </c>
      <c r="B2" s="77" t="s">
        <v>1619</v>
      </c>
      <c r="C2" s="78" t="s">
        <v>1620</v>
      </c>
      <c r="D2" s="76" t="s">
        <v>70</v>
      </c>
      <c r="E2" s="79" t="s">
        <v>14</v>
      </c>
      <c r="F2" s="79" t="s">
        <v>220</v>
      </c>
      <c r="G2" s="79" t="s">
        <v>14</v>
      </c>
      <c r="H2" s="79" t="s">
        <v>14</v>
      </c>
      <c r="I2" s="78" t="s">
        <v>14</v>
      </c>
      <c r="J2" s="79" t="s">
        <v>14</v>
      </c>
      <c r="K2" s="142" t="s">
        <v>1850</v>
      </c>
      <c r="L2" s="143" t="s">
        <v>1841</v>
      </c>
      <c r="M2" s="144" t="s">
        <v>1853</v>
      </c>
      <c r="N2" s="145">
        <v>14</v>
      </c>
      <c r="O2" s="145">
        <v>0</v>
      </c>
      <c r="P2" s="146">
        <v>0</v>
      </c>
      <c r="Q2" s="147">
        <v>100</v>
      </c>
      <c r="R2" s="148">
        <v>0</v>
      </c>
      <c r="S2" s="38">
        <f t="shared" ref="S2:S65" si="0">COUNTIF($AD2:$BI2,"Outstanding")</f>
        <v>1</v>
      </c>
      <c r="T2" s="39">
        <f t="shared" ref="T2:T65" si="1">COUNTIF($AD2:$BI2,"Good")</f>
        <v>13</v>
      </c>
      <c r="U2" s="40">
        <f t="shared" ref="U2:U65" si="2">COUNTIF($AD2:$BI2,"N2Improve - Engagement")</f>
        <v>0</v>
      </c>
      <c r="V2" s="40">
        <f t="shared" ref="V2:V65" si="3">COUNTIF($AD2:$BI2,"N2Improve - Community Conduct")</f>
        <v>0</v>
      </c>
      <c r="W2" s="40">
        <f t="shared" ref="W2:W65" si="4">COUNTIF($AD2:$BI2,"N2Improve - Personal Org.")</f>
        <v>0</v>
      </c>
      <c r="X2" s="40">
        <f t="shared" ref="X2:X65" si="5">SUM(U2:W2)</f>
        <v>0</v>
      </c>
      <c r="Y2" s="40">
        <f t="shared" ref="Y2:Y65" si="6">COUNTIF($AD2:$BI2,"Serious Conc - Engagement")</f>
        <v>0</v>
      </c>
      <c r="Z2" s="40">
        <f t="shared" ref="Z2:Z65" si="7">COUNTIF($AD2:$BI2,"Serious Conc - Comm. Concern")</f>
        <v>0</v>
      </c>
      <c r="AA2" s="40">
        <f t="shared" ref="AA2:AA65" si="8">COUNTIF($AD2:$BI2,"Serious Conc - Personal Org.")</f>
        <v>0</v>
      </c>
      <c r="AB2" s="40">
        <f t="shared" ref="AB2:AB65" si="9">SUM(Y2:AA2)</f>
        <v>0</v>
      </c>
      <c r="AC2" s="41">
        <f>COUNTIF(AD2:BI2,"*still*")</f>
        <v>0</v>
      </c>
      <c r="AD2" s="42" t="s">
        <v>5</v>
      </c>
      <c r="AE2" s="43" t="s">
        <v>89</v>
      </c>
      <c r="AF2" s="42" t="s">
        <v>5</v>
      </c>
      <c r="AG2" s="43" t="s">
        <v>135</v>
      </c>
      <c r="AH2" s="42" t="s">
        <v>5</v>
      </c>
      <c r="AI2" s="43" t="s">
        <v>142</v>
      </c>
      <c r="AJ2" s="42" t="s">
        <v>5</v>
      </c>
      <c r="AK2" s="43" t="s">
        <v>74</v>
      </c>
      <c r="AL2" s="42" t="s">
        <v>5</v>
      </c>
      <c r="AM2" s="43" t="s">
        <v>142</v>
      </c>
      <c r="AN2" s="42"/>
      <c r="AO2" s="43"/>
      <c r="AP2" s="42" t="s">
        <v>5</v>
      </c>
      <c r="AQ2" s="43" t="s">
        <v>76</v>
      </c>
      <c r="AR2" s="42" t="s">
        <v>5</v>
      </c>
      <c r="AS2" s="43" t="s">
        <v>132</v>
      </c>
      <c r="AT2" s="42" t="s">
        <v>5</v>
      </c>
      <c r="AU2" s="43" t="s">
        <v>105</v>
      </c>
      <c r="AV2" s="42" t="s">
        <v>5</v>
      </c>
      <c r="AW2" s="43" t="s">
        <v>112</v>
      </c>
      <c r="AX2" s="42" t="s">
        <v>1</v>
      </c>
      <c r="AY2" s="43" t="s">
        <v>95</v>
      </c>
      <c r="AZ2" s="42"/>
      <c r="BA2" s="43"/>
      <c r="BB2" s="42" t="s">
        <v>5</v>
      </c>
      <c r="BC2" s="43" t="s">
        <v>121</v>
      </c>
      <c r="BD2" s="42" t="s">
        <v>5</v>
      </c>
      <c r="BE2" s="43" t="s">
        <v>97</v>
      </c>
      <c r="BF2" s="42" t="s">
        <v>5</v>
      </c>
      <c r="BG2" s="43" t="s">
        <v>123</v>
      </c>
      <c r="BH2" s="42" t="s">
        <v>5</v>
      </c>
      <c r="BI2" s="43" t="s">
        <v>130</v>
      </c>
    </row>
    <row r="3" spans="1:61" ht="30" x14ac:dyDescent="0.25">
      <c r="A3" s="76">
        <v>152924</v>
      </c>
      <c r="B3" s="77" t="s">
        <v>1621</v>
      </c>
      <c r="C3" s="78" t="s">
        <v>1622</v>
      </c>
      <c r="D3" s="76" t="s">
        <v>70</v>
      </c>
      <c r="E3" s="79" t="s">
        <v>14</v>
      </c>
      <c r="F3" s="79" t="s">
        <v>71</v>
      </c>
      <c r="G3" s="79" t="s">
        <v>87</v>
      </c>
      <c r="H3" s="79" t="s">
        <v>14</v>
      </c>
      <c r="I3" s="78" t="s">
        <v>14</v>
      </c>
      <c r="J3" s="79" t="s">
        <v>14</v>
      </c>
      <c r="K3" s="142" t="s">
        <v>1850</v>
      </c>
      <c r="L3" s="149" t="s">
        <v>1842</v>
      </c>
      <c r="M3" s="150" t="s">
        <v>12</v>
      </c>
      <c r="N3" s="151">
        <v>11</v>
      </c>
      <c r="O3" s="151">
        <v>0</v>
      </c>
      <c r="P3" s="152">
        <v>1</v>
      </c>
      <c r="Q3" s="153">
        <v>100</v>
      </c>
      <c r="R3" s="154">
        <v>0</v>
      </c>
      <c r="S3" s="38">
        <f t="shared" si="0"/>
        <v>0</v>
      </c>
      <c r="T3" s="39">
        <f t="shared" si="1"/>
        <v>14</v>
      </c>
      <c r="U3" s="40">
        <f t="shared" si="2"/>
        <v>0</v>
      </c>
      <c r="V3" s="40">
        <f t="shared" si="3"/>
        <v>0</v>
      </c>
      <c r="W3" s="40">
        <f t="shared" si="4"/>
        <v>0</v>
      </c>
      <c r="X3" s="40">
        <f t="shared" si="5"/>
        <v>0</v>
      </c>
      <c r="Y3" s="40">
        <f t="shared" si="6"/>
        <v>0</v>
      </c>
      <c r="Z3" s="40">
        <f t="shared" si="7"/>
        <v>0</v>
      </c>
      <c r="AA3" s="40">
        <f t="shared" si="8"/>
        <v>0</v>
      </c>
      <c r="AB3" s="40">
        <f t="shared" si="9"/>
        <v>0</v>
      </c>
      <c r="AC3" s="41">
        <f t="shared" ref="AC3:AC66" si="10">COUNTIF(AD3:BI3,"*still*")</f>
        <v>0</v>
      </c>
      <c r="AD3" s="49" t="s">
        <v>5</v>
      </c>
      <c r="AE3" s="50" t="s">
        <v>89</v>
      </c>
      <c r="AF3" s="49" t="s">
        <v>5</v>
      </c>
      <c r="AG3" s="50" t="s">
        <v>117</v>
      </c>
      <c r="AH3" s="49" t="s">
        <v>5</v>
      </c>
      <c r="AI3" s="50" t="s">
        <v>142</v>
      </c>
      <c r="AJ3" s="49" t="s">
        <v>5</v>
      </c>
      <c r="AK3" s="50" t="s">
        <v>111</v>
      </c>
      <c r="AL3" s="49" t="s">
        <v>5</v>
      </c>
      <c r="AM3" s="50" t="s">
        <v>98</v>
      </c>
      <c r="AN3" s="49" t="s">
        <v>5</v>
      </c>
      <c r="AO3" s="50" t="s">
        <v>75</v>
      </c>
      <c r="AP3" s="49" t="s">
        <v>5</v>
      </c>
      <c r="AQ3" s="50" t="s">
        <v>92</v>
      </c>
      <c r="AR3" s="49" t="s">
        <v>5</v>
      </c>
      <c r="AS3" s="50" t="s">
        <v>104</v>
      </c>
      <c r="AT3" s="49" t="s">
        <v>5</v>
      </c>
      <c r="AU3" s="50" t="s">
        <v>105</v>
      </c>
      <c r="AV3" s="49" t="s">
        <v>5</v>
      </c>
      <c r="AW3" s="50" t="s">
        <v>79</v>
      </c>
      <c r="AX3" s="49" t="s">
        <v>5</v>
      </c>
      <c r="AY3" s="50" t="s">
        <v>80</v>
      </c>
      <c r="AZ3" s="49"/>
      <c r="BA3" s="50"/>
      <c r="BB3" s="49" t="s">
        <v>5</v>
      </c>
      <c r="BC3" s="50" t="s">
        <v>81</v>
      </c>
      <c r="BD3" s="49" t="s">
        <v>5</v>
      </c>
      <c r="BE3" s="50" t="s">
        <v>122</v>
      </c>
      <c r="BF3" s="49" t="s">
        <v>5</v>
      </c>
      <c r="BG3" s="50" t="s">
        <v>83</v>
      </c>
      <c r="BH3" s="49"/>
      <c r="BI3" s="50"/>
    </row>
    <row r="4" spans="1:61" x14ac:dyDescent="0.25">
      <c r="A4" s="76">
        <v>152810</v>
      </c>
      <c r="B4" s="77" t="s">
        <v>1623</v>
      </c>
      <c r="C4" s="78" t="s">
        <v>1620</v>
      </c>
      <c r="D4" s="76" t="s">
        <v>12</v>
      </c>
      <c r="E4" s="79" t="s">
        <v>14</v>
      </c>
      <c r="F4" s="79" t="s">
        <v>88</v>
      </c>
      <c r="G4" s="79" t="s">
        <v>14</v>
      </c>
      <c r="H4" s="79" t="s">
        <v>14</v>
      </c>
      <c r="I4" s="78" t="s">
        <v>14</v>
      </c>
      <c r="J4" s="79" t="s">
        <v>14</v>
      </c>
      <c r="K4" s="142" t="s">
        <v>1850</v>
      </c>
      <c r="L4" s="149" t="s">
        <v>1841</v>
      </c>
      <c r="M4" s="150" t="s">
        <v>1853</v>
      </c>
      <c r="N4" s="151">
        <v>14</v>
      </c>
      <c r="O4" s="151">
        <v>0</v>
      </c>
      <c r="P4" s="152">
        <v>0</v>
      </c>
      <c r="Q4" s="153">
        <v>100</v>
      </c>
      <c r="R4" s="154">
        <v>1</v>
      </c>
      <c r="S4" s="38">
        <f t="shared" si="0"/>
        <v>3</v>
      </c>
      <c r="T4" s="39">
        <f t="shared" si="1"/>
        <v>11</v>
      </c>
      <c r="U4" s="40">
        <f t="shared" si="2"/>
        <v>0</v>
      </c>
      <c r="V4" s="40">
        <f t="shared" si="3"/>
        <v>0</v>
      </c>
      <c r="W4" s="40">
        <f t="shared" si="4"/>
        <v>0</v>
      </c>
      <c r="X4" s="40">
        <f t="shared" si="5"/>
        <v>0</v>
      </c>
      <c r="Y4" s="40">
        <f t="shared" si="6"/>
        <v>0</v>
      </c>
      <c r="Z4" s="40">
        <f t="shared" si="7"/>
        <v>0</v>
      </c>
      <c r="AA4" s="40">
        <f t="shared" si="8"/>
        <v>0</v>
      </c>
      <c r="AB4" s="40">
        <f t="shared" si="9"/>
        <v>0</v>
      </c>
      <c r="AC4" s="41">
        <f t="shared" si="10"/>
        <v>0</v>
      </c>
      <c r="AD4" s="49" t="s">
        <v>5</v>
      </c>
      <c r="AE4" s="50" t="s">
        <v>89</v>
      </c>
      <c r="AF4" s="49" t="s">
        <v>5</v>
      </c>
      <c r="AG4" s="50" t="s">
        <v>90</v>
      </c>
      <c r="AH4" s="49" t="s">
        <v>5</v>
      </c>
      <c r="AI4" s="50" t="s">
        <v>142</v>
      </c>
      <c r="AJ4" s="49" t="s">
        <v>5</v>
      </c>
      <c r="AK4" s="50" t="s">
        <v>74</v>
      </c>
      <c r="AL4" s="49" t="s">
        <v>5</v>
      </c>
      <c r="AM4" s="50" t="s">
        <v>142</v>
      </c>
      <c r="AN4" s="49"/>
      <c r="AO4" s="50"/>
      <c r="AP4" s="49" t="s">
        <v>5</v>
      </c>
      <c r="AQ4" s="50" t="s">
        <v>76</v>
      </c>
      <c r="AR4" s="49" t="s">
        <v>1</v>
      </c>
      <c r="AS4" s="50" t="s">
        <v>132</v>
      </c>
      <c r="AT4" s="49" t="s">
        <v>5</v>
      </c>
      <c r="AU4" s="50" t="s">
        <v>105</v>
      </c>
      <c r="AV4" s="49" t="s">
        <v>5</v>
      </c>
      <c r="AW4" s="50" t="s">
        <v>112</v>
      </c>
      <c r="AX4" s="49" t="s">
        <v>5</v>
      </c>
      <c r="AY4" s="50" t="s">
        <v>95</v>
      </c>
      <c r="AZ4" s="49"/>
      <c r="BA4" s="50"/>
      <c r="BB4" s="49" t="s">
        <v>1</v>
      </c>
      <c r="BC4" s="50" t="s">
        <v>741</v>
      </c>
      <c r="BD4" s="49" t="s">
        <v>1</v>
      </c>
      <c r="BE4" s="50" t="s">
        <v>97</v>
      </c>
      <c r="BF4" s="49" t="s">
        <v>5</v>
      </c>
      <c r="BG4" s="50" t="s">
        <v>83</v>
      </c>
      <c r="BH4" s="49" t="s">
        <v>5</v>
      </c>
      <c r="BI4" s="50" t="s">
        <v>130</v>
      </c>
    </row>
    <row r="5" spans="1:61" x14ac:dyDescent="0.25">
      <c r="A5" s="76">
        <v>152847</v>
      </c>
      <c r="B5" s="77" t="s">
        <v>1624</v>
      </c>
      <c r="C5" s="78" t="s">
        <v>1620</v>
      </c>
      <c r="D5" s="76" t="s">
        <v>70</v>
      </c>
      <c r="E5" s="79" t="s">
        <v>14</v>
      </c>
      <c r="F5" s="79" t="s">
        <v>71</v>
      </c>
      <c r="G5" s="79" t="s">
        <v>14</v>
      </c>
      <c r="H5" s="79" t="s">
        <v>14</v>
      </c>
      <c r="I5" s="78" t="s">
        <v>14</v>
      </c>
      <c r="J5" s="79" t="s">
        <v>14</v>
      </c>
      <c r="K5" s="142" t="s">
        <v>1850</v>
      </c>
      <c r="L5" s="149" t="s">
        <v>1844</v>
      </c>
      <c r="M5" s="150" t="s">
        <v>12</v>
      </c>
      <c r="N5" s="151">
        <v>11</v>
      </c>
      <c r="O5" s="151">
        <v>1</v>
      </c>
      <c r="P5" s="152">
        <v>0</v>
      </c>
      <c r="Q5" s="153">
        <v>84.78</v>
      </c>
      <c r="R5" s="154">
        <v>0</v>
      </c>
      <c r="S5" s="38">
        <f t="shared" si="0"/>
        <v>0</v>
      </c>
      <c r="T5" s="39">
        <f t="shared" si="1"/>
        <v>14</v>
      </c>
      <c r="U5" s="40">
        <f t="shared" si="2"/>
        <v>0</v>
      </c>
      <c r="V5" s="40">
        <f t="shared" si="3"/>
        <v>0</v>
      </c>
      <c r="W5" s="40">
        <f t="shared" si="4"/>
        <v>0</v>
      </c>
      <c r="X5" s="40">
        <f t="shared" si="5"/>
        <v>0</v>
      </c>
      <c r="Y5" s="40">
        <f t="shared" si="6"/>
        <v>0</v>
      </c>
      <c r="Z5" s="40">
        <f t="shared" si="7"/>
        <v>0</v>
      </c>
      <c r="AA5" s="40">
        <f t="shared" si="8"/>
        <v>0</v>
      </c>
      <c r="AB5" s="40">
        <f t="shared" si="9"/>
        <v>0</v>
      </c>
      <c r="AC5" s="41">
        <f t="shared" si="10"/>
        <v>0</v>
      </c>
      <c r="AD5" s="49" t="s">
        <v>5</v>
      </c>
      <c r="AE5" s="50" t="s">
        <v>89</v>
      </c>
      <c r="AF5" s="49" t="s">
        <v>5</v>
      </c>
      <c r="AG5" s="50" t="s">
        <v>73</v>
      </c>
      <c r="AH5" s="49" t="s">
        <v>5</v>
      </c>
      <c r="AI5" s="50" t="s">
        <v>142</v>
      </c>
      <c r="AJ5" s="49" t="s">
        <v>5</v>
      </c>
      <c r="AK5" s="50" t="s">
        <v>102</v>
      </c>
      <c r="AL5" s="49" t="s">
        <v>5</v>
      </c>
      <c r="AM5" s="50" t="s">
        <v>142</v>
      </c>
      <c r="AN5" s="49"/>
      <c r="AO5" s="50"/>
      <c r="AP5" s="49" t="s">
        <v>5</v>
      </c>
      <c r="AQ5" s="50" t="s">
        <v>76</v>
      </c>
      <c r="AR5" s="49" t="s">
        <v>5</v>
      </c>
      <c r="AS5" s="50" t="s">
        <v>132</v>
      </c>
      <c r="AT5" s="49" t="s">
        <v>5</v>
      </c>
      <c r="AU5" s="50" t="s">
        <v>105</v>
      </c>
      <c r="AV5" s="49" t="s">
        <v>5</v>
      </c>
      <c r="AW5" s="50" t="s">
        <v>430</v>
      </c>
      <c r="AX5" s="49" t="s">
        <v>5</v>
      </c>
      <c r="AY5" s="50" t="s">
        <v>95</v>
      </c>
      <c r="AZ5" s="49"/>
      <c r="BA5" s="50"/>
      <c r="BB5" s="49" t="s">
        <v>5</v>
      </c>
      <c r="BC5" s="50" t="s">
        <v>121</v>
      </c>
      <c r="BD5" s="49" t="s">
        <v>5</v>
      </c>
      <c r="BE5" s="50" t="s">
        <v>97</v>
      </c>
      <c r="BF5" s="49" t="s">
        <v>5</v>
      </c>
      <c r="BG5" s="50" t="s">
        <v>164</v>
      </c>
      <c r="BH5" s="49" t="s">
        <v>5</v>
      </c>
      <c r="BI5" s="50" t="s">
        <v>130</v>
      </c>
    </row>
    <row r="6" spans="1:61" x14ac:dyDescent="0.25">
      <c r="A6" s="76">
        <v>152799</v>
      </c>
      <c r="B6" s="77" t="s">
        <v>1625</v>
      </c>
      <c r="C6" s="78" t="s">
        <v>1620</v>
      </c>
      <c r="D6" s="76" t="s">
        <v>70</v>
      </c>
      <c r="E6" s="79" t="s">
        <v>14</v>
      </c>
      <c r="F6" s="79" t="s">
        <v>71</v>
      </c>
      <c r="G6" s="79" t="s">
        <v>14</v>
      </c>
      <c r="H6" s="79" t="s">
        <v>14</v>
      </c>
      <c r="I6" s="78" t="s">
        <v>14</v>
      </c>
      <c r="J6" s="79" t="s">
        <v>14</v>
      </c>
      <c r="K6" s="142" t="s">
        <v>1850</v>
      </c>
      <c r="L6" s="149" t="s">
        <v>1841</v>
      </c>
      <c r="M6" s="150" t="s">
        <v>1853</v>
      </c>
      <c r="N6" s="151">
        <v>19</v>
      </c>
      <c r="O6" s="151">
        <v>0</v>
      </c>
      <c r="P6" s="152">
        <v>0</v>
      </c>
      <c r="Q6" s="153">
        <v>100</v>
      </c>
      <c r="R6" s="154">
        <v>0</v>
      </c>
      <c r="S6" s="38">
        <f t="shared" si="0"/>
        <v>3</v>
      </c>
      <c r="T6" s="39">
        <f t="shared" si="1"/>
        <v>11</v>
      </c>
      <c r="U6" s="40">
        <f t="shared" si="2"/>
        <v>0</v>
      </c>
      <c r="V6" s="40">
        <f t="shared" si="3"/>
        <v>0</v>
      </c>
      <c r="W6" s="40">
        <f t="shared" si="4"/>
        <v>0</v>
      </c>
      <c r="X6" s="40">
        <f t="shared" si="5"/>
        <v>0</v>
      </c>
      <c r="Y6" s="40">
        <f t="shared" si="6"/>
        <v>0</v>
      </c>
      <c r="Z6" s="40">
        <f t="shared" si="7"/>
        <v>0</v>
      </c>
      <c r="AA6" s="40">
        <f t="shared" si="8"/>
        <v>0</v>
      </c>
      <c r="AB6" s="40">
        <f t="shared" si="9"/>
        <v>0</v>
      </c>
      <c r="AC6" s="41">
        <f t="shared" si="10"/>
        <v>0</v>
      </c>
      <c r="AD6" s="49" t="s">
        <v>5</v>
      </c>
      <c r="AE6" s="50" t="s">
        <v>89</v>
      </c>
      <c r="AF6" s="49"/>
      <c r="AG6" s="50"/>
      <c r="AH6" s="49" t="s">
        <v>5</v>
      </c>
      <c r="AI6" s="50" t="s">
        <v>142</v>
      </c>
      <c r="AJ6" s="49" t="s">
        <v>5</v>
      </c>
      <c r="AK6" s="50" t="s">
        <v>74</v>
      </c>
      <c r="AL6" s="49" t="s">
        <v>5</v>
      </c>
      <c r="AM6" s="50" t="s">
        <v>142</v>
      </c>
      <c r="AN6" s="49"/>
      <c r="AO6" s="50"/>
      <c r="AP6" s="49" t="s">
        <v>5</v>
      </c>
      <c r="AQ6" s="50" t="s">
        <v>76</v>
      </c>
      <c r="AR6" s="49" t="s">
        <v>5</v>
      </c>
      <c r="AS6" s="50" t="s">
        <v>132</v>
      </c>
      <c r="AT6" s="49" t="s">
        <v>5</v>
      </c>
      <c r="AU6" s="50" t="s">
        <v>105</v>
      </c>
      <c r="AV6" s="49" t="s">
        <v>1</v>
      </c>
      <c r="AW6" s="50" t="s">
        <v>112</v>
      </c>
      <c r="AX6" s="49" t="s">
        <v>1</v>
      </c>
      <c r="AY6" s="50" t="s">
        <v>95</v>
      </c>
      <c r="AZ6" s="49" t="s">
        <v>5</v>
      </c>
      <c r="BA6" s="50" t="s">
        <v>105</v>
      </c>
      <c r="BB6" s="49" t="s">
        <v>1</v>
      </c>
      <c r="BC6" s="50" t="s">
        <v>152</v>
      </c>
      <c r="BD6" s="49" t="s">
        <v>5</v>
      </c>
      <c r="BE6" s="50" t="s">
        <v>97</v>
      </c>
      <c r="BF6" s="49" t="s">
        <v>5</v>
      </c>
      <c r="BG6" s="50" t="s">
        <v>164</v>
      </c>
      <c r="BH6" s="49" t="s">
        <v>5</v>
      </c>
      <c r="BI6" s="50" t="s">
        <v>130</v>
      </c>
    </row>
    <row r="7" spans="1:61" x14ac:dyDescent="0.25">
      <c r="A7" s="76">
        <v>152923</v>
      </c>
      <c r="B7" s="77" t="s">
        <v>1626</v>
      </c>
      <c r="C7" s="78" t="s">
        <v>1620</v>
      </c>
      <c r="D7" s="76" t="s">
        <v>12</v>
      </c>
      <c r="E7" s="79" t="s">
        <v>14</v>
      </c>
      <c r="F7" s="79" t="s">
        <v>88</v>
      </c>
      <c r="G7" s="79" t="s">
        <v>14</v>
      </c>
      <c r="H7" s="79" t="s">
        <v>14</v>
      </c>
      <c r="I7" s="78" t="s">
        <v>14</v>
      </c>
      <c r="J7" s="79" t="s">
        <v>14</v>
      </c>
      <c r="K7" s="142" t="s">
        <v>1850</v>
      </c>
      <c r="L7" s="149" t="s">
        <v>1841</v>
      </c>
      <c r="M7" s="150" t="s">
        <v>1853</v>
      </c>
      <c r="N7" s="151">
        <v>13</v>
      </c>
      <c r="O7" s="151">
        <v>0</v>
      </c>
      <c r="P7" s="152">
        <v>0</v>
      </c>
      <c r="Q7" s="153">
        <v>97.83</v>
      </c>
      <c r="R7" s="154">
        <v>5</v>
      </c>
      <c r="S7" s="38">
        <f t="shared" si="0"/>
        <v>0</v>
      </c>
      <c r="T7" s="39">
        <f t="shared" si="1"/>
        <v>14</v>
      </c>
      <c r="U7" s="40">
        <f t="shared" si="2"/>
        <v>0</v>
      </c>
      <c r="V7" s="40">
        <f t="shared" si="3"/>
        <v>0</v>
      </c>
      <c r="W7" s="40">
        <f t="shared" si="4"/>
        <v>0</v>
      </c>
      <c r="X7" s="40">
        <f t="shared" si="5"/>
        <v>0</v>
      </c>
      <c r="Y7" s="40">
        <f t="shared" si="6"/>
        <v>0</v>
      </c>
      <c r="Z7" s="40">
        <f t="shared" si="7"/>
        <v>0</v>
      </c>
      <c r="AA7" s="40">
        <f t="shared" si="8"/>
        <v>0</v>
      </c>
      <c r="AB7" s="40">
        <f t="shared" si="9"/>
        <v>0</v>
      </c>
      <c r="AC7" s="41">
        <f t="shared" si="10"/>
        <v>0</v>
      </c>
      <c r="AD7" s="49" t="s">
        <v>5</v>
      </c>
      <c r="AE7" s="50" t="s">
        <v>89</v>
      </c>
      <c r="AF7" s="49" t="s">
        <v>5</v>
      </c>
      <c r="AG7" s="50" t="s">
        <v>117</v>
      </c>
      <c r="AH7" s="49" t="s">
        <v>5</v>
      </c>
      <c r="AI7" s="50" t="s">
        <v>142</v>
      </c>
      <c r="AJ7" s="49" t="s">
        <v>5</v>
      </c>
      <c r="AK7" s="50" t="s">
        <v>74</v>
      </c>
      <c r="AL7" s="49" t="s">
        <v>5</v>
      </c>
      <c r="AM7" s="50" t="s">
        <v>142</v>
      </c>
      <c r="AN7" s="49"/>
      <c r="AO7" s="50"/>
      <c r="AP7" s="49" t="s">
        <v>5</v>
      </c>
      <c r="AQ7" s="50" t="s">
        <v>76</v>
      </c>
      <c r="AR7" s="49" t="s">
        <v>5</v>
      </c>
      <c r="AS7" s="50" t="s">
        <v>132</v>
      </c>
      <c r="AT7" s="49" t="s">
        <v>5</v>
      </c>
      <c r="AU7" s="50" t="s">
        <v>105</v>
      </c>
      <c r="AV7" s="49" t="s">
        <v>5</v>
      </c>
      <c r="AW7" s="50" t="s">
        <v>94</v>
      </c>
      <c r="AX7" s="49" t="s">
        <v>5</v>
      </c>
      <c r="AY7" s="50" t="s">
        <v>95</v>
      </c>
      <c r="AZ7" s="49"/>
      <c r="BA7" s="50"/>
      <c r="BB7" s="49" t="s">
        <v>5</v>
      </c>
      <c r="BC7" s="50" t="s">
        <v>741</v>
      </c>
      <c r="BD7" s="49" t="s">
        <v>5</v>
      </c>
      <c r="BE7" s="50" t="s">
        <v>97</v>
      </c>
      <c r="BF7" s="49" t="s">
        <v>5</v>
      </c>
      <c r="BG7" s="50" t="s">
        <v>164</v>
      </c>
      <c r="BH7" s="49" t="s">
        <v>5</v>
      </c>
      <c r="BI7" s="50" t="s">
        <v>130</v>
      </c>
    </row>
    <row r="8" spans="1:61" x14ac:dyDescent="0.25">
      <c r="A8" s="76">
        <v>152753</v>
      </c>
      <c r="B8" s="77" t="s">
        <v>1627</v>
      </c>
      <c r="C8" s="78" t="s">
        <v>1628</v>
      </c>
      <c r="D8" s="76" t="s">
        <v>70</v>
      </c>
      <c r="E8" s="79" t="s">
        <v>87</v>
      </c>
      <c r="F8" s="79" t="s">
        <v>88</v>
      </c>
      <c r="G8" s="79" t="s">
        <v>87</v>
      </c>
      <c r="H8" s="79" t="s">
        <v>87</v>
      </c>
      <c r="I8" s="78" t="s">
        <v>14</v>
      </c>
      <c r="J8" s="79" t="s">
        <v>14</v>
      </c>
      <c r="K8" s="142" t="s">
        <v>1850</v>
      </c>
      <c r="L8" s="149" t="s">
        <v>1845</v>
      </c>
      <c r="M8" s="150" t="s">
        <v>12</v>
      </c>
      <c r="N8" s="151">
        <v>22</v>
      </c>
      <c r="O8" s="151">
        <v>0</v>
      </c>
      <c r="P8" s="152">
        <v>0</v>
      </c>
      <c r="Q8" s="153">
        <v>100</v>
      </c>
      <c r="R8" s="154">
        <v>4</v>
      </c>
      <c r="S8" s="38">
        <f t="shared" si="0"/>
        <v>0</v>
      </c>
      <c r="T8" s="39">
        <f t="shared" si="1"/>
        <v>14</v>
      </c>
      <c r="U8" s="40">
        <f t="shared" si="2"/>
        <v>0</v>
      </c>
      <c r="V8" s="40">
        <f t="shared" si="3"/>
        <v>0</v>
      </c>
      <c r="W8" s="40">
        <f t="shared" si="4"/>
        <v>0</v>
      </c>
      <c r="X8" s="40">
        <f t="shared" si="5"/>
        <v>0</v>
      </c>
      <c r="Y8" s="40">
        <f t="shared" si="6"/>
        <v>0</v>
      </c>
      <c r="Z8" s="40">
        <f t="shared" si="7"/>
        <v>0</v>
      </c>
      <c r="AA8" s="40">
        <f t="shared" si="8"/>
        <v>0</v>
      </c>
      <c r="AB8" s="40">
        <f t="shared" si="9"/>
        <v>0</v>
      </c>
      <c r="AC8" s="41">
        <f t="shared" si="10"/>
        <v>0</v>
      </c>
      <c r="AD8" s="49" t="s">
        <v>5</v>
      </c>
      <c r="AE8" s="50" t="s">
        <v>116</v>
      </c>
      <c r="AF8" s="49" t="s">
        <v>5</v>
      </c>
      <c r="AG8" s="50" t="s">
        <v>135</v>
      </c>
      <c r="AH8" s="49" t="s">
        <v>5</v>
      </c>
      <c r="AI8" s="50" t="s">
        <v>101</v>
      </c>
      <c r="AJ8" s="49" t="s">
        <v>5</v>
      </c>
      <c r="AK8" s="50" t="s">
        <v>459</v>
      </c>
      <c r="AL8" s="49" t="s">
        <v>5</v>
      </c>
      <c r="AM8" s="50" t="s">
        <v>106</v>
      </c>
      <c r="AN8" s="49" t="s">
        <v>5</v>
      </c>
      <c r="AO8" s="50" t="s">
        <v>103</v>
      </c>
      <c r="AP8" s="49" t="s">
        <v>5</v>
      </c>
      <c r="AQ8" s="50" t="s">
        <v>144</v>
      </c>
      <c r="AR8" s="49" t="s">
        <v>5</v>
      </c>
      <c r="AS8" s="50" t="s">
        <v>104</v>
      </c>
      <c r="AT8" s="49" t="s">
        <v>5</v>
      </c>
      <c r="AU8" s="50" t="s">
        <v>105</v>
      </c>
      <c r="AV8" s="49" t="s">
        <v>5</v>
      </c>
      <c r="AW8" s="50" t="s">
        <v>94</v>
      </c>
      <c r="AX8" s="49" t="s">
        <v>5</v>
      </c>
      <c r="AY8" s="50" t="s">
        <v>95</v>
      </c>
      <c r="AZ8" s="49"/>
      <c r="BA8" s="50"/>
      <c r="BB8" s="49" t="s">
        <v>5</v>
      </c>
      <c r="BC8" s="50" t="s">
        <v>81</v>
      </c>
      <c r="BD8" s="49" t="s">
        <v>5</v>
      </c>
      <c r="BE8" s="50" t="s">
        <v>108</v>
      </c>
      <c r="BF8" s="49" t="s">
        <v>5</v>
      </c>
      <c r="BG8" s="50" t="s">
        <v>98</v>
      </c>
      <c r="BH8" s="49"/>
      <c r="BI8" s="50"/>
    </row>
    <row r="9" spans="1:61" x14ac:dyDescent="0.25">
      <c r="A9" s="76">
        <v>152745</v>
      </c>
      <c r="B9" s="77" t="s">
        <v>1629</v>
      </c>
      <c r="C9" s="78" t="s">
        <v>1630</v>
      </c>
      <c r="D9" s="76" t="s">
        <v>12</v>
      </c>
      <c r="E9" s="79" t="s">
        <v>14</v>
      </c>
      <c r="F9" s="79" t="s">
        <v>126</v>
      </c>
      <c r="G9" s="79" t="s">
        <v>14</v>
      </c>
      <c r="H9" s="79" t="s">
        <v>14</v>
      </c>
      <c r="I9" s="78" t="s">
        <v>14</v>
      </c>
      <c r="J9" s="79" t="s">
        <v>14</v>
      </c>
      <c r="K9" s="142" t="s">
        <v>1850</v>
      </c>
      <c r="L9" s="149" t="s">
        <v>1844</v>
      </c>
      <c r="M9" s="150" t="s">
        <v>12</v>
      </c>
      <c r="N9" s="151">
        <v>30</v>
      </c>
      <c r="O9" s="151">
        <v>0</v>
      </c>
      <c r="P9" s="152">
        <v>1</v>
      </c>
      <c r="Q9" s="153">
        <v>100</v>
      </c>
      <c r="R9" s="154">
        <v>0</v>
      </c>
      <c r="S9" s="38">
        <f t="shared" si="0"/>
        <v>2</v>
      </c>
      <c r="T9" s="39">
        <f t="shared" si="1"/>
        <v>12</v>
      </c>
      <c r="U9" s="40">
        <f t="shared" si="2"/>
        <v>0</v>
      </c>
      <c r="V9" s="40">
        <f t="shared" si="3"/>
        <v>0</v>
      </c>
      <c r="W9" s="40">
        <f t="shared" si="4"/>
        <v>0</v>
      </c>
      <c r="X9" s="40">
        <f t="shared" si="5"/>
        <v>0</v>
      </c>
      <c r="Y9" s="40">
        <f t="shared" si="6"/>
        <v>0</v>
      </c>
      <c r="Z9" s="40">
        <f t="shared" si="7"/>
        <v>0</v>
      </c>
      <c r="AA9" s="40">
        <f t="shared" si="8"/>
        <v>0</v>
      </c>
      <c r="AB9" s="40">
        <f t="shared" si="9"/>
        <v>0</v>
      </c>
      <c r="AC9" s="41">
        <f t="shared" si="10"/>
        <v>0</v>
      </c>
      <c r="AD9" s="49" t="s">
        <v>5</v>
      </c>
      <c r="AE9" s="50" t="s">
        <v>89</v>
      </c>
      <c r="AF9" s="49" t="s">
        <v>5</v>
      </c>
      <c r="AG9" s="50" t="s">
        <v>117</v>
      </c>
      <c r="AH9" s="49" t="s">
        <v>5</v>
      </c>
      <c r="AI9" s="50" t="s">
        <v>101</v>
      </c>
      <c r="AJ9" s="49" t="s">
        <v>5</v>
      </c>
      <c r="AK9" s="50" t="s">
        <v>102</v>
      </c>
      <c r="AL9" s="49" t="s">
        <v>1</v>
      </c>
      <c r="AM9" s="50" t="s">
        <v>94</v>
      </c>
      <c r="AN9" s="49"/>
      <c r="AO9" s="50"/>
      <c r="AP9" s="49" t="s">
        <v>5</v>
      </c>
      <c r="AQ9" s="50" t="s">
        <v>131</v>
      </c>
      <c r="AR9" s="49" t="s">
        <v>5</v>
      </c>
      <c r="AS9" s="50" t="s">
        <v>120</v>
      </c>
      <c r="AT9" s="49" t="s">
        <v>5</v>
      </c>
      <c r="AU9" s="50" t="s">
        <v>78</v>
      </c>
      <c r="AV9" s="49" t="s">
        <v>5</v>
      </c>
      <c r="AW9" s="50" t="s">
        <v>94</v>
      </c>
      <c r="AX9" s="49" t="s">
        <v>5</v>
      </c>
      <c r="AY9" s="50" t="s">
        <v>95</v>
      </c>
      <c r="AZ9" s="49"/>
      <c r="BA9" s="50"/>
      <c r="BB9" s="49" t="s">
        <v>1</v>
      </c>
      <c r="BC9" s="50" t="s">
        <v>96</v>
      </c>
      <c r="BD9" s="49" t="s">
        <v>5</v>
      </c>
      <c r="BE9" s="50" t="s">
        <v>495</v>
      </c>
      <c r="BF9" s="49" t="s">
        <v>5</v>
      </c>
      <c r="BG9" s="50" t="s">
        <v>123</v>
      </c>
      <c r="BH9" s="49" t="s">
        <v>5</v>
      </c>
      <c r="BI9" s="50" t="s">
        <v>103</v>
      </c>
    </row>
    <row r="10" spans="1:61" x14ac:dyDescent="0.25">
      <c r="A10" s="76">
        <v>152827</v>
      </c>
      <c r="B10" s="77" t="s">
        <v>1631</v>
      </c>
      <c r="C10" s="78" t="s">
        <v>1630</v>
      </c>
      <c r="D10" s="76" t="s">
        <v>70</v>
      </c>
      <c r="E10" s="79" t="s">
        <v>14</v>
      </c>
      <c r="F10" s="79" t="s">
        <v>88</v>
      </c>
      <c r="G10" s="79" t="s">
        <v>87</v>
      </c>
      <c r="H10" s="79" t="s">
        <v>14</v>
      </c>
      <c r="I10" s="78" t="s">
        <v>14</v>
      </c>
      <c r="J10" s="79" t="s">
        <v>14</v>
      </c>
      <c r="K10" s="142" t="s">
        <v>1850</v>
      </c>
      <c r="L10" s="149" t="s">
        <v>1844</v>
      </c>
      <c r="M10" s="150" t="s">
        <v>12</v>
      </c>
      <c r="N10" s="151">
        <v>30</v>
      </c>
      <c r="O10" s="151">
        <v>2</v>
      </c>
      <c r="P10" s="152">
        <v>1</v>
      </c>
      <c r="Q10" s="153">
        <v>93.48</v>
      </c>
      <c r="R10" s="154">
        <v>4</v>
      </c>
      <c r="S10" s="38">
        <f t="shared" si="0"/>
        <v>0</v>
      </c>
      <c r="T10" s="39">
        <f t="shared" si="1"/>
        <v>14</v>
      </c>
      <c r="U10" s="40">
        <f t="shared" si="2"/>
        <v>0</v>
      </c>
      <c r="V10" s="40">
        <f t="shared" si="3"/>
        <v>0</v>
      </c>
      <c r="W10" s="40">
        <f t="shared" si="4"/>
        <v>0</v>
      </c>
      <c r="X10" s="40">
        <f t="shared" si="5"/>
        <v>0</v>
      </c>
      <c r="Y10" s="40">
        <f t="shared" si="6"/>
        <v>0</v>
      </c>
      <c r="Z10" s="40">
        <f t="shared" si="7"/>
        <v>0</v>
      </c>
      <c r="AA10" s="40">
        <f t="shared" si="8"/>
        <v>0</v>
      </c>
      <c r="AB10" s="40">
        <f t="shared" si="9"/>
        <v>0</v>
      </c>
      <c r="AC10" s="41">
        <f t="shared" si="10"/>
        <v>0</v>
      </c>
      <c r="AD10" s="49" t="s">
        <v>5</v>
      </c>
      <c r="AE10" s="50" t="s">
        <v>89</v>
      </c>
      <c r="AF10" s="49" t="s">
        <v>5</v>
      </c>
      <c r="AG10" s="50" t="s">
        <v>135</v>
      </c>
      <c r="AH10" s="49" t="s">
        <v>5</v>
      </c>
      <c r="AI10" s="50" t="s">
        <v>101</v>
      </c>
      <c r="AJ10" s="49" t="s">
        <v>5</v>
      </c>
      <c r="AK10" s="50" t="s">
        <v>194</v>
      </c>
      <c r="AL10" s="49" t="s">
        <v>5</v>
      </c>
      <c r="AM10" s="50" t="s">
        <v>94</v>
      </c>
      <c r="AN10" s="49"/>
      <c r="AO10" s="50"/>
      <c r="AP10" s="49" t="s">
        <v>5</v>
      </c>
      <c r="AQ10" s="50" t="s">
        <v>131</v>
      </c>
      <c r="AR10" s="49" t="s">
        <v>5</v>
      </c>
      <c r="AS10" s="50" t="s">
        <v>120</v>
      </c>
      <c r="AT10" s="49" t="s">
        <v>5</v>
      </c>
      <c r="AU10" s="50" t="s">
        <v>78</v>
      </c>
      <c r="AV10" s="49" t="s">
        <v>5</v>
      </c>
      <c r="AW10" s="50" t="s">
        <v>112</v>
      </c>
      <c r="AX10" s="49" t="s">
        <v>5</v>
      </c>
      <c r="AY10" s="50" t="s">
        <v>95</v>
      </c>
      <c r="AZ10" s="49"/>
      <c r="BA10" s="50"/>
      <c r="BB10" s="49" t="s">
        <v>5</v>
      </c>
      <c r="BC10" s="50" t="s">
        <v>121</v>
      </c>
      <c r="BD10" s="49" t="s">
        <v>5</v>
      </c>
      <c r="BE10" s="50" t="s">
        <v>495</v>
      </c>
      <c r="BF10" s="49" t="s">
        <v>5</v>
      </c>
      <c r="BG10" s="50" t="s">
        <v>164</v>
      </c>
      <c r="BH10" s="49" t="s">
        <v>5</v>
      </c>
      <c r="BI10" s="50" t="s">
        <v>103</v>
      </c>
    </row>
    <row r="11" spans="1:61" x14ac:dyDescent="0.25">
      <c r="A11" s="76">
        <v>152882</v>
      </c>
      <c r="B11" s="77" t="s">
        <v>1632</v>
      </c>
      <c r="C11" s="78" t="s">
        <v>1633</v>
      </c>
      <c r="D11" s="76" t="s">
        <v>12</v>
      </c>
      <c r="E11" s="79" t="s">
        <v>87</v>
      </c>
      <c r="F11" s="79" t="s">
        <v>71</v>
      </c>
      <c r="G11" s="79" t="s">
        <v>14</v>
      </c>
      <c r="H11" s="79" t="s">
        <v>87</v>
      </c>
      <c r="I11" s="78" t="s">
        <v>14</v>
      </c>
      <c r="J11" s="79" t="s">
        <v>14</v>
      </c>
      <c r="K11" s="142" t="s">
        <v>1851</v>
      </c>
      <c r="L11" s="149" t="s">
        <v>1844</v>
      </c>
      <c r="M11" s="150" t="s">
        <v>12</v>
      </c>
      <c r="N11" s="151">
        <v>24</v>
      </c>
      <c r="O11" s="151">
        <v>4</v>
      </c>
      <c r="P11" s="152">
        <v>1</v>
      </c>
      <c r="Q11" s="153">
        <v>93.33</v>
      </c>
      <c r="R11" s="154">
        <v>2</v>
      </c>
      <c r="S11" s="38">
        <f t="shared" si="0"/>
        <v>1</v>
      </c>
      <c r="T11" s="39">
        <f t="shared" si="1"/>
        <v>11</v>
      </c>
      <c r="U11" s="40">
        <f t="shared" si="2"/>
        <v>1</v>
      </c>
      <c r="V11" s="40">
        <f t="shared" si="3"/>
        <v>0</v>
      </c>
      <c r="W11" s="40">
        <f t="shared" si="4"/>
        <v>1</v>
      </c>
      <c r="X11" s="40">
        <f t="shared" si="5"/>
        <v>2</v>
      </c>
      <c r="Y11" s="40">
        <f t="shared" si="6"/>
        <v>0</v>
      </c>
      <c r="Z11" s="40">
        <f t="shared" si="7"/>
        <v>0</v>
      </c>
      <c r="AA11" s="40">
        <f t="shared" si="8"/>
        <v>0</v>
      </c>
      <c r="AB11" s="40">
        <f t="shared" si="9"/>
        <v>0</v>
      </c>
      <c r="AC11" s="41">
        <f t="shared" si="10"/>
        <v>0</v>
      </c>
      <c r="AD11" s="49" t="s">
        <v>5</v>
      </c>
      <c r="AE11" s="50" t="s">
        <v>89</v>
      </c>
      <c r="AF11" s="49" t="s">
        <v>5</v>
      </c>
      <c r="AG11" s="50" t="s">
        <v>135</v>
      </c>
      <c r="AH11" s="49" t="s">
        <v>5</v>
      </c>
      <c r="AI11" s="50" t="s">
        <v>101</v>
      </c>
      <c r="AJ11" s="49" t="s">
        <v>5</v>
      </c>
      <c r="AK11" s="50" t="s">
        <v>194</v>
      </c>
      <c r="AL11" s="49" t="s">
        <v>32</v>
      </c>
      <c r="AM11" s="50" t="s">
        <v>122</v>
      </c>
      <c r="AN11" s="49"/>
      <c r="AO11" s="50"/>
      <c r="AP11" s="49" t="s">
        <v>5</v>
      </c>
      <c r="AQ11" s="50" t="s">
        <v>131</v>
      </c>
      <c r="AR11" s="49" t="s">
        <v>5</v>
      </c>
      <c r="AS11" s="50" t="s">
        <v>120</v>
      </c>
      <c r="AT11" s="49" t="s">
        <v>5</v>
      </c>
      <c r="AU11" s="50" t="s">
        <v>163</v>
      </c>
      <c r="AV11" s="49" t="s">
        <v>1</v>
      </c>
      <c r="AW11" s="50" t="s">
        <v>79</v>
      </c>
      <c r="AX11" s="49" t="s">
        <v>5</v>
      </c>
      <c r="AY11" s="50" t="s">
        <v>95</v>
      </c>
      <c r="AZ11" s="49"/>
      <c r="BA11" s="50"/>
      <c r="BB11" s="49" t="s">
        <v>5</v>
      </c>
      <c r="BC11" s="50" t="s">
        <v>741</v>
      </c>
      <c r="BD11" s="49" t="s">
        <v>5</v>
      </c>
      <c r="BE11" s="50" t="s">
        <v>495</v>
      </c>
      <c r="BF11" s="49" t="s">
        <v>5</v>
      </c>
      <c r="BG11" s="50" t="s">
        <v>98</v>
      </c>
      <c r="BH11" s="49" t="s">
        <v>30</v>
      </c>
      <c r="BI11" s="50" t="s">
        <v>75</v>
      </c>
    </row>
    <row r="12" spans="1:61" x14ac:dyDescent="0.25">
      <c r="A12" s="76">
        <v>160036</v>
      </c>
      <c r="B12" s="77" t="s">
        <v>1634</v>
      </c>
      <c r="C12" s="78" t="s">
        <v>1628</v>
      </c>
      <c r="D12" s="76" t="s">
        <v>70</v>
      </c>
      <c r="E12" s="79" t="s">
        <v>87</v>
      </c>
      <c r="F12" s="79" t="s">
        <v>150</v>
      </c>
      <c r="G12" s="79" t="s">
        <v>14</v>
      </c>
      <c r="H12" s="79" t="s">
        <v>87</v>
      </c>
      <c r="I12" s="78" t="s">
        <v>14</v>
      </c>
      <c r="J12" s="79" t="s">
        <v>14</v>
      </c>
      <c r="K12" s="142" t="s">
        <v>1850</v>
      </c>
      <c r="L12" s="149" t="s">
        <v>1406</v>
      </c>
      <c r="M12" s="150" t="s">
        <v>1406</v>
      </c>
      <c r="N12" s="151">
        <v>10</v>
      </c>
      <c r="O12" s="151">
        <v>5</v>
      </c>
      <c r="P12" s="152">
        <v>0</v>
      </c>
      <c r="Q12" s="153">
        <v>89.13</v>
      </c>
      <c r="R12" s="154">
        <v>9</v>
      </c>
      <c r="S12" s="38">
        <f t="shared" si="0"/>
        <v>1</v>
      </c>
      <c r="T12" s="39">
        <f t="shared" si="1"/>
        <v>8</v>
      </c>
      <c r="U12" s="40">
        <f t="shared" si="2"/>
        <v>5</v>
      </c>
      <c r="V12" s="40">
        <f t="shared" si="3"/>
        <v>0</v>
      </c>
      <c r="W12" s="40">
        <f t="shared" si="4"/>
        <v>0</v>
      </c>
      <c r="X12" s="40">
        <f t="shared" si="5"/>
        <v>5</v>
      </c>
      <c r="Y12" s="40">
        <f t="shared" si="6"/>
        <v>0</v>
      </c>
      <c r="Z12" s="40">
        <f t="shared" si="7"/>
        <v>0</v>
      </c>
      <c r="AA12" s="40">
        <f t="shared" si="8"/>
        <v>0</v>
      </c>
      <c r="AB12" s="40">
        <f t="shared" si="9"/>
        <v>0</v>
      </c>
      <c r="AC12" s="41">
        <f t="shared" si="10"/>
        <v>0</v>
      </c>
      <c r="AD12" s="49" t="s">
        <v>30</v>
      </c>
      <c r="AE12" s="50" t="s">
        <v>116</v>
      </c>
      <c r="AF12" s="49" t="s">
        <v>30</v>
      </c>
      <c r="AG12" s="50" t="s">
        <v>90</v>
      </c>
      <c r="AH12" s="49" t="s">
        <v>5</v>
      </c>
      <c r="AI12" s="50" t="s">
        <v>101</v>
      </c>
      <c r="AJ12" s="49" t="s">
        <v>30</v>
      </c>
      <c r="AK12" s="50" t="s">
        <v>142</v>
      </c>
      <c r="AL12" s="49" t="s">
        <v>5</v>
      </c>
      <c r="AM12" s="50" t="s">
        <v>106</v>
      </c>
      <c r="AN12" s="49" t="s">
        <v>5</v>
      </c>
      <c r="AO12" s="50" t="s">
        <v>103</v>
      </c>
      <c r="AP12" s="49" t="s">
        <v>5</v>
      </c>
      <c r="AQ12" s="50" t="s">
        <v>144</v>
      </c>
      <c r="AR12" s="49" t="s">
        <v>1</v>
      </c>
      <c r="AS12" s="50" t="s">
        <v>104</v>
      </c>
      <c r="AT12" s="49" t="s">
        <v>30</v>
      </c>
      <c r="AU12" s="50" t="s">
        <v>105</v>
      </c>
      <c r="AV12" s="49" t="s">
        <v>30</v>
      </c>
      <c r="AW12" s="50" t="s">
        <v>79</v>
      </c>
      <c r="AX12" s="49" t="s">
        <v>5</v>
      </c>
      <c r="AY12" s="50" t="s">
        <v>95</v>
      </c>
      <c r="AZ12" s="49"/>
      <c r="BA12" s="50"/>
      <c r="BB12" s="49" t="s">
        <v>5</v>
      </c>
      <c r="BC12" s="50" t="s">
        <v>152</v>
      </c>
      <c r="BD12" s="49" t="s">
        <v>5</v>
      </c>
      <c r="BE12" s="50" t="s">
        <v>108</v>
      </c>
      <c r="BF12" s="49" t="s">
        <v>5</v>
      </c>
      <c r="BG12" s="50" t="s">
        <v>170</v>
      </c>
      <c r="BH12" s="49"/>
      <c r="BI12" s="50"/>
    </row>
    <row r="13" spans="1:61" x14ac:dyDescent="0.25">
      <c r="A13" s="76">
        <v>152762</v>
      </c>
      <c r="B13" s="77" t="s">
        <v>1635</v>
      </c>
      <c r="C13" s="78" t="s">
        <v>1620</v>
      </c>
      <c r="D13" s="76" t="s">
        <v>70</v>
      </c>
      <c r="E13" s="79" t="s">
        <v>14</v>
      </c>
      <c r="F13" s="79" t="s">
        <v>71</v>
      </c>
      <c r="G13" s="79" t="s">
        <v>14</v>
      </c>
      <c r="H13" s="79" t="s">
        <v>14</v>
      </c>
      <c r="I13" s="78" t="s">
        <v>14</v>
      </c>
      <c r="J13" s="79" t="s">
        <v>14</v>
      </c>
      <c r="K13" s="142" t="s">
        <v>1850</v>
      </c>
      <c r="L13" s="149" t="s">
        <v>1841</v>
      </c>
      <c r="M13" s="150" t="s">
        <v>1853</v>
      </c>
      <c r="N13" s="151">
        <v>16</v>
      </c>
      <c r="O13" s="151">
        <v>0</v>
      </c>
      <c r="P13" s="152">
        <v>0</v>
      </c>
      <c r="Q13" s="153">
        <v>100</v>
      </c>
      <c r="R13" s="154">
        <v>0</v>
      </c>
      <c r="S13" s="38">
        <f t="shared" si="0"/>
        <v>1</v>
      </c>
      <c r="T13" s="39">
        <f t="shared" si="1"/>
        <v>13</v>
      </c>
      <c r="U13" s="40">
        <f t="shared" si="2"/>
        <v>0</v>
      </c>
      <c r="V13" s="40">
        <f t="shared" si="3"/>
        <v>0</v>
      </c>
      <c r="W13" s="40">
        <f t="shared" si="4"/>
        <v>0</v>
      </c>
      <c r="X13" s="40">
        <f t="shared" si="5"/>
        <v>0</v>
      </c>
      <c r="Y13" s="40">
        <f t="shared" si="6"/>
        <v>0</v>
      </c>
      <c r="Z13" s="40">
        <f t="shared" si="7"/>
        <v>0</v>
      </c>
      <c r="AA13" s="40">
        <f t="shared" si="8"/>
        <v>0</v>
      </c>
      <c r="AB13" s="40">
        <f t="shared" si="9"/>
        <v>0</v>
      </c>
      <c r="AC13" s="41">
        <f t="shared" si="10"/>
        <v>0</v>
      </c>
      <c r="AD13" s="49" t="s">
        <v>5</v>
      </c>
      <c r="AE13" s="50" t="s">
        <v>89</v>
      </c>
      <c r="AF13" s="49" t="s">
        <v>5</v>
      </c>
      <c r="AG13" s="50" t="s">
        <v>135</v>
      </c>
      <c r="AH13" s="49" t="s">
        <v>5</v>
      </c>
      <c r="AI13" s="50" t="s">
        <v>142</v>
      </c>
      <c r="AJ13" s="49" t="s">
        <v>5</v>
      </c>
      <c r="AK13" s="50" t="s">
        <v>102</v>
      </c>
      <c r="AL13" s="49" t="s">
        <v>5</v>
      </c>
      <c r="AM13" s="50" t="s">
        <v>142</v>
      </c>
      <c r="AN13" s="49"/>
      <c r="AO13" s="50"/>
      <c r="AP13" s="49" t="s">
        <v>5</v>
      </c>
      <c r="AQ13" s="50" t="s">
        <v>76</v>
      </c>
      <c r="AR13" s="49" t="s">
        <v>5</v>
      </c>
      <c r="AS13" s="50" t="s">
        <v>132</v>
      </c>
      <c r="AT13" s="49" t="s">
        <v>5</v>
      </c>
      <c r="AU13" s="50" t="s">
        <v>105</v>
      </c>
      <c r="AV13" s="49" t="s">
        <v>5</v>
      </c>
      <c r="AW13" s="50" t="s">
        <v>112</v>
      </c>
      <c r="AX13" s="49" t="s">
        <v>5</v>
      </c>
      <c r="AY13" s="50" t="s">
        <v>95</v>
      </c>
      <c r="AZ13" s="49"/>
      <c r="BA13" s="50"/>
      <c r="BB13" s="49" t="s">
        <v>1</v>
      </c>
      <c r="BC13" s="50" t="s">
        <v>152</v>
      </c>
      <c r="BD13" s="49" t="s">
        <v>5</v>
      </c>
      <c r="BE13" s="50" t="s">
        <v>97</v>
      </c>
      <c r="BF13" s="49" t="s">
        <v>5</v>
      </c>
      <c r="BG13" s="50" t="s">
        <v>83</v>
      </c>
      <c r="BH13" s="49" t="s">
        <v>5</v>
      </c>
      <c r="BI13" s="50" t="s">
        <v>130</v>
      </c>
    </row>
    <row r="14" spans="1:61" x14ac:dyDescent="0.25">
      <c r="A14" s="76">
        <v>152760</v>
      </c>
      <c r="B14" s="77" t="s">
        <v>1636</v>
      </c>
      <c r="C14" s="78" t="s">
        <v>1620</v>
      </c>
      <c r="D14" s="76" t="s">
        <v>12</v>
      </c>
      <c r="E14" s="79" t="s">
        <v>14</v>
      </c>
      <c r="F14" s="79" t="s">
        <v>71</v>
      </c>
      <c r="G14" s="79" t="s">
        <v>14</v>
      </c>
      <c r="H14" s="79" t="s">
        <v>14</v>
      </c>
      <c r="I14" s="78" t="s">
        <v>14</v>
      </c>
      <c r="J14" s="79" t="s">
        <v>14</v>
      </c>
      <c r="K14" s="142" t="s">
        <v>1851</v>
      </c>
      <c r="L14" s="149" t="s">
        <v>1844</v>
      </c>
      <c r="M14" s="150" t="s">
        <v>12</v>
      </c>
      <c r="N14" s="151">
        <v>13</v>
      </c>
      <c r="O14" s="151">
        <v>1</v>
      </c>
      <c r="P14" s="152">
        <v>0</v>
      </c>
      <c r="Q14" s="153">
        <v>86.96</v>
      </c>
      <c r="R14" s="154">
        <v>0</v>
      </c>
      <c r="S14" s="38">
        <f t="shared" si="0"/>
        <v>0</v>
      </c>
      <c r="T14" s="39">
        <f t="shared" si="1"/>
        <v>14</v>
      </c>
      <c r="U14" s="40">
        <f t="shared" si="2"/>
        <v>0</v>
      </c>
      <c r="V14" s="40">
        <f t="shared" si="3"/>
        <v>0</v>
      </c>
      <c r="W14" s="40">
        <f t="shared" si="4"/>
        <v>0</v>
      </c>
      <c r="X14" s="40">
        <f t="shared" si="5"/>
        <v>0</v>
      </c>
      <c r="Y14" s="40">
        <f t="shared" si="6"/>
        <v>0</v>
      </c>
      <c r="Z14" s="40">
        <f t="shared" si="7"/>
        <v>0</v>
      </c>
      <c r="AA14" s="40">
        <f t="shared" si="8"/>
        <v>0</v>
      </c>
      <c r="AB14" s="40">
        <f t="shared" si="9"/>
        <v>0</v>
      </c>
      <c r="AC14" s="41">
        <f t="shared" si="10"/>
        <v>0</v>
      </c>
      <c r="AD14" s="49" t="s">
        <v>5</v>
      </c>
      <c r="AE14" s="50" t="s">
        <v>89</v>
      </c>
      <c r="AF14" s="49" t="s">
        <v>5</v>
      </c>
      <c r="AG14" s="50" t="s">
        <v>90</v>
      </c>
      <c r="AH14" s="49" t="s">
        <v>5</v>
      </c>
      <c r="AI14" s="50" t="s">
        <v>142</v>
      </c>
      <c r="AJ14" s="49" t="s">
        <v>5</v>
      </c>
      <c r="AK14" s="50" t="s">
        <v>102</v>
      </c>
      <c r="AL14" s="49" t="s">
        <v>5</v>
      </c>
      <c r="AM14" s="50" t="s">
        <v>142</v>
      </c>
      <c r="AN14" s="49"/>
      <c r="AO14" s="50"/>
      <c r="AP14" s="49" t="s">
        <v>5</v>
      </c>
      <c r="AQ14" s="50" t="s">
        <v>76</v>
      </c>
      <c r="AR14" s="49" t="s">
        <v>5</v>
      </c>
      <c r="AS14" s="50" t="s">
        <v>132</v>
      </c>
      <c r="AT14" s="49" t="s">
        <v>5</v>
      </c>
      <c r="AU14" s="50" t="s">
        <v>105</v>
      </c>
      <c r="AV14" s="49" t="s">
        <v>5</v>
      </c>
      <c r="AW14" s="50" t="s">
        <v>94</v>
      </c>
      <c r="AX14" s="49" t="s">
        <v>5</v>
      </c>
      <c r="AY14" s="50" t="s">
        <v>95</v>
      </c>
      <c r="AZ14" s="49"/>
      <c r="BA14" s="50"/>
      <c r="BB14" s="49" t="s">
        <v>5</v>
      </c>
      <c r="BC14" s="50" t="s">
        <v>741</v>
      </c>
      <c r="BD14" s="49" t="s">
        <v>5</v>
      </c>
      <c r="BE14" s="50" t="s">
        <v>97</v>
      </c>
      <c r="BF14" s="49" t="s">
        <v>5</v>
      </c>
      <c r="BG14" s="50" t="s">
        <v>170</v>
      </c>
      <c r="BH14" s="49" t="s">
        <v>5</v>
      </c>
      <c r="BI14" s="50" t="s">
        <v>130</v>
      </c>
    </row>
    <row r="15" spans="1:61" ht="30" x14ac:dyDescent="0.25">
      <c r="A15" s="76">
        <v>152803</v>
      </c>
      <c r="B15" s="77" t="s">
        <v>1637</v>
      </c>
      <c r="C15" s="78" t="s">
        <v>1630</v>
      </c>
      <c r="D15" s="76" t="s">
        <v>12</v>
      </c>
      <c r="E15" s="79" t="s">
        <v>87</v>
      </c>
      <c r="F15" s="77" t="s">
        <v>503</v>
      </c>
      <c r="G15" s="79" t="s">
        <v>14</v>
      </c>
      <c r="H15" s="79" t="s">
        <v>87</v>
      </c>
      <c r="I15" s="78" t="s">
        <v>14</v>
      </c>
      <c r="J15" s="79" t="s">
        <v>14</v>
      </c>
      <c r="K15" s="142" t="s">
        <v>1850</v>
      </c>
      <c r="L15" s="149" t="s">
        <v>1844</v>
      </c>
      <c r="M15" s="150" t="s">
        <v>12</v>
      </c>
      <c r="N15" s="151">
        <v>23</v>
      </c>
      <c r="O15" s="151">
        <v>1</v>
      </c>
      <c r="P15" s="152">
        <v>3</v>
      </c>
      <c r="Q15" s="153">
        <v>86.96</v>
      </c>
      <c r="R15" s="154">
        <v>3</v>
      </c>
      <c r="S15" s="38">
        <f t="shared" si="0"/>
        <v>1</v>
      </c>
      <c r="T15" s="39">
        <f t="shared" si="1"/>
        <v>12</v>
      </c>
      <c r="U15" s="40">
        <f t="shared" si="2"/>
        <v>0</v>
      </c>
      <c r="V15" s="40">
        <f t="shared" si="3"/>
        <v>1</v>
      </c>
      <c r="W15" s="40">
        <f t="shared" si="4"/>
        <v>0</v>
      </c>
      <c r="X15" s="40">
        <f t="shared" si="5"/>
        <v>1</v>
      </c>
      <c r="Y15" s="40">
        <f t="shared" si="6"/>
        <v>0</v>
      </c>
      <c r="Z15" s="40">
        <f t="shared" si="7"/>
        <v>0</v>
      </c>
      <c r="AA15" s="40">
        <f t="shared" si="8"/>
        <v>0</v>
      </c>
      <c r="AB15" s="40">
        <f t="shared" si="9"/>
        <v>0</v>
      </c>
      <c r="AC15" s="41">
        <f t="shared" si="10"/>
        <v>0</v>
      </c>
      <c r="AD15" s="49" t="s">
        <v>5</v>
      </c>
      <c r="AE15" s="50" t="s">
        <v>89</v>
      </c>
      <c r="AF15" s="49" t="s">
        <v>5</v>
      </c>
      <c r="AG15" s="50" t="s">
        <v>90</v>
      </c>
      <c r="AH15" s="49" t="s">
        <v>31</v>
      </c>
      <c r="AI15" s="50" t="s">
        <v>101</v>
      </c>
      <c r="AJ15" s="49" t="s">
        <v>5</v>
      </c>
      <c r="AK15" s="50" t="s">
        <v>722</v>
      </c>
      <c r="AL15" s="49" t="s">
        <v>5</v>
      </c>
      <c r="AM15" s="50" t="s">
        <v>94</v>
      </c>
      <c r="AN15" s="49"/>
      <c r="AO15" s="50"/>
      <c r="AP15" s="49" t="s">
        <v>5</v>
      </c>
      <c r="AQ15" s="50" t="s">
        <v>131</v>
      </c>
      <c r="AR15" s="49" t="s">
        <v>5</v>
      </c>
      <c r="AS15" s="50" t="s">
        <v>120</v>
      </c>
      <c r="AT15" s="49" t="s">
        <v>5</v>
      </c>
      <c r="AU15" s="50" t="s">
        <v>78</v>
      </c>
      <c r="AV15" s="49" t="s">
        <v>5</v>
      </c>
      <c r="AW15" s="50" t="s">
        <v>79</v>
      </c>
      <c r="AX15" s="49" t="s">
        <v>5</v>
      </c>
      <c r="AY15" s="50" t="s">
        <v>95</v>
      </c>
      <c r="AZ15" s="49"/>
      <c r="BA15" s="50"/>
      <c r="BB15" s="49" t="s">
        <v>1</v>
      </c>
      <c r="BC15" s="50" t="s">
        <v>96</v>
      </c>
      <c r="BD15" s="49" t="s">
        <v>5</v>
      </c>
      <c r="BE15" s="50" t="s">
        <v>495</v>
      </c>
      <c r="BF15" s="49" t="s">
        <v>5</v>
      </c>
      <c r="BG15" s="50" t="s">
        <v>123</v>
      </c>
      <c r="BH15" s="49" t="s">
        <v>5</v>
      </c>
      <c r="BI15" s="50" t="s">
        <v>103</v>
      </c>
    </row>
    <row r="16" spans="1:61" x14ac:dyDescent="0.25">
      <c r="A16" s="76">
        <v>160010</v>
      </c>
      <c r="B16" s="77" t="s">
        <v>1638</v>
      </c>
      <c r="C16" s="78" t="s">
        <v>1639</v>
      </c>
      <c r="D16" s="76" t="s">
        <v>70</v>
      </c>
      <c r="E16" s="79" t="s">
        <v>14</v>
      </c>
      <c r="F16" s="79" t="s">
        <v>71</v>
      </c>
      <c r="G16" s="79" t="s">
        <v>14</v>
      </c>
      <c r="H16" s="79" t="s">
        <v>14</v>
      </c>
      <c r="I16" s="78" t="s">
        <v>14</v>
      </c>
      <c r="J16" s="79" t="s">
        <v>14</v>
      </c>
      <c r="K16" s="142" t="s">
        <v>1850</v>
      </c>
      <c r="L16" s="149" t="s">
        <v>1844</v>
      </c>
      <c r="M16" s="150" t="s">
        <v>12</v>
      </c>
      <c r="N16" s="151">
        <v>10</v>
      </c>
      <c r="O16" s="151">
        <v>4</v>
      </c>
      <c r="P16" s="152">
        <v>2</v>
      </c>
      <c r="Q16" s="153">
        <v>91.3</v>
      </c>
      <c r="R16" s="154">
        <v>3</v>
      </c>
      <c r="S16" s="38">
        <f t="shared" si="0"/>
        <v>0</v>
      </c>
      <c r="T16" s="39">
        <f t="shared" si="1"/>
        <v>13</v>
      </c>
      <c r="U16" s="40">
        <f t="shared" si="2"/>
        <v>1</v>
      </c>
      <c r="V16" s="40">
        <f t="shared" si="3"/>
        <v>0</v>
      </c>
      <c r="W16" s="40">
        <f t="shared" si="4"/>
        <v>0</v>
      </c>
      <c r="X16" s="40">
        <f t="shared" si="5"/>
        <v>1</v>
      </c>
      <c r="Y16" s="40">
        <f t="shared" si="6"/>
        <v>0</v>
      </c>
      <c r="Z16" s="40">
        <f t="shared" si="7"/>
        <v>0</v>
      </c>
      <c r="AA16" s="40">
        <f t="shared" si="8"/>
        <v>0</v>
      </c>
      <c r="AB16" s="40">
        <f t="shared" si="9"/>
        <v>0</v>
      </c>
      <c r="AC16" s="41">
        <f t="shared" si="10"/>
        <v>0</v>
      </c>
      <c r="AD16" s="49" t="s">
        <v>5</v>
      </c>
      <c r="AE16" s="50" t="s">
        <v>72</v>
      </c>
      <c r="AF16" s="49"/>
      <c r="AG16" s="50"/>
      <c r="AH16" s="49" t="s">
        <v>5</v>
      </c>
      <c r="AI16" s="50" t="s">
        <v>101</v>
      </c>
      <c r="AJ16" s="49" t="s">
        <v>5</v>
      </c>
      <c r="AK16" s="50" t="s">
        <v>111</v>
      </c>
      <c r="AL16" s="49" t="s">
        <v>5</v>
      </c>
      <c r="AM16" s="50" t="s">
        <v>130</v>
      </c>
      <c r="AN16" s="49" t="s">
        <v>5</v>
      </c>
      <c r="AO16" s="50" t="s">
        <v>143</v>
      </c>
      <c r="AP16" s="49" t="s">
        <v>5</v>
      </c>
      <c r="AQ16" s="50" t="s">
        <v>131</v>
      </c>
      <c r="AR16" s="49" t="s">
        <v>5</v>
      </c>
      <c r="AS16" s="50" t="s">
        <v>120</v>
      </c>
      <c r="AT16" s="49" t="s">
        <v>5</v>
      </c>
      <c r="AU16" s="50" t="s">
        <v>105</v>
      </c>
      <c r="AV16" s="49" t="s">
        <v>5</v>
      </c>
      <c r="AW16" s="50" t="s">
        <v>94</v>
      </c>
      <c r="AX16" s="49" t="s">
        <v>5</v>
      </c>
      <c r="AY16" s="50" t="s">
        <v>80</v>
      </c>
      <c r="AZ16" s="49" t="s">
        <v>5</v>
      </c>
      <c r="BA16" s="50" t="s">
        <v>120</v>
      </c>
      <c r="BB16" s="49" t="s">
        <v>5</v>
      </c>
      <c r="BC16" s="50" t="s">
        <v>152</v>
      </c>
      <c r="BD16" s="49" t="s">
        <v>30</v>
      </c>
      <c r="BE16" s="50" t="s">
        <v>82</v>
      </c>
      <c r="BF16" s="49" t="s">
        <v>5</v>
      </c>
      <c r="BG16" s="50" t="s">
        <v>98</v>
      </c>
      <c r="BH16" s="49"/>
      <c r="BI16" s="50"/>
    </row>
    <row r="17" spans="1:61" x14ac:dyDescent="0.25">
      <c r="A17" s="76">
        <v>152861</v>
      </c>
      <c r="B17" s="77" t="s">
        <v>1640</v>
      </c>
      <c r="C17" s="78" t="s">
        <v>1620</v>
      </c>
      <c r="D17" s="76" t="s">
        <v>70</v>
      </c>
      <c r="E17" s="79" t="s">
        <v>14</v>
      </c>
      <c r="F17" s="79" t="s">
        <v>71</v>
      </c>
      <c r="G17" s="79" t="s">
        <v>14</v>
      </c>
      <c r="H17" s="79" t="s">
        <v>14</v>
      </c>
      <c r="I17" s="78" t="s">
        <v>14</v>
      </c>
      <c r="J17" s="79" t="s">
        <v>14</v>
      </c>
      <c r="K17" s="142" t="s">
        <v>1850</v>
      </c>
      <c r="L17" s="149" t="s">
        <v>1841</v>
      </c>
      <c r="M17" s="150" t="s">
        <v>1853</v>
      </c>
      <c r="N17" s="151">
        <v>17</v>
      </c>
      <c r="O17" s="151">
        <v>1</v>
      </c>
      <c r="P17" s="152">
        <v>0</v>
      </c>
      <c r="Q17" s="153">
        <v>100</v>
      </c>
      <c r="R17" s="154">
        <v>0</v>
      </c>
      <c r="S17" s="38">
        <f t="shared" si="0"/>
        <v>1</v>
      </c>
      <c r="T17" s="39">
        <f t="shared" si="1"/>
        <v>13</v>
      </c>
      <c r="U17" s="40">
        <f t="shared" si="2"/>
        <v>0</v>
      </c>
      <c r="V17" s="40">
        <f t="shared" si="3"/>
        <v>0</v>
      </c>
      <c r="W17" s="40">
        <f t="shared" si="4"/>
        <v>0</v>
      </c>
      <c r="X17" s="40">
        <f t="shared" si="5"/>
        <v>0</v>
      </c>
      <c r="Y17" s="40">
        <f t="shared" si="6"/>
        <v>0</v>
      </c>
      <c r="Z17" s="40">
        <f t="shared" si="7"/>
        <v>0</v>
      </c>
      <c r="AA17" s="40">
        <f t="shared" si="8"/>
        <v>0</v>
      </c>
      <c r="AB17" s="40">
        <f t="shared" si="9"/>
        <v>0</v>
      </c>
      <c r="AC17" s="41">
        <f t="shared" si="10"/>
        <v>0</v>
      </c>
      <c r="AD17" s="49" t="s">
        <v>5</v>
      </c>
      <c r="AE17" s="50" t="s">
        <v>89</v>
      </c>
      <c r="AF17" s="49" t="s">
        <v>1</v>
      </c>
      <c r="AG17" s="50" t="s">
        <v>73</v>
      </c>
      <c r="AH17" s="49" t="s">
        <v>5</v>
      </c>
      <c r="AI17" s="50" t="s">
        <v>142</v>
      </c>
      <c r="AJ17" s="49" t="s">
        <v>5</v>
      </c>
      <c r="AK17" s="50" t="s">
        <v>102</v>
      </c>
      <c r="AL17" s="49" t="s">
        <v>5</v>
      </c>
      <c r="AM17" s="50" t="s">
        <v>142</v>
      </c>
      <c r="AN17" s="49"/>
      <c r="AO17" s="50"/>
      <c r="AP17" s="49" t="s">
        <v>5</v>
      </c>
      <c r="AQ17" s="50" t="s">
        <v>76</v>
      </c>
      <c r="AR17" s="49" t="s">
        <v>5</v>
      </c>
      <c r="AS17" s="50" t="s">
        <v>132</v>
      </c>
      <c r="AT17" s="49" t="s">
        <v>5</v>
      </c>
      <c r="AU17" s="50" t="s">
        <v>105</v>
      </c>
      <c r="AV17" s="49" t="s">
        <v>5</v>
      </c>
      <c r="AW17" s="50" t="s">
        <v>79</v>
      </c>
      <c r="AX17" s="49" t="s">
        <v>5</v>
      </c>
      <c r="AY17" s="50" t="s">
        <v>95</v>
      </c>
      <c r="AZ17" s="49"/>
      <c r="BA17" s="50"/>
      <c r="BB17" s="49" t="s">
        <v>5</v>
      </c>
      <c r="BC17" s="50" t="s">
        <v>121</v>
      </c>
      <c r="BD17" s="49" t="s">
        <v>5</v>
      </c>
      <c r="BE17" s="50" t="s">
        <v>97</v>
      </c>
      <c r="BF17" s="49" t="s">
        <v>5</v>
      </c>
      <c r="BG17" s="50" t="s">
        <v>83</v>
      </c>
      <c r="BH17" s="49" t="s">
        <v>5</v>
      </c>
      <c r="BI17" s="50" t="s">
        <v>130</v>
      </c>
    </row>
    <row r="18" spans="1:61" x14ac:dyDescent="0.25">
      <c r="A18" s="76">
        <v>152878</v>
      </c>
      <c r="B18" s="77" t="s">
        <v>1641</v>
      </c>
      <c r="C18" s="78" t="s">
        <v>1622</v>
      </c>
      <c r="D18" s="76" t="s">
        <v>70</v>
      </c>
      <c r="E18" s="79" t="s">
        <v>14</v>
      </c>
      <c r="F18" s="79" t="s">
        <v>71</v>
      </c>
      <c r="G18" s="79" t="s">
        <v>14</v>
      </c>
      <c r="H18" s="79" t="s">
        <v>14</v>
      </c>
      <c r="I18" s="78" t="s">
        <v>14</v>
      </c>
      <c r="J18" s="79" t="s">
        <v>14</v>
      </c>
      <c r="K18" s="142" t="s">
        <v>1850</v>
      </c>
      <c r="L18" s="149" t="s">
        <v>1842</v>
      </c>
      <c r="M18" s="150" t="s">
        <v>12</v>
      </c>
      <c r="N18" s="151">
        <v>14</v>
      </c>
      <c r="O18" s="151">
        <v>0</v>
      </c>
      <c r="P18" s="152">
        <v>0</v>
      </c>
      <c r="Q18" s="153">
        <v>100</v>
      </c>
      <c r="R18" s="154">
        <v>2</v>
      </c>
      <c r="S18" s="38">
        <f t="shared" si="0"/>
        <v>0</v>
      </c>
      <c r="T18" s="39">
        <f t="shared" si="1"/>
        <v>14</v>
      </c>
      <c r="U18" s="40">
        <f t="shared" si="2"/>
        <v>0</v>
      </c>
      <c r="V18" s="40">
        <f t="shared" si="3"/>
        <v>0</v>
      </c>
      <c r="W18" s="40">
        <f t="shared" si="4"/>
        <v>0</v>
      </c>
      <c r="X18" s="40">
        <f t="shared" si="5"/>
        <v>0</v>
      </c>
      <c r="Y18" s="40">
        <f t="shared" si="6"/>
        <v>0</v>
      </c>
      <c r="Z18" s="40">
        <f t="shared" si="7"/>
        <v>0</v>
      </c>
      <c r="AA18" s="40">
        <f t="shared" si="8"/>
        <v>0</v>
      </c>
      <c r="AB18" s="40">
        <f t="shared" si="9"/>
        <v>0</v>
      </c>
      <c r="AC18" s="41">
        <f t="shared" si="10"/>
        <v>0</v>
      </c>
      <c r="AD18" s="49" t="s">
        <v>5</v>
      </c>
      <c r="AE18" s="50" t="s">
        <v>89</v>
      </c>
      <c r="AF18" s="49" t="s">
        <v>5</v>
      </c>
      <c r="AG18" s="50" t="s">
        <v>135</v>
      </c>
      <c r="AH18" s="49" t="s">
        <v>5</v>
      </c>
      <c r="AI18" s="50" t="s">
        <v>142</v>
      </c>
      <c r="AJ18" s="49" t="s">
        <v>5</v>
      </c>
      <c r="AK18" s="50" t="s">
        <v>459</v>
      </c>
      <c r="AL18" s="49" t="s">
        <v>5</v>
      </c>
      <c r="AM18" s="50" t="s">
        <v>98</v>
      </c>
      <c r="AN18" s="49" t="s">
        <v>5</v>
      </c>
      <c r="AO18" s="50" t="s">
        <v>75</v>
      </c>
      <c r="AP18" s="49" t="s">
        <v>5</v>
      </c>
      <c r="AQ18" s="50" t="s">
        <v>92</v>
      </c>
      <c r="AR18" s="49" t="s">
        <v>5</v>
      </c>
      <c r="AS18" s="50" t="s">
        <v>104</v>
      </c>
      <c r="AT18" s="49" t="s">
        <v>5</v>
      </c>
      <c r="AU18" s="50" t="s">
        <v>105</v>
      </c>
      <c r="AV18" s="49" t="s">
        <v>5</v>
      </c>
      <c r="AW18" s="50" t="s">
        <v>112</v>
      </c>
      <c r="AX18" s="49" t="s">
        <v>5</v>
      </c>
      <c r="AY18" s="50" t="s">
        <v>80</v>
      </c>
      <c r="AZ18" s="49"/>
      <c r="BA18" s="50"/>
      <c r="BB18" s="49" t="s">
        <v>5</v>
      </c>
      <c r="BC18" s="50" t="s">
        <v>152</v>
      </c>
      <c r="BD18" s="49" t="s">
        <v>5</v>
      </c>
      <c r="BE18" s="50" t="s">
        <v>122</v>
      </c>
      <c r="BF18" s="49" t="s">
        <v>5</v>
      </c>
      <c r="BG18" s="50" t="s">
        <v>164</v>
      </c>
      <c r="BH18" s="49"/>
      <c r="BI18" s="50"/>
    </row>
    <row r="19" spans="1:61" ht="30" x14ac:dyDescent="0.25">
      <c r="A19" s="76">
        <v>152912</v>
      </c>
      <c r="B19" s="77" t="s">
        <v>1642</v>
      </c>
      <c r="C19" s="78" t="s">
        <v>1622</v>
      </c>
      <c r="D19" s="76" t="s">
        <v>12</v>
      </c>
      <c r="E19" s="79" t="s">
        <v>14</v>
      </c>
      <c r="F19" s="77" t="s">
        <v>146</v>
      </c>
      <c r="G19" s="79" t="s">
        <v>14</v>
      </c>
      <c r="H19" s="79" t="s">
        <v>14</v>
      </c>
      <c r="I19" s="78" t="s">
        <v>14</v>
      </c>
      <c r="J19" s="79" t="s">
        <v>14</v>
      </c>
      <c r="K19" s="142" t="s">
        <v>1850</v>
      </c>
      <c r="L19" s="149" t="s">
        <v>1846</v>
      </c>
      <c r="M19" s="150" t="s">
        <v>1853</v>
      </c>
      <c r="N19" s="151">
        <v>18</v>
      </c>
      <c r="O19" s="151">
        <v>2</v>
      </c>
      <c r="P19" s="152">
        <v>0</v>
      </c>
      <c r="Q19" s="153">
        <v>95.56</v>
      </c>
      <c r="R19" s="154">
        <v>2</v>
      </c>
      <c r="S19" s="38">
        <f t="shared" si="0"/>
        <v>2</v>
      </c>
      <c r="T19" s="39">
        <f t="shared" si="1"/>
        <v>12</v>
      </c>
      <c r="U19" s="40">
        <f t="shared" si="2"/>
        <v>0</v>
      </c>
      <c r="V19" s="40">
        <f t="shared" si="3"/>
        <v>0</v>
      </c>
      <c r="W19" s="40">
        <f t="shared" si="4"/>
        <v>0</v>
      </c>
      <c r="X19" s="40">
        <f t="shared" si="5"/>
        <v>0</v>
      </c>
      <c r="Y19" s="40">
        <f t="shared" si="6"/>
        <v>0</v>
      </c>
      <c r="Z19" s="40">
        <f t="shared" si="7"/>
        <v>0</v>
      </c>
      <c r="AA19" s="40">
        <f t="shared" si="8"/>
        <v>0</v>
      </c>
      <c r="AB19" s="40">
        <f t="shared" si="9"/>
        <v>0</v>
      </c>
      <c r="AC19" s="41">
        <f t="shared" si="10"/>
        <v>0</v>
      </c>
      <c r="AD19" s="49" t="s">
        <v>5</v>
      </c>
      <c r="AE19" s="50" t="s">
        <v>89</v>
      </c>
      <c r="AF19" s="49" t="s">
        <v>5</v>
      </c>
      <c r="AG19" s="50" t="s">
        <v>90</v>
      </c>
      <c r="AH19" s="49" t="s">
        <v>5</v>
      </c>
      <c r="AI19" s="50" t="s">
        <v>142</v>
      </c>
      <c r="AJ19" s="49" t="s">
        <v>5</v>
      </c>
      <c r="AK19" s="50" t="s">
        <v>459</v>
      </c>
      <c r="AL19" s="49" t="s">
        <v>5</v>
      </c>
      <c r="AM19" s="50" t="s">
        <v>98</v>
      </c>
      <c r="AN19" s="49" t="s">
        <v>5</v>
      </c>
      <c r="AO19" s="50" t="s">
        <v>75</v>
      </c>
      <c r="AP19" s="49" t="s">
        <v>5</v>
      </c>
      <c r="AQ19" s="50" t="s">
        <v>92</v>
      </c>
      <c r="AR19" s="49" t="s">
        <v>1</v>
      </c>
      <c r="AS19" s="50" t="s">
        <v>104</v>
      </c>
      <c r="AT19" s="49" t="s">
        <v>5</v>
      </c>
      <c r="AU19" s="50" t="s">
        <v>105</v>
      </c>
      <c r="AV19" s="49" t="s">
        <v>5</v>
      </c>
      <c r="AW19" s="50" t="s">
        <v>112</v>
      </c>
      <c r="AX19" s="49" t="s">
        <v>5</v>
      </c>
      <c r="AY19" s="50" t="s">
        <v>80</v>
      </c>
      <c r="AZ19" s="49"/>
      <c r="BA19" s="50"/>
      <c r="BB19" s="49" t="s">
        <v>1</v>
      </c>
      <c r="BC19" s="50" t="s">
        <v>107</v>
      </c>
      <c r="BD19" s="49" t="s">
        <v>5</v>
      </c>
      <c r="BE19" s="50" t="s">
        <v>122</v>
      </c>
      <c r="BF19" s="49" t="s">
        <v>5</v>
      </c>
      <c r="BG19" s="50" t="s">
        <v>83</v>
      </c>
      <c r="BH19" s="49"/>
      <c r="BI19" s="50"/>
    </row>
    <row r="20" spans="1:61" x14ac:dyDescent="0.25">
      <c r="A20" s="76">
        <v>152740</v>
      </c>
      <c r="B20" s="77" t="s">
        <v>1643</v>
      </c>
      <c r="C20" s="78" t="s">
        <v>1628</v>
      </c>
      <c r="D20" s="76" t="s">
        <v>70</v>
      </c>
      <c r="E20" s="79" t="s">
        <v>14</v>
      </c>
      <c r="F20" s="79" t="s">
        <v>71</v>
      </c>
      <c r="G20" s="79" t="s">
        <v>14</v>
      </c>
      <c r="H20" s="79" t="s">
        <v>14</v>
      </c>
      <c r="I20" s="78" t="s">
        <v>14</v>
      </c>
      <c r="J20" s="79" t="s">
        <v>14</v>
      </c>
      <c r="K20" s="142" t="s">
        <v>1850</v>
      </c>
      <c r="L20" s="149" t="s">
        <v>1844</v>
      </c>
      <c r="M20" s="150" t="s">
        <v>12</v>
      </c>
      <c r="N20" s="151">
        <v>13</v>
      </c>
      <c r="O20" s="151">
        <v>0</v>
      </c>
      <c r="P20" s="152">
        <v>0</v>
      </c>
      <c r="Q20" s="153">
        <v>95.65</v>
      </c>
      <c r="R20" s="154">
        <v>0</v>
      </c>
      <c r="S20" s="38">
        <f t="shared" si="0"/>
        <v>1</v>
      </c>
      <c r="T20" s="39">
        <f t="shared" si="1"/>
        <v>13</v>
      </c>
      <c r="U20" s="40">
        <f t="shared" si="2"/>
        <v>0</v>
      </c>
      <c r="V20" s="40">
        <f t="shared" si="3"/>
        <v>0</v>
      </c>
      <c r="W20" s="40">
        <f t="shared" si="4"/>
        <v>0</v>
      </c>
      <c r="X20" s="40">
        <f t="shared" si="5"/>
        <v>0</v>
      </c>
      <c r="Y20" s="40">
        <f t="shared" si="6"/>
        <v>0</v>
      </c>
      <c r="Z20" s="40">
        <f t="shared" si="7"/>
        <v>0</v>
      </c>
      <c r="AA20" s="40">
        <f t="shared" si="8"/>
        <v>0</v>
      </c>
      <c r="AB20" s="40">
        <f t="shared" si="9"/>
        <v>0</v>
      </c>
      <c r="AC20" s="41">
        <f t="shared" si="10"/>
        <v>0</v>
      </c>
      <c r="AD20" s="49" t="s">
        <v>5</v>
      </c>
      <c r="AE20" s="50" t="s">
        <v>116</v>
      </c>
      <c r="AF20" s="49" t="s">
        <v>5</v>
      </c>
      <c r="AG20" s="50" t="s">
        <v>73</v>
      </c>
      <c r="AH20" s="49" t="s">
        <v>5</v>
      </c>
      <c r="AI20" s="50" t="s">
        <v>101</v>
      </c>
      <c r="AJ20" s="49" t="s">
        <v>5</v>
      </c>
      <c r="AK20" s="50" t="s">
        <v>111</v>
      </c>
      <c r="AL20" s="49" t="s">
        <v>5</v>
      </c>
      <c r="AM20" s="50" t="s">
        <v>106</v>
      </c>
      <c r="AN20" s="49" t="s">
        <v>5</v>
      </c>
      <c r="AO20" s="50" t="s">
        <v>103</v>
      </c>
      <c r="AP20" s="49" t="s">
        <v>5</v>
      </c>
      <c r="AQ20" s="50" t="s">
        <v>144</v>
      </c>
      <c r="AR20" s="49" t="s">
        <v>5</v>
      </c>
      <c r="AS20" s="50" t="s">
        <v>104</v>
      </c>
      <c r="AT20" s="49" t="s">
        <v>5</v>
      </c>
      <c r="AU20" s="50" t="s">
        <v>105</v>
      </c>
      <c r="AV20" s="49" t="s">
        <v>5</v>
      </c>
      <c r="AW20" s="50" t="s">
        <v>94</v>
      </c>
      <c r="AX20" s="49" t="s">
        <v>1</v>
      </c>
      <c r="AY20" s="50" t="s">
        <v>95</v>
      </c>
      <c r="AZ20" s="49"/>
      <c r="BA20" s="50"/>
      <c r="BB20" s="49" t="s">
        <v>5</v>
      </c>
      <c r="BC20" s="50" t="s">
        <v>152</v>
      </c>
      <c r="BD20" s="49" t="s">
        <v>5</v>
      </c>
      <c r="BE20" s="50" t="s">
        <v>108</v>
      </c>
      <c r="BF20" s="49" t="s">
        <v>5</v>
      </c>
      <c r="BG20" s="50" t="s">
        <v>164</v>
      </c>
      <c r="BH20" s="49"/>
      <c r="BI20" s="50"/>
    </row>
    <row r="21" spans="1:61" x14ac:dyDescent="0.25">
      <c r="A21" s="76">
        <v>152777</v>
      </c>
      <c r="B21" s="77" t="s">
        <v>1644</v>
      </c>
      <c r="C21" s="78" t="s">
        <v>1620</v>
      </c>
      <c r="D21" s="76" t="s">
        <v>70</v>
      </c>
      <c r="E21" s="79" t="s">
        <v>14</v>
      </c>
      <c r="F21" s="79" t="s">
        <v>71</v>
      </c>
      <c r="G21" s="79" t="s">
        <v>14</v>
      </c>
      <c r="H21" s="79" t="s">
        <v>14</v>
      </c>
      <c r="I21" s="78" t="s">
        <v>14</v>
      </c>
      <c r="J21" s="79" t="s">
        <v>14</v>
      </c>
      <c r="K21" s="142" t="s">
        <v>1851</v>
      </c>
      <c r="L21" s="149" t="s">
        <v>1844</v>
      </c>
      <c r="M21" s="150" t="s">
        <v>12</v>
      </c>
      <c r="N21" s="151">
        <v>23</v>
      </c>
      <c r="O21" s="151">
        <v>0</v>
      </c>
      <c r="P21" s="152">
        <v>0</v>
      </c>
      <c r="Q21" s="153">
        <v>100</v>
      </c>
      <c r="R21" s="154">
        <v>1</v>
      </c>
      <c r="S21" s="38">
        <f t="shared" si="0"/>
        <v>2</v>
      </c>
      <c r="T21" s="39">
        <f t="shared" si="1"/>
        <v>12</v>
      </c>
      <c r="U21" s="40">
        <f t="shared" si="2"/>
        <v>0</v>
      </c>
      <c r="V21" s="40">
        <f t="shared" si="3"/>
        <v>0</v>
      </c>
      <c r="W21" s="40">
        <f t="shared" si="4"/>
        <v>0</v>
      </c>
      <c r="X21" s="40">
        <f t="shared" si="5"/>
        <v>0</v>
      </c>
      <c r="Y21" s="40">
        <f t="shared" si="6"/>
        <v>0</v>
      </c>
      <c r="Z21" s="40">
        <f t="shared" si="7"/>
        <v>0</v>
      </c>
      <c r="AA21" s="40">
        <f t="shared" si="8"/>
        <v>0</v>
      </c>
      <c r="AB21" s="40">
        <f t="shared" si="9"/>
        <v>0</v>
      </c>
      <c r="AC21" s="41">
        <f t="shared" si="10"/>
        <v>0</v>
      </c>
      <c r="AD21" s="49" t="s">
        <v>5</v>
      </c>
      <c r="AE21" s="50" t="s">
        <v>89</v>
      </c>
      <c r="AF21" s="49"/>
      <c r="AG21" s="50"/>
      <c r="AH21" s="49" t="s">
        <v>5</v>
      </c>
      <c r="AI21" s="50" t="s">
        <v>142</v>
      </c>
      <c r="AJ21" s="49" t="s">
        <v>5</v>
      </c>
      <c r="AK21" s="50" t="s">
        <v>74</v>
      </c>
      <c r="AL21" s="49" t="s">
        <v>5</v>
      </c>
      <c r="AM21" s="50" t="s">
        <v>142</v>
      </c>
      <c r="AN21" s="49"/>
      <c r="AO21" s="50"/>
      <c r="AP21" s="49" t="s">
        <v>5</v>
      </c>
      <c r="AQ21" s="50" t="s">
        <v>76</v>
      </c>
      <c r="AR21" s="49" t="s">
        <v>5</v>
      </c>
      <c r="AS21" s="50" t="s">
        <v>132</v>
      </c>
      <c r="AT21" s="49" t="s">
        <v>5</v>
      </c>
      <c r="AU21" s="50" t="s">
        <v>105</v>
      </c>
      <c r="AV21" s="49" t="s">
        <v>5</v>
      </c>
      <c r="AW21" s="50" t="s">
        <v>430</v>
      </c>
      <c r="AX21" s="49" t="s">
        <v>1</v>
      </c>
      <c r="AY21" s="50" t="s">
        <v>95</v>
      </c>
      <c r="AZ21" s="49" t="s">
        <v>5</v>
      </c>
      <c r="BA21" s="50" t="s">
        <v>105</v>
      </c>
      <c r="BB21" s="49" t="s">
        <v>5</v>
      </c>
      <c r="BC21" s="50" t="s">
        <v>121</v>
      </c>
      <c r="BD21" s="49" t="s">
        <v>5</v>
      </c>
      <c r="BE21" s="50" t="s">
        <v>97</v>
      </c>
      <c r="BF21" s="49" t="s">
        <v>5</v>
      </c>
      <c r="BG21" s="50" t="s">
        <v>170</v>
      </c>
      <c r="BH21" s="49" t="s">
        <v>1</v>
      </c>
      <c r="BI21" s="50" t="s">
        <v>130</v>
      </c>
    </row>
    <row r="22" spans="1:61" x14ac:dyDescent="0.25">
      <c r="A22" s="76">
        <v>152786</v>
      </c>
      <c r="B22" s="77" t="s">
        <v>1645</v>
      </c>
      <c r="C22" s="78" t="s">
        <v>1620</v>
      </c>
      <c r="D22" s="76" t="s">
        <v>12</v>
      </c>
      <c r="E22" s="79" t="s">
        <v>14</v>
      </c>
      <c r="F22" s="79" t="s">
        <v>184</v>
      </c>
      <c r="G22" s="79" t="s">
        <v>14</v>
      </c>
      <c r="H22" s="79" t="s">
        <v>14</v>
      </c>
      <c r="I22" s="78" t="s">
        <v>14</v>
      </c>
      <c r="J22" s="79" t="s">
        <v>14</v>
      </c>
      <c r="K22" s="142" t="s">
        <v>1850</v>
      </c>
      <c r="L22" s="149" t="s">
        <v>1848</v>
      </c>
      <c r="M22" s="150" t="s">
        <v>12</v>
      </c>
      <c r="N22" s="151">
        <v>19</v>
      </c>
      <c r="O22" s="151">
        <v>0</v>
      </c>
      <c r="P22" s="152">
        <v>0</v>
      </c>
      <c r="Q22" s="153">
        <v>95.65</v>
      </c>
      <c r="R22" s="154">
        <v>0</v>
      </c>
      <c r="S22" s="38">
        <f t="shared" si="0"/>
        <v>1</v>
      </c>
      <c r="T22" s="39">
        <f t="shared" si="1"/>
        <v>13</v>
      </c>
      <c r="U22" s="40">
        <f t="shared" si="2"/>
        <v>0</v>
      </c>
      <c r="V22" s="40">
        <f t="shared" si="3"/>
        <v>0</v>
      </c>
      <c r="W22" s="40">
        <f t="shared" si="4"/>
        <v>0</v>
      </c>
      <c r="X22" s="40">
        <f t="shared" si="5"/>
        <v>0</v>
      </c>
      <c r="Y22" s="40">
        <f t="shared" si="6"/>
        <v>0</v>
      </c>
      <c r="Z22" s="40">
        <f t="shared" si="7"/>
        <v>0</v>
      </c>
      <c r="AA22" s="40">
        <f t="shared" si="8"/>
        <v>0</v>
      </c>
      <c r="AB22" s="40">
        <f t="shared" si="9"/>
        <v>0</v>
      </c>
      <c r="AC22" s="41">
        <f t="shared" si="10"/>
        <v>0</v>
      </c>
      <c r="AD22" s="49" t="s">
        <v>5</v>
      </c>
      <c r="AE22" s="50" t="s">
        <v>89</v>
      </c>
      <c r="AF22" s="49" t="s">
        <v>5</v>
      </c>
      <c r="AG22" s="50" t="s">
        <v>117</v>
      </c>
      <c r="AH22" s="49" t="s">
        <v>5</v>
      </c>
      <c r="AI22" s="50" t="s">
        <v>142</v>
      </c>
      <c r="AJ22" s="49" t="s">
        <v>5</v>
      </c>
      <c r="AK22" s="50" t="s">
        <v>722</v>
      </c>
      <c r="AL22" s="49" t="s">
        <v>5</v>
      </c>
      <c r="AM22" s="50" t="s">
        <v>142</v>
      </c>
      <c r="AN22" s="49"/>
      <c r="AO22" s="50"/>
      <c r="AP22" s="49" t="s">
        <v>5</v>
      </c>
      <c r="AQ22" s="50" t="s">
        <v>76</v>
      </c>
      <c r="AR22" s="49" t="s">
        <v>5</v>
      </c>
      <c r="AS22" s="50" t="s">
        <v>132</v>
      </c>
      <c r="AT22" s="49" t="s">
        <v>5</v>
      </c>
      <c r="AU22" s="50" t="s">
        <v>105</v>
      </c>
      <c r="AV22" s="49" t="s">
        <v>5</v>
      </c>
      <c r="AW22" s="50" t="s">
        <v>430</v>
      </c>
      <c r="AX22" s="49" t="s">
        <v>5</v>
      </c>
      <c r="AY22" s="50" t="s">
        <v>95</v>
      </c>
      <c r="AZ22" s="49"/>
      <c r="BA22" s="50"/>
      <c r="BB22" s="49" t="s">
        <v>1</v>
      </c>
      <c r="BC22" s="50" t="s">
        <v>96</v>
      </c>
      <c r="BD22" s="49" t="s">
        <v>5</v>
      </c>
      <c r="BE22" s="50" t="s">
        <v>97</v>
      </c>
      <c r="BF22" s="49" t="s">
        <v>5</v>
      </c>
      <c r="BG22" s="50" t="s">
        <v>98</v>
      </c>
      <c r="BH22" s="49" t="s">
        <v>5</v>
      </c>
      <c r="BI22" s="50" t="s">
        <v>130</v>
      </c>
    </row>
    <row r="23" spans="1:61" ht="30" x14ac:dyDescent="0.25">
      <c r="A23" s="76">
        <v>152761</v>
      </c>
      <c r="B23" s="77" t="s">
        <v>1646</v>
      </c>
      <c r="C23" s="78" t="s">
        <v>1620</v>
      </c>
      <c r="D23" s="76" t="s">
        <v>12</v>
      </c>
      <c r="E23" s="79" t="s">
        <v>87</v>
      </c>
      <c r="F23" s="77" t="s">
        <v>146</v>
      </c>
      <c r="G23" s="79" t="s">
        <v>14</v>
      </c>
      <c r="H23" s="79" t="s">
        <v>87</v>
      </c>
      <c r="I23" s="78" t="s">
        <v>14</v>
      </c>
      <c r="J23" s="79" t="s">
        <v>14</v>
      </c>
      <c r="K23" s="142" t="s">
        <v>1850</v>
      </c>
      <c r="L23" s="149" t="s">
        <v>1842</v>
      </c>
      <c r="M23" s="150" t="s">
        <v>12</v>
      </c>
      <c r="N23" s="151">
        <v>9</v>
      </c>
      <c r="O23" s="151">
        <v>0</v>
      </c>
      <c r="P23" s="152">
        <v>0</v>
      </c>
      <c r="Q23" s="153">
        <v>82.61</v>
      </c>
      <c r="R23" s="154">
        <v>0</v>
      </c>
      <c r="S23" s="38">
        <f t="shared" si="0"/>
        <v>0</v>
      </c>
      <c r="T23" s="39">
        <f t="shared" si="1"/>
        <v>14</v>
      </c>
      <c r="U23" s="40">
        <f t="shared" si="2"/>
        <v>0</v>
      </c>
      <c r="V23" s="40">
        <f t="shared" si="3"/>
        <v>0</v>
      </c>
      <c r="W23" s="40">
        <f t="shared" si="4"/>
        <v>0</v>
      </c>
      <c r="X23" s="40">
        <f t="shared" si="5"/>
        <v>0</v>
      </c>
      <c r="Y23" s="40">
        <f t="shared" si="6"/>
        <v>0</v>
      </c>
      <c r="Z23" s="40">
        <f t="shared" si="7"/>
        <v>0</v>
      </c>
      <c r="AA23" s="40">
        <f t="shared" si="8"/>
        <v>0</v>
      </c>
      <c r="AB23" s="40">
        <f t="shared" si="9"/>
        <v>0</v>
      </c>
      <c r="AC23" s="41">
        <f t="shared" si="10"/>
        <v>0</v>
      </c>
      <c r="AD23" s="49" t="s">
        <v>5</v>
      </c>
      <c r="AE23" s="50" t="s">
        <v>89</v>
      </c>
      <c r="AF23" s="49" t="s">
        <v>5</v>
      </c>
      <c r="AG23" s="50" t="s">
        <v>135</v>
      </c>
      <c r="AH23" s="49" t="s">
        <v>5</v>
      </c>
      <c r="AI23" s="50" t="s">
        <v>142</v>
      </c>
      <c r="AJ23" s="49" t="s">
        <v>5</v>
      </c>
      <c r="AK23" s="50" t="s">
        <v>74</v>
      </c>
      <c r="AL23" s="49" t="s">
        <v>5</v>
      </c>
      <c r="AM23" s="50" t="s">
        <v>142</v>
      </c>
      <c r="AN23" s="49"/>
      <c r="AO23" s="50"/>
      <c r="AP23" s="49" t="s">
        <v>5</v>
      </c>
      <c r="AQ23" s="50" t="s">
        <v>76</v>
      </c>
      <c r="AR23" s="49" t="s">
        <v>5</v>
      </c>
      <c r="AS23" s="50" t="s">
        <v>132</v>
      </c>
      <c r="AT23" s="49" t="s">
        <v>5</v>
      </c>
      <c r="AU23" s="50" t="s">
        <v>105</v>
      </c>
      <c r="AV23" s="49" t="s">
        <v>5</v>
      </c>
      <c r="AW23" s="50" t="s">
        <v>112</v>
      </c>
      <c r="AX23" s="49" t="s">
        <v>5</v>
      </c>
      <c r="AY23" s="50" t="s">
        <v>95</v>
      </c>
      <c r="AZ23" s="49"/>
      <c r="BA23" s="50"/>
      <c r="BB23" s="49" t="s">
        <v>5</v>
      </c>
      <c r="BC23" s="50" t="s">
        <v>741</v>
      </c>
      <c r="BD23" s="49" t="s">
        <v>5</v>
      </c>
      <c r="BE23" s="50" t="s">
        <v>97</v>
      </c>
      <c r="BF23" s="49" t="s">
        <v>5</v>
      </c>
      <c r="BG23" s="50" t="s">
        <v>123</v>
      </c>
      <c r="BH23" s="49" t="s">
        <v>5</v>
      </c>
      <c r="BI23" s="50" t="s">
        <v>130</v>
      </c>
    </row>
    <row r="24" spans="1:61" x14ac:dyDescent="0.25">
      <c r="A24" s="76">
        <v>152830</v>
      </c>
      <c r="B24" s="77" t="s">
        <v>1647</v>
      </c>
      <c r="C24" s="78" t="s">
        <v>1648</v>
      </c>
      <c r="D24" s="76" t="s">
        <v>12</v>
      </c>
      <c r="E24" s="79" t="s">
        <v>14</v>
      </c>
      <c r="F24" s="79" t="s">
        <v>71</v>
      </c>
      <c r="G24" s="79" t="s">
        <v>14</v>
      </c>
      <c r="H24" s="79" t="s">
        <v>14</v>
      </c>
      <c r="I24" s="78" t="s">
        <v>14</v>
      </c>
      <c r="J24" s="79" t="s">
        <v>14</v>
      </c>
      <c r="K24" s="142" t="s">
        <v>1850</v>
      </c>
      <c r="L24" s="149" t="s">
        <v>1406</v>
      </c>
      <c r="M24" s="150" t="s">
        <v>1406</v>
      </c>
      <c r="N24" s="151">
        <v>23</v>
      </c>
      <c r="O24" s="151">
        <v>0</v>
      </c>
      <c r="P24" s="152">
        <v>1</v>
      </c>
      <c r="Q24" s="153">
        <v>100</v>
      </c>
      <c r="R24" s="154">
        <v>0</v>
      </c>
      <c r="S24" s="38">
        <f t="shared" si="0"/>
        <v>4</v>
      </c>
      <c r="T24" s="39">
        <f t="shared" si="1"/>
        <v>10</v>
      </c>
      <c r="U24" s="40">
        <f t="shared" si="2"/>
        <v>0</v>
      </c>
      <c r="V24" s="40">
        <f t="shared" si="3"/>
        <v>0</v>
      </c>
      <c r="W24" s="40">
        <f t="shared" si="4"/>
        <v>0</v>
      </c>
      <c r="X24" s="40">
        <f t="shared" si="5"/>
        <v>0</v>
      </c>
      <c r="Y24" s="40">
        <f t="shared" si="6"/>
        <v>0</v>
      </c>
      <c r="Z24" s="40">
        <f t="shared" si="7"/>
        <v>0</v>
      </c>
      <c r="AA24" s="40">
        <f t="shared" si="8"/>
        <v>0</v>
      </c>
      <c r="AB24" s="40">
        <f t="shared" si="9"/>
        <v>0</v>
      </c>
      <c r="AC24" s="41">
        <f t="shared" si="10"/>
        <v>0</v>
      </c>
      <c r="AD24" s="49" t="s">
        <v>1</v>
      </c>
      <c r="AE24" s="50" t="s">
        <v>116</v>
      </c>
      <c r="AF24" s="49"/>
      <c r="AG24" s="50"/>
      <c r="AH24" s="49" t="s">
        <v>5</v>
      </c>
      <c r="AI24" s="50" t="s">
        <v>101</v>
      </c>
      <c r="AJ24" s="49" t="s">
        <v>5</v>
      </c>
      <c r="AK24" s="50" t="s">
        <v>722</v>
      </c>
      <c r="AL24" s="49" t="s">
        <v>5</v>
      </c>
      <c r="AM24" s="50" t="s">
        <v>714</v>
      </c>
      <c r="AN24" s="49" t="s">
        <v>5</v>
      </c>
      <c r="AO24" s="50" t="s">
        <v>124</v>
      </c>
      <c r="AP24" s="49" t="s">
        <v>5</v>
      </c>
      <c r="AQ24" s="50" t="s">
        <v>76</v>
      </c>
      <c r="AR24" s="49" t="s">
        <v>5</v>
      </c>
      <c r="AS24" s="50" t="s">
        <v>132</v>
      </c>
      <c r="AT24" s="49" t="s">
        <v>5</v>
      </c>
      <c r="AU24" s="50" t="s">
        <v>163</v>
      </c>
      <c r="AV24" s="49" t="s">
        <v>5</v>
      </c>
      <c r="AW24" s="50" t="s">
        <v>112</v>
      </c>
      <c r="AX24" s="49" t="s">
        <v>1</v>
      </c>
      <c r="AY24" s="50" t="s">
        <v>95</v>
      </c>
      <c r="AZ24" s="49" t="s">
        <v>5</v>
      </c>
      <c r="BA24" s="50" t="s">
        <v>120</v>
      </c>
      <c r="BB24" s="49" t="s">
        <v>1</v>
      </c>
      <c r="BC24" s="50" t="s">
        <v>107</v>
      </c>
      <c r="BD24" s="49" t="s">
        <v>5</v>
      </c>
      <c r="BE24" s="50" t="s">
        <v>153</v>
      </c>
      <c r="BF24" s="49" t="s">
        <v>1</v>
      </c>
      <c r="BG24" s="50" t="s">
        <v>83</v>
      </c>
      <c r="BH24" s="49"/>
      <c r="BI24" s="50"/>
    </row>
    <row r="25" spans="1:61" x14ac:dyDescent="0.25">
      <c r="A25" s="76">
        <v>152812</v>
      </c>
      <c r="B25" s="77" t="s">
        <v>1649</v>
      </c>
      <c r="C25" s="78" t="s">
        <v>1622</v>
      </c>
      <c r="D25" s="76" t="s">
        <v>12</v>
      </c>
      <c r="E25" s="79" t="s">
        <v>14</v>
      </c>
      <c r="F25" s="79" t="s">
        <v>71</v>
      </c>
      <c r="G25" s="79" t="s">
        <v>14</v>
      </c>
      <c r="H25" s="79" t="s">
        <v>14</v>
      </c>
      <c r="I25" s="78" t="s">
        <v>14</v>
      </c>
      <c r="J25" s="79" t="s">
        <v>14</v>
      </c>
      <c r="K25" s="142" t="s">
        <v>1851</v>
      </c>
      <c r="L25" s="149" t="s">
        <v>1845</v>
      </c>
      <c r="M25" s="150" t="s">
        <v>12</v>
      </c>
      <c r="N25" s="151">
        <v>16</v>
      </c>
      <c r="O25" s="151">
        <v>1</v>
      </c>
      <c r="P25" s="152">
        <v>0</v>
      </c>
      <c r="Q25" s="153">
        <v>93.33</v>
      </c>
      <c r="R25" s="154">
        <v>1</v>
      </c>
      <c r="S25" s="38">
        <f t="shared" si="0"/>
        <v>0</v>
      </c>
      <c r="T25" s="39">
        <f t="shared" si="1"/>
        <v>12</v>
      </c>
      <c r="U25" s="40">
        <f t="shared" si="2"/>
        <v>0</v>
      </c>
      <c r="V25" s="40">
        <f t="shared" si="3"/>
        <v>2</v>
      </c>
      <c r="W25" s="40">
        <f t="shared" si="4"/>
        <v>0</v>
      </c>
      <c r="X25" s="40">
        <f t="shared" si="5"/>
        <v>2</v>
      </c>
      <c r="Y25" s="40">
        <f t="shared" si="6"/>
        <v>0</v>
      </c>
      <c r="Z25" s="40">
        <f t="shared" si="7"/>
        <v>0</v>
      </c>
      <c r="AA25" s="40">
        <f t="shared" si="8"/>
        <v>0</v>
      </c>
      <c r="AB25" s="40">
        <f t="shared" si="9"/>
        <v>0</v>
      </c>
      <c r="AC25" s="41">
        <f t="shared" si="10"/>
        <v>0</v>
      </c>
      <c r="AD25" s="49" t="s">
        <v>5</v>
      </c>
      <c r="AE25" s="50" t="s">
        <v>89</v>
      </c>
      <c r="AF25" s="49" t="s">
        <v>5</v>
      </c>
      <c r="AG25" s="50" t="s">
        <v>73</v>
      </c>
      <c r="AH25" s="49" t="s">
        <v>5</v>
      </c>
      <c r="AI25" s="50" t="s">
        <v>142</v>
      </c>
      <c r="AJ25" s="49" t="s">
        <v>5</v>
      </c>
      <c r="AK25" s="50" t="s">
        <v>142</v>
      </c>
      <c r="AL25" s="49" t="s">
        <v>31</v>
      </c>
      <c r="AM25" s="50" t="s">
        <v>98</v>
      </c>
      <c r="AN25" s="49" t="s">
        <v>5</v>
      </c>
      <c r="AO25" s="50" t="s">
        <v>75</v>
      </c>
      <c r="AP25" s="49" t="s">
        <v>5</v>
      </c>
      <c r="AQ25" s="50" t="s">
        <v>92</v>
      </c>
      <c r="AR25" s="49" t="s">
        <v>5</v>
      </c>
      <c r="AS25" s="50" t="s">
        <v>104</v>
      </c>
      <c r="AT25" s="49" t="s">
        <v>5</v>
      </c>
      <c r="AU25" s="50" t="s">
        <v>105</v>
      </c>
      <c r="AV25" s="49" t="s">
        <v>5</v>
      </c>
      <c r="AW25" s="50" t="s">
        <v>430</v>
      </c>
      <c r="AX25" s="49" t="s">
        <v>5</v>
      </c>
      <c r="AY25" s="50" t="s">
        <v>80</v>
      </c>
      <c r="AZ25" s="49"/>
      <c r="BA25" s="50"/>
      <c r="BB25" s="49" t="s">
        <v>5</v>
      </c>
      <c r="BC25" s="50" t="s">
        <v>107</v>
      </c>
      <c r="BD25" s="49" t="s">
        <v>31</v>
      </c>
      <c r="BE25" s="50" t="s">
        <v>122</v>
      </c>
      <c r="BF25" s="49" t="s">
        <v>5</v>
      </c>
      <c r="BG25" s="50" t="s">
        <v>98</v>
      </c>
      <c r="BH25" s="49"/>
      <c r="BI25" s="50"/>
    </row>
    <row r="26" spans="1:61" x14ac:dyDescent="0.25">
      <c r="A26" s="76">
        <v>152782</v>
      </c>
      <c r="B26" s="77" t="s">
        <v>1650</v>
      </c>
      <c r="C26" s="78" t="s">
        <v>1628</v>
      </c>
      <c r="D26" s="76" t="s">
        <v>12</v>
      </c>
      <c r="E26" s="79" t="s">
        <v>87</v>
      </c>
      <c r="F26" s="79" t="s">
        <v>198</v>
      </c>
      <c r="G26" s="79" t="s">
        <v>14</v>
      </c>
      <c r="H26" s="79" t="s">
        <v>87</v>
      </c>
      <c r="I26" s="78" t="s">
        <v>14</v>
      </c>
      <c r="J26" s="79" t="s">
        <v>6</v>
      </c>
      <c r="K26" s="142" t="s">
        <v>1850</v>
      </c>
      <c r="L26" s="149" t="s">
        <v>1844</v>
      </c>
      <c r="M26" s="150" t="s">
        <v>12</v>
      </c>
      <c r="N26" s="151">
        <v>20</v>
      </c>
      <c r="O26" s="151">
        <v>0</v>
      </c>
      <c r="P26" s="152">
        <v>0</v>
      </c>
      <c r="Q26" s="153">
        <v>100</v>
      </c>
      <c r="R26" s="154">
        <v>0</v>
      </c>
      <c r="S26" s="38">
        <f t="shared" si="0"/>
        <v>3</v>
      </c>
      <c r="T26" s="39">
        <f t="shared" si="1"/>
        <v>11</v>
      </c>
      <c r="U26" s="40">
        <f t="shared" si="2"/>
        <v>0</v>
      </c>
      <c r="V26" s="40">
        <f t="shared" si="3"/>
        <v>0</v>
      </c>
      <c r="W26" s="40">
        <f t="shared" si="4"/>
        <v>0</v>
      </c>
      <c r="X26" s="40">
        <f t="shared" si="5"/>
        <v>0</v>
      </c>
      <c r="Y26" s="40">
        <f t="shared" si="6"/>
        <v>0</v>
      </c>
      <c r="Z26" s="40">
        <f t="shared" si="7"/>
        <v>0</v>
      </c>
      <c r="AA26" s="40">
        <f t="shared" si="8"/>
        <v>0</v>
      </c>
      <c r="AB26" s="40">
        <f t="shared" si="9"/>
        <v>0</v>
      </c>
      <c r="AC26" s="41">
        <f t="shared" si="10"/>
        <v>0</v>
      </c>
      <c r="AD26" s="49" t="s">
        <v>5</v>
      </c>
      <c r="AE26" s="50" t="s">
        <v>116</v>
      </c>
      <c r="AF26" s="49"/>
      <c r="AG26" s="50"/>
      <c r="AH26" s="49" t="s">
        <v>5</v>
      </c>
      <c r="AI26" s="50" t="s">
        <v>101</v>
      </c>
      <c r="AJ26" s="49" t="s">
        <v>5</v>
      </c>
      <c r="AK26" s="50" t="s">
        <v>142</v>
      </c>
      <c r="AL26" s="49" t="s">
        <v>5</v>
      </c>
      <c r="AM26" s="50" t="s">
        <v>106</v>
      </c>
      <c r="AN26" s="49" t="s">
        <v>5</v>
      </c>
      <c r="AO26" s="50" t="s">
        <v>103</v>
      </c>
      <c r="AP26" s="49" t="s">
        <v>5</v>
      </c>
      <c r="AQ26" s="50" t="s">
        <v>144</v>
      </c>
      <c r="AR26" s="49" t="s">
        <v>1</v>
      </c>
      <c r="AS26" s="50" t="s">
        <v>104</v>
      </c>
      <c r="AT26" s="49" t="s">
        <v>5</v>
      </c>
      <c r="AU26" s="50" t="s">
        <v>105</v>
      </c>
      <c r="AV26" s="49" t="s">
        <v>5</v>
      </c>
      <c r="AW26" s="50" t="s">
        <v>112</v>
      </c>
      <c r="AX26" s="49" t="s">
        <v>5</v>
      </c>
      <c r="AY26" s="50" t="s">
        <v>95</v>
      </c>
      <c r="AZ26" s="49" t="s">
        <v>5</v>
      </c>
      <c r="BA26" s="50" t="s">
        <v>120</v>
      </c>
      <c r="BB26" s="49" t="s">
        <v>1</v>
      </c>
      <c r="BC26" s="50" t="s">
        <v>96</v>
      </c>
      <c r="BD26" s="49" t="s">
        <v>5</v>
      </c>
      <c r="BE26" s="50" t="s">
        <v>108</v>
      </c>
      <c r="BF26" s="49" t="s">
        <v>1</v>
      </c>
      <c r="BG26" s="50" t="s">
        <v>98</v>
      </c>
      <c r="BH26" s="49"/>
      <c r="BI26" s="50"/>
    </row>
    <row r="27" spans="1:61" x14ac:dyDescent="0.25">
      <c r="A27" s="76">
        <v>152837</v>
      </c>
      <c r="B27" s="77" t="s">
        <v>1651</v>
      </c>
      <c r="C27" s="78" t="s">
        <v>1622</v>
      </c>
      <c r="D27" s="76" t="s">
        <v>70</v>
      </c>
      <c r="E27" s="79" t="s">
        <v>14</v>
      </c>
      <c r="F27" s="79" t="s">
        <v>71</v>
      </c>
      <c r="G27" s="79" t="s">
        <v>14</v>
      </c>
      <c r="H27" s="79" t="s">
        <v>14</v>
      </c>
      <c r="I27" s="78" t="s">
        <v>14</v>
      </c>
      <c r="J27" s="79" t="s">
        <v>14</v>
      </c>
      <c r="K27" s="142" t="s">
        <v>1850</v>
      </c>
      <c r="L27" s="149" t="s">
        <v>1841</v>
      </c>
      <c r="M27" s="150" t="s">
        <v>1853</v>
      </c>
      <c r="N27" s="151">
        <v>7</v>
      </c>
      <c r="O27" s="151">
        <v>1</v>
      </c>
      <c r="P27" s="152">
        <v>0</v>
      </c>
      <c r="Q27" s="153">
        <v>91.3</v>
      </c>
      <c r="R27" s="154">
        <v>3</v>
      </c>
      <c r="S27" s="38">
        <f t="shared" si="0"/>
        <v>0</v>
      </c>
      <c r="T27" s="39">
        <f t="shared" si="1"/>
        <v>14</v>
      </c>
      <c r="U27" s="40">
        <f t="shared" si="2"/>
        <v>0</v>
      </c>
      <c r="V27" s="40">
        <f t="shared" si="3"/>
        <v>0</v>
      </c>
      <c r="W27" s="40">
        <f t="shared" si="4"/>
        <v>0</v>
      </c>
      <c r="X27" s="40">
        <f t="shared" si="5"/>
        <v>0</v>
      </c>
      <c r="Y27" s="40">
        <f t="shared" si="6"/>
        <v>0</v>
      </c>
      <c r="Z27" s="40">
        <f t="shared" si="7"/>
        <v>0</v>
      </c>
      <c r="AA27" s="40">
        <f t="shared" si="8"/>
        <v>0</v>
      </c>
      <c r="AB27" s="40">
        <f t="shared" si="9"/>
        <v>0</v>
      </c>
      <c r="AC27" s="41">
        <f t="shared" si="10"/>
        <v>0</v>
      </c>
      <c r="AD27" s="49" t="s">
        <v>5</v>
      </c>
      <c r="AE27" s="50" t="s">
        <v>89</v>
      </c>
      <c r="AF27" s="49"/>
      <c r="AG27" s="50"/>
      <c r="AH27" s="49" t="s">
        <v>5</v>
      </c>
      <c r="AI27" s="50" t="s">
        <v>142</v>
      </c>
      <c r="AJ27" s="49" t="s">
        <v>5</v>
      </c>
      <c r="AK27" s="50" t="s">
        <v>459</v>
      </c>
      <c r="AL27" s="49" t="s">
        <v>5</v>
      </c>
      <c r="AM27" s="50" t="s">
        <v>98</v>
      </c>
      <c r="AN27" s="49" t="s">
        <v>5</v>
      </c>
      <c r="AO27" s="50" t="s">
        <v>75</v>
      </c>
      <c r="AP27" s="49" t="s">
        <v>5</v>
      </c>
      <c r="AQ27" s="50" t="s">
        <v>92</v>
      </c>
      <c r="AR27" s="49" t="s">
        <v>5</v>
      </c>
      <c r="AS27" s="50" t="s">
        <v>104</v>
      </c>
      <c r="AT27" s="49" t="s">
        <v>5</v>
      </c>
      <c r="AU27" s="50" t="s">
        <v>105</v>
      </c>
      <c r="AV27" s="49" t="s">
        <v>5</v>
      </c>
      <c r="AW27" s="50" t="s">
        <v>79</v>
      </c>
      <c r="AX27" s="49" t="s">
        <v>5</v>
      </c>
      <c r="AY27" s="50" t="s">
        <v>80</v>
      </c>
      <c r="AZ27" s="49" t="s">
        <v>5</v>
      </c>
      <c r="BA27" s="50" t="s">
        <v>120</v>
      </c>
      <c r="BB27" s="49" t="s">
        <v>5</v>
      </c>
      <c r="BC27" s="50" t="s">
        <v>81</v>
      </c>
      <c r="BD27" s="49" t="s">
        <v>5</v>
      </c>
      <c r="BE27" s="50" t="s">
        <v>122</v>
      </c>
      <c r="BF27" s="49" t="s">
        <v>5</v>
      </c>
      <c r="BG27" s="50" t="s">
        <v>123</v>
      </c>
      <c r="BH27" s="49"/>
      <c r="BI27" s="50"/>
    </row>
    <row r="28" spans="1:61" x14ac:dyDescent="0.25">
      <c r="A28" s="76">
        <v>152780</v>
      </c>
      <c r="B28" s="77" t="s">
        <v>1652</v>
      </c>
      <c r="C28" s="78" t="s">
        <v>1628</v>
      </c>
      <c r="D28" s="76" t="s">
        <v>12</v>
      </c>
      <c r="E28" s="79" t="s">
        <v>14</v>
      </c>
      <c r="F28" s="79" t="s">
        <v>71</v>
      </c>
      <c r="G28" s="79" t="s">
        <v>14</v>
      </c>
      <c r="H28" s="79" t="s">
        <v>87</v>
      </c>
      <c r="I28" s="78" t="s">
        <v>14</v>
      </c>
      <c r="J28" s="79" t="s">
        <v>6</v>
      </c>
      <c r="K28" s="142" t="s">
        <v>1850</v>
      </c>
      <c r="L28" s="149" t="s">
        <v>1848</v>
      </c>
      <c r="M28" s="150" t="s">
        <v>1852</v>
      </c>
      <c r="N28" s="151">
        <v>17</v>
      </c>
      <c r="O28" s="151">
        <v>0</v>
      </c>
      <c r="P28" s="152">
        <v>0</v>
      </c>
      <c r="Q28" s="153">
        <v>100</v>
      </c>
      <c r="R28" s="154">
        <v>1</v>
      </c>
      <c r="S28" s="38">
        <f t="shared" si="0"/>
        <v>0</v>
      </c>
      <c r="T28" s="39">
        <f t="shared" si="1"/>
        <v>13</v>
      </c>
      <c r="U28" s="40">
        <f t="shared" si="2"/>
        <v>1</v>
      </c>
      <c r="V28" s="40">
        <f t="shared" si="3"/>
        <v>0</v>
      </c>
      <c r="W28" s="40">
        <f t="shared" si="4"/>
        <v>0</v>
      </c>
      <c r="X28" s="40">
        <f t="shared" si="5"/>
        <v>1</v>
      </c>
      <c r="Y28" s="40">
        <f t="shared" si="6"/>
        <v>0</v>
      </c>
      <c r="Z28" s="40">
        <f t="shared" si="7"/>
        <v>0</v>
      </c>
      <c r="AA28" s="40">
        <f t="shared" si="8"/>
        <v>0</v>
      </c>
      <c r="AB28" s="40">
        <f t="shared" si="9"/>
        <v>0</v>
      </c>
      <c r="AC28" s="41">
        <f t="shared" si="10"/>
        <v>0</v>
      </c>
      <c r="AD28" s="49" t="s">
        <v>5</v>
      </c>
      <c r="AE28" s="50" t="s">
        <v>116</v>
      </c>
      <c r="AF28" s="49" t="s">
        <v>5</v>
      </c>
      <c r="AG28" s="50" t="s">
        <v>117</v>
      </c>
      <c r="AH28" s="49" t="s">
        <v>5</v>
      </c>
      <c r="AI28" s="50" t="s">
        <v>101</v>
      </c>
      <c r="AJ28" s="49" t="s">
        <v>30</v>
      </c>
      <c r="AK28" s="50" t="s">
        <v>111</v>
      </c>
      <c r="AL28" s="49" t="s">
        <v>5</v>
      </c>
      <c r="AM28" s="50" t="s">
        <v>106</v>
      </c>
      <c r="AN28" s="49" t="s">
        <v>5</v>
      </c>
      <c r="AO28" s="50" t="s">
        <v>103</v>
      </c>
      <c r="AP28" s="49" t="s">
        <v>5</v>
      </c>
      <c r="AQ28" s="50" t="s">
        <v>144</v>
      </c>
      <c r="AR28" s="49" t="s">
        <v>5</v>
      </c>
      <c r="AS28" s="50" t="s">
        <v>104</v>
      </c>
      <c r="AT28" s="49" t="s">
        <v>5</v>
      </c>
      <c r="AU28" s="50" t="s">
        <v>105</v>
      </c>
      <c r="AV28" s="49" t="s">
        <v>5</v>
      </c>
      <c r="AW28" s="50" t="s">
        <v>711</v>
      </c>
      <c r="AX28" s="49" t="s">
        <v>5</v>
      </c>
      <c r="AY28" s="50" t="s">
        <v>95</v>
      </c>
      <c r="AZ28" s="49"/>
      <c r="BA28" s="50"/>
      <c r="BB28" s="49" t="s">
        <v>5</v>
      </c>
      <c r="BC28" s="50" t="s">
        <v>96</v>
      </c>
      <c r="BD28" s="49" t="s">
        <v>5</v>
      </c>
      <c r="BE28" s="50" t="s">
        <v>108</v>
      </c>
      <c r="BF28" s="49" t="s">
        <v>5</v>
      </c>
      <c r="BG28" s="50" t="s">
        <v>83</v>
      </c>
      <c r="BH28" s="49"/>
      <c r="BI28" s="50"/>
    </row>
    <row r="29" spans="1:61" x14ac:dyDescent="0.25">
      <c r="A29" s="76">
        <v>152857</v>
      </c>
      <c r="B29" s="77" t="s">
        <v>1653</v>
      </c>
      <c r="C29" s="78" t="s">
        <v>1648</v>
      </c>
      <c r="D29" s="76" t="s">
        <v>12</v>
      </c>
      <c r="E29" s="79" t="s">
        <v>14</v>
      </c>
      <c r="F29" s="79" t="s">
        <v>71</v>
      </c>
      <c r="G29" s="79" t="s">
        <v>14</v>
      </c>
      <c r="H29" s="79" t="s">
        <v>14</v>
      </c>
      <c r="I29" s="78" t="s">
        <v>14</v>
      </c>
      <c r="J29" s="79" t="s">
        <v>14</v>
      </c>
      <c r="K29" s="142" t="s">
        <v>1850</v>
      </c>
      <c r="L29" s="149" t="s">
        <v>1842</v>
      </c>
      <c r="M29" s="150" t="s">
        <v>12</v>
      </c>
      <c r="N29" s="151">
        <v>10</v>
      </c>
      <c r="O29" s="151">
        <v>4</v>
      </c>
      <c r="P29" s="152">
        <v>1</v>
      </c>
      <c r="Q29" s="153">
        <v>100</v>
      </c>
      <c r="R29" s="154">
        <v>0</v>
      </c>
      <c r="S29" s="38">
        <f t="shared" si="0"/>
        <v>1</v>
      </c>
      <c r="T29" s="39">
        <f t="shared" si="1"/>
        <v>11</v>
      </c>
      <c r="U29" s="40">
        <f t="shared" si="2"/>
        <v>2</v>
      </c>
      <c r="V29" s="40">
        <f t="shared" si="3"/>
        <v>0</v>
      </c>
      <c r="W29" s="40">
        <f t="shared" si="4"/>
        <v>0</v>
      </c>
      <c r="X29" s="40">
        <f t="shared" si="5"/>
        <v>2</v>
      </c>
      <c r="Y29" s="40">
        <f t="shared" si="6"/>
        <v>0</v>
      </c>
      <c r="Z29" s="40">
        <f t="shared" si="7"/>
        <v>0</v>
      </c>
      <c r="AA29" s="40">
        <f t="shared" si="8"/>
        <v>0</v>
      </c>
      <c r="AB29" s="40">
        <f t="shared" si="9"/>
        <v>0</v>
      </c>
      <c r="AC29" s="41">
        <f t="shared" si="10"/>
        <v>0</v>
      </c>
      <c r="AD29" s="49" t="s">
        <v>5</v>
      </c>
      <c r="AE29" s="50" t="s">
        <v>116</v>
      </c>
      <c r="AF29" s="49" t="s">
        <v>5</v>
      </c>
      <c r="AG29" s="50" t="s">
        <v>117</v>
      </c>
      <c r="AH29" s="49" t="s">
        <v>5</v>
      </c>
      <c r="AI29" s="50" t="s">
        <v>101</v>
      </c>
      <c r="AJ29" s="49" t="s">
        <v>5</v>
      </c>
      <c r="AK29" s="50" t="s">
        <v>722</v>
      </c>
      <c r="AL29" s="49" t="s">
        <v>5</v>
      </c>
      <c r="AM29" s="50" t="s">
        <v>714</v>
      </c>
      <c r="AN29" s="49" t="s">
        <v>5</v>
      </c>
      <c r="AO29" s="50" t="s">
        <v>124</v>
      </c>
      <c r="AP29" s="49" t="s">
        <v>30</v>
      </c>
      <c r="AQ29" s="50" t="s">
        <v>76</v>
      </c>
      <c r="AR29" s="49" t="s">
        <v>5</v>
      </c>
      <c r="AS29" s="50" t="s">
        <v>132</v>
      </c>
      <c r="AT29" s="49" t="s">
        <v>5</v>
      </c>
      <c r="AU29" s="50" t="s">
        <v>163</v>
      </c>
      <c r="AV29" s="49" t="s">
        <v>30</v>
      </c>
      <c r="AW29" s="50" t="s">
        <v>79</v>
      </c>
      <c r="AX29" s="49" t="s">
        <v>5</v>
      </c>
      <c r="AY29" s="50" t="s">
        <v>95</v>
      </c>
      <c r="AZ29" s="49"/>
      <c r="BA29" s="50"/>
      <c r="BB29" s="49" t="s">
        <v>1</v>
      </c>
      <c r="BC29" s="50" t="s">
        <v>96</v>
      </c>
      <c r="BD29" s="49" t="s">
        <v>5</v>
      </c>
      <c r="BE29" s="50" t="s">
        <v>153</v>
      </c>
      <c r="BF29" s="49" t="s">
        <v>5</v>
      </c>
      <c r="BG29" s="50" t="s">
        <v>123</v>
      </c>
      <c r="BH29" s="49"/>
      <c r="BI29" s="50"/>
    </row>
    <row r="30" spans="1:61" x14ac:dyDescent="0.25">
      <c r="A30" s="76">
        <v>152934</v>
      </c>
      <c r="B30" s="77" t="s">
        <v>1654</v>
      </c>
      <c r="C30" s="78" t="s">
        <v>1633</v>
      </c>
      <c r="D30" s="76" t="s">
        <v>70</v>
      </c>
      <c r="E30" s="79" t="s">
        <v>14</v>
      </c>
      <c r="F30" s="79" t="s">
        <v>71</v>
      </c>
      <c r="G30" s="79" t="s">
        <v>14</v>
      </c>
      <c r="H30" s="79" t="s">
        <v>14</v>
      </c>
      <c r="I30" s="78" t="s">
        <v>14</v>
      </c>
      <c r="J30" s="79" t="s">
        <v>14</v>
      </c>
      <c r="K30" s="142" t="s">
        <v>1850</v>
      </c>
      <c r="L30" s="149" t="s">
        <v>1848</v>
      </c>
      <c r="M30" s="150" t="s">
        <v>12</v>
      </c>
      <c r="N30" s="151">
        <v>21</v>
      </c>
      <c r="O30" s="151">
        <v>0</v>
      </c>
      <c r="P30" s="152">
        <v>2</v>
      </c>
      <c r="Q30" s="153">
        <v>100</v>
      </c>
      <c r="R30" s="154">
        <v>0</v>
      </c>
      <c r="S30" s="38">
        <f t="shared" si="0"/>
        <v>0</v>
      </c>
      <c r="T30" s="39">
        <f t="shared" si="1"/>
        <v>13</v>
      </c>
      <c r="U30" s="40">
        <f t="shared" si="2"/>
        <v>1</v>
      </c>
      <c r="V30" s="40">
        <f t="shared" si="3"/>
        <v>0</v>
      </c>
      <c r="W30" s="40">
        <f t="shared" si="4"/>
        <v>0</v>
      </c>
      <c r="X30" s="40">
        <f t="shared" si="5"/>
        <v>1</v>
      </c>
      <c r="Y30" s="40">
        <f t="shared" si="6"/>
        <v>0</v>
      </c>
      <c r="Z30" s="40">
        <f t="shared" si="7"/>
        <v>0</v>
      </c>
      <c r="AA30" s="40">
        <f t="shared" si="8"/>
        <v>0</v>
      </c>
      <c r="AB30" s="40">
        <f t="shared" si="9"/>
        <v>0</v>
      </c>
      <c r="AC30" s="41">
        <f t="shared" si="10"/>
        <v>0</v>
      </c>
      <c r="AD30" s="49" t="s">
        <v>5</v>
      </c>
      <c r="AE30" s="50" t="s">
        <v>89</v>
      </c>
      <c r="AF30" s="49" t="s">
        <v>5</v>
      </c>
      <c r="AG30" s="50" t="s">
        <v>90</v>
      </c>
      <c r="AH30" s="49" t="s">
        <v>5</v>
      </c>
      <c r="AI30" s="50" t="s">
        <v>101</v>
      </c>
      <c r="AJ30" s="49" t="s">
        <v>5</v>
      </c>
      <c r="AK30" s="50" t="s">
        <v>194</v>
      </c>
      <c r="AL30" s="49" t="s">
        <v>5</v>
      </c>
      <c r="AM30" s="50" t="s">
        <v>122</v>
      </c>
      <c r="AN30" s="49"/>
      <c r="AO30" s="50"/>
      <c r="AP30" s="49" t="s">
        <v>5</v>
      </c>
      <c r="AQ30" s="50" t="s">
        <v>131</v>
      </c>
      <c r="AR30" s="49" t="s">
        <v>5</v>
      </c>
      <c r="AS30" s="50" t="s">
        <v>120</v>
      </c>
      <c r="AT30" s="49" t="s">
        <v>5</v>
      </c>
      <c r="AU30" s="50" t="s">
        <v>163</v>
      </c>
      <c r="AV30" s="49" t="s">
        <v>5</v>
      </c>
      <c r="AW30" s="50" t="s">
        <v>711</v>
      </c>
      <c r="AX30" s="49" t="s">
        <v>5</v>
      </c>
      <c r="AY30" s="50" t="s">
        <v>95</v>
      </c>
      <c r="AZ30" s="49"/>
      <c r="BA30" s="50"/>
      <c r="BB30" s="49" t="s">
        <v>30</v>
      </c>
      <c r="BC30" s="50" t="s">
        <v>152</v>
      </c>
      <c r="BD30" s="49" t="s">
        <v>5</v>
      </c>
      <c r="BE30" s="50" t="s">
        <v>495</v>
      </c>
      <c r="BF30" s="49" t="s">
        <v>5</v>
      </c>
      <c r="BG30" s="50" t="s">
        <v>154</v>
      </c>
      <c r="BH30" s="49" t="s">
        <v>5</v>
      </c>
      <c r="BI30" s="50" t="s">
        <v>75</v>
      </c>
    </row>
    <row r="31" spans="1:61" x14ac:dyDescent="0.25">
      <c r="A31" s="76">
        <v>152901</v>
      </c>
      <c r="B31" s="77" t="s">
        <v>1655</v>
      </c>
      <c r="C31" s="78" t="s">
        <v>1622</v>
      </c>
      <c r="D31" s="76" t="s">
        <v>12</v>
      </c>
      <c r="E31" s="79" t="s">
        <v>14</v>
      </c>
      <c r="F31" s="79" t="s">
        <v>71</v>
      </c>
      <c r="G31" s="79" t="s">
        <v>14</v>
      </c>
      <c r="H31" s="79" t="s">
        <v>14</v>
      </c>
      <c r="I31" s="78" t="s">
        <v>14</v>
      </c>
      <c r="J31" s="79" t="s">
        <v>14</v>
      </c>
      <c r="K31" s="142" t="s">
        <v>1850</v>
      </c>
      <c r="L31" s="149" t="s">
        <v>1842</v>
      </c>
      <c r="M31" s="150" t="s">
        <v>1853</v>
      </c>
      <c r="N31" s="151">
        <v>10</v>
      </c>
      <c r="O31" s="151">
        <v>1</v>
      </c>
      <c r="P31" s="152">
        <v>0</v>
      </c>
      <c r="Q31" s="153">
        <v>86.67</v>
      </c>
      <c r="R31" s="154">
        <v>0</v>
      </c>
      <c r="S31" s="38">
        <f t="shared" si="0"/>
        <v>0</v>
      </c>
      <c r="T31" s="39">
        <f t="shared" si="1"/>
        <v>13</v>
      </c>
      <c r="U31" s="40">
        <f t="shared" si="2"/>
        <v>1</v>
      </c>
      <c r="V31" s="40">
        <f t="shared" si="3"/>
        <v>0</v>
      </c>
      <c r="W31" s="40">
        <f t="shared" si="4"/>
        <v>0</v>
      </c>
      <c r="X31" s="40">
        <f t="shared" si="5"/>
        <v>1</v>
      </c>
      <c r="Y31" s="40">
        <f t="shared" si="6"/>
        <v>0</v>
      </c>
      <c r="Z31" s="40">
        <f t="shared" si="7"/>
        <v>0</v>
      </c>
      <c r="AA31" s="40">
        <f t="shared" si="8"/>
        <v>0</v>
      </c>
      <c r="AB31" s="40">
        <f t="shared" si="9"/>
        <v>0</v>
      </c>
      <c r="AC31" s="41">
        <f t="shared" si="10"/>
        <v>0</v>
      </c>
      <c r="AD31" s="49" t="s">
        <v>5</v>
      </c>
      <c r="AE31" s="50" t="s">
        <v>89</v>
      </c>
      <c r="AF31" s="49" t="s">
        <v>5</v>
      </c>
      <c r="AG31" s="50" t="s">
        <v>117</v>
      </c>
      <c r="AH31" s="49" t="s">
        <v>5</v>
      </c>
      <c r="AI31" s="50" t="s">
        <v>142</v>
      </c>
      <c r="AJ31" s="49" t="s">
        <v>5</v>
      </c>
      <c r="AK31" s="50" t="s">
        <v>722</v>
      </c>
      <c r="AL31" s="49" t="s">
        <v>5</v>
      </c>
      <c r="AM31" s="50" t="s">
        <v>98</v>
      </c>
      <c r="AN31" s="49" t="s">
        <v>5</v>
      </c>
      <c r="AO31" s="50" t="s">
        <v>75</v>
      </c>
      <c r="AP31" s="49" t="s">
        <v>5</v>
      </c>
      <c r="AQ31" s="50" t="s">
        <v>92</v>
      </c>
      <c r="AR31" s="49" t="s">
        <v>5</v>
      </c>
      <c r="AS31" s="50" t="s">
        <v>104</v>
      </c>
      <c r="AT31" s="49" t="s">
        <v>5</v>
      </c>
      <c r="AU31" s="50" t="s">
        <v>105</v>
      </c>
      <c r="AV31" s="49" t="s">
        <v>5</v>
      </c>
      <c r="AW31" s="50" t="s">
        <v>79</v>
      </c>
      <c r="AX31" s="49" t="s">
        <v>5</v>
      </c>
      <c r="AY31" s="50" t="s">
        <v>80</v>
      </c>
      <c r="AZ31" s="49"/>
      <c r="BA31" s="50"/>
      <c r="BB31" s="49" t="s">
        <v>5</v>
      </c>
      <c r="BC31" s="50" t="s">
        <v>107</v>
      </c>
      <c r="BD31" s="49" t="s">
        <v>30</v>
      </c>
      <c r="BE31" s="50" t="s">
        <v>122</v>
      </c>
      <c r="BF31" s="49" t="s">
        <v>5</v>
      </c>
      <c r="BG31" s="50" t="s">
        <v>164</v>
      </c>
      <c r="BH31" s="49"/>
      <c r="BI31" s="50"/>
    </row>
    <row r="32" spans="1:61" x14ac:dyDescent="0.25">
      <c r="A32" s="76">
        <v>152763</v>
      </c>
      <c r="B32" s="77" t="s">
        <v>1656</v>
      </c>
      <c r="C32" s="78" t="s">
        <v>1622</v>
      </c>
      <c r="D32" s="76" t="s">
        <v>70</v>
      </c>
      <c r="E32" s="79" t="s">
        <v>14</v>
      </c>
      <c r="F32" s="79" t="s">
        <v>71</v>
      </c>
      <c r="G32" s="79" t="s">
        <v>14</v>
      </c>
      <c r="H32" s="79" t="s">
        <v>14</v>
      </c>
      <c r="I32" s="78" t="s">
        <v>14</v>
      </c>
      <c r="J32" s="79" t="s">
        <v>14</v>
      </c>
      <c r="K32" s="142" t="s">
        <v>1850</v>
      </c>
      <c r="L32" s="149" t="s">
        <v>1844</v>
      </c>
      <c r="M32" s="150" t="s">
        <v>12</v>
      </c>
      <c r="N32" s="151">
        <v>15</v>
      </c>
      <c r="O32" s="151">
        <v>0</v>
      </c>
      <c r="P32" s="152">
        <v>0</v>
      </c>
      <c r="Q32" s="153">
        <v>100</v>
      </c>
      <c r="R32" s="154">
        <v>0</v>
      </c>
      <c r="S32" s="38">
        <f t="shared" si="0"/>
        <v>1</v>
      </c>
      <c r="T32" s="39">
        <f t="shared" si="1"/>
        <v>13</v>
      </c>
      <c r="U32" s="40">
        <f t="shared" si="2"/>
        <v>0</v>
      </c>
      <c r="V32" s="40">
        <f t="shared" si="3"/>
        <v>0</v>
      </c>
      <c r="W32" s="40">
        <f t="shared" si="4"/>
        <v>0</v>
      </c>
      <c r="X32" s="40">
        <f t="shared" si="5"/>
        <v>0</v>
      </c>
      <c r="Y32" s="40">
        <f t="shared" si="6"/>
        <v>0</v>
      </c>
      <c r="Z32" s="40">
        <f t="shared" si="7"/>
        <v>0</v>
      </c>
      <c r="AA32" s="40">
        <f t="shared" si="8"/>
        <v>0</v>
      </c>
      <c r="AB32" s="40">
        <f t="shared" si="9"/>
        <v>0</v>
      </c>
      <c r="AC32" s="41">
        <f t="shared" si="10"/>
        <v>0</v>
      </c>
      <c r="AD32" s="49" t="s">
        <v>5</v>
      </c>
      <c r="AE32" s="50" t="s">
        <v>89</v>
      </c>
      <c r="AF32" s="49" t="s">
        <v>5</v>
      </c>
      <c r="AG32" s="50" t="s">
        <v>135</v>
      </c>
      <c r="AH32" s="49" t="s">
        <v>5</v>
      </c>
      <c r="AI32" s="50" t="s">
        <v>142</v>
      </c>
      <c r="AJ32" s="49" t="s">
        <v>5</v>
      </c>
      <c r="AK32" s="50" t="s">
        <v>142</v>
      </c>
      <c r="AL32" s="49" t="s">
        <v>5</v>
      </c>
      <c r="AM32" s="50" t="s">
        <v>98</v>
      </c>
      <c r="AN32" s="49" t="s">
        <v>5</v>
      </c>
      <c r="AO32" s="50" t="s">
        <v>75</v>
      </c>
      <c r="AP32" s="49" t="s">
        <v>5</v>
      </c>
      <c r="AQ32" s="50" t="s">
        <v>92</v>
      </c>
      <c r="AR32" s="49" t="s">
        <v>1</v>
      </c>
      <c r="AS32" s="50" t="s">
        <v>104</v>
      </c>
      <c r="AT32" s="49" t="s">
        <v>5</v>
      </c>
      <c r="AU32" s="50" t="s">
        <v>105</v>
      </c>
      <c r="AV32" s="49" t="s">
        <v>5</v>
      </c>
      <c r="AW32" s="50" t="s">
        <v>94</v>
      </c>
      <c r="AX32" s="49" t="s">
        <v>5</v>
      </c>
      <c r="AY32" s="50" t="s">
        <v>80</v>
      </c>
      <c r="AZ32" s="49"/>
      <c r="BA32" s="50"/>
      <c r="BB32" s="49" t="s">
        <v>5</v>
      </c>
      <c r="BC32" s="50" t="s">
        <v>81</v>
      </c>
      <c r="BD32" s="49" t="s">
        <v>5</v>
      </c>
      <c r="BE32" s="50" t="s">
        <v>122</v>
      </c>
      <c r="BF32" s="49" t="s">
        <v>5</v>
      </c>
      <c r="BG32" s="50" t="s">
        <v>164</v>
      </c>
      <c r="BH32" s="49"/>
      <c r="BI32" s="50"/>
    </row>
    <row r="33" spans="1:61" ht="30" x14ac:dyDescent="0.25">
      <c r="A33" s="76">
        <v>152859</v>
      </c>
      <c r="B33" s="77" t="s">
        <v>1657</v>
      </c>
      <c r="C33" s="78" t="s">
        <v>1622</v>
      </c>
      <c r="D33" s="76" t="s">
        <v>70</v>
      </c>
      <c r="E33" s="79" t="s">
        <v>14</v>
      </c>
      <c r="F33" s="77" t="s">
        <v>146</v>
      </c>
      <c r="G33" s="79" t="s">
        <v>14</v>
      </c>
      <c r="H33" s="79" t="s">
        <v>14</v>
      </c>
      <c r="I33" s="78" t="s">
        <v>14</v>
      </c>
      <c r="J33" s="79" t="s">
        <v>14</v>
      </c>
      <c r="K33" s="142" t="s">
        <v>1850</v>
      </c>
      <c r="L33" s="149" t="s">
        <v>1842</v>
      </c>
      <c r="M33" s="150" t="s">
        <v>1853</v>
      </c>
      <c r="N33" s="151">
        <v>19</v>
      </c>
      <c r="O33" s="151">
        <v>0</v>
      </c>
      <c r="P33" s="152">
        <v>0</v>
      </c>
      <c r="Q33" s="153">
        <v>100</v>
      </c>
      <c r="R33" s="154">
        <v>2</v>
      </c>
      <c r="S33" s="38">
        <f t="shared" si="0"/>
        <v>0</v>
      </c>
      <c r="T33" s="39">
        <f t="shared" si="1"/>
        <v>14</v>
      </c>
      <c r="U33" s="40">
        <f t="shared" si="2"/>
        <v>0</v>
      </c>
      <c r="V33" s="40">
        <f t="shared" si="3"/>
        <v>0</v>
      </c>
      <c r="W33" s="40">
        <f t="shared" si="4"/>
        <v>0</v>
      </c>
      <c r="X33" s="40">
        <f t="shared" si="5"/>
        <v>0</v>
      </c>
      <c r="Y33" s="40">
        <f t="shared" si="6"/>
        <v>0</v>
      </c>
      <c r="Z33" s="40">
        <f t="shared" si="7"/>
        <v>0</v>
      </c>
      <c r="AA33" s="40">
        <f t="shared" si="8"/>
        <v>0</v>
      </c>
      <c r="AB33" s="40">
        <f t="shared" si="9"/>
        <v>0</v>
      </c>
      <c r="AC33" s="41">
        <f t="shared" si="10"/>
        <v>0</v>
      </c>
      <c r="AD33" s="49" t="s">
        <v>5</v>
      </c>
      <c r="AE33" s="50" t="s">
        <v>89</v>
      </c>
      <c r="AF33" s="49" t="s">
        <v>5</v>
      </c>
      <c r="AG33" s="50" t="s">
        <v>90</v>
      </c>
      <c r="AH33" s="49" t="s">
        <v>5</v>
      </c>
      <c r="AI33" s="50" t="s">
        <v>142</v>
      </c>
      <c r="AJ33" s="49" t="s">
        <v>5</v>
      </c>
      <c r="AK33" s="50" t="s">
        <v>459</v>
      </c>
      <c r="AL33" s="49" t="s">
        <v>5</v>
      </c>
      <c r="AM33" s="50" t="s">
        <v>98</v>
      </c>
      <c r="AN33" s="49" t="s">
        <v>5</v>
      </c>
      <c r="AO33" s="50" t="s">
        <v>75</v>
      </c>
      <c r="AP33" s="49" t="s">
        <v>5</v>
      </c>
      <c r="AQ33" s="50" t="s">
        <v>92</v>
      </c>
      <c r="AR33" s="49" t="s">
        <v>5</v>
      </c>
      <c r="AS33" s="50" t="s">
        <v>104</v>
      </c>
      <c r="AT33" s="49" t="s">
        <v>5</v>
      </c>
      <c r="AU33" s="50" t="s">
        <v>105</v>
      </c>
      <c r="AV33" s="49" t="s">
        <v>5</v>
      </c>
      <c r="AW33" s="50" t="s">
        <v>112</v>
      </c>
      <c r="AX33" s="49" t="s">
        <v>5</v>
      </c>
      <c r="AY33" s="50" t="s">
        <v>80</v>
      </c>
      <c r="AZ33" s="49"/>
      <c r="BA33" s="50"/>
      <c r="BB33" s="49" t="s">
        <v>5</v>
      </c>
      <c r="BC33" s="50" t="s">
        <v>152</v>
      </c>
      <c r="BD33" s="49" t="s">
        <v>5</v>
      </c>
      <c r="BE33" s="50" t="s">
        <v>122</v>
      </c>
      <c r="BF33" s="49" t="s">
        <v>5</v>
      </c>
      <c r="BG33" s="50" t="s">
        <v>83</v>
      </c>
      <c r="BH33" s="49"/>
      <c r="BI33" s="50"/>
    </row>
    <row r="34" spans="1:61" x14ac:dyDescent="0.25">
      <c r="A34" s="76">
        <v>152879</v>
      </c>
      <c r="B34" s="77" t="s">
        <v>1658</v>
      </c>
      <c r="C34" s="78" t="s">
        <v>1633</v>
      </c>
      <c r="D34" s="76" t="s">
        <v>70</v>
      </c>
      <c r="E34" s="79" t="s">
        <v>14</v>
      </c>
      <c r="F34" s="79" t="s">
        <v>71</v>
      </c>
      <c r="G34" s="79" t="s">
        <v>14</v>
      </c>
      <c r="H34" s="79" t="s">
        <v>14</v>
      </c>
      <c r="I34" s="78" t="s">
        <v>14</v>
      </c>
      <c r="J34" s="79" t="s">
        <v>14</v>
      </c>
      <c r="K34" s="142" t="s">
        <v>1851</v>
      </c>
      <c r="L34" s="149" t="s">
        <v>1845</v>
      </c>
      <c r="M34" s="150" t="s">
        <v>12</v>
      </c>
      <c r="N34" s="151">
        <v>17</v>
      </c>
      <c r="O34" s="151">
        <v>0</v>
      </c>
      <c r="P34" s="152">
        <v>0</v>
      </c>
      <c r="Q34" s="153">
        <v>95.56</v>
      </c>
      <c r="R34" s="154">
        <v>0</v>
      </c>
      <c r="S34" s="38">
        <f t="shared" si="0"/>
        <v>0</v>
      </c>
      <c r="T34" s="39">
        <f t="shared" si="1"/>
        <v>14</v>
      </c>
      <c r="U34" s="40">
        <f t="shared" si="2"/>
        <v>0</v>
      </c>
      <c r="V34" s="40">
        <f t="shared" si="3"/>
        <v>0</v>
      </c>
      <c r="W34" s="40">
        <f t="shared" si="4"/>
        <v>0</v>
      </c>
      <c r="X34" s="40">
        <f t="shared" si="5"/>
        <v>0</v>
      </c>
      <c r="Y34" s="40">
        <f t="shared" si="6"/>
        <v>0</v>
      </c>
      <c r="Z34" s="40">
        <f t="shared" si="7"/>
        <v>0</v>
      </c>
      <c r="AA34" s="40">
        <f t="shared" si="8"/>
        <v>0</v>
      </c>
      <c r="AB34" s="40">
        <f t="shared" si="9"/>
        <v>0</v>
      </c>
      <c r="AC34" s="41">
        <f t="shared" si="10"/>
        <v>0</v>
      </c>
      <c r="AD34" s="49" t="s">
        <v>5</v>
      </c>
      <c r="AE34" s="50" t="s">
        <v>89</v>
      </c>
      <c r="AF34" s="49" t="s">
        <v>5</v>
      </c>
      <c r="AG34" s="50" t="s">
        <v>73</v>
      </c>
      <c r="AH34" s="49" t="s">
        <v>5</v>
      </c>
      <c r="AI34" s="50" t="s">
        <v>101</v>
      </c>
      <c r="AJ34" s="49" t="s">
        <v>5</v>
      </c>
      <c r="AK34" s="50" t="s">
        <v>102</v>
      </c>
      <c r="AL34" s="49" t="s">
        <v>5</v>
      </c>
      <c r="AM34" s="50" t="s">
        <v>122</v>
      </c>
      <c r="AN34" s="49"/>
      <c r="AO34" s="50"/>
      <c r="AP34" s="49" t="s">
        <v>5</v>
      </c>
      <c r="AQ34" s="50" t="s">
        <v>131</v>
      </c>
      <c r="AR34" s="49" t="s">
        <v>5</v>
      </c>
      <c r="AS34" s="50" t="s">
        <v>120</v>
      </c>
      <c r="AT34" s="49" t="s">
        <v>5</v>
      </c>
      <c r="AU34" s="50" t="s">
        <v>163</v>
      </c>
      <c r="AV34" s="49" t="s">
        <v>5</v>
      </c>
      <c r="AW34" s="50" t="s">
        <v>94</v>
      </c>
      <c r="AX34" s="49" t="s">
        <v>5</v>
      </c>
      <c r="AY34" s="50" t="s">
        <v>95</v>
      </c>
      <c r="AZ34" s="49"/>
      <c r="BA34" s="50"/>
      <c r="BB34" s="49" t="s">
        <v>5</v>
      </c>
      <c r="BC34" s="50" t="s">
        <v>121</v>
      </c>
      <c r="BD34" s="49" t="s">
        <v>5</v>
      </c>
      <c r="BE34" s="50" t="s">
        <v>495</v>
      </c>
      <c r="BF34" s="49" t="s">
        <v>5</v>
      </c>
      <c r="BG34" s="50" t="s">
        <v>83</v>
      </c>
      <c r="BH34" s="49" t="s">
        <v>5</v>
      </c>
      <c r="BI34" s="50" t="s">
        <v>75</v>
      </c>
    </row>
    <row r="35" spans="1:61" x14ac:dyDescent="0.25">
      <c r="A35" s="76">
        <v>152849</v>
      </c>
      <c r="B35" s="77" t="s">
        <v>1659</v>
      </c>
      <c r="C35" s="78" t="s">
        <v>1630</v>
      </c>
      <c r="D35" s="76" t="s">
        <v>12</v>
      </c>
      <c r="E35" s="79" t="s">
        <v>87</v>
      </c>
      <c r="F35" s="79" t="s">
        <v>88</v>
      </c>
      <c r="G35" s="79" t="s">
        <v>14</v>
      </c>
      <c r="H35" s="79" t="s">
        <v>87</v>
      </c>
      <c r="I35" s="78" t="s">
        <v>14</v>
      </c>
      <c r="J35" s="79" t="s">
        <v>14</v>
      </c>
      <c r="K35" s="142" t="s">
        <v>1850</v>
      </c>
      <c r="L35" s="149" t="s">
        <v>1844</v>
      </c>
      <c r="M35" s="150" t="s">
        <v>12</v>
      </c>
      <c r="N35" s="151">
        <v>34</v>
      </c>
      <c r="O35" s="151">
        <v>8</v>
      </c>
      <c r="P35" s="152">
        <v>3</v>
      </c>
      <c r="Q35" s="153">
        <v>100</v>
      </c>
      <c r="R35" s="154">
        <v>5</v>
      </c>
      <c r="S35" s="38">
        <f t="shared" si="0"/>
        <v>0</v>
      </c>
      <c r="T35" s="39">
        <f t="shared" si="1"/>
        <v>10</v>
      </c>
      <c r="U35" s="40">
        <f t="shared" si="2"/>
        <v>1</v>
      </c>
      <c r="V35" s="40">
        <f t="shared" si="3"/>
        <v>3</v>
      </c>
      <c r="W35" s="40">
        <f t="shared" si="4"/>
        <v>0</v>
      </c>
      <c r="X35" s="40">
        <f t="shared" si="5"/>
        <v>4</v>
      </c>
      <c r="Y35" s="40">
        <f t="shared" si="6"/>
        <v>0</v>
      </c>
      <c r="Z35" s="40">
        <f t="shared" si="7"/>
        <v>0</v>
      </c>
      <c r="AA35" s="40">
        <f t="shared" si="8"/>
        <v>0</v>
      </c>
      <c r="AB35" s="40">
        <f t="shared" si="9"/>
        <v>0</v>
      </c>
      <c r="AC35" s="41">
        <f t="shared" si="10"/>
        <v>0</v>
      </c>
      <c r="AD35" s="49" t="s">
        <v>5</v>
      </c>
      <c r="AE35" s="50" t="s">
        <v>89</v>
      </c>
      <c r="AF35" s="49" t="s">
        <v>5</v>
      </c>
      <c r="AG35" s="50" t="s">
        <v>73</v>
      </c>
      <c r="AH35" s="49" t="s">
        <v>31</v>
      </c>
      <c r="AI35" s="50" t="s">
        <v>101</v>
      </c>
      <c r="AJ35" s="49" t="s">
        <v>5</v>
      </c>
      <c r="AK35" s="50" t="s">
        <v>722</v>
      </c>
      <c r="AL35" s="49" t="s">
        <v>31</v>
      </c>
      <c r="AM35" s="50" t="s">
        <v>94</v>
      </c>
      <c r="AN35" s="49"/>
      <c r="AO35" s="50"/>
      <c r="AP35" s="49" t="s">
        <v>5</v>
      </c>
      <c r="AQ35" s="50" t="s">
        <v>131</v>
      </c>
      <c r="AR35" s="49" t="s">
        <v>5</v>
      </c>
      <c r="AS35" s="50" t="s">
        <v>120</v>
      </c>
      <c r="AT35" s="49" t="s">
        <v>5</v>
      </c>
      <c r="AU35" s="50" t="s">
        <v>78</v>
      </c>
      <c r="AV35" s="49" t="s">
        <v>5</v>
      </c>
      <c r="AW35" s="50" t="s">
        <v>112</v>
      </c>
      <c r="AX35" s="49" t="s">
        <v>5</v>
      </c>
      <c r="AY35" s="50" t="s">
        <v>95</v>
      </c>
      <c r="AZ35" s="49"/>
      <c r="BA35" s="50"/>
      <c r="BB35" s="49" t="s">
        <v>5</v>
      </c>
      <c r="BC35" s="50" t="s">
        <v>741</v>
      </c>
      <c r="BD35" s="49" t="s">
        <v>31</v>
      </c>
      <c r="BE35" s="50" t="s">
        <v>495</v>
      </c>
      <c r="BF35" s="49" t="s">
        <v>30</v>
      </c>
      <c r="BG35" s="50" t="s">
        <v>164</v>
      </c>
      <c r="BH35" s="49" t="s">
        <v>5</v>
      </c>
      <c r="BI35" s="50" t="s">
        <v>103</v>
      </c>
    </row>
    <row r="36" spans="1:61" x14ac:dyDescent="0.25">
      <c r="A36" s="76">
        <v>152800</v>
      </c>
      <c r="B36" s="77" t="s">
        <v>200</v>
      </c>
      <c r="C36" s="78" t="s">
        <v>1620</v>
      </c>
      <c r="D36" s="76" t="s">
        <v>70</v>
      </c>
      <c r="E36" s="79" t="s">
        <v>14</v>
      </c>
      <c r="F36" s="79" t="s">
        <v>71</v>
      </c>
      <c r="G36" s="79" t="s">
        <v>14</v>
      </c>
      <c r="H36" s="79" t="s">
        <v>14</v>
      </c>
      <c r="I36" s="78" t="s">
        <v>14</v>
      </c>
      <c r="J36" s="79" t="s">
        <v>14</v>
      </c>
      <c r="K36" s="142" t="s">
        <v>1851</v>
      </c>
      <c r="L36" s="149" t="s">
        <v>1842</v>
      </c>
      <c r="M36" s="150" t="s">
        <v>1853</v>
      </c>
      <c r="N36" s="151">
        <v>20</v>
      </c>
      <c r="O36" s="151">
        <v>0</v>
      </c>
      <c r="P36" s="152">
        <v>0</v>
      </c>
      <c r="Q36" s="153">
        <v>91.3</v>
      </c>
      <c r="R36" s="154">
        <v>0</v>
      </c>
      <c r="S36" s="38">
        <f t="shared" si="0"/>
        <v>3</v>
      </c>
      <c r="T36" s="39">
        <f t="shared" si="1"/>
        <v>11</v>
      </c>
      <c r="U36" s="40">
        <f t="shared" si="2"/>
        <v>0</v>
      </c>
      <c r="V36" s="40">
        <f t="shared" si="3"/>
        <v>0</v>
      </c>
      <c r="W36" s="40">
        <f t="shared" si="4"/>
        <v>0</v>
      </c>
      <c r="X36" s="40">
        <f t="shared" si="5"/>
        <v>0</v>
      </c>
      <c r="Y36" s="40">
        <f t="shared" si="6"/>
        <v>0</v>
      </c>
      <c r="Z36" s="40">
        <f t="shared" si="7"/>
        <v>0</v>
      </c>
      <c r="AA36" s="40">
        <f t="shared" si="8"/>
        <v>0</v>
      </c>
      <c r="AB36" s="40">
        <f t="shared" si="9"/>
        <v>0</v>
      </c>
      <c r="AC36" s="41">
        <f t="shared" si="10"/>
        <v>0</v>
      </c>
      <c r="AD36" s="49" t="s">
        <v>5</v>
      </c>
      <c r="AE36" s="50" t="s">
        <v>89</v>
      </c>
      <c r="AF36" s="49" t="s">
        <v>5</v>
      </c>
      <c r="AG36" s="50" t="s">
        <v>90</v>
      </c>
      <c r="AH36" s="49" t="s">
        <v>5</v>
      </c>
      <c r="AI36" s="50" t="s">
        <v>142</v>
      </c>
      <c r="AJ36" s="49" t="s">
        <v>5</v>
      </c>
      <c r="AK36" s="50" t="s">
        <v>74</v>
      </c>
      <c r="AL36" s="49" t="s">
        <v>5</v>
      </c>
      <c r="AM36" s="50" t="s">
        <v>142</v>
      </c>
      <c r="AN36" s="49"/>
      <c r="AO36" s="50"/>
      <c r="AP36" s="49" t="s">
        <v>5</v>
      </c>
      <c r="AQ36" s="50" t="s">
        <v>76</v>
      </c>
      <c r="AR36" s="49" t="s">
        <v>5</v>
      </c>
      <c r="AS36" s="50" t="s">
        <v>132</v>
      </c>
      <c r="AT36" s="49" t="s">
        <v>5</v>
      </c>
      <c r="AU36" s="50" t="s">
        <v>105</v>
      </c>
      <c r="AV36" s="49" t="s">
        <v>5</v>
      </c>
      <c r="AW36" s="50" t="s">
        <v>79</v>
      </c>
      <c r="AX36" s="49" t="s">
        <v>1</v>
      </c>
      <c r="AY36" s="50" t="s">
        <v>95</v>
      </c>
      <c r="AZ36" s="49"/>
      <c r="BA36" s="50"/>
      <c r="BB36" s="49" t="s">
        <v>5</v>
      </c>
      <c r="BC36" s="50" t="s">
        <v>152</v>
      </c>
      <c r="BD36" s="49" t="s">
        <v>1</v>
      </c>
      <c r="BE36" s="50" t="s">
        <v>97</v>
      </c>
      <c r="BF36" s="49" t="s">
        <v>5</v>
      </c>
      <c r="BG36" s="50" t="s">
        <v>83</v>
      </c>
      <c r="BH36" s="49" t="s">
        <v>1</v>
      </c>
      <c r="BI36" s="50" t="s">
        <v>130</v>
      </c>
    </row>
    <row r="37" spans="1:61" x14ac:dyDescent="0.25">
      <c r="A37" s="76">
        <v>152774</v>
      </c>
      <c r="B37" s="77" t="s">
        <v>1660</v>
      </c>
      <c r="C37" s="78" t="s">
        <v>1622</v>
      </c>
      <c r="D37" s="76" t="s">
        <v>12</v>
      </c>
      <c r="E37" s="79" t="s">
        <v>14</v>
      </c>
      <c r="F37" s="79" t="s">
        <v>184</v>
      </c>
      <c r="G37" s="79" t="s">
        <v>87</v>
      </c>
      <c r="H37" s="79" t="s">
        <v>14</v>
      </c>
      <c r="I37" s="78" t="s">
        <v>14</v>
      </c>
      <c r="J37" s="79" t="s">
        <v>14</v>
      </c>
      <c r="K37" s="142" t="s">
        <v>1850</v>
      </c>
      <c r="L37" s="149" t="s">
        <v>1846</v>
      </c>
      <c r="M37" s="150" t="s">
        <v>1853</v>
      </c>
      <c r="N37" s="151">
        <v>14</v>
      </c>
      <c r="O37" s="151">
        <v>0</v>
      </c>
      <c r="P37" s="152">
        <v>0</v>
      </c>
      <c r="Q37" s="153">
        <v>100</v>
      </c>
      <c r="R37" s="154">
        <v>0</v>
      </c>
      <c r="S37" s="38">
        <f t="shared" si="0"/>
        <v>4</v>
      </c>
      <c r="T37" s="39">
        <f t="shared" si="1"/>
        <v>10</v>
      </c>
      <c r="U37" s="40">
        <f t="shared" si="2"/>
        <v>0</v>
      </c>
      <c r="V37" s="40">
        <f t="shared" si="3"/>
        <v>0</v>
      </c>
      <c r="W37" s="40">
        <f t="shared" si="4"/>
        <v>0</v>
      </c>
      <c r="X37" s="40">
        <f t="shared" si="5"/>
        <v>0</v>
      </c>
      <c r="Y37" s="40">
        <f t="shared" si="6"/>
        <v>0</v>
      </c>
      <c r="Z37" s="40">
        <f t="shared" si="7"/>
        <v>0</v>
      </c>
      <c r="AA37" s="40">
        <f t="shared" si="8"/>
        <v>0</v>
      </c>
      <c r="AB37" s="40">
        <f t="shared" si="9"/>
        <v>0</v>
      </c>
      <c r="AC37" s="41">
        <f t="shared" si="10"/>
        <v>0</v>
      </c>
      <c r="AD37" s="49" t="s">
        <v>5</v>
      </c>
      <c r="AE37" s="50" t="s">
        <v>89</v>
      </c>
      <c r="AF37" s="49" t="s">
        <v>1</v>
      </c>
      <c r="AG37" s="50" t="s">
        <v>73</v>
      </c>
      <c r="AH37" s="49" t="s">
        <v>5</v>
      </c>
      <c r="AI37" s="50" t="s">
        <v>142</v>
      </c>
      <c r="AJ37" s="49" t="s">
        <v>5</v>
      </c>
      <c r="AK37" s="50" t="s">
        <v>722</v>
      </c>
      <c r="AL37" s="49" t="s">
        <v>5</v>
      </c>
      <c r="AM37" s="50" t="s">
        <v>98</v>
      </c>
      <c r="AN37" s="49" t="s">
        <v>5</v>
      </c>
      <c r="AO37" s="50" t="s">
        <v>75</v>
      </c>
      <c r="AP37" s="49" t="s">
        <v>5</v>
      </c>
      <c r="AQ37" s="50" t="s">
        <v>92</v>
      </c>
      <c r="AR37" s="49" t="s">
        <v>1</v>
      </c>
      <c r="AS37" s="50" t="s">
        <v>104</v>
      </c>
      <c r="AT37" s="49" t="s">
        <v>5</v>
      </c>
      <c r="AU37" s="50" t="s">
        <v>105</v>
      </c>
      <c r="AV37" s="49" t="s">
        <v>5</v>
      </c>
      <c r="AW37" s="50" t="s">
        <v>112</v>
      </c>
      <c r="AX37" s="49" t="s">
        <v>1</v>
      </c>
      <c r="AY37" s="50" t="s">
        <v>80</v>
      </c>
      <c r="AZ37" s="49"/>
      <c r="BA37" s="50"/>
      <c r="BB37" s="49" t="s">
        <v>1</v>
      </c>
      <c r="BC37" s="50" t="s">
        <v>107</v>
      </c>
      <c r="BD37" s="49" t="s">
        <v>5</v>
      </c>
      <c r="BE37" s="50" t="s">
        <v>122</v>
      </c>
      <c r="BF37" s="49" t="s">
        <v>5</v>
      </c>
      <c r="BG37" s="50" t="s">
        <v>164</v>
      </c>
      <c r="BH37" s="49"/>
      <c r="BI37" s="50"/>
    </row>
    <row r="38" spans="1:61" x14ac:dyDescent="0.25">
      <c r="A38" s="76">
        <v>152890</v>
      </c>
      <c r="B38" s="77" t="s">
        <v>1661</v>
      </c>
      <c r="C38" s="78" t="s">
        <v>1620</v>
      </c>
      <c r="D38" s="76" t="s">
        <v>12</v>
      </c>
      <c r="E38" s="79" t="s">
        <v>14</v>
      </c>
      <c r="F38" s="79" t="s">
        <v>71</v>
      </c>
      <c r="G38" s="79" t="s">
        <v>14</v>
      </c>
      <c r="H38" s="79" t="s">
        <v>14</v>
      </c>
      <c r="I38" s="78" t="s">
        <v>14</v>
      </c>
      <c r="J38" s="79" t="s">
        <v>6</v>
      </c>
      <c r="K38" s="142" t="s">
        <v>1850</v>
      </c>
      <c r="L38" s="149" t="s">
        <v>1844</v>
      </c>
      <c r="M38" s="150" t="s">
        <v>12</v>
      </c>
      <c r="N38" s="151">
        <v>14</v>
      </c>
      <c r="O38" s="151">
        <v>2</v>
      </c>
      <c r="P38" s="152">
        <v>2</v>
      </c>
      <c r="Q38" s="153">
        <v>91.3</v>
      </c>
      <c r="R38" s="154">
        <v>3</v>
      </c>
      <c r="S38" s="38">
        <f t="shared" si="0"/>
        <v>0</v>
      </c>
      <c r="T38" s="39">
        <f t="shared" si="1"/>
        <v>13</v>
      </c>
      <c r="U38" s="40">
        <f t="shared" si="2"/>
        <v>0</v>
      </c>
      <c r="V38" s="40">
        <f t="shared" si="3"/>
        <v>0</v>
      </c>
      <c r="W38" s="40">
        <f t="shared" si="4"/>
        <v>1</v>
      </c>
      <c r="X38" s="40">
        <f t="shared" si="5"/>
        <v>1</v>
      </c>
      <c r="Y38" s="40">
        <f t="shared" si="6"/>
        <v>0</v>
      </c>
      <c r="Z38" s="40">
        <f t="shared" si="7"/>
        <v>0</v>
      </c>
      <c r="AA38" s="40">
        <f t="shared" si="8"/>
        <v>0</v>
      </c>
      <c r="AB38" s="40">
        <f t="shared" si="9"/>
        <v>0</v>
      </c>
      <c r="AC38" s="41">
        <f t="shared" si="10"/>
        <v>0</v>
      </c>
      <c r="AD38" s="49" t="s">
        <v>5</v>
      </c>
      <c r="AE38" s="50" t="s">
        <v>89</v>
      </c>
      <c r="AF38" s="49" t="s">
        <v>5</v>
      </c>
      <c r="AG38" s="50" t="s">
        <v>73</v>
      </c>
      <c r="AH38" s="49" t="s">
        <v>5</v>
      </c>
      <c r="AI38" s="50" t="s">
        <v>142</v>
      </c>
      <c r="AJ38" s="49" t="s">
        <v>5</v>
      </c>
      <c r="AK38" s="50" t="s">
        <v>102</v>
      </c>
      <c r="AL38" s="49" t="s">
        <v>32</v>
      </c>
      <c r="AM38" s="50" t="s">
        <v>142</v>
      </c>
      <c r="AN38" s="49"/>
      <c r="AO38" s="50"/>
      <c r="AP38" s="49" t="s">
        <v>5</v>
      </c>
      <c r="AQ38" s="50" t="s">
        <v>76</v>
      </c>
      <c r="AR38" s="49" t="s">
        <v>5</v>
      </c>
      <c r="AS38" s="50" t="s">
        <v>132</v>
      </c>
      <c r="AT38" s="49" t="s">
        <v>5</v>
      </c>
      <c r="AU38" s="50" t="s">
        <v>105</v>
      </c>
      <c r="AV38" s="49" t="s">
        <v>5</v>
      </c>
      <c r="AW38" s="50" t="s">
        <v>94</v>
      </c>
      <c r="AX38" s="49" t="s">
        <v>5</v>
      </c>
      <c r="AY38" s="50" t="s">
        <v>95</v>
      </c>
      <c r="AZ38" s="49"/>
      <c r="BA38" s="50"/>
      <c r="BB38" s="49" t="s">
        <v>5</v>
      </c>
      <c r="BC38" s="50" t="s">
        <v>96</v>
      </c>
      <c r="BD38" s="49" t="s">
        <v>5</v>
      </c>
      <c r="BE38" s="50" t="s">
        <v>97</v>
      </c>
      <c r="BF38" s="49" t="s">
        <v>5</v>
      </c>
      <c r="BG38" s="50" t="s">
        <v>83</v>
      </c>
      <c r="BH38" s="49" t="s">
        <v>5</v>
      </c>
      <c r="BI38" s="50" t="s">
        <v>130</v>
      </c>
    </row>
    <row r="39" spans="1:61" x14ac:dyDescent="0.25">
      <c r="A39" s="76">
        <v>152892</v>
      </c>
      <c r="B39" s="77" t="s">
        <v>1662</v>
      </c>
      <c r="C39" s="78" t="s">
        <v>1639</v>
      </c>
      <c r="D39" s="76" t="s">
        <v>70</v>
      </c>
      <c r="E39" s="79" t="s">
        <v>14</v>
      </c>
      <c r="F39" s="79" t="s">
        <v>71</v>
      </c>
      <c r="G39" s="79" t="s">
        <v>14</v>
      </c>
      <c r="H39" s="79" t="s">
        <v>14</v>
      </c>
      <c r="I39" s="78" t="s">
        <v>14</v>
      </c>
      <c r="J39" s="79" t="s">
        <v>14</v>
      </c>
      <c r="K39" s="142" t="s">
        <v>1850</v>
      </c>
      <c r="L39" s="149" t="s">
        <v>1842</v>
      </c>
      <c r="M39" s="150" t="s">
        <v>12</v>
      </c>
      <c r="N39" s="151">
        <v>16</v>
      </c>
      <c r="O39" s="151">
        <v>0</v>
      </c>
      <c r="P39" s="152">
        <v>0</v>
      </c>
      <c r="Q39" s="153">
        <v>95.65</v>
      </c>
      <c r="R39" s="154">
        <v>1</v>
      </c>
      <c r="S39" s="38">
        <f t="shared" si="0"/>
        <v>0</v>
      </c>
      <c r="T39" s="39">
        <f t="shared" si="1"/>
        <v>13</v>
      </c>
      <c r="U39" s="40">
        <f t="shared" si="2"/>
        <v>0</v>
      </c>
      <c r="V39" s="40">
        <f t="shared" si="3"/>
        <v>1</v>
      </c>
      <c r="W39" s="40">
        <f t="shared" si="4"/>
        <v>0</v>
      </c>
      <c r="X39" s="40">
        <f t="shared" si="5"/>
        <v>1</v>
      </c>
      <c r="Y39" s="40">
        <f t="shared" si="6"/>
        <v>0</v>
      </c>
      <c r="Z39" s="40">
        <f t="shared" si="7"/>
        <v>0</v>
      </c>
      <c r="AA39" s="40">
        <f t="shared" si="8"/>
        <v>0</v>
      </c>
      <c r="AB39" s="40">
        <f t="shared" si="9"/>
        <v>0</v>
      </c>
      <c r="AC39" s="41">
        <f t="shared" si="10"/>
        <v>0</v>
      </c>
      <c r="AD39" s="49" t="s">
        <v>5</v>
      </c>
      <c r="AE39" s="50" t="s">
        <v>72</v>
      </c>
      <c r="AF39" s="49" t="s">
        <v>5</v>
      </c>
      <c r="AG39" s="50" t="s">
        <v>117</v>
      </c>
      <c r="AH39" s="49" t="s">
        <v>5</v>
      </c>
      <c r="AI39" s="50" t="s">
        <v>101</v>
      </c>
      <c r="AJ39" s="49" t="s">
        <v>5</v>
      </c>
      <c r="AK39" s="50" t="s">
        <v>459</v>
      </c>
      <c r="AL39" s="49" t="s">
        <v>5</v>
      </c>
      <c r="AM39" s="50" t="s">
        <v>130</v>
      </c>
      <c r="AN39" s="49" t="s">
        <v>5</v>
      </c>
      <c r="AO39" s="50" t="s">
        <v>143</v>
      </c>
      <c r="AP39" s="49" t="s">
        <v>5</v>
      </c>
      <c r="AQ39" s="50" t="s">
        <v>131</v>
      </c>
      <c r="AR39" s="49" t="s">
        <v>5</v>
      </c>
      <c r="AS39" s="50" t="s">
        <v>120</v>
      </c>
      <c r="AT39" s="49" t="s">
        <v>5</v>
      </c>
      <c r="AU39" s="50" t="s">
        <v>105</v>
      </c>
      <c r="AV39" s="49" t="s">
        <v>5</v>
      </c>
      <c r="AW39" s="50" t="s">
        <v>94</v>
      </c>
      <c r="AX39" s="49" t="s">
        <v>5</v>
      </c>
      <c r="AY39" s="50" t="s">
        <v>80</v>
      </c>
      <c r="AZ39" s="49"/>
      <c r="BA39" s="50"/>
      <c r="BB39" s="49" t="s">
        <v>31</v>
      </c>
      <c r="BC39" s="50" t="s">
        <v>152</v>
      </c>
      <c r="BD39" s="49" t="s">
        <v>5</v>
      </c>
      <c r="BE39" s="50" t="s">
        <v>82</v>
      </c>
      <c r="BF39" s="49" t="s">
        <v>5</v>
      </c>
      <c r="BG39" s="50" t="s">
        <v>83</v>
      </c>
      <c r="BH39" s="49"/>
      <c r="BI39" s="50"/>
    </row>
    <row r="40" spans="1:61" x14ac:dyDescent="0.25">
      <c r="A40" s="76">
        <v>152919</v>
      </c>
      <c r="B40" s="77" t="s">
        <v>1663</v>
      </c>
      <c r="C40" s="78" t="s">
        <v>1622</v>
      </c>
      <c r="D40" s="76" t="s">
        <v>12</v>
      </c>
      <c r="E40" s="79" t="s">
        <v>14</v>
      </c>
      <c r="F40" s="79" t="s">
        <v>88</v>
      </c>
      <c r="G40" s="79" t="s">
        <v>87</v>
      </c>
      <c r="H40" s="79" t="s">
        <v>14</v>
      </c>
      <c r="I40" s="78" t="s">
        <v>14</v>
      </c>
      <c r="J40" s="79" t="s">
        <v>4</v>
      </c>
      <c r="K40" s="142" t="s">
        <v>1850</v>
      </c>
      <c r="L40" s="149" t="s">
        <v>1406</v>
      </c>
      <c r="M40" s="150" t="s">
        <v>1406</v>
      </c>
      <c r="N40" s="151">
        <v>8</v>
      </c>
      <c r="O40" s="151">
        <v>2</v>
      </c>
      <c r="P40" s="152">
        <v>1</v>
      </c>
      <c r="Q40" s="153">
        <v>91.11</v>
      </c>
      <c r="R40" s="154">
        <v>3</v>
      </c>
      <c r="S40" s="38">
        <f t="shared" si="0"/>
        <v>0</v>
      </c>
      <c r="T40" s="39">
        <f t="shared" si="1"/>
        <v>12</v>
      </c>
      <c r="U40" s="40">
        <f t="shared" si="2"/>
        <v>0</v>
      </c>
      <c r="V40" s="40">
        <f t="shared" si="3"/>
        <v>2</v>
      </c>
      <c r="W40" s="40">
        <f t="shared" si="4"/>
        <v>0</v>
      </c>
      <c r="X40" s="40">
        <f t="shared" si="5"/>
        <v>2</v>
      </c>
      <c r="Y40" s="40">
        <f t="shared" si="6"/>
        <v>0</v>
      </c>
      <c r="Z40" s="40">
        <f t="shared" si="7"/>
        <v>0</v>
      </c>
      <c r="AA40" s="40">
        <f t="shared" si="8"/>
        <v>0</v>
      </c>
      <c r="AB40" s="40">
        <f t="shared" si="9"/>
        <v>0</v>
      </c>
      <c r="AC40" s="41">
        <f t="shared" si="10"/>
        <v>0</v>
      </c>
      <c r="AD40" s="49" t="s">
        <v>5</v>
      </c>
      <c r="AE40" s="50" t="s">
        <v>89</v>
      </c>
      <c r="AF40" s="49"/>
      <c r="AG40" s="50"/>
      <c r="AH40" s="49" t="s">
        <v>5</v>
      </c>
      <c r="AI40" s="50" t="s">
        <v>142</v>
      </c>
      <c r="AJ40" s="49" t="s">
        <v>5</v>
      </c>
      <c r="AK40" s="50" t="s">
        <v>74</v>
      </c>
      <c r="AL40" s="49" t="s">
        <v>31</v>
      </c>
      <c r="AM40" s="50" t="s">
        <v>98</v>
      </c>
      <c r="AN40" s="49" t="s">
        <v>5</v>
      </c>
      <c r="AO40" s="50" t="s">
        <v>75</v>
      </c>
      <c r="AP40" s="49" t="s">
        <v>5</v>
      </c>
      <c r="AQ40" s="50" t="s">
        <v>92</v>
      </c>
      <c r="AR40" s="49" t="s">
        <v>5</v>
      </c>
      <c r="AS40" s="50" t="s">
        <v>104</v>
      </c>
      <c r="AT40" s="49" t="s">
        <v>5</v>
      </c>
      <c r="AU40" s="50" t="s">
        <v>105</v>
      </c>
      <c r="AV40" s="49" t="s">
        <v>5</v>
      </c>
      <c r="AW40" s="50" t="s">
        <v>711</v>
      </c>
      <c r="AX40" s="49" t="s">
        <v>5</v>
      </c>
      <c r="AY40" s="50" t="s">
        <v>80</v>
      </c>
      <c r="AZ40" s="49" t="s">
        <v>5</v>
      </c>
      <c r="BA40" s="50" t="s">
        <v>120</v>
      </c>
      <c r="BB40" s="49" t="s">
        <v>5</v>
      </c>
      <c r="BC40" s="50" t="s">
        <v>107</v>
      </c>
      <c r="BD40" s="49" t="s">
        <v>31</v>
      </c>
      <c r="BE40" s="50" t="s">
        <v>122</v>
      </c>
      <c r="BF40" s="49" t="s">
        <v>5</v>
      </c>
      <c r="BG40" s="50" t="s">
        <v>154</v>
      </c>
      <c r="BH40" s="49"/>
      <c r="BI40" s="50"/>
    </row>
    <row r="41" spans="1:61" x14ac:dyDescent="0.25">
      <c r="A41" s="76">
        <v>152860</v>
      </c>
      <c r="B41" s="77" t="s">
        <v>1664</v>
      </c>
      <c r="C41" s="78" t="s">
        <v>1665</v>
      </c>
      <c r="D41" s="76" t="s">
        <v>70</v>
      </c>
      <c r="E41" s="79" t="s">
        <v>14</v>
      </c>
      <c r="F41" s="79" t="s">
        <v>71</v>
      </c>
      <c r="G41" s="79" t="s">
        <v>14</v>
      </c>
      <c r="H41" s="79" t="s">
        <v>14</v>
      </c>
      <c r="I41" s="78" t="s">
        <v>14</v>
      </c>
      <c r="J41" s="79" t="s">
        <v>14</v>
      </c>
      <c r="K41" s="142" t="s">
        <v>1850</v>
      </c>
      <c r="L41" s="149" t="s">
        <v>1842</v>
      </c>
      <c r="M41" s="150" t="s">
        <v>1853</v>
      </c>
      <c r="N41" s="151">
        <v>22</v>
      </c>
      <c r="O41" s="151">
        <v>0</v>
      </c>
      <c r="P41" s="152">
        <v>1</v>
      </c>
      <c r="Q41" s="153">
        <v>91.11</v>
      </c>
      <c r="R41" s="154">
        <v>0</v>
      </c>
      <c r="S41" s="38">
        <f t="shared" si="0"/>
        <v>3</v>
      </c>
      <c r="T41" s="39">
        <f t="shared" si="1"/>
        <v>11</v>
      </c>
      <c r="U41" s="40">
        <f t="shared" si="2"/>
        <v>0</v>
      </c>
      <c r="V41" s="40">
        <f t="shared" si="3"/>
        <v>0</v>
      </c>
      <c r="W41" s="40">
        <f t="shared" si="4"/>
        <v>0</v>
      </c>
      <c r="X41" s="40">
        <f t="shared" si="5"/>
        <v>0</v>
      </c>
      <c r="Y41" s="40">
        <f t="shared" si="6"/>
        <v>0</v>
      </c>
      <c r="Z41" s="40">
        <f t="shared" si="7"/>
        <v>0</v>
      </c>
      <c r="AA41" s="40">
        <f t="shared" si="8"/>
        <v>0</v>
      </c>
      <c r="AB41" s="40">
        <f t="shared" si="9"/>
        <v>0</v>
      </c>
      <c r="AC41" s="41">
        <f t="shared" si="10"/>
        <v>0</v>
      </c>
      <c r="AD41" s="49" t="s">
        <v>1</v>
      </c>
      <c r="AE41" s="50" t="s">
        <v>116</v>
      </c>
      <c r="AF41" s="49" t="s">
        <v>5</v>
      </c>
      <c r="AG41" s="50" t="s">
        <v>90</v>
      </c>
      <c r="AH41" s="49" t="s">
        <v>5</v>
      </c>
      <c r="AI41" s="50" t="s">
        <v>101</v>
      </c>
      <c r="AJ41" s="49" t="s">
        <v>5</v>
      </c>
      <c r="AK41" s="50" t="s">
        <v>74</v>
      </c>
      <c r="AL41" s="49" t="s">
        <v>5</v>
      </c>
      <c r="AM41" s="50" t="s">
        <v>92</v>
      </c>
      <c r="AN41" s="49"/>
      <c r="AO41" s="50"/>
      <c r="AP41" s="49" t="s">
        <v>5</v>
      </c>
      <c r="AQ41" s="50" t="s">
        <v>131</v>
      </c>
      <c r="AR41" s="49" t="s">
        <v>1</v>
      </c>
      <c r="AS41" s="50" t="s">
        <v>104</v>
      </c>
      <c r="AT41" s="49" t="s">
        <v>5</v>
      </c>
      <c r="AU41" s="50" t="s">
        <v>105</v>
      </c>
      <c r="AV41" s="49" t="s">
        <v>5</v>
      </c>
      <c r="AW41" s="50" t="s">
        <v>94</v>
      </c>
      <c r="AX41" s="49" t="s">
        <v>1</v>
      </c>
      <c r="AY41" s="50" t="s">
        <v>95</v>
      </c>
      <c r="AZ41" s="49"/>
      <c r="BA41" s="50"/>
      <c r="BB41" s="49" t="s">
        <v>5</v>
      </c>
      <c r="BC41" s="50" t="s">
        <v>152</v>
      </c>
      <c r="BD41" s="49" t="s">
        <v>5</v>
      </c>
      <c r="BE41" s="50" t="s">
        <v>457</v>
      </c>
      <c r="BF41" s="49" t="s">
        <v>5</v>
      </c>
      <c r="BG41" s="50" t="s">
        <v>98</v>
      </c>
      <c r="BH41" s="49" t="s">
        <v>5</v>
      </c>
      <c r="BI41" s="50" t="s">
        <v>84</v>
      </c>
    </row>
    <row r="42" spans="1:61" x14ac:dyDescent="0.25">
      <c r="A42" s="76">
        <v>152764</v>
      </c>
      <c r="B42" s="77" t="s">
        <v>1666</v>
      </c>
      <c r="C42" s="78" t="s">
        <v>1648</v>
      </c>
      <c r="D42" s="76" t="s">
        <v>12</v>
      </c>
      <c r="E42" s="79" t="s">
        <v>14</v>
      </c>
      <c r="F42" s="79" t="s">
        <v>88</v>
      </c>
      <c r="G42" s="79" t="s">
        <v>87</v>
      </c>
      <c r="H42" s="79" t="s">
        <v>14</v>
      </c>
      <c r="I42" s="78" t="s">
        <v>14</v>
      </c>
      <c r="J42" s="79" t="s">
        <v>6</v>
      </c>
      <c r="K42" s="142" t="s">
        <v>1850</v>
      </c>
      <c r="L42" s="149" t="s">
        <v>1848</v>
      </c>
      <c r="M42" s="150" t="s">
        <v>1852</v>
      </c>
      <c r="N42" s="151">
        <v>19</v>
      </c>
      <c r="O42" s="151">
        <v>15</v>
      </c>
      <c r="P42" s="152">
        <v>3</v>
      </c>
      <c r="Q42" s="153">
        <v>100</v>
      </c>
      <c r="R42" s="154">
        <v>3</v>
      </c>
      <c r="S42" s="38">
        <f t="shared" si="0"/>
        <v>0</v>
      </c>
      <c r="T42" s="39">
        <f t="shared" si="1"/>
        <v>7</v>
      </c>
      <c r="U42" s="40">
        <f t="shared" si="2"/>
        <v>3</v>
      </c>
      <c r="V42" s="40">
        <f t="shared" si="3"/>
        <v>2</v>
      </c>
      <c r="W42" s="40">
        <f t="shared" si="4"/>
        <v>0</v>
      </c>
      <c r="X42" s="40">
        <f t="shared" si="5"/>
        <v>5</v>
      </c>
      <c r="Y42" s="40">
        <f t="shared" si="6"/>
        <v>1</v>
      </c>
      <c r="Z42" s="40">
        <f t="shared" si="7"/>
        <v>1</v>
      </c>
      <c r="AA42" s="40">
        <f t="shared" si="8"/>
        <v>0</v>
      </c>
      <c r="AB42" s="40">
        <f t="shared" si="9"/>
        <v>2</v>
      </c>
      <c r="AC42" s="41">
        <f t="shared" si="10"/>
        <v>0</v>
      </c>
      <c r="AD42" s="49" t="s">
        <v>31</v>
      </c>
      <c r="AE42" s="50" t="s">
        <v>116</v>
      </c>
      <c r="AF42" s="49" t="s">
        <v>5</v>
      </c>
      <c r="AG42" s="50" t="s">
        <v>135</v>
      </c>
      <c r="AH42" s="49" t="s">
        <v>35</v>
      </c>
      <c r="AI42" s="50" t="s">
        <v>101</v>
      </c>
      <c r="AJ42" s="49" t="s">
        <v>30</v>
      </c>
      <c r="AK42" s="50" t="s">
        <v>142</v>
      </c>
      <c r="AL42" s="49" t="s">
        <v>5</v>
      </c>
      <c r="AM42" s="50" t="s">
        <v>714</v>
      </c>
      <c r="AN42" s="49" t="s">
        <v>30</v>
      </c>
      <c r="AO42" s="50" t="s">
        <v>124</v>
      </c>
      <c r="AP42" s="49" t="s">
        <v>30</v>
      </c>
      <c r="AQ42" s="50" t="s">
        <v>76</v>
      </c>
      <c r="AR42" s="49" t="s">
        <v>5</v>
      </c>
      <c r="AS42" s="50" t="s">
        <v>132</v>
      </c>
      <c r="AT42" s="49" t="s">
        <v>31</v>
      </c>
      <c r="AU42" s="50" t="s">
        <v>163</v>
      </c>
      <c r="AV42" s="49" t="s">
        <v>5</v>
      </c>
      <c r="AW42" s="50" t="s">
        <v>94</v>
      </c>
      <c r="AX42" s="49" t="s">
        <v>5</v>
      </c>
      <c r="AY42" s="50" t="s">
        <v>95</v>
      </c>
      <c r="AZ42" s="49"/>
      <c r="BA42" s="50"/>
      <c r="BB42" s="49" t="s">
        <v>5</v>
      </c>
      <c r="BC42" s="50" t="s">
        <v>107</v>
      </c>
      <c r="BD42" s="49" t="s">
        <v>34</v>
      </c>
      <c r="BE42" s="50" t="s">
        <v>153</v>
      </c>
      <c r="BF42" s="49" t="s">
        <v>5</v>
      </c>
      <c r="BG42" s="50" t="s">
        <v>83</v>
      </c>
      <c r="BH42" s="49"/>
      <c r="BI42" s="50"/>
    </row>
    <row r="43" spans="1:61" x14ac:dyDescent="0.25">
      <c r="A43" s="76">
        <v>152921</v>
      </c>
      <c r="B43" s="77" t="s">
        <v>1667</v>
      </c>
      <c r="C43" s="78" t="s">
        <v>1620</v>
      </c>
      <c r="D43" s="76" t="s">
        <v>70</v>
      </c>
      <c r="E43" s="79" t="s">
        <v>14</v>
      </c>
      <c r="F43" s="79" t="s">
        <v>71</v>
      </c>
      <c r="G43" s="79" t="s">
        <v>14</v>
      </c>
      <c r="H43" s="79" t="s">
        <v>14</v>
      </c>
      <c r="I43" s="78" t="s">
        <v>14</v>
      </c>
      <c r="J43" s="79" t="s">
        <v>14</v>
      </c>
      <c r="K43" s="142" t="s">
        <v>1850</v>
      </c>
      <c r="L43" s="149" t="s">
        <v>1841</v>
      </c>
      <c r="M43" s="150" t="s">
        <v>1853</v>
      </c>
      <c r="N43" s="151">
        <v>25</v>
      </c>
      <c r="O43" s="151">
        <v>0</v>
      </c>
      <c r="P43" s="152">
        <v>0</v>
      </c>
      <c r="Q43" s="153">
        <v>100</v>
      </c>
      <c r="R43" s="154">
        <v>0</v>
      </c>
      <c r="S43" s="38">
        <f t="shared" si="0"/>
        <v>5</v>
      </c>
      <c r="T43" s="39">
        <f t="shared" si="1"/>
        <v>9</v>
      </c>
      <c r="U43" s="40">
        <f t="shared" si="2"/>
        <v>0</v>
      </c>
      <c r="V43" s="40">
        <f t="shared" si="3"/>
        <v>0</v>
      </c>
      <c r="W43" s="40">
        <f t="shared" si="4"/>
        <v>0</v>
      </c>
      <c r="X43" s="40">
        <f t="shared" si="5"/>
        <v>0</v>
      </c>
      <c r="Y43" s="40">
        <f t="shared" si="6"/>
        <v>0</v>
      </c>
      <c r="Z43" s="40">
        <f t="shared" si="7"/>
        <v>0</v>
      </c>
      <c r="AA43" s="40">
        <f t="shared" si="8"/>
        <v>0</v>
      </c>
      <c r="AB43" s="40">
        <f t="shared" si="9"/>
        <v>0</v>
      </c>
      <c r="AC43" s="41">
        <f t="shared" si="10"/>
        <v>0</v>
      </c>
      <c r="AD43" s="49" t="s">
        <v>1</v>
      </c>
      <c r="AE43" s="50" t="s">
        <v>89</v>
      </c>
      <c r="AF43" s="49"/>
      <c r="AG43" s="50"/>
      <c r="AH43" s="49" t="s">
        <v>5</v>
      </c>
      <c r="AI43" s="50" t="s">
        <v>142</v>
      </c>
      <c r="AJ43" s="49" t="s">
        <v>5</v>
      </c>
      <c r="AK43" s="50" t="s">
        <v>74</v>
      </c>
      <c r="AL43" s="49" t="s">
        <v>5</v>
      </c>
      <c r="AM43" s="50" t="s">
        <v>142</v>
      </c>
      <c r="AN43" s="49"/>
      <c r="AO43" s="50"/>
      <c r="AP43" s="49" t="s">
        <v>5</v>
      </c>
      <c r="AQ43" s="50" t="s">
        <v>76</v>
      </c>
      <c r="AR43" s="49" t="s">
        <v>5</v>
      </c>
      <c r="AS43" s="50" t="s">
        <v>132</v>
      </c>
      <c r="AT43" s="49" t="s">
        <v>5</v>
      </c>
      <c r="AU43" s="50" t="s">
        <v>105</v>
      </c>
      <c r="AV43" s="49" t="s">
        <v>5</v>
      </c>
      <c r="AW43" s="50" t="s">
        <v>79</v>
      </c>
      <c r="AX43" s="49" t="s">
        <v>1</v>
      </c>
      <c r="AY43" s="50" t="s">
        <v>95</v>
      </c>
      <c r="AZ43" s="49" t="s">
        <v>1</v>
      </c>
      <c r="BA43" s="50" t="s">
        <v>105</v>
      </c>
      <c r="BB43" s="49" t="s">
        <v>1</v>
      </c>
      <c r="BC43" s="50" t="s">
        <v>152</v>
      </c>
      <c r="BD43" s="49" t="s">
        <v>5</v>
      </c>
      <c r="BE43" s="50" t="s">
        <v>97</v>
      </c>
      <c r="BF43" s="49" t="s">
        <v>5</v>
      </c>
      <c r="BG43" s="50" t="s">
        <v>83</v>
      </c>
      <c r="BH43" s="49" t="s">
        <v>1</v>
      </c>
      <c r="BI43" s="50" t="s">
        <v>130</v>
      </c>
    </row>
    <row r="44" spans="1:61" x14ac:dyDescent="0.25">
      <c r="A44" s="76">
        <v>152788</v>
      </c>
      <c r="B44" s="77" t="s">
        <v>1668</v>
      </c>
      <c r="C44" s="78" t="s">
        <v>1633</v>
      </c>
      <c r="D44" s="76" t="s">
        <v>70</v>
      </c>
      <c r="E44" s="79" t="s">
        <v>14</v>
      </c>
      <c r="F44" s="79" t="s">
        <v>71</v>
      </c>
      <c r="G44" s="79" t="s">
        <v>87</v>
      </c>
      <c r="H44" s="79" t="s">
        <v>14</v>
      </c>
      <c r="I44" s="78" t="s">
        <v>14</v>
      </c>
      <c r="J44" s="79" t="s">
        <v>14</v>
      </c>
      <c r="K44" s="142" t="s">
        <v>1850</v>
      </c>
      <c r="L44" s="149" t="s">
        <v>1846</v>
      </c>
      <c r="M44" s="150" t="s">
        <v>1853</v>
      </c>
      <c r="N44" s="151">
        <v>27</v>
      </c>
      <c r="O44" s="151">
        <v>0</v>
      </c>
      <c r="P44" s="152">
        <v>0</v>
      </c>
      <c r="Q44" s="153">
        <v>100</v>
      </c>
      <c r="R44" s="154">
        <v>0</v>
      </c>
      <c r="S44" s="38">
        <f t="shared" si="0"/>
        <v>8</v>
      </c>
      <c r="T44" s="39">
        <f t="shared" si="1"/>
        <v>6</v>
      </c>
      <c r="U44" s="40">
        <f t="shared" si="2"/>
        <v>0</v>
      </c>
      <c r="V44" s="40">
        <f t="shared" si="3"/>
        <v>0</v>
      </c>
      <c r="W44" s="40">
        <f t="shared" si="4"/>
        <v>0</v>
      </c>
      <c r="X44" s="40">
        <f t="shared" si="5"/>
        <v>0</v>
      </c>
      <c r="Y44" s="40">
        <f t="shared" si="6"/>
        <v>0</v>
      </c>
      <c r="Z44" s="40">
        <f t="shared" si="7"/>
        <v>0</v>
      </c>
      <c r="AA44" s="40">
        <f t="shared" si="8"/>
        <v>0</v>
      </c>
      <c r="AB44" s="40">
        <f t="shared" si="9"/>
        <v>0</v>
      </c>
      <c r="AC44" s="41">
        <f t="shared" si="10"/>
        <v>0</v>
      </c>
      <c r="AD44" s="49" t="s">
        <v>1</v>
      </c>
      <c r="AE44" s="50" t="s">
        <v>89</v>
      </c>
      <c r="AF44" s="49"/>
      <c r="AG44" s="50"/>
      <c r="AH44" s="49" t="s">
        <v>5</v>
      </c>
      <c r="AI44" s="50" t="s">
        <v>101</v>
      </c>
      <c r="AJ44" s="49" t="s">
        <v>5</v>
      </c>
      <c r="AK44" s="50" t="s">
        <v>74</v>
      </c>
      <c r="AL44" s="49" t="s">
        <v>1</v>
      </c>
      <c r="AM44" s="50" t="s">
        <v>122</v>
      </c>
      <c r="AN44" s="49"/>
      <c r="AO44" s="50"/>
      <c r="AP44" s="49" t="s">
        <v>1</v>
      </c>
      <c r="AQ44" s="50" t="s">
        <v>131</v>
      </c>
      <c r="AR44" s="49" t="s">
        <v>5</v>
      </c>
      <c r="AS44" s="50" t="s">
        <v>120</v>
      </c>
      <c r="AT44" s="49" t="s">
        <v>1</v>
      </c>
      <c r="AU44" s="50" t="s">
        <v>163</v>
      </c>
      <c r="AV44" s="49" t="s">
        <v>1</v>
      </c>
      <c r="AW44" s="50" t="s">
        <v>112</v>
      </c>
      <c r="AX44" s="49" t="s">
        <v>1</v>
      </c>
      <c r="AY44" s="50" t="s">
        <v>95</v>
      </c>
      <c r="AZ44" s="49" t="s">
        <v>5</v>
      </c>
      <c r="BA44" s="50" t="s">
        <v>105</v>
      </c>
      <c r="BB44" s="49" t="s">
        <v>5</v>
      </c>
      <c r="BC44" s="50" t="s">
        <v>121</v>
      </c>
      <c r="BD44" s="49" t="s">
        <v>1</v>
      </c>
      <c r="BE44" s="50" t="s">
        <v>495</v>
      </c>
      <c r="BF44" s="49" t="s">
        <v>1</v>
      </c>
      <c r="BG44" s="50" t="s">
        <v>83</v>
      </c>
      <c r="BH44" s="49" t="s">
        <v>5</v>
      </c>
      <c r="BI44" s="50" t="s">
        <v>75</v>
      </c>
    </row>
    <row r="45" spans="1:61" x14ac:dyDescent="0.25">
      <c r="A45" s="76">
        <v>152865</v>
      </c>
      <c r="B45" s="77" t="s">
        <v>1669</v>
      </c>
      <c r="C45" s="78" t="s">
        <v>1633</v>
      </c>
      <c r="D45" s="76" t="s">
        <v>70</v>
      </c>
      <c r="E45" s="79" t="s">
        <v>14</v>
      </c>
      <c r="F45" s="79" t="s">
        <v>88</v>
      </c>
      <c r="G45" s="79" t="s">
        <v>14</v>
      </c>
      <c r="H45" s="79" t="s">
        <v>14</v>
      </c>
      <c r="I45" s="78" t="s">
        <v>14</v>
      </c>
      <c r="J45" s="79" t="s">
        <v>14</v>
      </c>
      <c r="K45" s="142" t="s">
        <v>1850</v>
      </c>
      <c r="L45" s="149" t="s">
        <v>1843</v>
      </c>
      <c r="M45" s="150" t="s">
        <v>1853</v>
      </c>
      <c r="N45" s="151">
        <v>20</v>
      </c>
      <c r="O45" s="151">
        <v>1</v>
      </c>
      <c r="P45" s="152">
        <v>0</v>
      </c>
      <c r="Q45" s="153">
        <v>100</v>
      </c>
      <c r="R45" s="154">
        <v>0</v>
      </c>
      <c r="S45" s="38">
        <f t="shared" si="0"/>
        <v>0</v>
      </c>
      <c r="T45" s="39">
        <f t="shared" si="1"/>
        <v>13</v>
      </c>
      <c r="U45" s="40">
        <f t="shared" si="2"/>
        <v>0</v>
      </c>
      <c r="V45" s="40">
        <f t="shared" si="3"/>
        <v>1</v>
      </c>
      <c r="W45" s="40">
        <f t="shared" si="4"/>
        <v>0</v>
      </c>
      <c r="X45" s="40">
        <f t="shared" si="5"/>
        <v>1</v>
      </c>
      <c r="Y45" s="40">
        <f t="shared" si="6"/>
        <v>0</v>
      </c>
      <c r="Z45" s="40">
        <f t="shared" si="7"/>
        <v>0</v>
      </c>
      <c r="AA45" s="40">
        <f t="shared" si="8"/>
        <v>0</v>
      </c>
      <c r="AB45" s="40">
        <f t="shared" si="9"/>
        <v>0</v>
      </c>
      <c r="AC45" s="41">
        <f t="shared" si="10"/>
        <v>0</v>
      </c>
      <c r="AD45" s="49" t="s">
        <v>5</v>
      </c>
      <c r="AE45" s="50" t="s">
        <v>89</v>
      </c>
      <c r="AF45" s="49" t="s">
        <v>5</v>
      </c>
      <c r="AG45" s="50" t="s">
        <v>117</v>
      </c>
      <c r="AH45" s="49" t="s">
        <v>5</v>
      </c>
      <c r="AI45" s="50" t="s">
        <v>101</v>
      </c>
      <c r="AJ45" s="49" t="s">
        <v>5</v>
      </c>
      <c r="AK45" s="50" t="s">
        <v>151</v>
      </c>
      <c r="AL45" s="49" t="s">
        <v>31</v>
      </c>
      <c r="AM45" s="50" t="s">
        <v>122</v>
      </c>
      <c r="AN45" s="49"/>
      <c r="AO45" s="50"/>
      <c r="AP45" s="49" t="s">
        <v>5</v>
      </c>
      <c r="AQ45" s="50" t="s">
        <v>131</v>
      </c>
      <c r="AR45" s="49" t="s">
        <v>5</v>
      </c>
      <c r="AS45" s="50" t="s">
        <v>120</v>
      </c>
      <c r="AT45" s="49" t="s">
        <v>5</v>
      </c>
      <c r="AU45" s="50" t="s">
        <v>163</v>
      </c>
      <c r="AV45" s="49" t="s">
        <v>5</v>
      </c>
      <c r="AW45" s="50" t="s">
        <v>430</v>
      </c>
      <c r="AX45" s="49" t="s">
        <v>5</v>
      </c>
      <c r="AY45" s="50" t="s">
        <v>95</v>
      </c>
      <c r="AZ45" s="49"/>
      <c r="BA45" s="50"/>
      <c r="BB45" s="49" t="s">
        <v>5</v>
      </c>
      <c r="BC45" s="50" t="s">
        <v>121</v>
      </c>
      <c r="BD45" s="49" t="s">
        <v>5</v>
      </c>
      <c r="BE45" s="50" t="s">
        <v>495</v>
      </c>
      <c r="BF45" s="49" t="s">
        <v>5</v>
      </c>
      <c r="BG45" s="50" t="s">
        <v>170</v>
      </c>
      <c r="BH45" s="49" t="s">
        <v>5</v>
      </c>
      <c r="BI45" s="50" t="s">
        <v>75</v>
      </c>
    </row>
    <row r="46" spans="1:61" x14ac:dyDescent="0.25">
      <c r="A46" s="76">
        <v>152839</v>
      </c>
      <c r="B46" s="77" t="s">
        <v>1670</v>
      </c>
      <c r="C46" s="78" t="s">
        <v>1639</v>
      </c>
      <c r="D46" s="76" t="s">
        <v>70</v>
      </c>
      <c r="E46" s="79" t="s">
        <v>14</v>
      </c>
      <c r="F46" s="79" t="s">
        <v>774</v>
      </c>
      <c r="G46" s="79" t="s">
        <v>87</v>
      </c>
      <c r="H46" s="79" t="s">
        <v>14</v>
      </c>
      <c r="I46" s="78" t="s">
        <v>14</v>
      </c>
      <c r="J46" s="79" t="s">
        <v>14</v>
      </c>
      <c r="K46" s="142" t="s">
        <v>1850</v>
      </c>
      <c r="L46" s="149" t="s">
        <v>1841</v>
      </c>
      <c r="M46" s="150" t="s">
        <v>1853</v>
      </c>
      <c r="N46" s="151">
        <v>29</v>
      </c>
      <c r="O46" s="151">
        <v>0</v>
      </c>
      <c r="P46" s="152">
        <v>0</v>
      </c>
      <c r="Q46" s="153">
        <v>100</v>
      </c>
      <c r="R46" s="154">
        <v>0</v>
      </c>
      <c r="S46" s="38">
        <f t="shared" si="0"/>
        <v>3</v>
      </c>
      <c r="T46" s="39">
        <f t="shared" si="1"/>
        <v>11</v>
      </c>
      <c r="U46" s="40">
        <f t="shared" si="2"/>
        <v>0</v>
      </c>
      <c r="V46" s="40">
        <f t="shared" si="3"/>
        <v>0</v>
      </c>
      <c r="W46" s="40">
        <f t="shared" si="4"/>
        <v>0</v>
      </c>
      <c r="X46" s="40">
        <f t="shared" si="5"/>
        <v>0</v>
      </c>
      <c r="Y46" s="40">
        <f t="shared" si="6"/>
        <v>0</v>
      </c>
      <c r="Z46" s="40">
        <f t="shared" si="7"/>
        <v>0</v>
      </c>
      <c r="AA46" s="40">
        <f t="shared" si="8"/>
        <v>0</v>
      </c>
      <c r="AB46" s="40">
        <f t="shared" si="9"/>
        <v>0</v>
      </c>
      <c r="AC46" s="41">
        <f t="shared" si="10"/>
        <v>0</v>
      </c>
      <c r="AD46" s="49" t="s">
        <v>1</v>
      </c>
      <c r="AE46" s="50" t="s">
        <v>72</v>
      </c>
      <c r="AF46" s="49" t="s">
        <v>1</v>
      </c>
      <c r="AG46" s="50" t="s">
        <v>135</v>
      </c>
      <c r="AH46" s="49" t="s">
        <v>5</v>
      </c>
      <c r="AI46" s="50" t="s">
        <v>101</v>
      </c>
      <c r="AJ46" s="49" t="s">
        <v>5</v>
      </c>
      <c r="AK46" s="50" t="s">
        <v>459</v>
      </c>
      <c r="AL46" s="49" t="s">
        <v>5</v>
      </c>
      <c r="AM46" s="50" t="s">
        <v>130</v>
      </c>
      <c r="AN46" s="49" t="s">
        <v>5</v>
      </c>
      <c r="AO46" s="50" t="s">
        <v>143</v>
      </c>
      <c r="AP46" s="49" t="s">
        <v>1</v>
      </c>
      <c r="AQ46" s="50" t="s">
        <v>131</v>
      </c>
      <c r="AR46" s="49" t="s">
        <v>5</v>
      </c>
      <c r="AS46" s="50" t="s">
        <v>120</v>
      </c>
      <c r="AT46" s="49" t="s">
        <v>5</v>
      </c>
      <c r="AU46" s="50" t="s">
        <v>105</v>
      </c>
      <c r="AV46" s="49" t="s">
        <v>5</v>
      </c>
      <c r="AW46" s="50" t="s">
        <v>112</v>
      </c>
      <c r="AX46" s="49" t="s">
        <v>5</v>
      </c>
      <c r="AY46" s="50" t="s">
        <v>80</v>
      </c>
      <c r="AZ46" s="49"/>
      <c r="BA46" s="50"/>
      <c r="BB46" s="49" t="s">
        <v>5</v>
      </c>
      <c r="BC46" s="50" t="s">
        <v>81</v>
      </c>
      <c r="BD46" s="49" t="s">
        <v>5</v>
      </c>
      <c r="BE46" s="50" t="s">
        <v>82</v>
      </c>
      <c r="BF46" s="49" t="s">
        <v>5</v>
      </c>
      <c r="BG46" s="50" t="s">
        <v>83</v>
      </c>
      <c r="BH46" s="49"/>
      <c r="BI46" s="50"/>
    </row>
    <row r="47" spans="1:61" x14ac:dyDescent="0.25">
      <c r="A47" s="76">
        <v>152838</v>
      </c>
      <c r="B47" s="77" t="s">
        <v>1671</v>
      </c>
      <c r="C47" s="78" t="s">
        <v>1665</v>
      </c>
      <c r="D47" s="76" t="s">
        <v>70</v>
      </c>
      <c r="E47" s="79" t="s">
        <v>87</v>
      </c>
      <c r="F47" s="79" t="s">
        <v>88</v>
      </c>
      <c r="G47" s="79" t="s">
        <v>14</v>
      </c>
      <c r="H47" s="79" t="s">
        <v>87</v>
      </c>
      <c r="I47" s="78" t="s">
        <v>14</v>
      </c>
      <c r="J47" s="79" t="s">
        <v>14</v>
      </c>
      <c r="K47" s="142" t="s">
        <v>1850</v>
      </c>
      <c r="L47" s="149" t="s">
        <v>1845</v>
      </c>
      <c r="M47" s="150" t="s">
        <v>12</v>
      </c>
      <c r="N47" s="151">
        <v>21</v>
      </c>
      <c r="O47" s="151">
        <v>3</v>
      </c>
      <c r="P47" s="152">
        <v>3</v>
      </c>
      <c r="Q47" s="153">
        <v>100</v>
      </c>
      <c r="R47" s="154">
        <v>8</v>
      </c>
      <c r="S47" s="38">
        <f t="shared" si="0"/>
        <v>2</v>
      </c>
      <c r="T47" s="39">
        <f t="shared" si="1"/>
        <v>9</v>
      </c>
      <c r="U47" s="40">
        <f t="shared" si="2"/>
        <v>1</v>
      </c>
      <c r="V47" s="40">
        <f t="shared" si="3"/>
        <v>2</v>
      </c>
      <c r="W47" s="40">
        <f t="shared" si="4"/>
        <v>0</v>
      </c>
      <c r="X47" s="40">
        <f t="shared" si="5"/>
        <v>3</v>
      </c>
      <c r="Y47" s="40">
        <f t="shared" si="6"/>
        <v>0</v>
      </c>
      <c r="Z47" s="40">
        <f t="shared" si="7"/>
        <v>0</v>
      </c>
      <c r="AA47" s="40">
        <f t="shared" si="8"/>
        <v>0</v>
      </c>
      <c r="AB47" s="40">
        <f t="shared" si="9"/>
        <v>0</v>
      </c>
      <c r="AC47" s="41">
        <f t="shared" si="10"/>
        <v>0</v>
      </c>
      <c r="AD47" s="49" t="s">
        <v>31</v>
      </c>
      <c r="AE47" s="50" t="s">
        <v>116</v>
      </c>
      <c r="AF47" s="49" t="s">
        <v>5</v>
      </c>
      <c r="AG47" s="50" t="s">
        <v>73</v>
      </c>
      <c r="AH47" s="49" t="s">
        <v>31</v>
      </c>
      <c r="AI47" s="50" t="s">
        <v>101</v>
      </c>
      <c r="AJ47" s="49" t="s">
        <v>5</v>
      </c>
      <c r="AK47" s="50" t="s">
        <v>722</v>
      </c>
      <c r="AL47" s="49" t="s">
        <v>5</v>
      </c>
      <c r="AM47" s="50" t="s">
        <v>92</v>
      </c>
      <c r="AN47" s="49"/>
      <c r="AO47" s="50"/>
      <c r="AP47" s="49" t="s">
        <v>5</v>
      </c>
      <c r="AQ47" s="50" t="s">
        <v>131</v>
      </c>
      <c r="AR47" s="49" t="s">
        <v>1</v>
      </c>
      <c r="AS47" s="50" t="s">
        <v>104</v>
      </c>
      <c r="AT47" s="49" t="s">
        <v>30</v>
      </c>
      <c r="AU47" s="50" t="s">
        <v>105</v>
      </c>
      <c r="AV47" s="49" t="s">
        <v>5</v>
      </c>
      <c r="AW47" s="50" t="s">
        <v>94</v>
      </c>
      <c r="AX47" s="49" t="s">
        <v>5</v>
      </c>
      <c r="AY47" s="50" t="s">
        <v>95</v>
      </c>
      <c r="AZ47" s="49"/>
      <c r="BA47" s="50"/>
      <c r="BB47" s="49" t="s">
        <v>1</v>
      </c>
      <c r="BC47" s="50" t="s">
        <v>152</v>
      </c>
      <c r="BD47" s="49" t="s">
        <v>5</v>
      </c>
      <c r="BE47" s="50" t="s">
        <v>457</v>
      </c>
      <c r="BF47" s="49" t="s">
        <v>5</v>
      </c>
      <c r="BG47" s="50" t="s">
        <v>154</v>
      </c>
      <c r="BH47" s="49" t="s">
        <v>5</v>
      </c>
      <c r="BI47" s="50" t="s">
        <v>84</v>
      </c>
    </row>
    <row r="48" spans="1:61" x14ac:dyDescent="0.25">
      <c r="A48" s="76">
        <v>152835</v>
      </c>
      <c r="B48" s="77" t="s">
        <v>1672</v>
      </c>
      <c r="C48" s="78" t="s">
        <v>1639</v>
      </c>
      <c r="D48" s="76" t="s">
        <v>12</v>
      </c>
      <c r="E48" s="79" t="s">
        <v>14</v>
      </c>
      <c r="F48" s="79" t="s">
        <v>71</v>
      </c>
      <c r="G48" s="79" t="s">
        <v>14</v>
      </c>
      <c r="H48" s="79" t="s">
        <v>14</v>
      </c>
      <c r="I48" s="78" t="s">
        <v>14</v>
      </c>
      <c r="J48" s="79" t="s">
        <v>14</v>
      </c>
      <c r="K48" s="142" t="s">
        <v>1850</v>
      </c>
      <c r="L48" s="149" t="s">
        <v>1845</v>
      </c>
      <c r="M48" s="150" t="s">
        <v>12</v>
      </c>
      <c r="N48" s="151">
        <v>16</v>
      </c>
      <c r="O48" s="151">
        <v>0</v>
      </c>
      <c r="P48" s="152">
        <v>1</v>
      </c>
      <c r="Q48" s="153">
        <v>77.78</v>
      </c>
      <c r="R48" s="154">
        <v>0</v>
      </c>
      <c r="S48" s="38">
        <f t="shared" si="0"/>
        <v>0</v>
      </c>
      <c r="T48" s="39">
        <f t="shared" si="1"/>
        <v>14</v>
      </c>
      <c r="U48" s="40">
        <f t="shared" si="2"/>
        <v>0</v>
      </c>
      <c r="V48" s="40">
        <f t="shared" si="3"/>
        <v>0</v>
      </c>
      <c r="W48" s="40">
        <f t="shared" si="4"/>
        <v>0</v>
      </c>
      <c r="X48" s="40">
        <f t="shared" si="5"/>
        <v>0</v>
      </c>
      <c r="Y48" s="40">
        <f t="shared" si="6"/>
        <v>0</v>
      </c>
      <c r="Z48" s="40">
        <f t="shared" si="7"/>
        <v>0</v>
      </c>
      <c r="AA48" s="40">
        <f t="shared" si="8"/>
        <v>0</v>
      </c>
      <c r="AB48" s="40">
        <f t="shared" si="9"/>
        <v>0</v>
      </c>
      <c r="AC48" s="41">
        <f t="shared" si="10"/>
        <v>0</v>
      </c>
      <c r="AD48" s="49" t="s">
        <v>5</v>
      </c>
      <c r="AE48" s="50" t="s">
        <v>72</v>
      </c>
      <c r="AF48" s="49" t="s">
        <v>5</v>
      </c>
      <c r="AG48" s="50" t="s">
        <v>90</v>
      </c>
      <c r="AH48" s="49" t="s">
        <v>5</v>
      </c>
      <c r="AI48" s="50" t="s">
        <v>101</v>
      </c>
      <c r="AJ48" s="49" t="s">
        <v>5</v>
      </c>
      <c r="AK48" s="50" t="s">
        <v>459</v>
      </c>
      <c r="AL48" s="49" t="s">
        <v>5</v>
      </c>
      <c r="AM48" s="50" t="s">
        <v>130</v>
      </c>
      <c r="AN48" s="49" t="s">
        <v>5</v>
      </c>
      <c r="AO48" s="50" t="s">
        <v>143</v>
      </c>
      <c r="AP48" s="49" t="s">
        <v>5</v>
      </c>
      <c r="AQ48" s="50" t="s">
        <v>131</v>
      </c>
      <c r="AR48" s="49" t="s">
        <v>5</v>
      </c>
      <c r="AS48" s="50" t="s">
        <v>120</v>
      </c>
      <c r="AT48" s="49" t="s">
        <v>5</v>
      </c>
      <c r="AU48" s="50" t="s">
        <v>105</v>
      </c>
      <c r="AV48" s="49" t="s">
        <v>5</v>
      </c>
      <c r="AW48" s="50" t="s">
        <v>430</v>
      </c>
      <c r="AX48" s="49" t="s">
        <v>5</v>
      </c>
      <c r="AY48" s="50" t="s">
        <v>80</v>
      </c>
      <c r="AZ48" s="49"/>
      <c r="BA48" s="50"/>
      <c r="BB48" s="49" t="s">
        <v>5</v>
      </c>
      <c r="BC48" s="50" t="s">
        <v>96</v>
      </c>
      <c r="BD48" s="49" t="s">
        <v>5</v>
      </c>
      <c r="BE48" s="50" t="s">
        <v>82</v>
      </c>
      <c r="BF48" s="49" t="s">
        <v>5</v>
      </c>
      <c r="BG48" s="50" t="s">
        <v>170</v>
      </c>
      <c r="BH48" s="49"/>
      <c r="BI48" s="50"/>
    </row>
    <row r="49" spans="1:61" x14ac:dyDescent="0.25">
      <c r="A49" s="76">
        <v>152932</v>
      </c>
      <c r="B49" s="77" t="s">
        <v>1673</v>
      </c>
      <c r="C49" s="78" t="s">
        <v>1633</v>
      </c>
      <c r="D49" s="76" t="s">
        <v>12</v>
      </c>
      <c r="E49" s="79" t="s">
        <v>14</v>
      </c>
      <c r="F49" s="79" t="s">
        <v>71</v>
      </c>
      <c r="G49" s="79" t="s">
        <v>14</v>
      </c>
      <c r="H49" s="79" t="s">
        <v>14</v>
      </c>
      <c r="I49" s="78" t="s">
        <v>14</v>
      </c>
      <c r="J49" s="79" t="s">
        <v>14</v>
      </c>
      <c r="K49" s="142" t="s">
        <v>1851</v>
      </c>
      <c r="L49" s="149" t="s">
        <v>1842</v>
      </c>
      <c r="M49" s="150" t="s">
        <v>12</v>
      </c>
      <c r="N49" s="151">
        <v>25</v>
      </c>
      <c r="O49" s="151">
        <v>0</v>
      </c>
      <c r="P49" s="152">
        <v>0</v>
      </c>
      <c r="Q49" s="153">
        <v>100</v>
      </c>
      <c r="R49" s="154">
        <v>0</v>
      </c>
      <c r="S49" s="38">
        <f t="shared" si="0"/>
        <v>2</v>
      </c>
      <c r="T49" s="39">
        <f t="shared" si="1"/>
        <v>12</v>
      </c>
      <c r="U49" s="40">
        <f t="shared" si="2"/>
        <v>0</v>
      </c>
      <c r="V49" s="40">
        <f t="shared" si="3"/>
        <v>0</v>
      </c>
      <c r="W49" s="40">
        <f t="shared" si="4"/>
        <v>0</v>
      </c>
      <c r="X49" s="40">
        <f t="shared" si="5"/>
        <v>0</v>
      </c>
      <c r="Y49" s="40">
        <f t="shared" si="6"/>
        <v>0</v>
      </c>
      <c r="Z49" s="40">
        <f t="shared" si="7"/>
        <v>0</v>
      </c>
      <c r="AA49" s="40">
        <f t="shared" si="8"/>
        <v>0</v>
      </c>
      <c r="AB49" s="40">
        <f t="shared" si="9"/>
        <v>0</v>
      </c>
      <c r="AC49" s="41">
        <f t="shared" si="10"/>
        <v>0</v>
      </c>
      <c r="AD49" s="49" t="s">
        <v>5</v>
      </c>
      <c r="AE49" s="50" t="s">
        <v>89</v>
      </c>
      <c r="AF49" s="49" t="s">
        <v>5</v>
      </c>
      <c r="AG49" s="50" t="s">
        <v>135</v>
      </c>
      <c r="AH49" s="49" t="s">
        <v>5</v>
      </c>
      <c r="AI49" s="50" t="s">
        <v>101</v>
      </c>
      <c r="AJ49" s="49" t="s">
        <v>5</v>
      </c>
      <c r="AK49" s="50" t="s">
        <v>194</v>
      </c>
      <c r="AL49" s="49" t="s">
        <v>1</v>
      </c>
      <c r="AM49" s="50" t="s">
        <v>122</v>
      </c>
      <c r="AN49" s="49"/>
      <c r="AO49" s="50"/>
      <c r="AP49" s="49" t="s">
        <v>5</v>
      </c>
      <c r="AQ49" s="50" t="s">
        <v>131</v>
      </c>
      <c r="AR49" s="49" t="s">
        <v>5</v>
      </c>
      <c r="AS49" s="50" t="s">
        <v>120</v>
      </c>
      <c r="AT49" s="49" t="s">
        <v>5</v>
      </c>
      <c r="AU49" s="50" t="s">
        <v>163</v>
      </c>
      <c r="AV49" s="49" t="s">
        <v>5</v>
      </c>
      <c r="AW49" s="50" t="s">
        <v>79</v>
      </c>
      <c r="AX49" s="49" t="s">
        <v>5</v>
      </c>
      <c r="AY49" s="50" t="s">
        <v>95</v>
      </c>
      <c r="AZ49" s="49"/>
      <c r="BA49" s="50"/>
      <c r="BB49" s="49" t="s">
        <v>1</v>
      </c>
      <c r="BC49" s="50" t="s">
        <v>741</v>
      </c>
      <c r="BD49" s="49" t="s">
        <v>5</v>
      </c>
      <c r="BE49" s="50" t="s">
        <v>495</v>
      </c>
      <c r="BF49" s="49" t="s">
        <v>5</v>
      </c>
      <c r="BG49" s="50" t="s">
        <v>83</v>
      </c>
      <c r="BH49" s="49" t="s">
        <v>5</v>
      </c>
      <c r="BI49" s="50" t="s">
        <v>75</v>
      </c>
    </row>
    <row r="50" spans="1:61" x14ac:dyDescent="0.25">
      <c r="A50" s="76">
        <v>152823</v>
      </c>
      <c r="B50" s="77" t="s">
        <v>1674</v>
      </c>
      <c r="C50" s="78" t="s">
        <v>1620</v>
      </c>
      <c r="D50" s="76" t="s">
        <v>70</v>
      </c>
      <c r="E50" s="79" t="s">
        <v>14</v>
      </c>
      <c r="F50" s="79" t="s">
        <v>150</v>
      </c>
      <c r="G50" s="79" t="s">
        <v>87</v>
      </c>
      <c r="H50" s="79" t="s">
        <v>14</v>
      </c>
      <c r="I50" s="78" t="s">
        <v>14</v>
      </c>
      <c r="J50" s="79" t="s">
        <v>14</v>
      </c>
      <c r="K50" s="142" t="s">
        <v>1850</v>
      </c>
      <c r="L50" s="149" t="s">
        <v>1841</v>
      </c>
      <c r="M50" s="150" t="s">
        <v>1853</v>
      </c>
      <c r="N50" s="151">
        <v>16</v>
      </c>
      <c r="O50" s="151">
        <v>0</v>
      </c>
      <c r="P50" s="152">
        <v>0</v>
      </c>
      <c r="Q50" s="153">
        <v>95.65</v>
      </c>
      <c r="R50" s="154">
        <v>0</v>
      </c>
      <c r="S50" s="38">
        <f t="shared" si="0"/>
        <v>6</v>
      </c>
      <c r="T50" s="39">
        <f t="shared" si="1"/>
        <v>8</v>
      </c>
      <c r="U50" s="40">
        <f t="shared" si="2"/>
        <v>0</v>
      </c>
      <c r="V50" s="40">
        <f t="shared" si="3"/>
        <v>0</v>
      </c>
      <c r="W50" s="40">
        <f t="shared" si="4"/>
        <v>0</v>
      </c>
      <c r="X50" s="40">
        <f t="shared" si="5"/>
        <v>0</v>
      </c>
      <c r="Y50" s="40">
        <f t="shared" si="6"/>
        <v>0</v>
      </c>
      <c r="Z50" s="40">
        <f t="shared" si="7"/>
        <v>0</v>
      </c>
      <c r="AA50" s="40">
        <f t="shared" si="8"/>
        <v>0</v>
      </c>
      <c r="AB50" s="40">
        <f t="shared" si="9"/>
        <v>0</v>
      </c>
      <c r="AC50" s="41">
        <f t="shared" si="10"/>
        <v>0</v>
      </c>
      <c r="AD50" s="49" t="s">
        <v>1</v>
      </c>
      <c r="AE50" s="50" t="s">
        <v>89</v>
      </c>
      <c r="AF50" s="49" t="s">
        <v>5</v>
      </c>
      <c r="AG50" s="50" t="s">
        <v>117</v>
      </c>
      <c r="AH50" s="49" t="s">
        <v>5</v>
      </c>
      <c r="AI50" s="50" t="s">
        <v>142</v>
      </c>
      <c r="AJ50" s="49" t="s">
        <v>5</v>
      </c>
      <c r="AK50" s="50" t="s">
        <v>74</v>
      </c>
      <c r="AL50" s="49" t="s">
        <v>5</v>
      </c>
      <c r="AM50" s="50" t="s">
        <v>142</v>
      </c>
      <c r="AN50" s="49"/>
      <c r="AO50" s="50"/>
      <c r="AP50" s="49" t="s">
        <v>5</v>
      </c>
      <c r="AQ50" s="50" t="s">
        <v>76</v>
      </c>
      <c r="AR50" s="49" t="s">
        <v>5</v>
      </c>
      <c r="AS50" s="50" t="s">
        <v>132</v>
      </c>
      <c r="AT50" s="49" t="s">
        <v>5</v>
      </c>
      <c r="AU50" s="50" t="s">
        <v>105</v>
      </c>
      <c r="AV50" s="49" t="s">
        <v>1</v>
      </c>
      <c r="AW50" s="50" t="s">
        <v>112</v>
      </c>
      <c r="AX50" s="49" t="s">
        <v>1</v>
      </c>
      <c r="AY50" s="50" t="s">
        <v>95</v>
      </c>
      <c r="AZ50" s="49"/>
      <c r="BA50" s="50"/>
      <c r="BB50" s="49" t="s">
        <v>5</v>
      </c>
      <c r="BC50" s="50" t="s">
        <v>121</v>
      </c>
      <c r="BD50" s="49" t="s">
        <v>1</v>
      </c>
      <c r="BE50" s="50" t="s">
        <v>97</v>
      </c>
      <c r="BF50" s="49" t="s">
        <v>1</v>
      </c>
      <c r="BG50" s="50" t="s">
        <v>123</v>
      </c>
      <c r="BH50" s="49" t="s">
        <v>1</v>
      </c>
      <c r="BI50" s="50" t="s">
        <v>130</v>
      </c>
    </row>
    <row r="51" spans="1:61" x14ac:dyDescent="0.25">
      <c r="A51" s="76">
        <v>152825</v>
      </c>
      <c r="B51" s="77" t="s">
        <v>1675</v>
      </c>
      <c r="C51" s="78" t="s">
        <v>1648</v>
      </c>
      <c r="D51" s="76" t="s">
        <v>70</v>
      </c>
      <c r="E51" s="79" t="s">
        <v>14</v>
      </c>
      <c r="F51" s="79" t="s">
        <v>71</v>
      </c>
      <c r="G51" s="79" t="s">
        <v>14</v>
      </c>
      <c r="H51" s="79" t="s">
        <v>14</v>
      </c>
      <c r="I51" s="78" t="s">
        <v>14</v>
      </c>
      <c r="J51" s="79" t="s">
        <v>14</v>
      </c>
      <c r="K51" s="142" t="s">
        <v>1850</v>
      </c>
      <c r="L51" s="149" t="s">
        <v>1842</v>
      </c>
      <c r="M51" s="150" t="s">
        <v>1853</v>
      </c>
      <c r="N51" s="151">
        <v>13</v>
      </c>
      <c r="O51" s="151">
        <v>0</v>
      </c>
      <c r="P51" s="152">
        <v>0</v>
      </c>
      <c r="Q51" s="153">
        <v>100</v>
      </c>
      <c r="R51" s="154">
        <v>0</v>
      </c>
      <c r="S51" s="38">
        <f t="shared" si="0"/>
        <v>1</v>
      </c>
      <c r="T51" s="39">
        <f t="shared" si="1"/>
        <v>13</v>
      </c>
      <c r="U51" s="40">
        <f t="shared" si="2"/>
        <v>0</v>
      </c>
      <c r="V51" s="40">
        <f t="shared" si="3"/>
        <v>0</v>
      </c>
      <c r="W51" s="40">
        <f t="shared" si="4"/>
        <v>0</v>
      </c>
      <c r="X51" s="40">
        <f t="shared" si="5"/>
        <v>0</v>
      </c>
      <c r="Y51" s="40">
        <f t="shared" si="6"/>
        <v>0</v>
      </c>
      <c r="Z51" s="40">
        <f t="shared" si="7"/>
        <v>0</v>
      </c>
      <c r="AA51" s="40">
        <f t="shared" si="8"/>
        <v>0</v>
      </c>
      <c r="AB51" s="40">
        <f t="shared" si="9"/>
        <v>0</v>
      </c>
      <c r="AC51" s="41">
        <f t="shared" si="10"/>
        <v>0</v>
      </c>
      <c r="AD51" s="49" t="s">
        <v>5</v>
      </c>
      <c r="AE51" s="50" t="s">
        <v>116</v>
      </c>
      <c r="AF51" s="49" t="s">
        <v>5</v>
      </c>
      <c r="AG51" s="50" t="s">
        <v>90</v>
      </c>
      <c r="AH51" s="49" t="s">
        <v>5</v>
      </c>
      <c r="AI51" s="50" t="s">
        <v>101</v>
      </c>
      <c r="AJ51" s="49" t="s">
        <v>5</v>
      </c>
      <c r="AK51" s="50" t="s">
        <v>722</v>
      </c>
      <c r="AL51" s="49" t="s">
        <v>5</v>
      </c>
      <c r="AM51" s="50" t="s">
        <v>714</v>
      </c>
      <c r="AN51" s="49" t="s">
        <v>5</v>
      </c>
      <c r="AO51" s="50" t="s">
        <v>124</v>
      </c>
      <c r="AP51" s="49" t="s">
        <v>5</v>
      </c>
      <c r="AQ51" s="50" t="s">
        <v>76</v>
      </c>
      <c r="AR51" s="49" t="s">
        <v>5</v>
      </c>
      <c r="AS51" s="50" t="s">
        <v>132</v>
      </c>
      <c r="AT51" s="49" t="s">
        <v>5</v>
      </c>
      <c r="AU51" s="50" t="s">
        <v>163</v>
      </c>
      <c r="AV51" s="49" t="s">
        <v>5</v>
      </c>
      <c r="AW51" s="50" t="s">
        <v>79</v>
      </c>
      <c r="AX51" s="49" t="s">
        <v>1</v>
      </c>
      <c r="AY51" s="50" t="s">
        <v>95</v>
      </c>
      <c r="AZ51" s="49"/>
      <c r="BA51" s="50"/>
      <c r="BB51" s="49" t="s">
        <v>5</v>
      </c>
      <c r="BC51" s="50" t="s">
        <v>152</v>
      </c>
      <c r="BD51" s="49" t="s">
        <v>5</v>
      </c>
      <c r="BE51" s="50" t="s">
        <v>153</v>
      </c>
      <c r="BF51" s="49" t="s">
        <v>5</v>
      </c>
      <c r="BG51" s="50" t="s">
        <v>164</v>
      </c>
      <c r="BH51" s="49"/>
      <c r="BI51" s="50"/>
    </row>
    <row r="52" spans="1:61" x14ac:dyDescent="0.25">
      <c r="A52" s="76">
        <v>160011</v>
      </c>
      <c r="B52" s="77" t="s">
        <v>1676</v>
      </c>
      <c r="C52" s="78" t="s">
        <v>1633</v>
      </c>
      <c r="D52" s="76" t="s">
        <v>12</v>
      </c>
      <c r="E52" s="79" t="s">
        <v>87</v>
      </c>
      <c r="F52" s="79" t="s">
        <v>71</v>
      </c>
      <c r="G52" s="79" t="s">
        <v>14</v>
      </c>
      <c r="H52" s="79" t="s">
        <v>87</v>
      </c>
      <c r="I52" s="78" t="s">
        <v>14</v>
      </c>
      <c r="J52" s="79" t="s">
        <v>4</v>
      </c>
      <c r="K52" s="142" t="s">
        <v>1850</v>
      </c>
      <c r="L52" s="149" t="s">
        <v>1843</v>
      </c>
      <c r="M52" s="150" t="s">
        <v>1853</v>
      </c>
      <c r="N52" s="151">
        <v>1</v>
      </c>
      <c r="O52" s="151">
        <v>0</v>
      </c>
      <c r="P52" s="152">
        <v>0</v>
      </c>
      <c r="Q52" s="153">
        <v>30.43</v>
      </c>
      <c r="R52" s="154">
        <v>0</v>
      </c>
      <c r="S52" s="38">
        <f t="shared" si="0"/>
        <v>0</v>
      </c>
      <c r="T52" s="39">
        <f t="shared" si="1"/>
        <v>7</v>
      </c>
      <c r="U52" s="40">
        <f t="shared" si="2"/>
        <v>0</v>
      </c>
      <c r="V52" s="40">
        <f t="shared" si="3"/>
        <v>0</v>
      </c>
      <c r="W52" s="40">
        <f t="shared" si="4"/>
        <v>0</v>
      </c>
      <c r="X52" s="40">
        <f t="shared" si="5"/>
        <v>0</v>
      </c>
      <c r="Y52" s="40">
        <f t="shared" si="6"/>
        <v>1</v>
      </c>
      <c r="Z52" s="40">
        <f t="shared" si="7"/>
        <v>0</v>
      </c>
      <c r="AA52" s="40">
        <f t="shared" si="8"/>
        <v>0</v>
      </c>
      <c r="AB52" s="40">
        <f t="shared" si="9"/>
        <v>1</v>
      </c>
      <c r="AC52" s="41">
        <f t="shared" si="10"/>
        <v>0</v>
      </c>
      <c r="AD52" s="49" t="s">
        <v>5</v>
      </c>
      <c r="AE52" s="50" t="s">
        <v>89</v>
      </c>
      <c r="AF52" s="49" t="s">
        <v>5</v>
      </c>
      <c r="AG52" s="50" t="s">
        <v>90</v>
      </c>
      <c r="AH52" s="49" t="s">
        <v>34</v>
      </c>
      <c r="AI52" s="50" t="s">
        <v>142</v>
      </c>
      <c r="AJ52" s="49"/>
      <c r="AK52" s="50" t="s">
        <v>74</v>
      </c>
      <c r="AL52" s="49"/>
      <c r="AM52" s="50" t="s">
        <v>122</v>
      </c>
      <c r="AN52" s="49" t="s">
        <v>5</v>
      </c>
      <c r="AO52" s="50" t="s">
        <v>75</v>
      </c>
      <c r="AP52" s="49" t="s">
        <v>189</v>
      </c>
      <c r="AQ52" s="50" t="s">
        <v>92</v>
      </c>
      <c r="AR52" s="49" t="s">
        <v>5</v>
      </c>
      <c r="AS52" s="50" t="s">
        <v>104</v>
      </c>
      <c r="AT52" s="49" t="s">
        <v>5</v>
      </c>
      <c r="AU52" s="50" t="s">
        <v>105</v>
      </c>
      <c r="AV52" s="49" t="s">
        <v>5</v>
      </c>
      <c r="AW52" s="50" t="s">
        <v>430</v>
      </c>
      <c r="AX52" s="49" t="s">
        <v>189</v>
      </c>
      <c r="AY52" s="50" t="s">
        <v>80</v>
      </c>
      <c r="AZ52" s="49"/>
      <c r="BA52" s="50"/>
      <c r="BB52" s="49"/>
      <c r="BC52" s="50" t="s">
        <v>741</v>
      </c>
      <c r="BD52" s="49"/>
      <c r="BE52" s="50" t="s">
        <v>122</v>
      </c>
      <c r="BF52" s="49" t="s">
        <v>5</v>
      </c>
      <c r="BG52" s="50" t="s">
        <v>83</v>
      </c>
      <c r="BH52" s="49"/>
      <c r="BI52" s="50"/>
    </row>
    <row r="53" spans="1:61" x14ac:dyDescent="0.25">
      <c r="A53" s="76">
        <v>152864</v>
      </c>
      <c r="B53" s="77" t="s">
        <v>1677</v>
      </c>
      <c r="C53" s="78" t="s">
        <v>1648</v>
      </c>
      <c r="D53" s="76" t="s">
        <v>12</v>
      </c>
      <c r="E53" s="79" t="s">
        <v>14</v>
      </c>
      <c r="F53" s="79" t="s">
        <v>71</v>
      </c>
      <c r="G53" s="79" t="s">
        <v>14</v>
      </c>
      <c r="H53" s="79" t="s">
        <v>14</v>
      </c>
      <c r="I53" s="78" t="s">
        <v>14</v>
      </c>
      <c r="J53" s="79" t="s">
        <v>14</v>
      </c>
      <c r="K53" s="142" t="s">
        <v>1850</v>
      </c>
      <c r="L53" s="149" t="s">
        <v>1842</v>
      </c>
      <c r="M53" s="150" t="s">
        <v>1853</v>
      </c>
      <c r="N53" s="151">
        <v>19</v>
      </c>
      <c r="O53" s="151">
        <v>0</v>
      </c>
      <c r="P53" s="152">
        <v>1</v>
      </c>
      <c r="Q53" s="153">
        <v>91.11</v>
      </c>
      <c r="R53" s="154">
        <v>0</v>
      </c>
      <c r="S53" s="38">
        <f t="shared" si="0"/>
        <v>2</v>
      </c>
      <c r="T53" s="39">
        <f t="shared" si="1"/>
        <v>12</v>
      </c>
      <c r="U53" s="40">
        <f t="shared" si="2"/>
        <v>0</v>
      </c>
      <c r="V53" s="40">
        <f t="shared" si="3"/>
        <v>0</v>
      </c>
      <c r="W53" s="40">
        <f t="shared" si="4"/>
        <v>0</v>
      </c>
      <c r="X53" s="40">
        <f t="shared" si="5"/>
        <v>0</v>
      </c>
      <c r="Y53" s="40">
        <f t="shared" si="6"/>
        <v>0</v>
      </c>
      <c r="Z53" s="40">
        <f t="shared" si="7"/>
        <v>0</v>
      </c>
      <c r="AA53" s="40">
        <f t="shared" si="8"/>
        <v>0</v>
      </c>
      <c r="AB53" s="40">
        <f t="shared" si="9"/>
        <v>0</v>
      </c>
      <c r="AC53" s="41">
        <f t="shared" si="10"/>
        <v>0</v>
      </c>
      <c r="AD53" s="49" t="s">
        <v>5</v>
      </c>
      <c r="AE53" s="50" t="s">
        <v>116</v>
      </c>
      <c r="AF53" s="49" t="s">
        <v>5</v>
      </c>
      <c r="AG53" s="50" t="s">
        <v>73</v>
      </c>
      <c r="AH53" s="49" t="s">
        <v>5</v>
      </c>
      <c r="AI53" s="50" t="s">
        <v>101</v>
      </c>
      <c r="AJ53" s="49" t="s">
        <v>5</v>
      </c>
      <c r="AK53" s="50" t="s">
        <v>722</v>
      </c>
      <c r="AL53" s="49" t="s">
        <v>5</v>
      </c>
      <c r="AM53" s="50" t="s">
        <v>714</v>
      </c>
      <c r="AN53" s="49" t="s">
        <v>5</v>
      </c>
      <c r="AO53" s="50" t="s">
        <v>124</v>
      </c>
      <c r="AP53" s="49" t="s">
        <v>5</v>
      </c>
      <c r="AQ53" s="50" t="s">
        <v>76</v>
      </c>
      <c r="AR53" s="49" t="s">
        <v>5</v>
      </c>
      <c r="AS53" s="50" t="s">
        <v>132</v>
      </c>
      <c r="AT53" s="49" t="s">
        <v>5</v>
      </c>
      <c r="AU53" s="50" t="s">
        <v>163</v>
      </c>
      <c r="AV53" s="49" t="s">
        <v>1</v>
      </c>
      <c r="AW53" s="50" t="s">
        <v>79</v>
      </c>
      <c r="AX53" s="49" t="s">
        <v>5</v>
      </c>
      <c r="AY53" s="50" t="s">
        <v>95</v>
      </c>
      <c r="AZ53" s="49"/>
      <c r="BA53" s="50"/>
      <c r="BB53" s="49" t="s">
        <v>1</v>
      </c>
      <c r="BC53" s="50" t="s">
        <v>96</v>
      </c>
      <c r="BD53" s="49" t="s">
        <v>5</v>
      </c>
      <c r="BE53" s="50" t="s">
        <v>153</v>
      </c>
      <c r="BF53" s="49" t="s">
        <v>5</v>
      </c>
      <c r="BG53" s="50" t="s">
        <v>83</v>
      </c>
      <c r="BH53" s="49"/>
      <c r="BI53" s="50"/>
    </row>
    <row r="54" spans="1:61" x14ac:dyDescent="0.25">
      <c r="A54" s="76">
        <v>152773</v>
      </c>
      <c r="B54" s="77" t="s">
        <v>1678</v>
      </c>
      <c r="C54" s="78" t="s">
        <v>1622</v>
      </c>
      <c r="D54" s="76" t="s">
        <v>12</v>
      </c>
      <c r="E54" s="79" t="s">
        <v>87</v>
      </c>
      <c r="F54" s="79" t="s">
        <v>184</v>
      </c>
      <c r="G54" s="79" t="s">
        <v>87</v>
      </c>
      <c r="H54" s="79" t="s">
        <v>87</v>
      </c>
      <c r="I54" s="78" t="s">
        <v>14</v>
      </c>
      <c r="J54" s="79" t="s">
        <v>14</v>
      </c>
      <c r="K54" s="142" t="s">
        <v>1850</v>
      </c>
      <c r="L54" s="149" t="s">
        <v>1842</v>
      </c>
      <c r="M54" s="150" t="s">
        <v>12</v>
      </c>
      <c r="N54" s="151">
        <v>9</v>
      </c>
      <c r="O54" s="151">
        <v>1</v>
      </c>
      <c r="P54" s="152">
        <v>1</v>
      </c>
      <c r="Q54" s="153">
        <v>88.89</v>
      </c>
      <c r="R54" s="154">
        <v>3</v>
      </c>
      <c r="S54" s="38">
        <f t="shared" si="0"/>
        <v>0</v>
      </c>
      <c r="T54" s="39">
        <f t="shared" si="1"/>
        <v>12</v>
      </c>
      <c r="U54" s="40">
        <f t="shared" si="2"/>
        <v>1</v>
      </c>
      <c r="V54" s="40">
        <f t="shared" si="3"/>
        <v>0</v>
      </c>
      <c r="W54" s="40">
        <f t="shared" si="4"/>
        <v>1</v>
      </c>
      <c r="X54" s="40">
        <f t="shared" si="5"/>
        <v>2</v>
      </c>
      <c r="Y54" s="40">
        <f t="shared" si="6"/>
        <v>0</v>
      </c>
      <c r="Z54" s="40">
        <f t="shared" si="7"/>
        <v>0</v>
      </c>
      <c r="AA54" s="40">
        <f t="shared" si="8"/>
        <v>0</v>
      </c>
      <c r="AB54" s="40">
        <f t="shared" si="9"/>
        <v>0</v>
      </c>
      <c r="AC54" s="41">
        <f t="shared" si="10"/>
        <v>0</v>
      </c>
      <c r="AD54" s="49" t="s">
        <v>5</v>
      </c>
      <c r="AE54" s="50" t="s">
        <v>89</v>
      </c>
      <c r="AF54" s="49" t="s">
        <v>5</v>
      </c>
      <c r="AG54" s="50" t="s">
        <v>117</v>
      </c>
      <c r="AH54" s="49" t="s">
        <v>5</v>
      </c>
      <c r="AI54" s="50" t="s">
        <v>142</v>
      </c>
      <c r="AJ54" s="49" t="s">
        <v>32</v>
      </c>
      <c r="AK54" s="50" t="s">
        <v>459</v>
      </c>
      <c r="AL54" s="49" t="s">
        <v>5</v>
      </c>
      <c r="AM54" s="50" t="s">
        <v>98</v>
      </c>
      <c r="AN54" s="49" t="s">
        <v>5</v>
      </c>
      <c r="AO54" s="50" t="s">
        <v>75</v>
      </c>
      <c r="AP54" s="49" t="s">
        <v>5</v>
      </c>
      <c r="AQ54" s="50" t="s">
        <v>92</v>
      </c>
      <c r="AR54" s="49" t="s">
        <v>5</v>
      </c>
      <c r="AS54" s="50" t="s">
        <v>104</v>
      </c>
      <c r="AT54" s="49" t="s">
        <v>5</v>
      </c>
      <c r="AU54" s="50" t="s">
        <v>105</v>
      </c>
      <c r="AV54" s="49" t="s">
        <v>5</v>
      </c>
      <c r="AW54" s="50" t="s">
        <v>79</v>
      </c>
      <c r="AX54" s="49" t="s">
        <v>5</v>
      </c>
      <c r="AY54" s="50" t="s">
        <v>80</v>
      </c>
      <c r="AZ54" s="49"/>
      <c r="BA54" s="50"/>
      <c r="BB54" s="49" t="s">
        <v>5</v>
      </c>
      <c r="BC54" s="50" t="s">
        <v>107</v>
      </c>
      <c r="BD54" s="49" t="s">
        <v>30</v>
      </c>
      <c r="BE54" s="50" t="s">
        <v>122</v>
      </c>
      <c r="BF54" s="49" t="s">
        <v>5</v>
      </c>
      <c r="BG54" s="50" t="s">
        <v>83</v>
      </c>
      <c r="BH54" s="49"/>
      <c r="BI54" s="50"/>
    </row>
    <row r="55" spans="1:61" x14ac:dyDescent="0.25">
      <c r="A55" s="76">
        <v>152792</v>
      </c>
      <c r="B55" s="77" t="s">
        <v>1679</v>
      </c>
      <c r="C55" s="78" t="s">
        <v>1630</v>
      </c>
      <c r="D55" s="76" t="s">
        <v>70</v>
      </c>
      <c r="E55" s="79" t="s">
        <v>14</v>
      </c>
      <c r="F55" s="79" t="s">
        <v>88</v>
      </c>
      <c r="G55" s="79" t="s">
        <v>87</v>
      </c>
      <c r="H55" s="79" t="s">
        <v>14</v>
      </c>
      <c r="I55" s="78" t="s">
        <v>14</v>
      </c>
      <c r="J55" s="79" t="s">
        <v>14</v>
      </c>
      <c r="K55" s="142" t="s">
        <v>1850</v>
      </c>
      <c r="L55" s="149" t="s">
        <v>1848</v>
      </c>
      <c r="M55" s="150" t="s">
        <v>1852</v>
      </c>
      <c r="N55" s="151">
        <v>28</v>
      </c>
      <c r="O55" s="151">
        <v>2</v>
      </c>
      <c r="P55" s="152">
        <v>1</v>
      </c>
      <c r="Q55" s="153">
        <v>100</v>
      </c>
      <c r="R55" s="154">
        <v>8</v>
      </c>
      <c r="S55" s="38">
        <f t="shared" si="0"/>
        <v>0</v>
      </c>
      <c r="T55" s="39">
        <f t="shared" si="1"/>
        <v>14</v>
      </c>
      <c r="U55" s="40">
        <f t="shared" si="2"/>
        <v>0</v>
      </c>
      <c r="V55" s="40">
        <f t="shared" si="3"/>
        <v>0</v>
      </c>
      <c r="W55" s="40">
        <f t="shared" si="4"/>
        <v>0</v>
      </c>
      <c r="X55" s="40">
        <f t="shared" si="5"/>
        <v>0</v>
      </c>
      <c r="Y55" s="40">
        <f t="shared" si="6"/>
        <v>0</v>
      </c>
      <c r="Z55" s="40">
        <f t="shared" si="7"/>
        <v>0</v>
      </c>
      <c r="AA55" s="40">
        <f t="shared" si="8"/>
        <v>0</v>
      </c>
      <c r="AB55" s="40">
        <f t="shared" si="9"/>
        <v>0</v>
      </c>
      <c r="AC55" s="41">
        <f t="shared" si="10"/>
        <v>0</v>
      </c>
      <c r="AD55" s="49" t="s">
        <v>5</v>
      </c>
      <c r="AE55" s="50" t="s">
        <v>89</v>
      </c>
      <c r="AF55" s="49"/>
      <c r="AG55" s="50"/>
      <c r="AH55" s="49" t="s">
        <v>5</v>
      </c>
      <c r="AI55" s="50" t="s">
        <v>101</v>
      </c>
      <c r="AJ55" s="49" t="s">
        <v>5</v>
      </c>
      <c r="AK55" s="50" t="s">
        <v>194</v>
      </c>
      <c r="AL55" s="49" t="s">
        <v>5</v>
      </c>
      <c r="AM55" s="50" t="s">
        <v>94</v>
      </c>
      <c r="AN55" s="49"/>
      <c r="AO55" s="50"/>
      <c r="AP55" s="49" t="s">
        <v>5</v>
      </c>
      <c r="AQ55" s="50" t="s">
        <v>131</v>
      </c>
      <c r="AR55" s="49" t="s">
        <v>5</v>
      </c>
      <c r="AS55" s="50" t="s">
        <v>120</v>
      </c>
      <c r="AT55" s="49" t="s">
        <v>5</v>
      </c>
      <c r="AU55" s="50" t="s">
        <v>78</v>
      </c>
      <c r="AV55" s="49" t="s">
        <v>5</v>
      </c>
      <c r="AW55" s="50" t="s">
        <v>94</v>
      </c>
      <c r="AX55" s="49" t="s">
        <v>5</v>
      </c>
      <c r="AY55" s="50" t="s">
        <v>95</v>
      </c>
      <c r="AZ55" s="49" t="s">
        <v>5</v>
      </c>
      <c r="BA55" s="50" t="s">
        <v>105</v>
      </c>
      <c r="BB55" s="49" t="s">
        <v>5</v>
      </c>
      <c r="BC55" s="50" t="s">
        <v>152</v>
      </c>
      <c r="BD55" s="49" t="s">
        <v>5</v>
      </c>
      <c r="BE55" s="50" t="s">
        <v>495</v>
      </c>
      <c r="BF55" s="49" t="s">
        <v>5</v>
      </c>
      <c r="BG55" s="50" t="s">
        <v>164</v>
      </c>
      <c r="BH55" s="49" t="s">
        <v>5</v>
      </c>
      <c r="BI55" s="50" t="s">
        <v>103</v>
      </c>
    </row>
    <row r="56" spans="1:61" x14ac:dyDescent="0.25">
      <c r="A56" s="76">
        <v>152905</v>
      </c>
      <c r="B56" s="77" t="s">
        <v>1680</v>
      </c>
      <c r="C56" s="78" t="s">
        <v>1633</v>
      </c>
      <c r="D56" s="76" t="s">
        <v>70</v>
      </c>
      <c r="E56" s="79" t="s">
        <v>87</v>
      </c>
      <c r="F56" s="79" t="s">
        <v>71</v>
      </c>
      <c r="G56" s="79" t="s">
        <v>14</v>
      </c>
      <c r="H56" s="79" t="s">
        <v>87</v>
      </c>
      <c r="I56" s="78" t="s">
        <v>14</v>
      </c>
      <c r="J56" s="79" t="s">
        <v>14</v>
      </c>
      <c r="K56" s="142" t="s">
        <v>1850</v>
      </c>
      <c r="L56" s="149" t="s">
        <v>1845</v>
      </c>
      <c r="M56" s="150" t="s">
        <v>1852</v>
      </c>
      <c r="N56" s="151">
        <v>16</v>
      </c>
      <c r="O56" s="151">
        <v>2</v>
      </c>
      <c r="P56" s="152">
        <v>3</v>
      </c>
      <c r="Q56" s="153">
        <v>77.78</v>
      </c>
      <c r="R56" s="154">
        <v>4</v>
      </c>
      <c r="S56" s="38">
        <f t="shared" si="0"/>
        <v>0</v>
      </c>
      <c r="T56" s="39">
        <f t="shared" si="1"/>
        <v>11</v>
      </c>
      <c r="U56" s="40">
        <f t="shared" si="2"/>
        <v>1</v>
      </c>
      <c r="V56" s="40">
        <f t="shared" si="3"/>
        <v>0</v>
      </c>
      <c r="W56" s="40">
        <f t="shared" si="4"/>
        <v>1</v>
      </c>
      <c r="X56" s="40">
        <f t="shared" si="5"/>
        <v>2</v>
      </c>
      <c r="Y56" s="40">
        <f t="shared" si="6"/>
        <v>1</v>
      </c>
      <c r="Z56" s="40">
        <f t="shared" si="7"/>
        <v>0</v>
      </c>
      <c r="AA56" s="40">
        <f t="shared" si="8"/>
        <v>0</v>
      </c>
      <c r="AB56" s="40">
        <f t="shared" si="9"/>
        <v>1</v>
      </c>
      <c r="AC56" s="41">
        <f t="shared" si="10"/>
        <v>0</v>
      </c>
      <c r="AD56" s="49" t="s">
        <v>5</v>
      </c>
      <c r="AE56" s="50" t="s">
        <v>89</v>
      </c>
      <c r="AF56" s="49" t="s">
        <v>5</v>
      </c>
      <c r="AG56" s="50" t="s">
        <v>73</v>
      </c>
      <c r="AH56" s="49" t="s">
        <v>5</v>
      </c>
      <c r="AI56" s="50" t="s">
        <v>101</v>
      </c>
      <c r="AJ56" s="49" t="s">
        <v>5</v>
      </c>
      <c r="AK56" s="50" t="s">
        <v>194</v>
      </c>
      <c r="AL56" s="49" t="s">
        <v>34</v>
      </c>
      <c r="AM56" s="50" t="s">
        <v>122</v>
      </c>
      <c r="AN56" s="49"/>
      <c r="AO56" s="50"/>
      <c r="AP56" s="49" t="s">
        <v>5</v>
      </c>
      <c r="AQ56" s="50" t="s">
        <v>131</v>
      </c>
      <c r="AR56" s="49" t="s">
        <v>30</v>
      </c>
      <c r="AS56" s="50" t="s">
        <v>120</v>
      </c>
      <c r="AT56" s="49" t="s">
        <v>5</v>
      </c>
      <c r="AU56" s="50" t="s">
        <v>163</v>
      </c>
      <c r="AV56" s="49" t="s">
        <v>5</v>
      </c>
      <c r="AW56" s="50" t="s">
        <v>430</v>
      </c>
      <c r="AX56" s="49" t="s">
        <v>5</v>
      </c>
      <c r="AY56" s="50" t="s">
        <v>95</v>
      </c>
      <c r="AZ56" s="49"/>
      <c r="BA56" s="50"/>
      <c r="BB56" s="49" t="s">
        <v>32</v>
      </c>
      <c r="BC56" s="50" t="s">
        <v>152</v>
      </c>
      <c r="BD56" s="49" t="s">
        <v>5</v>
      </c>
      <c r="BE56" s="50" t="s">
        <v>495</v>
      </c>
      <c r="BF56" s="49" t="s">
        <v>5</v>
      </c>
      <c r="BG56" s="50" t="s">
        <v>98</v>
      </c>
      <c r="BH56" s="49" t="s">
        <v>5</v>
      </c>
      <c r="BI56" s="50" t="s">
        <v>75</v>
      </c>
    </row>
    <row r="57" spans="1:61" x14ac:dyDescent="0.25">
      <c r="A57" s="76">
        <v>152925</v>
      </c>
      <c r="B57" s="77" t="s">
        <v>1681</v>
      </c>
      <c r="C57" s="78" t="s">
        <v>1622</v>
      </c>
      <c r="D57" s="76" t="s">
        <v>12</v>
      </c>
      <c r="E57" s="79" t="s">
        <v>14</v>
      </c>
      <c r="F57" s="79" t="s">
        <v>71</v>
      </c>
      <c r="G57" s="79" t="s">
        <v>14</v>
      </c>
      <c r="H57" s="79" t="s">
        <v>14</v>
      </c>
      <c r="I57" s="78" t="s">
        <v>14</v>
      </c>
      <c r="J57" s="79" t="s">
        <v>6</v>
      </c>
      <c r="K57" s="142" t="s">
        <v>1850</v>
      </c>
      <c r="L57" s="149" t="s">
        <v>1842</v>
      </c>
      <c r="M57" s="150" t="s">
        <v>1853</v>
      </c>
      <c r="N57" s="151">
        <v>13</v>
      </c>
      <c r="O57" s="151">
        <v>0</v>
      </c>
      <c r="P57" s="152">
        <v>2</v>
      </c>
      <c r="Q57" s="153">
        <v>97.78</v>
      </c>
      <c r="R57" s="154">
        <v>2</v>
      </c>
      <c r="S57" s="38">
        <f t="shared" si="0"/>
        <v>2</v>
      </c>
      <c r="T57" s="39">
        <f t="shared" si="1"/>
        <v>12</v>
      </c>
      <c r="U57" s="40">
        <f t="shared" si="2"/>
        <v>0</v>
      </c>
      <c r="V57" s="40">
        <f t="shared" si="3"/>
        <v>0</v>
      </c>
      <c r="W57" s="40">
        <f t="shared" si="4"/>
        <v>0</v>
      </c>
      <c r="X57" s="40">
        <f t="shared" si="5"/>
        <v>0</v>
      </c>
      <c r="Y57" s="40">
        <f t="shared" si="6"/>
        <v>0</v>
      </c>
      <c r="Z57" s="40">
        <f t="shared" si="7"/>
        <v>0</v>
      </c>
      <c r="AA57" s="40">
        <f t="shared" si="8"/>
        <v>0</v>
      </c>
      <c r="AB57" s="40">
        <f t="shared" si="9"/>
        <v>0</v>
      </c>
      <c r="AC57" s="41">
        <f t="shared" si="10"/>
        <v>0</v>
      </c>
      <c r="AD57" s="49" t="s">
        <v>5</v>
      </c>
      <c r="AE57" s="50" t="s">
        <v>89</v>
      </c>
      <c r="AF57" s="49" t="s">
        <v>5</v>
      </c>
      <c r="AG57" s="50" t="s">
        <v>135</v>
      </c>
      <c r="AH57" s="49" t="s">
        <v>5</v>
      </c>
      <c r="AI57" s="50" t="s">
        <v>142</v>
      </c>
      <c r="AJ57" s="49" t="s">
        <v>5</v>
      </c>
      <c r="AK57" s="50" t="s">
        <v>459</v>
      </c>
      <c r="AL57" s="49" t="s">
        <v>5</v>
      </c>
      <c r="AM57" s="50" t="s">
        <v>98</v>
      </c>
      <c r="AN57" s="49" t="s">
        <v>5</v>
      </c>
      <c r="AO57" s="50" t="s">
        <v>75</v>
      </c>
      <c r="AP57" s="49" t="s">
        <v>5</v>
      </c>
      <c r="AQ57" s="50" t="s">
        <v>92</v>
      </c>
      <c r="AR57" s="49" t="s">
        <v>5</v>
      </c>
      <c r="AS57" s="50" t="s">
        <v>104</v>
      </c>
      <c r="AT57" s="49" t="s">
        <v>5</v>
      </c>
      <c r="AU57" s="50" t="s">
        <v>105</v>
      </c>
      <c r="AV57" s="49" t="s">
        <v>1</v>
      </c>
      <c r="AW57" s="50" t="s">
        <v>79</v>
      </c>
      <c r="AX57" s="49" t="s">
        <v>5</v>
      </c>
      <c r="AY57" s="50" t="s">
        <v>80</v>
      </c>
      <c r="AZ57" s="49"/>
      <c r="BA57" s="50"/>
      <c r="BB57" s="49" t="s">
        <v>1</v>
      </c>
      <c r="BC57" s="50" t="s">
        <v>96</v>
      </c>
      <c r="BD57" s="49" t="s">
        <v>5</v>
      </c>
      <c r="BE57" s="50" t="s">
        <v>122</v>
      </c>
      <c r="BF57" s="49" t="s">
        <v>5</v>
      </c>
      <c r="BG57" s="50" t="s">
        <v>98</v>
      </c>
      <c r="BH57" s="49"/>
      <c r="BI57" s="50"/>
    </row>
    <row r="58" spans="1:61" x14ac:dyDescent="0.25">
      <c r="A58" s="76">
        <v>152783</v>
      </c>
      <c r="B58" s="77" t="s">
        <v>1682</v>
      </c>
      <c r="C58" s="78" t="s">
        <v>1622</v>
      </c>
      <c r="D58" s="76" t="s">
        <v>12</v>
      </c>
      <c r="E58" s="79" t="s">
        <v>14</v>
      </c>
      <c r="F58" s="79" t="s">
        <v>71</v>
      </c>
      <c r="G58" s="79" t="s">
        <v>14</v>
      </c>
      <c r="H58" s="79" t="s">
        <v>14</v>
      </c>
      <c r="I58" s="78" t="s">
        <v>14</v>
      </c>
      <c r="J58" s="79" t="s">
        <v>14</v>
      </c>
      <c r="K58" s="142" t="s">
        <v>1850</v>
      </c>
      <c r="L58" s="149" t="s">
        <v>1846</v>
      </c>
      <c r="M58" s="150" t="s">
        <v>1853</v>
      </c>
      <c r="N58" s="151">
        <v>12</v>
      </c>
      <c r="O58" s="151">
        <v>0</v>
      </c>
      <c r="P58" s="152">
        <v>0</v>
      </c>
      <c r="Q58" s="153">
        <v>100</v>
      </c>
      <c r="R58" s="154">
        <v>0</v>
      </c>
      <c r="S58" s="38">
        <f t="shared" si="0"/>
        <v>0</v>
      </c>
      <c r="T58" s="39">
        <f t="shared" si="1"/>
        <v>14</v>
      </c>
      <c r="U58" s="40">
        <f t="shared" si="2"/>
        <v>0</v>
      </c>
      <c r="V58" s="40">
        <f t="shared" si="3"/>
        <v>0</v>
      </c>
      <c r="W58" s="40">
        <f t="shared" si="4"/>
        <v>0</v>
      </c>
      <c r="X58" s="40">
        <f t="shared" si="5"/>
        <v>0</v>
      </c>
      <c r="Y58" s="40">
        <f t="shared" si="6"/>
        <v>0</v>
      </c>
      <c r="Z58" s="40">
        <f t="shared" si="7"/>
        <v>0</v>
      </c>
      <c r="AA58" s="40">
        <f t="shared" si="8"/>
        <v>0</v>
      </c>
      <c r="AB58" s="40">
        <f t="shared" si="9"/>
        <v>0</v>
      </c>
      <c r="AC58" s="41">
        <f t="shared" si="10"/>
        <v>0</v>
      </c>
      <c r="AD58" s="49" t="s">
        <v>5</v>
      </c>
      <c r="AE58" s="50" t="s">
        <v>89</v>
      </c>
      <c r="AF58" s="49" t="s">
        <v>5</v>
      </c>
      <c r="AG58" s="50" t="s">
        <v>90</v>
      </c>
      <c r="AH58" s="49" t="s">
        <v>5</v>
      </c>
      <c r="AI58" s="50" t="s">
        <v>142</v>
      </c>
      <c r="AJ58" s="49" t="s">
        <v>5</v>
      </c>
      <c r="AK58" s="50" t="s">
        <v>722</v>
      </c>
      <c r="AL58" s="49" t="s">
        <v>5</v>
      </c>
      <c r="AM58" s="50" t="s">
        <v>98</v>
      </c>
      <c r="AN58" s="49" t="s">
        <v>5</v>
      </c>
      <c r="AO58" s="50" t="s">
        <v>75</v>
      </c>
      <c r="AP58" s="49" t="s">
        <v>5</v>
      </c>
      <c r="AQ58" s="50" t="s">
        <v>92</v>
      </c>
      <c r="AR58" s="49" t="s">
        <v>5</v>
      </c>
      <c r="AS58" s="50" t="s">
        <v>104</v>
      </c>
      <c r="AT58" s="49" t="s">
        <v>5</v>
      </c>
      <c r="AU58" s="50" t="s">
        <v>105</v>
      </c>
      <c r="AV58" s="49" t="s">
        <v>5</v>
      </c>
      <c r="AW58" s="50" t="s">
        <v>112</v>
      </c>
      <c r="AX58" s="49" t="s">
        <v>5</v>
      </c>
      <c r="AY58" s="50" t="s">
        <v>80</v>
      </c>
      <c r="AZ58" s="49"/>
      <c r="BA58" s="50"/>
      <c r="BB58" s="49" t="s">
        <v>5</v>
      </c>
      <c r="BC58" s="50" t="s">
        <v>96</v>
      </c>
      <c r="BD58" s="49" t="s">
        <v>5</v>
      </c>
      <c r="BE58" s="50" t="s">
        <v>122</v>
      </c>
      <c r="BF58" s="49" t="s">
        <v>5</v>
      </c>
      <c r="BG58" s="50" t="s">
        <v>83</v>
      </c>
      <c r="BH58" s="49"/>
      <c r="BI58" s="50"/>
    </row>
    <row r="59" spans="1:61" x14ac:dyDescent="0.25">
      <c r="A59" s="76">
        <v>152880</v>
      </c>
      <c r="B59" s="77" t="s">
        <v>1683</v>
      </c>
      <c r="C59" s="78" t="s">
        <v>1633</v>
      </c>
      <c r="D59" s="76" t="s">
        <v>12</v>
      </c>
      <c r="E59" s="79" t="s">
        <v>14</v>
      </c>
      <c r="F59" s="79" t="s">
        <v>71</v>
      </c>
      <c r="G59" s="79" t="s">
        <v>14</v>
      </c>
      <c r="H59" s="79" t="s">
        <v>14</v>
      </c>
      <c r="I59" s="78" t="s">
        <v>14</v>
      </c>
      <c r="J59" s="79" t="s">
        <v>14</v>
      </c>
      <c r="K59" s="142" t="s">
        <v>1850</v>
      </c>
      <c r="L59" s="149" t="s">
        <v>1845</v>
      </c>
      <c r="M59" s="150" t="s">
        <v>12</v>
      </c>
      <c r="N59" s="151">
        <v>30</v>
      </c>
      <c r="O59" s="151">
        <v>0</v>
      </c>
      <c r="P59" s="152">
        <v>0</v>
      </c>
      <c r="Q59" s="153">
        <v>100</v>
      </c>
      <c r="R59" s="154">
        <v>0</v>
      </c>
      <c r="S59" s="38">
        <f t="shared" si="0"/>
        <v>3</v>
      </c>
      <c r="T59" s="39">
        <f t="shared" si="1"/>
        <v>11</v>
      </c>
      <c r="U59" s="40">
        <f t="shared" si="2"/>
        <v>0</v>
      </c>
      <c r="V59" s="40">
        <f t="shared" si="3"/>
        <v>0</v>
      </c>
      <c r="W59" s="40">
        <f t="shared" si="4"/>
        <v>0</v>
      </c>
      <c r="X59" s="40">
        <f t="shared" si="5"/>
        <v>0</v>
      </c>
      <c r="Y59" s="40">
        <f t="shared" si="6"/>
        <v>0</v>
      </c>
      <c r="Z59" s="40">
        <f t="shared" si="7"/>
        <v>0</v>
      </c>
      <c r="AA59" s="40">
        <f t="shared" si="8"/>
        <v>0</v>
      </c>
      <c r="AB59" s="40">
        <f t="shared" si="9"/>
        <v>0</v>
      </c>
      <c r="AC59" s="41">
        <f t="shared" si="10"/>
        <v>0</v>
      </c>
      <c r="AD59" s="49" t="s">
        <v>5</v>
      </c>
      <c r="AE59" s="50" t="s">
        <v>89</v>
      </c>
      <c r="AF59" s="49"/>
      <c r="AG59" s="50"/>
      <c r="AH59" s="49" t="s">
        <v>5</v>
      </c>
      <c r="AI59" s="50" t="s">
        <v>101</v>
      </c>
      <c r="AJ59" s="49" t="s">
        <v>5</v>
      </c>
      <c r="AK59" s="50" t="s">
        <v>194</v>
      </c>
      <c r="AL59" s="49" t="s">
        <v>1</v>
      </c>
      <c r="AM59" s="50" t="s">
        <v>122</v>
      </c>
      <c r="AN59" s="49"/>
      <c r="AO59" s="50"/>
      <c r="AP59" s="49" t="s">
        <v>5</v>
      </c>
      <c r="AQ59" s="50" t="s">
        <v>131</v>
      </c>
      <c r="AR59" s="49" t="s">
        <v>5</v>
      </c>
      <c r="AS59" s="50" t="s">
        <v>120</v>
      </c>
      <c r="AT59" s="49" t="s">
        <v>5</v>
      </c>
      <c r="AU59" s="50" t="s">
        <v>163</v>
      </c>
      <c r="AV59" s="49" t="s">
        <v>5</v>
      </c>
      <c r="AW59" s="50" t="s">
        <v>79</v>
      </c>
      <c r="AX59" s="49" t="s">
        <v>5</v>
      </c>
      <c r="AY59" s="50" t="s">
        <v>95</v>
      </c>
      <c r="AZ59" s="49" t="s">
        <v>5</v>
      </c>
      <c r="BA59" s="50" t="s">
        <v>105</v>
      </c>
      <c r="BB59" s="49" t="s">
        <v>1</v>
      </c>
      <c r="BC59" s="50" t="s">
        <v>96</v>
      </c>
      <c r="BD59" s="49" t="s">
        <v>1</v>
      </c>
      <c r="BE59" s="50" t="s">
        <v>495</v>
      </c>
      <c r="BF59" s="49" t="s">
        <v>5</v>
      </c>
      <c r="BG59" s="50" t="s">
        <v>164</v>
      </c>
      <c r="BH59" s="49" t="s">
        <v>5</v>
      </c>
      <c r="BI59" s="50" t="s">
        <v>75</v>
      </c>
    </row>
    <row r="60" spans="1:61" x14ac:dyDescent="0.25">
      <c r="A60" s="76">
        <v>152914</v>
      </c>
      <c r="B60" s="77" t="s">
        <v>1684</v>
      </c>
      <c r="C60" s="78" t="s">
        <v>1620</v>
      </c>
      <c r="D60" s="76" t="s">
        <v>70</v>
      </c>
      <c r="E60" s="79" t="s">
        <v>14</v>
      </c>
      <c r="F60" s="79" t="s">
        <v>88</v>
      </c>
      <c r="G60" s="79" t="s">
        <v>14</v>
      </c>
      <c r="H60" s="79" t="s">
        <v>14</v>
      </c>
      <c r="I60" s="78" t="s">
        <v>14</v>
      </c>
      <c r="J60" s="79" t="s">
        <v>14</v>
      </c>
      <c r="K60" s="142" t="s">
        <v>1850</v>
      </c>
      <c r="L60" s="149" t="s">
        <v>1845</v>
      </c>
      <c r="M60" s="150" t="s">
        <v>12</v>
      </c>
      <c r="N60" s="151">
        <v>26</v>
      </c>
      <c r="O60" s="151">
        <v>1</v>
      </c>
      <c r="P60" s="152">
        <v>0</v>
      </c>
      <c r="Q60" s="153">
        <v>100</v>
      </c>
      <c r="R60" s="154">
        <v>1</v>
      </c>
      <c r="S60" s="38">
        <f t="shared" si="0"/>
        <v>1</v>
      </c>
      <c r="T60" s="39">
        <f t="shared" si="1"/>
        <v>12</v>
      </c>
      <c r="U60" s="40">
        <f t="shared" si="2"/>
        <v>1</v>
      </c>
      <c r="V60" s="40">
        <f t="shared" si="3"/>
        <v>0</v>
      </c>
      <c r="W60" s="40">
        <f t="shared" si="4"/>
        <v>0</v>
      </c>
      <c r="X60" s="40">
        <f t="shared" si="5"/>
        <v>1</v>
      </c>
      <c r="Y60" s="40">
        <f t="shared" si="6"/>
        <v>0</v>
      </c>
      <c r="Z60" s="40">
        <f t="shared" si="7"/>
        <v>0</v>
      </c>
      <c r="AA60" s="40">
        <f t="shared" si="8"/>
        <v>0</v>
      </c>
      <c r="AB60" s="40">
        <f t="shared" si="9"/>
        <v>0</v>
      </c>
      <c r="AC60" s="41">
        <f t="shared" si="10"/>
        <v>0</v>
      </c>
      <c r="AD60" s="49" t="s">
        <v>5</v>
      </c>
      <c r="AE60" s="50" t="s">
        <v>89</v>
      </c>
      <c r="AF60" s="49" t="s">
        <v>5</v>
      </c>
      <c r="AG60" s="50" t="s">
        <v>135</v>
      </c>
      <c r="AH60" s="49" t="s">
        <v>5</v>
      </c>
      <c r="AI60" s="50" t="s">
        <v>142</v>
      </c>
      <c r="AJ60" s="49" t="s">
        <v>5</v>
      </c>
      <c r="AK60" s="50" t="s">
        <v>194</v>
      </c>
      <c r="AL60" s="49" t="s">
        <v>30</v>
      </c>
      <c r="AM60" s="50" t="s">
        <v>142</v>
      </c>
      <c r="AN60" s="49"/>
      <c r="AO60" s="50"/>
      <c r="AP60" s="49" t="s">
        <v>5</v>
      </c>
      <c r="AQ60" s="50" t="s">
        <v>76</v>
      </c>
      <c r="AR60" s="49" t="s">
        <v>1</v>
      </c>
      <c r="AS60" s="50" t="s">
        <v>132</v>
      </c>
      <c r="AT60" s="49" t="s">
        <v>5</v>
      </c>
      <c r="AU60" s="50" t="s">
        <v>105</v>
      </c>
      <c r="AV60" s="49" t="s">
        <v>5</v>
      </c>
      <c r="AW60" s="50" t="s">
        <v>79</v>
      </c>
      <c r="AX60" s="49" t="s">
        <v>5</v>
      </c>
      <c r="AY60" s="50" t="s">
        <v>95</v>
      </c>
      <c r="AZ60" s="49"/>
      <c r="BA60" s="50"/>
      <c r="BB60" s="49" t="s">
        <v>5</v>
      </c>
      <c r="BC60" s="50" t="s">
        <v>121</v>
      </c>
      <c r="BD60" s="49" t="s">
        <v>5</v>
      </c>
      <c r="BE60" s="50" t="s">
        <v>97</v>
      </c>
      <c r="BF60" s="49" t="s">
        <v>5</v>
      </c>
      <c r="BG60" s="50" t="s">
        <v>170</v>
      </c>
      <c r="BH60" s="49" t="s">
        <v>5</v>
      </c>
      <c r="BI60" s="50" t="s">
        <v>130</v>
      </c>
    </row>
    <row r="61" spans="1:61" x14ac:dyDescent="0.25">
      <c r="A61" s="76">
        <v>152929</v>
      </c>
      <c r="B61" s="77" t="s">
        <v>1685</v>
      </c>
      <c r="C61" s="78" t="s">
        <v>1630</v>
      </c>
      <c r="D61" s="76" t="s">
        <v>70</v>
      </c>
      <c r="E61" s="79" t="s">
        <v>14</v>
      </c>
      <c r="F61" s="79" t="s">
        <v>450</v>
      </c>
      <c r="G61" s="79" t="s">
        <v>14</v>
      </c>
      <c r="H61" s="79" t="s">
        <v>14</v>
      </c>
      <c r="I61" s="78" t="s">
        <v>14</v>
      </c>
      <c r="J61" s="79" t="s">
        <v>14</v>
      </c>
      <c r="K61" s="142" t="s">
        <v>1850</v>
      </c>
      <c r="L61" s="149" t="s">
        <v>1845</v>
      </c>
      <c r="M61" s="150" t="s">
        <v>12</v>
      </c>
      <c r="N61" s="151">
        <v>24</v>
      </c>
      <c r="O61" s="151">
        <v>1</v>
      </c>
      <c r="P61" s="152">
        <v>3</v>
      </c>
      <c r="Q61" s="153">
        <v>95.65</v>
      </c>
      <c r="R61" s="154">
        <v>3</v>
      </c>
      <c r="S61" s="38">
        <f t="shared" si="0"/>
        <v>0</v>
      </c>
      <c r="T61" s="39">
        <f t="shared" si="1"/>
        <v>14</v>
      </c>
      <c r="U61" s="40">
        <f t="shared" si="2"/>
        <v>0</v>
      </c>
      <c r="V61" s="40">
        <f t="shared" si="3"/>
        <v>0</v>
      </c>
      <c r="W61" s="40">
        <f t="shared" si="4"/>
        <v>0</v>
      </c>
      <c r="X61" s="40">
        <f t="shared" si="5"/>
        <v>0</v>
      </c>
      <c r="Y61" s="40">
        <f t="shared" si="6"/>
        <v>0</v>
      </c>
      <c r="Z61" s="40">
        <f t="shared" si="7"/>
        <v>0</v>
      </c>
      <c r="AA61" s="40">
        <f t="shared" si="8"/>
        <v>0</v>
      </c>
      <c r="AB61" s="40">
        <f t="shared" si="9"/>
        <v>0</v>
      </c>
      <c r="AC61" s="41">
        <f t="shared" si="10"/>
        <v>0</v>
      </c>
      <c r="AD61" s="49" t="s">
        <v>5</v>
      </c>
      <c r="AE61" s="50" t="s">
        <v>89</v>
      </c>
      <c r="AF61" s="49" t="s">
        <v>5</v>
      </c>
      <c r="AG61" s="50" t="s">
        <v>117</v>
      </c>
      <c r="AH61" s="49" t="s">
        <v>5</v>
      </c>
      <c r="AI61" s="50" t="s">
        <v>101</v>
      </c>
      <c r="AJ61" s="49" t="s">
        <v>5</v>
      </c>
      <c r="AK61" s="50" t="s">
        <v>194</v>
      </c>
      <c r="AL61" s="49" t="s">
        <v>5</v>
      </c>
      <c r="AM61" s="50" t="s">
        <v>94</v>
      </c>
      <c r="AN61" s="49"/>
      <c r="AO61" s="50"/>
      <c r="AP61" s="49" t="s">
        <v>5</v>
      </c>
      <c r="AQ61" s="50" t="s">
        <v>131</v>
      </c>
      <c r="AR61" s="49" t="s">
        <v>5</v>
      </c>
      <c r="AS61" s="50" t="s">
        <v>120</v>
      </c>
      <c r="AT61" s="49" t="s">
        <v>5</v>
      </c>
      <c r="AU61" s="50" t="s">
        <v>78</v>
      </c>
      <c r="AV61" s="49" t="s">
        <v>5</v>
      </c>
      <c r="AW61" s="50" t="s">
        <v>94</v>
      </c>
      <c r="AX61" s="49" t="s">
        <v>5</v>
      </c>
      <c r="AY61" s="50" t="s">
        <v>95</v>
      </c>
      <c r="AZ61" s="49"/>
      <c r="BA61" s="50"/>
      <c r="BB61" s="49" t="s">
        <v>5</v>
      </c>
      <c r="BC61" s="50" t="s">
        <v>152</v>
      </c>
      <c r="BD61" s="49" t="s">
        <v>5</v>
      </c>
      <c r="BE61" s="50" t="s">
        <v>495</v>
      </c>
      <c r="BF61" s="49" t="s">
        <v>5</v>
      </c>
      <c r="BG61" s="50" t="s">
        <v>170</v>
      </c>
      <c r="BH61" s="49" t="s">
        <v>5</v>
      </c>
      <c r="BI61" s="50" t="s">
        <v>103</v>
      </c>
    </row>
    <row r="62" spans="1:61" x14ac:dyDescent="0.25">
      <c r="A62" s="76">
        <v>152751</v>
      </c>
      <c r="B62" s="77" t="s">
        <v>1686</v>
      </c>
      <c r="C62" s="78" t="s">
        <v>1622</v>
      </c>
      <c r="D62" s="76" t="s">
        <v>12</v>
      </c>
      <c r="E62" s="79" t="s">
        <v>14</v>
      </c>
      <c r="F62" s="79" t="s">
        <v>71</v>
      </c>
      <c r="G62" s="79" t="s">
        <v>14</v>
      </c>
      <c r="H62" s="79" t="s">
        <v>14</v>
      </c>
      <c r="I62" s="78" t="s">
        <v>14</v>
      </c>
      <c r="J62" s="79" t="s">
        <v>14</v>
      </c>
      <c r="K62" s="142" t="s">
        <v>1850</v>
      </c>
      <c r="L62" s="149" t="s">
        <v>1841</v>
      </c>
      <c r="M62" s="150" t="s">
        <v>1853</v>
      </c>
      <c r="N62" s="151">
        <v>14</v>
      </c>
      <c r="O62" s="151">
        <v>0</v>
      </c>
      <c r="P62" s="152">
        <v>0</v>
      </c>
      <c r="Q62" s="153">
        <v>95.56</v>
      </c>
      <c r="R62" s="154">
        <v>0</v>
      </c>
      <c r="S62" s="38">
        <f t="shared" si="0"/>
        <v>3</v>
      </c>
      <c r="T62" s="39">
        <f t="shared" si="1"/>
        <v>11</v>
      </c>
      <c r="U62" s="40">
        <f t="shared" si="2"/>
        <v>0</v>
      </c>
      <c r="V62" s="40">
        <f t="shared" si="3"/>
        <v>0</v>
      </c>
      <c r="W62" s="40">
        <f t="shared" si="4"/>
        <v>0</v>
      </c>
      <c r="X62" s="40">
        <f t="shared" si="5"/>
        <v>0</v>
      </c>
      <c r="Y62" s="40">
        <f t="shared" si="6"/>
        <v>0</v>
      </c>
      <c r="Z62" s="40">
        <f t="shared" si="7"/>
        <v>0</v>
      </c>
      <c r="AA62" s="40">
        <f t="shared" si="8"/>
        <v>0</v>
      </c>
      <c r="AB62" s="40">
        <f t="shared" si="9"/>
        <v>0</v>
      </c>
      <c r="AC62" s="41">
        <f t="shared" si="10"/>
        <v>0</v>
      </c>
      <c r="AD62" s="49" t="s">
        <v>5</v>
      </c>
      <c r="AE62" s="50" t="s">
        <v>89</v>
      </c>
      <c r="AF62" s="49" t="s">
        <v>1</v>
      </c>
      <c r="AG62" s="50" t="s">
        <v>73</v>
      </c>
      <c r="AH62" s="49" t="s">
        <v>5</v>
      </c>
      <c r="AI62" s="50" t="s">
        <v>142</v>
      </c>
      <c r="AJ62" s="49" t="s">
        <v>5</v>
      </c>
      <c r="AK62" s="50" t="s">
        <v>722</v>
      </c>
      <c r="AL62" s="49" t="s">
        <v>5</v>
      </c>
      <c r="AM62" s="50" t="s">
        <v>98</v>
      </c>
      <c r="AN62" s="49" t="s">
        <v>5</v>
      </c>
      <c r="AO62" s="50" t="s">
        <v>75</v>
      </c>
      <c r="AP62" s="49" t="s">
        <v>5</v>
      </c>
      <c r="AQ62" s="50" t="s">
        <v>92</v>
      </c>
      <c r="AR62" s="49" t="s">
        <v>1</v>
      </c>
      <c r="AS62" s="50" t="s">
        <v>104</v>
      </c>
      <c r="AT62" s="49" t="s">
        <v>5</v>
      </c>
      <c r="AU62" s="50" t="s">
        <v>105</v>
      </c>
      <c r="AV62" s="49" t="s">
        <v>5</v>
      </c>
      <c r="AW62" s="50" t="s">
        <v>112</v>
      </c>
      <c r="AX62" s="49" t="s">
        <v>5</v>
      </c>
      <c r="AY62" s="50" t="s">
        <v>80</v>
      </c>
      <c r="AZ62" s="49"/>
      <c r="BA62" s="50"/>
      <c r="BB62" s="49" t="s">
        <v>1</v>
      </c>
      <c r="BC62" s="50" t="s">
        <v>107</v>
      </c>
      <c r="BD62" s="49" t="s">
        <v>5</v>
      </c>
      <c r="BE62" s="50" t="s">
        <v>122</v>
      </c>
      <c r="BF62" s="49" t="s">
        <v>5</v>
      </c>
      <c r="BG62" s="50" t="s">
        <v>83</v>
      </c>
      <c r="BH62" s="49"/>
      <c r="BI62" s="50"/>
    </row>
    <row r="63" spans="1:61" x14ac:dyDescent="0.25">
      <c r="A63" s="76">
        <v>160002</v>
      </c>
      <c r="B63" s="77" t="s">
        <v>1687</v>
      </c>
      <c r="C63" s="78" t="s">
        <v>1648</v>
      </c>
      <c r="D63" s="76" t="s">
        <v>70</v>
      </c>
      <c r="E63" s="79" t="s">
        <v>14</v>
      </c>
      <c r="F63" s="79" t="s">
        <v>198</v>
      </c>
      <c r="G63" s="79" t="s">
        <v>14</v>
      </c>
      <c r="H63" s="79" t="s">
        <v>14</v>
      </c>
      <c r="I63" s="78" t="s">
        <v>14</v>
      </c>
      <c r="J63" s="79" t="s">
        <v>14</v>
      </c>
      <c r="K63" s="142" t="s">
        <v>1850</v>
      </c>
      <c r="L63" s="149" t="s">
        <v>1844</v>
      </c>
      <c r="M63" s="150" t="s">
        <v>12</v>
      </c>
      <c r="N63" s="151">
        <v>18</v>
      </c>
      <c r="O63" s="151">
        <v>0</v>
      </c>
      <c r="P63" s="152">
        <v>0</v>
      </c>
      <c r="Q63" s="153">
        <v>100</v>
      </c>
      <c r="R63" s="154">
        <v>0</v>
      </c>
      <c r="S63" s="38">
        <f t="shared" si="0"/>
        <v>2</v>
      </c>
      <c r="T63" s="39">
        <f t="shared" si="1"/>
        <v>12</v>
      </c>
      <c r="U63" s="40">
        <f t="shared" si="2"/>
        <v>0</v>
      </c>
      <c r="V63" s="40">
        <f t="shared" si="3"/>
        <v>0</v>
      </c>
      <c r="W63" s="40">
        <f t="shared" si="4"/>
        <v>0</v>
      </c>
      <c r="X63" s="40">
        <f t="shared" si="5"/>
        <v>0</v>
      </c>
      <c r="Y63" s="40">
        <f t="shared" si="6"/>
        <v>0</v>
      </c>
      <c r="Z63" s="40">
        <f t="shared" si="7"/>
        <v>0</v>
      </c>
      <c r="AA63" s="40">
        <f t="shared" si="8"/>
        <v>0</v>
      </c>
      <c r="AB63" s="40">
        <f t="shared" si="9"/>
        <v>0</v>
      </c>
      <c r="AC63" s="41">
        <f t="shared" si="10"/>
        <v>0</v>
      </c>
      <c r="AD63" s="49" t="s">
        <v>1</v>
      </c>
      <c r="AE63" s="50" t="s">
        <v>116</v>
      </c>
      <c r="AF63" s="49"/>
      <c r="AG63" s="50"/>
      <c r="AH63" s="49" t="s">
        <v>5</v>
      </c>
      <c r="AI63" s="50" t="s">
        <v>101</v>
      </c>
      <c r="AJ63" s="49" t="s">
        <v>5</v>
      </c>
      <c r="AK63" s="50" t="s">
        <v>142</v>
      </c>
      <c r="AL63" s="49" t="s">
        <v>5</v>
      </c>
      <c r="AM63" s="50" t="s">
        <v>714</v>
      </c>
      <c r="AN63" s="49" t="s">
        <v>5</v>
      </c>
      <c r="AO63" s="50" t="s">
        <v>124</v>
      </c>
      <c r="AP63" s="49" t="s">
        <v>5</v>
      </c>
      <c r="AQ63" s="50" t="s">
        <v>76</v>
      </c>
      <c r="AR63" s="49" t="s">
        <v>5</v>
      </c>
      <c r="AS63" s="50" t="s">
        <v>132</v>
      </c>
      <c r="AT63" s="49" t="s">
        <v>5</v>
      </c>
      <c r="AU63" s="50" t="s">
        <v>163</v>
      </c>
      <c r="AV63" s="49" t="s">
        <v>5</v>
      </c>
      <c r="AW63" s="50" t="s">
        <v>94</v>
      </c>
      <c r="AX63" s="49" t="s">
        <v>1</v>
      </c>
      <c r="AY63" s="50" t="s">
        <v>95</v>
      </c>
      <c r="AZ63" s="49" t="s">
        <v>5</v>
      </c>
      <c r="BA63" s="50" t="s">
        <v>120</v>
      </c>
      <c r="BB63" s="49" t="s">
        <v>5</v>
      </c>
      <c r="BC63" s="50" t="s">
        <v>81</v>
      </c>
      <c r="BD63" s="49" t="s">
        <v>5</v>
      </c>
      <c r="BE63" s="50" t="s">
        <v>153</v>
      </c>
      <c r="BF63" s="49" t="s">
        <v>5</v>
      </c>
      <c r="BG63" s="50" t="s">
        <v>98</v>
      </c>
      <c r="BH63" s="49"/>
      <c r="BI63" s="50"/>
    </row>
    <row r="64" spans="1:61" x14ac:dyDescent="0.25">
      <c r="A64" s="76">
        <v>152805</v>
      </c>
      <c r="B64" s="77" t="s">
        <v>1688</v>
      </c>
      <c r="C64" s="78" t="s">
        <v>1633</v>
      </c>
      <c r="D64" s="76" t="s">
        <v>12</v>
      </c>
      <c r="E64" s="79" t="s">
        <v>14</v>
      </c>
      <c r="F64" s="79" t="s">
        <v>150</v>
      </c>
      <c r="G64" s="79" t="s">
        <v>14</v>
      </c>
      <c r="H64" s="79" t="s">
        <v>14</v>
      </c>
      <c r="I64" s="78" t="s">
        <v>14</v>
      </c>
      <c r="J64" s="79" t="s">
        <v>14</v>
      </c>
      <c r="K64" s="142" t="s">
        <v>1851</v>
      </c>
      <c r="L64" s="149" t="s">
        <v>1841</v>
      </c>
      <c r="M64" s="150" t="s">
        <v>1853</v>
      </c>
      <c r="N64" s="151">
        <v>20</v>
      </c>
      <c r="O64" s="151">
        <v>0</v>
      </c>
      <c r="P64" s="152">
        <v>0</v>
      </c>
      <c r="Q64" s="153">
        <v>80</v>
      </c>
      <c r="R64" s="154">
        <v>0</v>
      </c>
      <c r="S64" s="38">
        <f t="shared" si="0"/>
        <v>2</v>
      </c>
      <c r="T64" s="39">
        <f t="shared" si="1"/>
        <v>12</v>
      </c>
      <c r="U64" s="40">
        <f t="shared" si="2"/>
        <v>0</v>
      </c>
      <c r="V64" s="40">
        <f t="shared" si="3"/>
        <v>0</v>
      </c>
      <c r="W64" s="40">
        <f t="shared" si="4"/>
        <v>0</v>
      </c>
      <c r="X64" s="40">
        <f t="shared" si="5"/>
        <v>0</v>
      </c>
      <c r="Y64" s="40">
        <f t="shared" si="6"/>
        <v>0</v>
      </c>
      <c r="Z64" s="40">
        <f t="shared" si="7"/>
        <v>0</v>
      </c>
      <c r="AA64" s="40">
        <f t="shared" si="8"/>
        <v>0</v>
      </c>
      <c r="AB64" s="40">
        <f t="shared" si="9"/>
        <v>0</v>
      </c>
      <c r="AC64" s="41">
        <f t="shared" si="10"/>
        <v>0</v>
      </c>
      <c r="AD64" s="49" t="s">
        <v>5</v>
      </c>
      <c r="AE64" s="50" t="s">
        <v>89</v>
      </c>
      <c r="AF64" s="49" t="s">
        <v>5</v>
      </c>
      <c r="AG64" s="50" t="s">
        <v>117</v>
      </c>
      <c r="AH64" s="49" t="s">
        <v>5</v>
      </c>
      <c r="AI64" s="50" t="s">
        <v>101</v>
      </c>
      <c r="AJ64" s="49" t="s">
        <v>5</v>
      </c>
      <c r="AK64" s="50" t="s">
        <v>74</v>
      </c>
      <c r="AL64" s="49" t="s">
        <v>1</v>
      </c>
      <c r="AM64" s="50" t="s">
        <v>122</v>
      </c>
      <c r="AN64" s="49"/>
      <c r="AO64" s="50"/>
      <c r="AP64" s="49" t="s">
        <v>5</v>
      </c>
      <c r="AQ64" s="50" t="s">
        <v>131</v>
      </c>
      <c r="AR64" s="49" t="s">
        <v>5</v>
      </c>
      <c r="AS64" s="50" t="s">
        <v>120</v>
      </c>
      <c r="AT64" s="49" t="s">
        <v>5</v>
      </c>
      <c r="AU64" s="50" t="s">
        <v>163</v>
      </c>
      <c r="AV64" s="49" t="s">
        <v>5</v>
      </c>
      <c r="AW64" s="50" t="s">
        <v>112</v>
      </c>
      <c r="AX64" s="49" t="s">
        <v>1</v>
      </c>
      <c r="AY64" s="50" t="s">
        <v>95</v>
      </c>
      <c r="AZ64" s="49"/>
      <c r="BA64" s="50"/>
      <c r="BB64" s="49" t="s">
        <v>5</v>
      </c>
      <c r="BC64" s="50" t="s">
        <v>741</v>
      </c>
      <c r="BD64" s="49" t="s">
        <v>5</v>
      </c>
      <c r="BE64" s="50" t="s">
        <v>495</v>
      </c>
      <c r="BF64" s="49" t="s">
        <v>5</v>
      </c>
      <c r="BG64" s="50" t="s">
        <v>164</v>
      </c>
      <c r="BH64" s="49" t="s">
        <v>5</v>
      </c>
      <c r="BI64" s="50" t="s">
        <v>75</v>
      </c>
    </row>
    <row r="65" spans="1:61" x14ac:dyDescent="0.25">
      <c r="A65" s="76">
        <v>152845</v>
      </c>
      <c r="B65" s="77" t="s">
        <v>1689</v>
      </c>
      <c r="C65" s="78" t="s">
        <v>1639</v>
      </c>
      <c r="D65" s="76" t="s">
        <v>70</v>
      </c>
      <c r="E65" s="79" t="s">
        <v>14</v>
      </c>
      <c r="F65" s="79" t="s">
        <v>71</v>
      </c>
      <c r="G65" s="79" t="s">
        <v>14</v>
      </c>
      <c r="H65" s="79" t="s">
        <v>14</v>
      </c>
      <c r="I65" s="78" t="s">
        <v>14</v>
      </c>
      <c r="J65" s="79" t="s">
        <v>14</v>
      </c>
      <c r="K65" s="142" t="s">
        <v>1850</v>
      </c>
      <c r="L65" s="149" t="s">
        <v>1844</v>
      </c>
      <c r="M65" s="150" t="s">
        <v>12</v>
      </c>
      <c r="N65" s="151">
        <v>20</v>
      </c>
      <c r="O65" s="151">
        <v>2</v>
      </c>
      <c r="P65" s="152">
        <v>0</v>
      </c>
      <c r="Q65" s="153">
        <v>100</v>
      </c>
      <c r="R65" s="154">
        <v>0</v>
      </c>
      <c r="S65" s="38">
        <f t="shared" si="0"/>
        <v>1</v>
      </c>
      <c r="T65" s="39">
        <f t="shared" si="1"/>
        <v>13</v>
      </c>
      <c r="U65" s="40">
        <f t="shared" si="2"/>
        <v>0</v>
      </c>
      <c r="V65" s="40">
        <f t="shared" si="3"/>
        <v>0</v>
      </c>
      <c r="W65" s="40">
        <f t="shared" si="4"/>
        <v>0</v>
      </c>
      <c r="X65" s="40">
        <f t="shared" si="5"/>
        <v>0</v>
      </c>
      <c r="Y65" s="40">
        <f t="shared" si="6"/>
        <v>0</v>
      </c>
      <c r="Z65" s="40">
        <f t="shared" si="7"/>
        <v>0</v>
      </c>
      <c r="AA65" s="40">
        <f t="shared" si="8"/>
        <v>0</v>
      </c>
      <c r="AB65" s="40">
        <f t="shared" si="9"/>
        <v>0</v>
      </c>
      <c r="AC65" s="41">
        <f t="shared" si="10"/>
        <v>0</v>
      </c>
      <c r="AD65" s="49" t="s">
        <v>1</v>
      </c>
      <c r="AE65" s="50" t="s">
        <v>72</v>
      </c>
      <c r="AF65" s="49" t="s">
        <v>5</v>
      </c>
      <c r="AG65" s="50" t="s">
        <v>73</v>
      </c>
      <c r="AH65" s="49" t="s">
        <v>5</v>
      </c>
      <c r="AI65" s="50" t="s">
        <v>101</v>
      </c>
      <c r="AJ65" s="49" t="s">
        <v>5</v>
      </c>
      <c r="AK65" s="50" t="s">
        <v>142</v>
      </c>
      <c r="AL65" s="49" t="s">
        <v>5</v>
      </c>
      <c r="AM65" s="50" t="s">
        <v>130</v>
      </c>
      <c r="AN65" s="49" t="s">
        <v>5</v>
      </c>
      <c r="AO65" s="50" t="s">
        <v>143</v>
      </c>
      <c r="AP65" s="49" t="s">
        <v>5</v>
      </c>
      <c r="AQ65" s="50" t="s">
        <v>131</v>
      </c>
      <c r="AR65" s="49" t="s">
        <v>5</v>
      </c>
      <c r="AS65" s="50" t="s">
        <v>120</v>
      </c>
      <c r="AT65" s="49" t="s">
        <v>5</v>
      </c>
      <c r="AU65" s="50" t="s">
        <v>105</v>
      </c>
      <c r="AV65" s="49" t="s">
        <v>5</v>
      </c>
      <c r="AW65" s="50" t="s">
        <v>79</v>
      </c>
      <c r="AX65" s="49" t="s">
        <v>5</v>
      </c>
      <c r="AY65" s="50" t="s">
        <v>80</v>
      </c>
      <c r="AZ65" s="49"/>
      <c r="BA65" s="50"/>
      <c r="BB65" s="49" t="s">
        <v>5</v>
      </c>
      <c r="BC65" s="50" t="s">
        <v>81</v>
      </c>
      <c r="BD65" s="49" t="s">
        <v>5</v>
      </c>
      <c r="BE65" s="50" t="s">
        <v>82</v>
      </c>
      <c r="BF65" s="49" t="s">
        <v>5</v>
      </c>
      <c r="BG65" s="50" t="s">
        <v>83</v>
      </c>
      <c r="BH65" s="49"/>
      <c r="BI65" s="50"/>
    </row>
    <row r="66" spans="1:61" x14ac:dyDescent="0.25">
      <c r="A66" s="76">
        <v>152928</v>
      </c>
      <c r="B66" s="77" t="s">
        <v>1690</v>
      </c>
      <c r="C66" s="78" t="s">
        <v>1620</v>
      </c>
      <c r="D66" s="76" t="s">
        <v>70</v>
      </c>
      <c r="E66" s="79" t="s">
        <v>14</v>
      </c>
      <c r="F66" s="79" t="s">
        <v>115</v>
      </c>
      <c r="G66" s="79" t="s">
        <v>14</v>
      </c>
      <c r="H66" s="79" t="s">
        <v>14</v>
      </c>
      <c r="I66" s="78" t="s">
        <v>14</v>
      </c>
      <c r="J66" s="79" t="s">
        <v>14</v>
      </c>
      <c r="K66" s="142" t="s">
        <v>1850</v>
      </c>
      <c r="L66" s="149" t="s">
        <v>1844</v>
      </c>
      <c r="M66" s="150" t="s">
        <v>12</v>
      </c>
      <c r="N66" s="151">
        <v>19</v>
      </c>
      <c r="O66" s="151">
        <v>0</v>
      </c>
      <c r="P66" s="152">
        <v>0</v>
      </c>
      <c r="Q66" s="153">
        <v>100</v>
      </c>
      <c r="R66" s="154">
        <v>0</v>
      </c>
      <c r="S66" s="38">
        <f t="shared" ref="S66:S129" si="11">COUNTIF($AD66:$BI66,"Outstanding")</f>
        <v>1</v>
      </c>
      <c r="T66" s="39">
        <f t="shared" ref="T66:T129" si="12">COUNTIF($AD66:$BI66,"Good")</f>
        <v>13</v>
      </c>
      <c r="U66" s="40">
        <f t="shared" ref="U66:U129" si="13">COUNTIF($AD66:$BI66,"N2Improve - Engagement")</f>
        <v>0</v>
      </c>
      <c r="V66" s="40">
        <f t="shared" ref="V66:V129" si="14">COUNTIF($AD66:$BI66,"N2Improve - Community Conduct")</f>
        <v>0</v>
      </c>
      <c r="W66" s="40">
        <f t="shared" ref="W66:W129" si="15">COUNTIF($AD66:$BI66,"N2Improve - Personal Org.")</f>
        <v>0</v>
      </c>
      <c r="X66" s="40">
        <f t="shared" ref="X66:X129" si="16">SUM(U66:W66)</f>
        <v>0</v>
      </c>
      <c r="Y66" s="40">
        <f t="shared" ref="Y66:Y129" si="17">COUNTIF($AD66:$BI66,"Serious Conc - Engagement")</f>
        <v>0</v>
      </c>
      <c r="Z66" s="40">
        <f t="shared" ref="Z66:Z129" si="18">COUNTIF($AD66:$BI66,"Serious Conc - Comm. Concern")</f>
        <v>0</v>
      </c>
      <c r="AA66" s="40">
        <f t="shared" ref="AA66:AA129" si="19">COUNTIF($AD66:$BI66,"Serious Conc - Personal Org.")</f>
        <v>0</v>
      </c>
      <c r="AB66" s="40">
        <f t="shared" ref="AB66:AB129" si="20">SUM(Y66:AA66)</f>
        <v>0</v>
      </c>
      <c r="AC66" s="41">
        <f t="shared" si="10"/>
        <v>0</v>
      </c>
      <c r="AD66" s="49" t="s">
        <v>5</v>
      </c>
      <c r="AE66" s="50" t="s">
        <v>89</v>
      </c>
      <c r="AF66" s="49" t="s">
        <v>5</v>
      </c>
      <c r="AG66" s="50" t="s">
        <v>90</v>
      </c>
      <c r="AH66" s="49" t="s">
        <v>5</v>
      </c>
      <c r="AI66" s="50" t="s">
        <v>142</v>
      </c>
      <c r="AJ66" s="49" t="s">
        <v>5</v>
      </c>
      <c r="AK66" s="50" t="s">
        <v>74</v>
      </c>
      <c r="AL66" s="49" t="s">
        <v>5</v>
      </c>
      <c r="AM66" s="50" t="s">
        <v>142</v>
      </c>
      <c r="AN66" s="49"/>
      <c r="AO66" s="50"/>
      <c r="AP66" s="49" t="s">
        <v>5</v>
      </c>
      <c r="AQ66" s="50" t="s">
        <v>76</v>
      </c>
      <c r="AR66" s="49" t="s">
        <v>5</v>
      </c>
      <c r="AS66" s="50" t="s">
        <v>132</v>
      </c>
      <c r="AT66" s="49" t="s">
        <v>5</v>
      </c>
      <c r="AU66" s="50" t="s">
        <v>105</v>
      </c>
      <c r="AV66" s="49" t="s">
        <v>5</v>
      </c>
      <c r="AW66" s="50" t="s">
        <v>79</v>
      </c>
      <c r="AX66" s="49" t="s">
        <v>1</v>
      </c>
      <c r="AY66" s="50" t="s">
        <v>95</v>
      </c>
      <c r="AZ66" s="49"/>
      <c r="BA66" s="50"/>
      <c r="BB66" s="49" t="s">
        <v>5</v>
      </c>
      <c r="BC66" s="50" t="s">
        <v>152</v>
      </c>
      <c r="BD66" s="49" t="s">
        <v>5</v>
      </c>
      <c r="BE66" s="50" t="s">
        <v>97</v>
      </c>
      <c r="BF66" s="49" t="s">
        <v>5</v>
      </c>
      <c r="BG66" s="50" t="s">
        <v>83</v>
      </c>
      <c r="BH66" s="49" t="s">
        <v>5</v>
      </c>
      <c r="BI66" s="50" t="s">
        <v>130</v>
      </c>
    </row>
    <row r="67" spans="1:61" x14ac:dyDescent="0.25">
      <c r="A67" s="76">
        <v>152875</v>
      </c>
      <c r="B67" s="77" t="s">
        <v>1691</v>
      </c>
      <c r="C67" s="78" t="s">
        <v>1628</v>
      </c>
      <c r="D67" s="76" t="s">
        <v>12</v>
      </c>
      <c r="E67" s="79" t="s">
        <v>14</v>
      </c>
      <c r="F67" s="79" t="s">
        <v>71</v>
      </c>
      <c r="G67" s="79" t="s">
        <v>14</v>
      </c>
      <c r="H67" s="79" t="s">
        <v>14</v>
      </c>
      <c r="I67" s="78" t="s">
        <v>14</v>
      </c>
      <c r="J67" s="79" t="s">
        <v>14</v>
      </c>
      <c r="K67" s="142" t="s">
        <v>1850</v>
      </c>
      <c r="L67" s="149" t="s">
        <v>1844</v>
      </c>
      <c r="M67" s="150" t="s">
        <v>12</v>
      </c>
      <c r="N67" s="151">
        <v>19</v>
      </c>
      <c r="O67" s="151">
        <v>0</v>
      </c>
      <c r="P67" s="152">
        <v>0</v>
      </c>
      <c r="Q67" s="153">
        <v>97.78</v>
      </c>
      <c r="R67" s="154">
        <v>0</v>
      </c>
      <c r="S67" s="38">
        <f t="shared" si="11"/>
        <v>0</v>
      </c>
      <c r="T67" s="39">
        <f t="shared" si="12"/>
        <v>14</v>
      </c>
      <c r="U67" s="40">
        <f t="shared" si="13"/>
        <v>0</v>
      </c>
      <c r="V67" s="40">
        <f t="shared" si="14"/>
        <v>0</v>
      </c>
      <c r="W67" s="40">
        <f t="shared" si="15"/>
        <v>0</v>
      </c>
      <c r="X67" s="40">
        <f t="shared" si="16"/>
        <v>0</v>
      </c>
      <c r="Y67" s="40">
        <f t="shared" si="17"/>
        <v>0</v>
      </c>
      <c r="Z67" s="40">
        <f t="shared" si="18"/>
        <v>0</v>
      </c>
      <c r="AA67" s="40">
        <f t="shared" si="19"/>
        <v>0</v>
      </c>
      <c r="AB67" s="40">
        <f t="shared" si="20"/>
        <v>0</v>
      </c>
      <c r="AC67" s="41">
        <f t="shared" ref="AC67:AC130" si="21">COUNTIF(AD67:BI67,"*still*")</f>
        <v>0</v>
      </c>
      <c r="AD67" s="49" t="s">
        <v>5</v>
      </c>
      <c r="AE67" s="50" t="s">
        <v>116</v>
      </c>
      <c r="AF67" s="49" t="s">
        <v>5</v>
      </c>
      <c r="AG67" s="50" t="s">
        <v>135</v>
      </c>
      <c r="AH67" s="49" t="s">
        <v>5</v>
      </c>
      <c r="AI67" s="50" t="s">
        <v>101</v>
      </c>
      <c r="AJ67" s="49" t="s">
        <v>5</v>
      </c>
      <c r="AK67" s="50" t="s">
        <v>142</v>
      </c>
      <c r="AL67" s="49" t="s">
        <v>5</v>
      </c>
      <c r="AM67" s="50" t="s">
        <v>106</v>
      </c>
      <c r="AN67" s="49" t="s">
        <v>5</v>
      </c>
      <c r="AO67" s="50" t="s">
        <v>103</v>
      </c>
      <c r="AP67" s="49" t="s">
        <v>5</v>
      </c>
      <c r="AQ67" s="50" t="s">
        <v>144</v>
      </c>
      <c r="AR67" s="49" t="s">
        <v>5</v>
      </c>
      <c r="AS67" s="50" t="s">
        <v>104</v>
      </c>
      <c r="AT67" s="49" t="s">
        <v>5</v>
      </c>
      <c r="AU67" s="50" t="s">
        <v>105</v>
      </c>
      <c r="AV67" s="49" t="s">
        <v>5</v>
      </c>
      <c r="AW67" s="50" t="s">
        <v>94</v>
      </c>
      <c r="AX67" s="49" t="s">
        <v>5</v>
      </c>
      <c r="AY67" s="50" t="s">
        <v>95</v>
      </c>
      <c r="AZ67" s="49"/>
      <c r="BA67" s="50"/>
      <c r="BB67" s="49" t="s">
        <v>5</v>
      </c>
      <c r="BC67" s="50" t="s">
        <v>107</v>
      </c>
      <c r="BD67" s="49" t="s">
        <v>5</v>
      </c>
      <c r="BE67" s="50" t="s">
        <v>108</v>
      </c>
      <c r="BF67" s="49" t="s">
        <v>5</v>
      </c>
      <c r="BG67" s="50" t="s">
        <v>123</v>
      </c>
      <c r="BH67" s="49"/>
      <c r="BI67" s="50"/>
    </row>
    <row r="68" spans="1:61" x14ac:dyDescent="0.25">
      <c r="A68" s="76">
        <v>152883</v>
      </c>
      <c r="B68" s="77" t="s">
        <v>1692</v>
      </c>
      <c r="C68" s="78" t="s">
        <v>1630</v>
      </c>
      <c r="D68" s="76" t="s">
        <v>12</v>
      </c>
      <c r="E68" s="79" t="s">
        <v>14</v>
      </c>
      <c r="F68" s="79" t="s">
        <v>71</v>
      </c>
      <c r="G68" s="79" t="s">
        <v>14</v>
      </c>
      <c r="H68" s="79" t="s">
        <v>14</v>
      </c>
      <c r="I68" s="78" t="s">
        <v>14</v>
      </c>
      <c r="J68" s="79" t="s">
        <v>14</v>
      </c>
      <c r="K68" s="142" t="s">
        <v>1850</v>
      </c>
      <c r="L68" s="149" t="s">
        <v>1845</v>
      </c>
      <c r="M68" s="150" t="s">
        <v>1852</v>
      </c>
      <c r="N68" s="151">
        <v>19</v>
      </c>
      <c r="O68" s="151">
        <v>9</v>
      </c>
      <c r="P68" s="152">
        <v>2</v>
      </c>
      <c r="Q68" s="153">
        <v>82.61</v>
      </c>
      <c r="R68" s="154">
        <v>9</v>
      </c>
      <c r="S68" s="38">
        <f t="shared" si="11"/>
        <v>1</v>
      </c>
      <c r="T68" s="39">
        <f t="shared" si="12"/>
        <v>8</v>
      </c>
      <c r="U68" s="40">
        <f t="shared" si="13"/>
        <v>3</v>
      </c>
      <c r="V68" s="40">
        <f t="shared" si="14"/>
        <v>1</v>
      </c>
      <c r="W68" s="40">
        <f t="shared" si="15"/>
        <v>1</v>
      </c>
      <c r="X68" s="40">
        <f t="shared" si="16"/>
        <v>5</v>
      </c>
      <c r="Y68" s="40">
        <f t="shared" si="17"/>
        <v>0</v>
      </c>
      <c r="Z68" s="40">
        <f t="shared" si="18"/>
        <v>0</v>
      </c>
      <c r="AA68" s="40">
        <f t="shared" si="19"/>
        <v>0</v>
      </c>
      <c r="AB68" s="40">
        <f t="shared" si="20"/>
        <v>0</v>
      </c>
      <c r="AC68" s="41">
        <f t="shared" si="21"/>
        <v>0</v>
      </c>
      <c r="AD68" s="49" t="s">
        <v>5</v>
      </c>
      <c r="AE68" s="50" t="s">
        <v>89</v>
      </c>
      <c r="AF68" s="49" t="s">
        <v>5</v>
      </c>
      <c r="AG68" s="50" t="s">
        <v>135</v>
      </c>
      <c r="AH68" s="49" t="s">
        <v>31</v>
      </c>
      <c r="AI68" s="50" t="s">
        <v>101</v>
      </c>
      <c r="AJ68" s="49" t="s">
        <v>5</v>
      </c>
      <c r="AK68" s="50" t="s">
        <v>102</v>
      </c>
      <c r="AL68" s="49" t="s">
        <v>30</v>
      </c>
      <c r="AM68" s="50" t="s">
        <v>94</v>
      </c>
      <c r="AN68" s="49"/>
      <c r="AO68" s="50"/>
      <c r="AP68" s="49" t="s">
        <v>5</v>
      </c>
      <c r="AQ68" s="50" t="s">
        <v>131</v>
      </c>
      <c r="AR68" s="49" t="s">
        <v>5</v>
      </c>
      <c r="AS68" s="50" t="s">
        <v>120</v>
      </c>
      <c r="AT68" s="49" t="s">
        <v>5</v>
      </c>
      <c r="AU68" s="50" t="s">
        <v>78</v>
      </c>
      <c r="AV68" s="49" t="s">
        <v>30</v>
      </c>
      <c r="AW68" s="50" t="s">
        <v>79</v>
      </c>
      <c r="AX68" s="49" t="s">
        <v>30</v>
      </c>
      <c r="AY68" s="50" t="s">
        <v>95</v>
      </c>
      <c r="AZ68" s="49"/>
      <c r="BA68" s="50"/>
      <c r="BB68" s="49" t="s">
        <v>1</v>
      </c>
      <c r="BC68" s="50" t="s">
        <v>96</v>
      </c>
      <c r="BD68" s="49" t="s">
        <v>32</v>
      </c>
      <c r="BE68" s="50" t="s">
        <v>495</v>
      </c>
      <c r="BF68" s="49" t="s">
        <v>5</v>
      </c>
      <c r="BG68" s="50" t="s">
        <v>98</v>
      </c>
      <c r="BH68" s="49" t="s">
        <v>5</v>
      </c>
      <c r="BI68" s="50" t="s">
        <v>103</v>
      </c>
    </row>
    <row r="69" spans="1:61" x14ac:dyDescent="0.25">
      <c r="A69" s="76">
        <v>152852</v>
      </c>
      <c r="B69" s="77" t="s">
        <v>1693</v>
      </c>
      <c r="C69" s="78" t="s">
        <v>1620</v>
      </c>
      <c r="D69" s="76" t="s">
        <v>70</v>
      </c>
      <c r="E69" s="79" t="s">
        <v>14</v>
      </c>
      <c r="F69" s="79" t="s">
        <v>71</v>
      </c>
      <c r="G69" s="79" t="s">
        <v>14</v>
      </c>
      <c r="H69" s="79" t="s">
        <v>87</v>
      </c>
      <c r="I69" s="78" t="s">
        <v>14</v>
      </c>
      <c r="J69" s="79" t="s">
        <v>4</v>
      </c>
      <c r="K69" s="142" t="s">
        <v>1850</v>
      </c>
      <c r="L69" s="149" t="s">
        <v>1843</v>
      </c>
      <c r="M69" s="150" t="s">
        <v>1852</v>
      </c>
      <c r="N69" s="151">
        <v>11</v>
      </c>
      <c r="O69" s="151">
        <v>0</v>
      </c>
      <c r="P69" s="152">
        <v>1</v>
      </c>
      <c r="Q69" s="153">
        <v>95.65</v>
      </c>
      <c r="R69" s="154">
        <v>0</v>
      </c>
      <c r="S69" s="38">
        <f t="shared" si="11"/>
        <v>2</v>
      </c>
      <c r="T69" s="39">
        <f t="shared" si="12"/>
        <v>11</v>
      </c>
      <c r="U69" s="40">
        <f t="shared" si="13"/>
        <v>0</v>
      </c>
      <c r="V69" s="40">
        <f t="shared" si="14"/>
        <v>0</v>
      </c>
      <c r="W69" s="40">
        <f t="shared" si="15"/>
        <v>0</v>
      </c>
      <c r="X69" s="40">
        <f t="shared" si="16"/>
        <v>0</v>
      </c>
      <c r="Y69" s="40">
        <f t="shared" si="17"/>
        <v>0</v>
      </c>
      <c r="Z69" s="40">
        <f t="shared" si="18"/>
        <v>0</v>
      </c>
      <c r="AA69" s="40">
        <f t="shared" si="19"/>
        <v>0</v>
      </c>
      <c r="AB69" s="40">
        <f t="shared" si="20"/>
        <v>0</v>
      </c>
      <c r="AC69" s="41">
        <f t="shared" si="21"/>
        <v>0</v>
      </c>
      <c r="AD69" s="49" t="s">
        <v>5</v>
      </c>
      <c r="AE69" s="50" t="s">
        <v>89</v>
      </c>
      <c r="AF69" s="49" t="s">
        <v>1</v>
      </c>
      <c r="AG69" s="50" t="s">
        <v>73</v>
      </c>
      <c r="AH69" s="49" t="s">
        <v>5</v>
      </c>
      <c r="AI69" s="50" t="s">
        <v>142</v>
      </c>
      <c r="AJ69" s="49" t="s">
        <v>5</v>
      </c>
      <c r="AK69" s="50" t="s">
        <v>151</v>
      </c>
      <c r="AL69" s="49" t="s">
        <v>5</v>
      </c>
      <c r="AM69" s="50" t="s">
        <v>142</v>
      </c>
      <c r="AN69" s="49"/>
      <c r="AO69" s="50"/>
      <c r="AP69" s="49" t="s">
        <v>5</v>
      </c>
      <c r="AQ69" s="50" t="s">
        <v>76</v>
      </c>
      <c r="AR69" s="49" t="s">
        <v>5</v>
      </c>
      <c r="AS69" s="50" t="s">
        <v>132</v>
      </c>
      <c r="AT69" s="49" t="s">
        <v>5</v>
      </c>
      <c r="AU69" s="50" t="s">
        <v>105</v>
      </c>
      <c r="AV69" s="49" t="s">
        <v>5</v>
      </c>
      <c r="AW69" s="50" t="s">
        <v>711</v>
      </c>
      <c r="AX69" s="49" t="s">
        <v>1</v>
      </c>
      <c r="AY69" s="50" t="s">
        <v>95</v>
      </c>
      <c r="AZ69" s="49"/>
      <c r="BA69" s="50"/>
      <c r="BB69" s="49" t="s">
        <v>5</v>
      </c>
      <c r="BC69" s="50" t="s">
        <v>152</v>
      </c>
      <c r="BD69" s="49" t="s">
        <v>5</v>
      </c>
      <c r="BE69" s="50" t="s">
        <v>97</v>
      </c>
      <c r="BF69" s="49" t="s">
        <v>5</v>
      </c>
      <c r="BG69" s="50" t="s">
        <v>154</v>
      </c>
      <c r="BH69" s="49"/>
      <c r="BI69" s="50" t="s">
        <v>130</v>
      </c>
    </row>
    <row r="70" spans="1:61" x14ac:dyDescent="0.25">
      <c r="A70" s="76">
        <v>152771</v>
      </c>
      <c r="B70" s="77" t="s">
        <v>1694</v>
      </c>
      <c r="C70" s="78" t="s">
        <v>1622</v>
      </c>
      <c r="D70" s="76" t="s">
        <v>70</v>
      </c>
      <c r="E70" s="79" t="s">
        <v>14</v>
      </c>
      <c r="F70" s="79" t="s">
        <v>71</v>
      </c>
      <c r="G70" s="79" t="s">
        <v>14</v>
      </c>
      <c r="H70" s="79" t="s">
        <v>14</v>
      </c>
      <c r="I70" s="78" t="s">
        <v>14</v>
      </c>
      <c r="J70" s="79" t="s">
        <v>14</v>
      </c>
      <c r="K70" s="142" t="s">
        <v>1850</v>
      </c>
      <c r="L70" s="149" t="s">
        <v>1844</v>
      </c>
      <c r="M70" s="150" t="s">
        <v>12</v>
      </c>
      <c r="N70" s="151">
        <v>11</v>
      </c>
      <c r="O70" s="151">
        <v>0</v>
      </c>
      <c r="P70" s="152">
        <v>0</v>
      </c>
      <c r="Q70" s="153">
        <v>97.83</v>
      </c>
      <c r="R70" s="154">
        <v>0</v>
      </c>
      <c r="S70" s="38">
        <f t="shared" si="11"/>
        <v>1</v>
      </c>
      <c r="T70" s="39">
        <f t="shared" si="12"/>
        <v>13</v>
      </c>
      <c r="U70" s="40">
        <f t="shared" si="13"/>
        <v>0</v>
      </c>
      <c r="V70" s="40">
        <f t="shared" si="14"/>
        <v>0</v>
      </c>
      <c r="W70" s="40">
        <f t="shared" si="15"/>
        <v>0</v>
      </c>
      <c r="X70" s="40">
        <f t="shared" si="16"/>
        <v>0</v>
      </c>
      <c r="Y70" s="40">
        <f t="shared" si="17"/>
        <v>0</v>
      </c>
      <c r="Z70" s="40">
        <f t="shared" si="18"/>
        <v>0</v>
      </c>
      <c r="AA70" s="40">
        <f t="shared" si="19"/>
        <v>0</v>
      </c>
      <c r="AB70" s="40">
        <f t="shared" si="20"/>
        <v>0</v>
      </c>
      <c r="AC70" s="41">
        <f t="shared" si="21"/>
        <v>0</v>
      </c>
      <c r="AD70" s="49" t="s">
        <v>5</v>
      </c>
      <c r="AE70" s="50" t="s">
        <v>89</v>
      </c>
      <c r="AF70" s="49"/>
      <c r="AG70" s="50"/>
      <c r="AH70" s="49" t="s">
        <v>5</v>
      </c>
      <c r="AI70" s="50" t="s">
        <v>142</v>
      </c>
      <c r="AJ70" s="49" t="s">
        <v>5</v>
      </c>
      <c r="AK70" s="50" t="s">
        <v>722</v>
      </c>
      <c r="AL70" s="49" t="s">
        <v>5</v>
      </c>
      <c r="AM70" s="50" t="s">
        <v>98</v>
      </c>
      <c r="AN70" s="49" t="s">
        <v>5</v>
      </c>
      <c r="AO70" s="50" t="s">
        <v>75</v>
      </c>
      <c r="AP70" s="49" t="s">
        <v>5</v>
      </c>
      <c r="AQ70" s="50" t="s">
        <v>92</v>
      </c>
      <c r="AR70" s="49" t="s">
        <v>1</v>
      </c>
      <c r="AS70" s="50" t="s">
        <v>104</v>
      </c>
      <c r="AT70" s="49" t="s">
        <v>5</v>
      </c>
      <c r="AU70" s="50" t="s">
        <v>105</v>
      </c>
      <c r="AV70" s="49" t="s">
        <v>5</v>
      </c>
      <c r="AW70" s="50" t="s">
        <v>94</v>
      </c>
      <c r="AX70" s="49" t="s">
        <v>5</v>
      </c>
      <c r="AY70" s="50" t="s">
        <v>80</v>
      </c>
      <c r="AZ70" s="49" t="s">
        <v>5</v>
      </c>
      <c r="BA70" s="50" t="s">
        <v>120</v>
      </c>
      <c r="BB70" s="49" t="s">
        <v>5</v>
      </c>
      <c r="BC70" s="50" t="s">
        <v>81</v>
      </c>
      <c r="BD70" s="49" t="s">
        <v>5</v>
      </c>
      <c r="BE70" s="50" t="s">
        <v>122</v>
      </c>
      <c r="BF70" s="49" t="s">
        <v>5</v>
      </c>
      <c r="BG70" s="50" t="s">
        <v>123</v>
      </c>
      <c r="BH70" s="49"/>
      <c r="BI70" s="50"/>
    </row>
    <row r="71" spans="1:61" x14ac:dyDescent="0.25">
      <c r="A71" s="76">
        <v>152741</v>
      </c>
      <c r="B71" s="77" t="s">
        <v>1695</v>
      </c>
      <c r="C71" s="78" t="s">
        <v>1622</v>
      </c>
      <c r="D71" s="76" t="s">
        <v>70</v>
      </c>
      <c r="E71" s="79" t="s">
        <v>14</v>
      </c>
      <c r="F71" s="79" t="s">
        <v>71</v>
      </c>
      <c r="G71" s="79" t="s">
        <v>87</v>
      </c>
      <c r="H71" s="79" t="s">
        <v>14</v>
      </c>
      <c r="I71" s="78" t="s">
        <v>14</v>
      </c>
      <c r="J71" s="79" t="s">
        <v>14</v>
      </c>
      <c r="K71" s="142" t="s">
        <v>1850</v>
      </c>
      <c r="L71" s="149" t="s">
        <v>1844</v>
      </c>
      <c r="M71" s="150" t="s">
        <v>12</v>
      </c>
      <c r="N71" s="151">
        <v>10</v>
      </c>
      <c r="O71" s="151">
        <v>0</v>
      </c>
      <c r="P71" s="152">
        <v>0</v>
      </c>
      <c r="Q71" s="153">
        <v>91.3</v>
      </c>
      <c r="R71" s="154">
        <v>3</v>
      </c>
      <c r="S71" s="38">
        <f t="shared" si="11"/>
        <v>0</v>
      </c>
      <c r="T71" s="39">
        <f t="shared" si="12"/>
        <v>14</v>
      </c>
      <c r="U71" s="40">
        <f t="shared" si="13"/>
        <v>0</v>
      </c>
      <c r="V71" s="40">
        <f t="shared" si="14"/>
        <v>0</v>
      </c>
      <c r="W71" s="40">
        <f t="shared" si="15"/>
        <v>0</v>
      </c>
      <c r="X71" s="40">
        <f t="shared" si="16"/>
        <v>0</v>
      </c>
      <c r="Y71" s="40">
        <f t="shared" si="17"/>
        <v>0</v>
      </c>
      <c r="Z71" s="40">
        <f t="shared" si="18"/>
        <v>0</v>
      </c>
      <c r="AA71" s="40">
        <f t="shared" si="19"/>
        <v>0</v>
      </c>
      <c r="AB71" s="40">
        <f t="shared" si="20"/>
        <v>0</v>
      </c>
      <c r="AC71" s="41">
        <f t="shared" si="21"/>
        <v>0</v>
      </c>
      <c r="AD71" s="49" t="s">
        <v>5</v>
      </c>
      <c r="AE71" s="50" t="s">
        <v>89</v>
      </c>
      <c r="AF71" s="49" t="s">
        <v>5</v>
      </c>
      <c r="AG71" s="50" t="s">
        <v>117</v>
      </c>
      <c r="AH71" s="49" t="s">
        <v>5</v>
      </c>
      <c r="AI71" s="50" t="s">
        <v>142</v>
      </c>
      <c r="AJ71" s="49" t="s">
        <v>5</v>
      </c>
      <c r="AK71" s="50" t="s">
        <v>459</v>
      </c>
      <c r="AL71" s="49" t="s">
        <v>5</v>
      </c>
      <c r="AM71" s="50" t="s">
        <v>98</v>
      </c>
      <c r="AN71" s="49" t="s">
        <v>5</v>
      </c>
      <c r="AO71" s="50" t="s">
        <v>75</v>
      </c>
      <c r="AP71" s="49" t="s">
        <v>5</v>
      </c>
      <c r="AQ71" s="50" t="s">
        <v>92</v>
      </c>
      <c r="AR71" s="49" t="s">
        <v>5</v>
      </c>
      <c r="AS71" s="50" t="s">
        <v>104</v>
      </c>
      <c r="AT71" s="49" t="s">
        <v>5</v>
      </c>
      <c r="AU71" s="50" t="s">
        <v>105</v>
      </c>
      <c r="AV71" s="49" t="s">
        <v>5</v>
      </c>
      <c r="AW71" s="50" t="s">
        <v>94</v>
      </c>
      <c r="AX71" s="49" t="s">
        <v>5</v>
      </c>
      <c r="AY71" s="50" t="s">
        <v>80</v>
      </c>
      <c r="AZ71" s="49"/>
      <c r="BA71" s="50"/>
      <c r="BB71" s="49" t="s">
        <v>5</v>
      </c>
      <c r="BC71" s="50" t="s">
        <v>152</v>
      </c>
      <c r="BD71" s="49" t="s">
        <v>5</v>
      </c>
      <c r="BE71" s="50" t="s">
        <v>122</v>
      </c>
      <c r="BF71" s="49" t="s">
        <v>5</v>
      </c>
      <c r="BG71" s="50" t="s">
        <v>164</v>
      </c>
      <c r="BH71" s="49"/>
      <c r="BI71" s="50"/>
    </row>
    <row r="72" spans="1:61" ht="30" x14ac:dyDescent="0.25">
      <c r="A72" s="76">
        <v>152798</v>
      </c>
      <c r="B72" s="77" t="s">
        <v>1696</v>
      </c>
      <c r="C72" s="78" t="s">
        <v>1648</v>
      </c>
      <c r="D72" s="76" t="s">
        <v>70</v>
      </c>
      <c r="E72" s="79" t="s">
        <v>14</v>
      </c>
      <c r="F72" s="77" t="s">
        <v>900</v>
      </c>
      <c r="G72" s="79" t="s">
        <v>14</v>
      </c>
      <c r="H72" s="79" t="s">
        <v>14</v>
      </c>
      <c r="I72" s="78" t="s">
        <v>14</v>
      </c>
      <c r="J72" s="79" t="s">
        <v>14</v>
      </c>
      <c r="K72" s="142" t="s">
        <v>1850</v>
      </c>
      <c r="L72" s="149" t="s">
        <v>1841</v>
      </c>
      <c r="M72" s="150" t="s">
        <v>1853</v>
      </c>
      <c r="N72" s="151">
        <v>17</v>
      </c>
      <c r="O72" s="151">
        <v>0</v>
      </c>
      <c r="P72" s="152">
        <v>0</v>
      </c>
      <c r="Q72" s="153">
        <v>100</v>
      </c>
      <c r="R72" s="154">
        <v>0</v>
      </c>
      <c r="S72" s="38">
        <f t="shared" si="11"/>
        <v>0</v>
      </c>
      <c r="T72" s="39">
        <f t="shared" si="12"/>
        <v>14</v>
      </c>
      <c r="U72" s="40">
        <f t="shared" si="13"/>
        <v>0</v>
      </c>
      <c r="V72" s="40">
        <f t="shared" si="14"/>
        <v>0</v>
      </c>
      <c r="W72" s="40">
        <f t="shared" si="15"/>
        <v>0</v>
      </c>
      <c r="X72" s="40">
        <f t="shared" si="16"/>
        <v>0</v>
      </c>
      <c r="Y72" s="40">
        <f t="shared" si="17"/>
        <v>0</v>
      </c>
      <c r="Z72" s="40">
        <f t="shared" si="18"/>
        <v>0</v>
      </c>
      <c r="AA72" s="40">
        <f t="shared" si="19"/>
        <v>0</v>
      </c>
      <c r="AB72" s="40">
        <f t="shared" si="20"/>
        <v>0</v>
      </c>
      <c r="AC72" s="41">
        <f t="shared" si="21"/>
        <v>0</v>
      </c>
      <c r="AD72" s="49" t="s">
        <v>5</v>
      </c>
      <c r="AE72" s="50" t="s">
        <v>116</v>
      </c>
      <c r="AF72" s="49" t="s">
        <v>5</v>
      </c>
      <c r="AG72" s="50" t="s">
        <v>117</v>
      </c>
      <c r="AH72" s="49" t="s">
        <v>5</v>
      </c>
      <c r="AI72" s="50" t="s">
        <v>101</v>
      </c>
      <c r="AJ72" s="49" t="s">
        <v>5</v>
      </c>
      <c r="AK72" s="50" t="s">
        <v>722</v>
      </c>
      <c r="AL72" s="49" t="s">
        <v>5</v>
      </c>
      <c r="AM72" s="50" t="s">
        <v>714</v>
      </c>
      <c r="AN72" s="49" t="s">
        <v>5</v>
      </c>
      <c r="AO72" s="50" t="s">
        <v>124</v>
      </c>
      <c r="AP72" s="49" t="s">
        <v>5</v>
      </c>
      <c r="AQ72" s="50" t="s">
        <v>76</v>
      </c>
      <c r="AR72" s="49" t="s">
        <v>5</v>
      </c>
      <c r="AS72" s="50" t="s">
        <v>132</v>
      </c>
      <c r="AT72" s="49" t="s">
        <v>5</v>
      </c>
      <c r="AU72" s="50" t="s">
        <v>163</v>
      </c>
      <c r="AV72" s="49" t="s">
        <v>5</v>
      </c>
      <c r="AW72" s="50" t="s">
        <v>79</v>
      </c>
      <c r="AX72" s="49" t="s">
        <v>5</v>
      </c>
      <c r="AY72" s="50" t="s">
        <v>95</v>
      </c>
      <c r="AZ72" s="49"/>
      <c r="BA72" s="50"/>
      <c r="BB72" s="49" t="s">
        <v>5</v>
      </c>
      <c r="BC72" s="50" t="s">
        <v>152</v>
      </c>
      <c r="BD72" s="49" t="s">
        <v>5</v>
      </c>
      <c r="BE72" s="50" t="s">
        <v>153</v>
      </c>
      <c r="BF72" s="49" t="s">
        <v>5</v>
      </c>
      <c r="BG72" s="50" t="s">
        <v>123</v>
      </c>
      <c r="BH72" s="49"/>
      <c r="BI72" s="50"/>
    </row>
    <row r="73" spans="1:61" x14ac:dyDescent="0.25">
      <c r="A73" s="76">
        <v>152949</v>
      </c>
      <c r="B73" s="77" t="s">
        <v>1697</v>
      </c>
      <c r="C73" s="78" t="s">
        <v>1648</v>
      </c>
      <c r="D73" s="76" t="s">
        <v>70</v>
      </c>
      <c r="E73" s="79" t="s">
        <v>14</v>
      </c>
      <c r="F73" s="79" t="s">
        <v>71</v>
      </c>
      <c r="G73" s="79" t="s">
        <v>14</v>
      </c>
      <c r="H73" s="79" t="s">
        <v>14</v>
      </c>
      <c r="I73" s="78" t="s">
        <v>14</v>
      </c>
      <c r="J73" s="79" t="s">
        <v>14</v>
      </c>
      <c r="K73" s="142" t="s">
        <v>1850</v>
      </c>
      <c r="L73" s="149" t="s">
        <v>1842</v>
      </c>
      <c r="M73" s="150" t="s">
        <v>12</v>
      </c>
      <c r="N73" s="151">
        <v>17</v>
      </c>
      <c r="O73" s="151">
        <v>0</v>
      </c>
      <c r="P73" s="152">
        <v>1</v>
      </c>
      <c r="Q73" s="153">
        <v>100</v>
      </c>
      <c r="R73" s="154">
        <v>0</v>
      </c>
      <c r="S73" s="38">
        <f t="shared" si="11"/>
        <v>1</v>
      </c>
      <c r="T73" s="39">
        <f t="shared" si="12"/>
        <v>13</v>
      </c>
      <c r="U73" s="40">
        <f t="shared" si="13"/>
        <v>0</v>
      </c>
      <c r="V73" s="40">
        <f t="shared" si="14"/>
        <v>0</v>
      </c>
      <c r="W73" s="40">
        <f t="shared" si="15"/>
        <v>0</v>
      </c>
      <c r="X73" s="40">
        <f t="shared" si="16"/>
        <v>0</v>
      </c>
      <c r="Y73" s="40">
        <f t="shared" si="17"/>
        <v>0</v>
      </c>
      <c r="Z73" s="40">
        <f t="shared" si="18"/>
        <v>0</v>
      </c>
      <c r="AA73" s="40">
        <f t="shared" si="19"/>
        <v>0</v>
      </c>
      <c r="AB73" s="40">
        <f t="shared" si="20"/>
        <v>0</v>
      </c>
      <c r="AC73" s="41">
        <f t="shared" si="21"/>
        <v>0</v>
      </c>
      <c r="AD73" s="49" t="s">
        <v>5</v>
      </c>
      <c r="AE73" s="50" t="s">
        <v>116</v>
      </c>
      <c r="AF73" s="49" t="s">
        <v>5</v>
      </c>
      <c r="AG73" s="50" t="s">
        <v>135</v>
      </c>
      <c r="AH73" s="49" t="s">
        <v>5</v>
      </c>
      <c r="AI73" s="50" t="s">
        <v>101</v>
      </c>
      <c r="AJ73" s="49" t="s">
        <v>5</v>
      </c>
      <c r="AK73" s="50" t="s">
        <v>722</v>
      </c>
      <c r="AL73" s="49" t="s">
        <v>5</v>
      </c>
      <c r="AM73" s="50" t="s">
        <v>714</v>
      </c>
      <c r="AN73" s="49" t="s">
        <v>5</v>
      </c>
      <c r="AO73" s="50" t="s">
        <v>124</v>
      </c>
      <c r="AP73" s="49" t="s">
        <v>5</v>
      </c>
      <c r="AQ73" s="50" t="s">
        <v>76</v>
      </c>
      <c r="AR73" s="49" t="s">
        <v>5</v>
      </c>
      <c r="AS73" s="50" t="s">
        <v>132</v>
      </c>
      <c r="AT73" s="49" t="s">
        <v>5</v>
      </c>
      <c r="AU73" s="50" t="s">
        <v>163</v>
      </c>
      <c r="AV73" s="49" t="s">
        <v>5</v>
      </c>
      <c r="AW73" s="50" t="s">
        <v>112</v>
      </c>
      <c r="AX73" s="49" t="s">
        <v>1</v>
      </c>
      <c r="AY73" s="50" t="s">
        <v>95</v>
      </c>
      <c r="AZ73" s="49"/>
      <c r="BA73" s="50"/>
      <c r="BB73" s="49" t="s">
        <v>5</v>
      </c>
      <c r="BC73" s="50" t="s">
        <v>152</v>
      </c>
      <c r="BD73" s="49" t="s">
        <v>5</v>
      </c>
      <c r="BE73" s="50" t="s">
        <v>153</v>
      </c>
      <c r="BF73" s="49" t="s">
        <v>5</v>
      </c>
      <c r="BG73" s="50" t="s">
        <v>83</v>
      </c>
      <c r="BH73" s="49"/>
      <c r="BI73" s="50"/>
    </row>
    <row r="74" spans="1:61" ht="30" x14ac:dyDescent="0.25">
      <c r="A74" s="76">
        <v>152815</v>
      </c>
      <c r="B74" s="77" t="s">
        <v>1698</v>
      </c>
      <c r="C74" s="78" t="s">
        <v>1630</v>
      </c>
      <c r="D74" s="76" t="s">
        <v>12</v>
      </c>
      <c r="E74" s="79" t="s">
        <v>87</v>
      </c>
      <c r="F74" s="77" t="s">
        <v>146</v>
      </c>
      <c r="G74" s="79" t="s">
        <v>14</v>
      </c>
      <c r="H74" s="79" t="s">
        <v>87</v>
      </c>
      <c r="I74" s="78" t="s">
        <v>14</v>
      </c>
      <c r="J74" s="79" t="s">
        <v>14</v>
      </c>
      <c r="K74" s="142" t="s">
        <v>1850</v>
      </c>
      <c r="L74" s="149" t="s">
        <v>1842</v>
      </c>
      <c r="M74" s="150" t="s">
        <v>1853</v>
      </c>
      <c r="N74" s="151">
        <v>23</v>
      </c>
      <c r="O74" s="151">
        <v>0</v>
      </c>
      <c r="P74" s="152">
        <v>1</v>
      </c>
      <c r="Q74" s="153">
        <v>100</v>
      </c>
      <c r="R74" s="154">
        <v>0</v>
      </c>
      <c r="S74" s="38">
        <f t="shared" si="11"/>
        <v>1</v>
      </c>
      <c r="T74" s="39">
        <f t="shared" si="12"/>
        <v>13</v>
      </c>
      <c r="U74" s="40">
        <f t="shared" si="13"/>
        <v>0</v>
      </c>
      <c r="V74" s="40">
        <f t="shared" si="14"/>
        <v>0</v>
      </c>
      <c r="W74" s="40">
        <f t="shared" si="15"/>
        <v>0</v>
      </c>
      <c r="X74" s="40">
        <f t="shared" si="16"/>
        <v>0</v>
      </c>
      <c r="Y74" s="40">
        <f t="shared" si="17"/>
        <v>0</v>
      </c>
      <c r="Z74" s="40">
        <f t="shared" si="18"/>
        <v>0</v>
      </c>
      <c r="AA74" s="40">
        <f t="shared" si="19"/>
        <v>0</v>
      </c>
      <c r="AB74" s="40">
        <f t="shared" si="20"/>
        <v>0</v>
      </c>
      <c r="AC74" s="41">
        <f t="shared" si="21"/>
        <v>0</v>
      </c>
      <c r="AD74" s="49" t="s">
        <v>5</v>
      </c>
      <c r="AE74" s="50" t="s">
        <v>89</v>
      </c>
      <c r="AF74" s="49" t="s">
        <v>5</v>
      </c>
      <c r="AG74" s="50" t="s">
        <v>90</v>
      </c>
      <c r="AH74" s="49" t="s">
        <v>5</v>
      </c>
      <c r="AI74" s="50" t="s">
        <v>101</v>
      </c>
      <c r="AJ74" s="49" t="s">
        <v>5</v>
      </c>
      <c r="AK74" s="50" t="s">
        <v>102</v>
      </c>
      <c r="AL74" s="49" t="s">
        <v>1</v>
      </c>
      <c r="AM74" s="50" t="s">
        <v>94</v>
      </c>
      <c r="AN74" s="49"/>
      <c r="AO74" s="50"/>
      <c r="AP74" s="49" t="s">
        <v>5</v>
      </c>
      <c r="AQ74" s="50" t="s">
        <v>131</v>
      </c>
      <c r="AR74" s="49" t="s">
        <v>5</v>
      </c>
      <c r="AS74" s="50" t="s">
        <v>120</v>
      </c>
      <c r="AT74" s="49" t="s">
        <v>5</v>
      </c>
      <c r="AU74" s="50" t="s">
        <v>78</v>
      </c>
      <c r="AV74" s="49" t="s">
        <v>5</v>
      </c>
      <c r="AW74" s="50" t="s">
        <v>112</v>
      </c>
      <c r="AX74" s="49" t="s">
        <v>5</v>
      </c>
      <c r="AY74" s="50" t="s">
        <v>95</v>
      </c>
      <c r="AZ74" s="49"/>
      <c r="BA74" s="50"/>
      <c r="BB74" s="49" t="s">
        <v>5</v>
      </c>
      <c r="BC74" s="50" t="s">
        <v>741</v>
      </c>
      <c r="BD74" s="49" t="s">
        <v>5</v>
      </c>
      <c r="BE74" s="50" t="s">
        <v>495</v>
      </c>
      <c r="BF74" s="49" t="s">
        <v>5</v>
      </c>
      <c r="BG74" s="50" t="s">
        <v>83</v>
      </c>
      <c r="BH74" s="49" t="s">
        <v>5</v>
      </c>
      <c r="BI74" s="50" t="s">
        <v>103</v>
      </c>
    </row>
    <row r="75" spans="1:61" x14ac:dyDescent="0.25">
      <c r="A75" s="76">
        <v>152881</v>
      </c>
      <c r="B75" s="77" t="s">
        <v>1699</v>
      </c>
      <c r="C75" s="78" t="s">
        <v>1628</v>
      </c>
      <c r="D75" s="76" t="s">
        <v>70</v>
      </c>
      <c r="E75" s="79" t="s">
        <v>14</v>
      </c>
      <c r="F75" s="79" t="s">
        <v>71</v>
      </c>
      <c r="G75" s="79" t="s">
        <v>14</v>
      </c>
      <c r="H75" s="79" t="s">
        <v>14</v>
      </c>
      <c r="I75" s="78" t="s">
        <v>14</v>
      </c>
      <c r="J75" s="79" t="s">
        <v>14</v>
      </c>
      <c r="K75" s="142" t="s">
        <v>1850</v>
      </c>
      <c r="L75" s="149" t="s">
        <v>1842</v>
      </c>
      <c r="M75" s="150" t="s">
        <v>1853</v>
      </c>
      <c r="N75" s="151">
        <v>17</v>
      </c>
      <c r="O75" s="151">
        <v>0</v>
      </c>
      <c r="P75" s="152">
        <v>1</v>
      </c>
      <c r="Q75" s="153">
        <v>93.48</v>
      </c>
      <c r="R75" s="154">
        <v>1</v>
      </c>
      <c r="S75" s="38">
        <f t="shared" si="11"/>
        <v>1</v>
      </c>
      <c r="T75" s="39">
        <f t="shared" si="12"/>
        <v>13</v>
      </c>
      <c r="U75" s="40">
        <f t="shared" si="13"/>
        <v>0</v>
      </c>
      <c r="V75" s="40">
        <f t="shared" si="14"/>
        <v>0</v>
      </c>
      <c r="W75" s="40">
        <f t="shared" si="15"/>
        <v>0</v>
      </c>
      <c r="X75" s="40">
        <f t="shared" si="16"/>
        <v>0</v>
      </c>
      <c r="Y75" s="40">
        <f t="shared" si="17"/>
        <v>0</v>
      </c>
      <c r="Z75" s="40">
        <f t="shared" si="18"/>
        <v>0</v>
      </c>
      <c r="AA75" s="40">
        <f t="shared" si="19"/>
        <v>0</v>
      </c>
      <c r="AB75" s="40">
        <f t="shared" si="20"/>
        <v>0</v>
      </c>
      <c r="AC75" s="41">
        <f t="shared" si="21"/>
        <v>0</v>
      </c>
      <c r="AD75" s="49" t="s">
        <v>5</v>
      </c>
      <c r="AE75" s="50" t="s">
        <v>116</v>
      </c>
      <c r="AF75" s="49" t="s">
        <v>5</v>
      </c>
      <c r="AG75" s="50" t="s">
        <v>90</v>
      </c>
      <c r="AH75" s="49" t="s">
        <v>5</v>
      </c>
      <c r="AI75" s="50" t="s">
        <v>101</v>
      </c>
      <c r="AJ75" s="49" t="s">
        <v>5</v>
      </c>
      <c r="AK75" s="50" t="s">
        <v>459</v>
      </c>
      <c r="AL75" s="49" t="s">
        <v>5</v>
      </c>
      <c r="AM75" s="50" t="s">
        <v>106</v>
      </c>
      <c r="AN75" s="49" t="s">
        <v>5</v>
      </c>
      <c r="AO75" s="50" t="s">
        <v>103</v>
      </c>
      <c r="AP75" s="49" t="s">
        <v>5</v>
      </c>
      <c r="AQ75" s="50" t="s">
        <v>144</v>
      </c>
      <c r="AR75" s="49" t="s">
        <v>5</v>
      </c>
      <c r="AS75" s="50" t="s">
        <v>104</v>
      </c>
      <c r="AT75" s="49" t="s">
        <v>5</v>
      </c>
      <c r="AU75" s="50" t="s">
        <v>105</v>
      </c>
      <c r="AV75" s="49" t="s">
        <v>5</v>
      </c>
      <c r="AW75" s="50" t="s">
        <v>79</v>
      </c>
      <c r="AX75" s="49" t="s">
        <v>1</v>
      </c>
      <c r="AY75" s="50" t="s">
        <v>95</v>
      </c>
      <c r="AZ75" s="49"/>
      <c r="BA75" s="50"/>
      <c r="BB75" s="49" t="s">
        <v>5</v>
      </c>
      <c r="BC75" s="50" t="s">
        <v>81</v>
      </c>
      <c r="BD75" s="49" t="s">
        <v>5</v>
      </c>
      <c r="BE75" s="50" t="s">
        <v>108</v>
      </c>
      <c r="BF75" s="49" t="s">
        <v>5</v>
      </c>
      <c r="BG75" s="50" t="s">
        <v>83</v>
      </c>
      <c r="BH75" s="49"/>
      <c r="BI75" s="50"/>
    </row>
    <row r="76" spans="1:61" x14ac:dyDescent="0.25">
      <c r="A76" s="76">
        <v>152768</v>
      </c>
      <c r="B76" s="77" t="s">
        <v>1700</v>
      </c>
      <c r="C76" s="78" t="s">
        <v>1665</v>
      </c>
      <c r="D76" s="76" t="s">
        <v>12</v>
      </c>
      <c r="E76" s="79" t="s">
        <v>87</v>
      </c>
      <c r="F76" s="79" t="s">
        <v>88</v>
      </c>
      <c r="G76" s="79" t="s">
        <v>14</v>
      </c>
      <c r="H76" s="79" t="s">
        <v>87</v>
      </c>
      <c r="I76" s="78" t="s">
        <v>14</v>
      </c>
      <c r="J76" s="79" t="s">
        <v>14</v>
      </c>
      <c r="K76" s="142" t="s">
        <v>1850</v>
      </c>
      <c r="L76" s="149" t="s">
        <v>1842</v>
      </c>
      <c r="M76" s="150" t="s">
        <v>1853</v>
      </c>
      <c r="N76" s="151">
        <v>13</v>
      </c>
      <c r="O76" s="151">
        <v>2</v>
      </c>
      <c r="P76" s="152">
        <v>0</v>
      </c>
      <c r="Q76" s="153">
        <v>91.11</v>
      </c>
      <c r="R76" s="154">
        <v>2</v>
      </c>
      <c r="S76" s="38">
        <f t="shared" si="11"/>
        <v>0</v>
      </c>
      <c r="T76" s="39">
        <f t="shared" si="12"/>
        <v>11</v>
      </c>
      <c r="U76" s="40">
        <f t="shared" si="13"/>
        <v>1</v>
      </c>
      <c r="V76" s="40">
        <f t="shared" si="14"/>
        <v>2</v>
      </c>
      <c r="W76" s="40">
        <f t="shared" si="15"/>
        <v>0</v>
      </c>
      <c r="X76" s="40">
        <f t="shared" si="16"/>
        <v>3</v>
      </c>
      <c r="Y76" s="40">
        <f t="shared" si="17"/>
        <v>0</v>
      </c>
      <c r="Z76" s="40">
        <f t="shared" si="18"/>
        <v>0</v>
      </c>
      <c r="AA76" s="40">
        <f t="shared" si="19"/>
        <v>0</v>
      </c>
      <c r="AB76" s="40">
        <f t="shared" si="20"/>
        <v>0</v>
      </c>
      <c r="AC76" s="41">
        <f t="shared" si="21"/>
        <v>0</v>
      </c>
      <c r="AD76" s="49" t="s">
        <v>5</v>
      </c>
      <c r="AE76" s="50" t="s">
        <v>116</v>
      </c>
      <c r="AF76" s="49"/>
      <c r="AG76" s="50"/>
      <c r="AH76" s="49" t="s">
        <v>31</v>
      </c>
      <c r="AI76" s="50" t="s">
        <v>101</v>
      </c>
      <c r="AJ76" s="49" t="s">
        <v>5</v>
      </c>
      <c r="AK76" s="50" t="s">
        <v>74</v>
      </c>
      <c r="AL76" s="49" t="s">
        <v>5</v>
      </c>
      <c r="AM76" s="50" t="s">
        <v>92</v>
      </c>
      <c r="AN76" s="49"/>
      <c r="AO76" s="50"/>
      <c r="AP76" s="49" t="s">
        <v>5</v>
      </c>
      <c r="AQ76" s="50" t="s">
        <v>131</v>
      </c>
      <c r="AR76" s="49" t="s">
        <v>5</v>
      </c>
      <c r="AS76" s="50" t="s">
        <v>104</v>
      </c>
      <c r="AT76" s="49" t="s">
        <v>5</v>
      </c>
      <c r="AU76" s="50" t="s">
        <v>105</v>
      </c>
      <c r="AV76" s="49" t="s">
        <v>5</v>
      </c>
      <c r="AW76" s="50" t="s">
        <v>112</v>
      </c>
      <c r="AX76" s="49" t="s">
        <v>30</v>
      </c>
      <c r="AY76" s="50" t="s">
        <v>95</v>
      </c>
      <c r="AZ76" s="49" t="s">
        <v>5</v>
      </c>
      <c r="BA76" s="50" t="s">
        <v>105</v>
      </c>
      <c r="BB76" s="49" t="s">
        <v>31</v>
      </c>
      <c r="BC76" s="50" t="s">
        <v>741</v>
      </c>
      <c r="BD76" s="49" t="s">
        <v>5</v>
      </c>
      <c r="BE76" s="50" t="s">
        <v>457</v>
      </c>
      <c r="BF76" s="49" t="s">
        <v>5</v>
      </c>
      <c r="BG76" s="50" t="s">
        <v>164</v>
      </c>
      <c r="BH76" s="49" t="s">
        <v>5</v>
      </c>
      <c r="BI76" s="50" t="s">
        <v>84</v>
      </c>
    </row>
    <row r="77" spans="1:61" x14ac:dyDescent="0.25">
      <c r="A77" s="76">
        <v>152843</v>
      </c>
      <c r="B77" s="77" t="s">
        <v>1701</v>
      </c>
      <c r="C77" s="78" t="s">
        <v>1639</v>
      </c>
      <c r="D77" s="76" t="s">
        <v>12</v>
      </c>
      <c r="E77" s="79" t="s">
        <v>14</v>
      </c>
      <c r="F77" s="79" t="s">
        <v>71</v>
      </c>
      <c r="G77" s="79" t="s">
        <v>14</v>
      </c>
      <c r="H77" s="79" t="s">
        <v>14</v>
      </c>
      <c r="I77" s="78" t="s">
        <v>14</v>
      </c>
      <c r="J77" s="79" t="s">
        <v>14</v>
      </c>
      <c r="K77" s="142" t="s">
        <v>1850</v>
      </c>
      <c r="L77" s="149" t="s">
        <v>1844</v>
      </c>
      <c r="M77" s="150" t="s">
        <v>12</v>
      </c>
      <c r="N77" s="151">
        <v>17</v>
      </c>
      <c r="O77" s="151">
        <v>2</v>
      </c>
      <c r="P77" s="152">
        <v>0</v>
      </c>
      <c r="Q77" s="153">
        <v>100</v>
      </c>
      <c r="R77" s="154">
        <v>3</v>
      </c>
      <c r="S77" s="38">
        <f t="shared" si="11"/>
        <v>2</v>
      </c>
      <c r="T77" s="39">
        <f t="shared" si="12"/>
        <v>12</v>
      </c>
      <c r="U77" s="40">
        <f t="shared" si="13"/>
        <v>0</v>
      </c>
      <c r="V77" s="40">
        <f t="shared" si="14"/>
        <v>0</v>
      </c>
      <c r="W77" s="40">
        <f t="shared" si="15"/>
        <v>0</v>
      </c>
      <c r="X77" s="40">
        <f t="shared" si="16"/>
        <v>0</v>
      </c>
      <c r="Y77" s="40">
        <f t="shared" si="17"/>
        <v>0</v>
      </c>
      <c r="Z77" s="40">
        <f t="shared" si="18"/>
        <v>0</v>
      </c>
      <c r="AA77" s="40">
        <f t="shared" si="19"/>
        <v>0</v>
      </c>
      <c r="AB77" s="40">
        <f t="shared" si="20"/>
        <v>0</v>
      </c>
      <c r="AC77" s="41">
        <f t="shared" si="21"/>
        <v>0</v>
      </c>
      <c r="AD77" s="49" t="s">
        <v>1</v>
      </c>
      <c r="AE77" s="50" t="s">
        <v>72</v>
      </c>
      <c r="AF77" s="49"/>
      <c r="AG77" s="50"/>
      <c r="AH77" s="49" t="s">
        <v>5</v>
      </c>
      <c r="AI77" s="50" t="s">
        <v>101</v>
      </c>
      <c r="AJ77" s="49" t="s">
        <v>5</v>
      </c>
      <c r="AK77" s="50" t="s">
        <v>142</v>
      </c>
      <c r="AL77" s="49" t="s">
        <v>5</v>
      </c>
      <c r="AM77" s="50" t="s">
        <v>130</v>
      </c>
      <c r="AN77" s="49" t="s">
        <v>5</v>
      </c>
      <c r="AO77" s="50" t="s">
        <v>143</v>
      </c>
      <c r="AP77" s="49" t="s">
        <v>5</v>
      </c>
      <c r="AQ77" s="50" t="s">
        <v>131</v>
      </c>
      <c r="AR77" s="49" t="s">
        <v>5</v>
      </c>
      <c r="AS77" s="50" t="s">
        <v>120</v>
      </c>
      <c r="AT77" s="49" t="s">
        <v>5</v>
      </c>
      <c r="AU77" s="50" t="s">
        <v>105</v>
      </c>
      <c r="AV77" s="49" t="s">
        <v>5</v>
      </c>
      <c r="AW77" s="50" t="s">
        <v>112</v>
      </c>
      <c r="AX77" s="49" t="s">
        <v>5</v>
      </c>
      <c r="AY77" s="50" t="s">
        <v>80</v>
      </c>
      <c r="AZ77" s="49" t="s">
        <v>5</v>
      </c>
      <c r="BA77" s="50" t="s">
        <v>120</v>
      </c>
      <c r="BB77" s="49" t="s">
        <v>1</v>
      </c>
      <c r="BC77" s="50" t="s">
        <v>96</v>
      </c>
      <c r="BD77" s="49" t="s">
        <v>5</v>
      </c>
      <c r="BE77" s="50" t="s">
        <v>82</v>
      </c>
      <c r="BF77" s="49" t="s">
        <v>5</v>
      </c>
      <c r="BG77" s="50" t="s">
        <v>98</v>
      </c>
      <c r="BH77" s="49"/>
      <c r="BI77" s="50"/>
    </row>
    <row r="78" spans="1:61" x14ac:dyDescent="0.25">
      <c r="A78" s="76">
        <v>152909</v>
      </c>
      <c r="B78" s="77" t="s">
        <v>1702</v>
      </c>
      <c r="C78" s="78" t="s">
        <v>1633</v>
      </c>
      <c r="D78" s="76" t="s">
        <v>12</v>
      </c>
      <c r="E78" s="79" t="s">
        <v>14</v>
      </c>
      <c r="F78" s="79" t="s">
        <v>71</v>
      </c>
      <c r="G78" s="79" t="s">
        <v>14</v>
      </c>
      <c r="H78" s="79" t="s">
        <v>14</v>
      </c>
      <c r="I78" s="78" t="s">
        <v>14</v>
      </c>
      <c r="J78" s="79" t="s">
        <v>14</v>
      </c>
      <c r="K78" s="142" t="s">
        <v>1850</v>
      </c>
      <c r="L78" s="149" t="s">
        <v>1845</v>
      </c>
      <c r="M78" s="150" t="s">
        <v>12</v>
      </c>
      <c r="N78" s="151">
        <v>3</v>
      </c>
      <c r="O78" s="151">
        <v>7</v>
      </c>
      <c r="P78" s="152">
        <v>0</v>
      </c>
      <c r="Q78" s="153">
        <v>72.22</v>
      </c>
      <c r="R78" s="154">
        <v>1</v>
      </c>
      <c r="S78" s="38">
        <f t="shared" si="11"/>
        <v>0</v>
      </c>
      <c r="T78" s="39">
        <f t="shared" si="12"/>
        <v>6</v>
      </c>
      <c r="U78" s="40">
        <f t="shared" si="13"/>
        <v>1</v>
      </c>
      <c r="V78" s="40">
        <f t="shared" si="14"/>
        <v>0</v>
      </c>
      <c r="W78" s="40">
        <f t="shared" si="15"/>
        <v>0</v>
      </c>
      <c r="X78" s="40">
        <f t="shared" si="16"/>
        <v>1</v>
      </c>
      <c r="Y78" s="40">
        <f t="shared" si="17"/>
        <v>0</v>
      </c>
      <c r="Z78" s="40">
        <f t="shared" si="18"/>
        <v>0</v>
      </c>
      <c r="AA78" s="40">
        <f t="shared" si="19"/>
        <v>0</v>
      </c>
      <c r="AB78" s="40">
        <f t="shared" si="20"/>
        <v>0</v>
      </c>
      <c r="AC78" s="41">
        <f t="shared" si="21"/>
        <v>0</v>
      </c>
      <c r="AD78" s="49" t="s">
        <v>5</v>
      </c>
      <c r="AE78" s="50" t="s">
        <v>89</v>
      </c>
      <c r="AF78" s="49" t="s">
        <v>189</v>
      </c>
      <c r="AG78" s="50" t="s">
        <v>135</v>
      </c>
      <c r="AH78" s="49" t="s">
        <v>189</v>
      </c>
      <c r="AI78" s="50" t="s">
        <v>101</v>
      </c>
      <c r="AJ78" s="49" t="s">
        <v>5</v>
      </c>
      <c r="AK78" s="50" t="s">
        <v>102</v>
      </c>
      <c r="AL78" s="49"/>
      <c r="AM78" s="50" t="s">
        <v>122</v>
      </c>
      <c r="AN78" s="49"/>
      <c r="AO78" s="50"/>
      <c r="AP78" s="49"/>
      <c r="AQ78" s="50" t="s">
        <v>131</v>
      </c>
      <c r="AR78" s="49" t="s">
        <v>5</v>
      </c>
      <c r="AS78" s="50" t="s">
        <v>120</v>
      </c>
      <c r="AT78" s="49" t="s">
        <v>5</v>
      </c>
      <c r="AU78" s="50" t="s">
        <v>163</v>
      </c>
      <c r="AV78" s="49" t="s">
        <v>5</v>
      </c>
      <c r="AW78" s="50" t="s">
        <v>112</v>
      </c>
      <c r="AX78" s="49" t="s">
        <v>5</v>
      </c>
      <c r="AY78" s="50" t="s">
        <v>95</v>
      </c>
      <c r="AZ78" s="49"/>
      <c r="BA78" s="50"/>
      <c r="BB78" s="49"/>
      <c r="BC78" s="50" t="s">
        <v>741</v>
      </c>
      <c r="BD78" s="49" t="s">
        <v>30</v>
      </c>
      <c r="BE78" s="50" t="s">
        <v>495</v>
      </c>
      <c r="BF78" s="49" t="s">
        <v>189</v>
      </c>
      <c r="BG78" s="50" t="s">
        <v>83</v>
      </c>
      <c r="BH78" s="49" t="s">
        <v>189</v>
      </c>
      <c r="BI78" s="50" t="s">
        <v>75</v>
      </c>
    </row>
    <row r="79" spans="1:61" x14ac:dyDescent="0.25">
      <c r="A79" s="76">
        <v>152867</v>
      </c>
      <c r="B79" s="77" t="s">
        <v>1703</v>
      </c>
      <c r="C79" s="78" t="s">
        <v>1622</v>
      </c>
      <c r="D79" s="76" t="s">
        <v>70</v>
      </c>
      <c r="E79" s="79" t="s">
        <v>14</v>
      </c>
      <c r="F79" s="79" t="s">
        <v>275</v>
      </c>
      <c r="G79" s="79" t="s">
        <v>14</v>
      </c>
      <c r="H79" s="79" t="s">
        <v>14</v>
      </c>
      <c r="I79" s="78" t="s">
        <v>14</v>
      </c>
      <c r="J79" s="79" t="s">
        <v>14</v>
      </c>
      <c r="K79" s="142" t="s">
        <v>1850</v>
      </c>
      <c r="L79" s="149" t="s">
        <v>1842</v>
      </c>
      <c r="M79" s="150" t="s">
        <v>1853</v>
      </c>
      <c r="N79" s="151">
        <v>15</v>
      </c>
      <c r="O79" s="151">
        <v>2</v>
      </c>
      <c r="P79" s="152">
        <v>0</v>
      </c>
      <c r="Q79" s="153">
        <v>95.65</v>
      </c>
      <c r="R79" s="154">
        <v>2</v>
      </c>
      <c r="S79" s="38">
        <f t="shared" si="11"/>
        <v>0</v>
      </c>
      <c r="T79" s="39">
        <f t="shared" si="12"/>
        <v>13</v>
      </c>
      <c r="U79" s="40">
        <f t="shared" si="13"/>
        <v>0</v>
      </c>
      <c r="V79" s="40">
        <f t="shared" si="14"/>
        <v>1</v>
      </c>
      <c r="W79" s="40">
        <f t="shared" si="15"/>
        <v>0</v>
      </c>
      <c r="X79" s="40">
        <f t="shared" si="16"/>
        <v>1</v>
      </c>
      <c r="Y79" s="40">
        <f t="shared" si="17"/>
        <v>0</v>
      </c>
      <c r="Z79" s="40">
        <f t="shared" si="18"/>
        <v>0</v>
      </c>
      <c r="AA79" s="40">
        <f t="shared" si="19"/>
        <v>0</v>
      </c>
      <c r="AB79" s="40">
        <f t="shared" si="20"/>
        <v>0</v>
      </c>
      <c r="AC79" s="41">
        <f t="shared" si="21"/>
        <v>0</v>
      </c>
      <c r="AD79" s="49" t="s">
        <v>5</v>
      </c>
      <c r="AE79" s="50" t="s">
        <v>89</v>
      </c>
      <c r="AF79" s="49" t="s">
        <v>5</v>
      </c>
      <c r="AG79" s="50" t="s">
        <v>90</v>
      </c>
      <c r="AH79" s="49" t="s">
        <v>5</v>
      </c>
      <c r="AI79" s="50" t="s">
        <v>142</v>
      </c>
      <c r="AJ79" s="49" t="s">
        <v>5</v>
      </c>
      <c r="AK79" s="50" t="s">
        <v>722</v>
      </c>
      <c r="AL79" s="49" t="s">
        <v>5</v>
      </c>
      <c r="AM79" s="50" t="s">
        <v>98</v>
      </c>
      <c r="AN79" s="49" t="s">
        <v>5</v>
      </c>
      <c r="AO79" s="50" t="s">
        <v>75</v>
      </c>
      <c r="AP79" s="49" t="s">
        <v>5</v>
      </c>
      <c r="AQ79" s="50" t="s">
        <v>92</v>
      </c>
      <c r="AR79" s="49" t="s">
        <v>5</v>
      </c>
      <c r="AS79" s="50" t="s">
        <v>104</v>
      </c>
      <c r="AT79" s="49" t="s">
        <v>5</v>
      </c>
      <c r="AU79" s="50" t="s">
        <v>105</v>
      </c>
      <c r="AV79" s="49" t="s">
        <v>31</v>
      </c>
      <c r="AW79" s="50" t="s">
        <v>79</v>
      </c>
      <c r="AX79" s="49" t="s">
        <v>5</v>
      </c>
      <c r="AY79" s="50" t="s">
        <v>80</v>
      </c>
      <c r="AZ79" s="49"/>
      <c r="BA79" s="50"/>
      <c r="BB79" s="49" t="s">
        <v>5</v>
      </c>
      <c r="BC79" s="50" t="s">
        <v>81</v>
      </c>
      <c r="BD79" s="49" t="s">
        <v>5</v>
      </c>
      <c r="BE79" s="50" t="s">
        <v>122</v>
      </c>
      <c r="BF79" s="49" t="s">
        <v>5</v>
      </c>
      <c r="BG79" s="50" t="s">
        <v>170</v>
      </c>
      <c r="BH79" s="49"/>
      <c r="BI79" s="50"/>
    </row>
    <row r="80" spans="1:61" x14ac:dyDescent="0.25">
      <c r="A80" s="76">
        <v>152840</v>
      </c>
      <c r="B80" s="77" t="s">
        <v>1704</v>
      </c>
      <c r="C80" s="78" t="s">
        <v>1633</v>
      </c>
      <c r="D80" s="76" t="s">
        <v>70</v>
      </c>
      <c r="E80" s="79" t="s">
        <v>87</v>
      </c>
      <c r="F80" s="79" t="s">
        <v>71</v>
      </c>
      <c r="G80" s="79" t="s">
        <v>14</v>
      </c>
      <c r="H80" s="79" t="s">
        <v>87</v>
      </c>
      <c r="I80" s="78" t="s">
        <v>14</v>
      </c>
      <c r="J80" s="79" t="s">
        <v>14</v>
      </c>
      <c r="K80" s="142" t="s">
        <v>1850</v>
      </c>
      <c r="L80" s="149" t="s">
        <v>1848</v>
      </c>
      <c r="M80" s="150" t="s">
        <v>1852</v>
      </c>
      <c r="N80" s="151">
        <v>20</v>
      </c>
      <c r="O80" s="151">
        <v>2</v>
      </c>
      <c r="P80" s="152">
        <v>1</v>
      </c>
      <c r="Q80" s="153">
        <v>100</v>
      </c>
      <c r="R80" s="154">
        <v>2</v>
      </c>
      <c r="S80" s="38">
        <f t="shared" si="11"/>
        <v>1</v>
      </c>
      <c r="T80" s="39">
        <f t="shared" si="12"/>
        <v>12</v>
      </c>
      <c r="U80" s="40">
        <f t="shared" si="13"/>
        <v>0</v>
      </c>
      <c r="V80" s="40">
        <f t="shared" si="14"/>
        <v>1</v>
      </c>
      <c r="W80" s="40">
        <f t="shared" si="15"/>
        <v>0</v>
      </c>
      <c r="X80" s="40">
        <f t="shared" si="16"/>
        <v>1</v>
      </c>
      <c r="Y80" s="40">
        <f t="shared" si="17"/>
        <v>0</v>
      </c>
      <c r="Z80" s="40">
        <f t="shared" si="18"/>
        <v>0</v>
      </c>
      <c r="AA80" s="40">
        <f t="shared" si="19"/>
        <v>0</v>
      </c>
      <c r="AB80" s="40">
        <f t="shared" si="20"/>
        <v>0</v>
      </c>
      <c r="AC80" s="41">
        <f t="shared" si="21"/>
        <v>0</v>
      </c>
      <c r="AD80" s="49" t="s">
        <v>1</v>
      </c>
      <c r="AE80" s="50" t="s">
        <v>89</v>
      </c>
      <c r="AF80" s="49" t="s">
        <v>5</v>
      </c>
      <c r="AG80" s="50" t="s">
        <v>90</v>
      </c>
      <c r="AH80" s="49" t="s">
        <v>5</v>
      </c>
      <c r="AI80" s="50" t="s">
        <v>101</v>
      </c>
      <c r="AJ80" s="49" t="s">
        <v>5</v>
      </c>
      <c r="AK80" s="50" t="s">
        <v>722</v>
      </c>
      <c r="AL80" s="49" t="s">
        <v>31</v>
      </c>
      <c r="AM80" s="50" t="s">
        <v>122</v>
      </c>
      <c r="AN80" s="49"/>
      <c r="AO80" s="50"/>
      <c r="AP80" s="49" t="s">
        <v>5</v>
      </c>
      <c r="AQ80" s="50" t="s">
        <v>131</v>
      </c>
      <c r="AR80" s="49" t="s">
        <v>5</v>
      </c>
      <c r="AS80" s="50" t="s">
        <v>120</v>
      </c>
      <c r="AT80" s="49" t="s">
        <v>5</v>
      </c>
      <c r="AU80" s="50" t="s">
        <v>163</v>
      </c>
      <c r="AV80" s="49" t="s">
        <v>5</v>
      </c>
      <c r="AW80" s="50" t="s">
        <v>430</v>
      </c>
      <c r="AX80" s="49" t="s">
        <v>5</v>
      </c>
      <c r="AY80" s="50" t="s">
        <v>95</v>
      </c>
      <c r="AZ80" s="49"/>
      <c r="BA80" s="50"/>
      <c r="BB80" s="49" t="s">
        <v>5</v>
      </c>
      <c r="BC80" s="50" t="s">
        <v>121</v>
      </c>
      <c r="BD80" s="49" t="s">
        <v>5</v>
      </c>
      <c r="BE80" s="50" t="s">
        <v>495</v>
      </c>
      <c r="BF80" s="49" t="s">
        <v>5</v>
      </c>
      <c r="BG80" s="50" t="s">
        <v>164</v>
      </c>
      <c r="BH80" s="49" t="s">
        <v>5</v>
      </c>
      <c r="BI80" s="50" t="s">
        <v>75</v>
      </c>
    </row>
    <row r="81" spans="1:61" x14ac:dyDescent="0.25">
      <c r="A81" s="76">
        <v>152872</v>
      </c>
      <c r="B81" s="77" t="s">
        <v>1705</v>
      </c>
      <c r="C81" s="78" t="s">
        <v>1665</v>
      </c>
      <c r="D81" s="76" t="s">
        <v>12</v>
      </c>
      <c r="E81" s="79" t="s">
        <v>14</v>
      </c>
      <c r="F81" s="79" t="s">
        <v>71</v>
      </c>
      <c r="G81" s="79" t="s">
        <v>14</v>
      </c>
      <c r="H81" s="79" t="s">
        <v>14</v>
      </c>
      <c r="I81" s="78" t="s">
        <v>14</v>
      </c>
      <c r="J81" s="79" t="s">
        <v>14</v>
      </c>
      <c r="K81" s="142" t="s">
        <v>1850</v>
      </c>
      <c r="L81" s="149" t="s">
        <v>1842</v>
      </c>
      <c r="M81" s="150" t="s">
        <v>1853</v>
      </c>
      <c r="N81" s="151">
        <v>18</v>
      </c>
      <c r="O81" s="151">
        <v>0</v>
      </c>
      <c r="P81" s="152">
        <v>1</v>
      </c>
      <c r="Q81" s="153">
        <v>91.11</v>
      </c>
      <c r="R81" s="154">
        <v>1</v>
      </c>
      <c r="S81" s="38">
        <f t="shared" si="11"/>
        <v>2</v>
      </c>
      <c r="T81" s="39">
        <f t="shared" si="12"/>
        <v>12</v>
      </c>
      <c r="U81" s="40">
        <f t="shared" si="13"/>
        <v>0</v>
      </c>
      <c r="V81" s="40">
        <f t="shared" si="14"/>
        <v>0</v>
      </c>
      <c r="W81" s="40">
        <f t="shared" si="15"/>
        <v>0</v>
      </c>
      <c r="X81" s="40">
        <f t="shared" si="16"/>
        <v>0</v>
      </c>
      <c r="Y81" s="40">
        <f t="shared" si="17"/>
        <v>0</v>
      </c>
      <c r="Z81" s="40">
        <f t="shared" si="18"/>
        <v>0</v>
      </c>
      <c r="AA81" s="40">
        <f t="shared" si="19"/>
        <v>0</v>
      </c>
      <c r="AB81" s="40">
        <f t="shared" si="20"/>
        <v>0</v>
      </c>
      <c r="AC81" s="41">
        <f t="shared" si="21"/>
        <v>0</v>
      </c>
      <c r="AD81" s="49" t="s">
        <v>5</v>
      </c>
      <c r="AE81" s="50" t="s">
        <v>116</v>
      </c>
      <c r="AF81" s="49" t="s">
        <v>5</v>
      </c>
      <c r="AG81" s="50" t="s">
        <v>117</v>
      </c>
      <c r="AH81" s="49" t="s">
        <v>5</v>
      </c>
      <c r="AI81" s="50" t="s">
        <v>101</v>
      </c>
      <c r="AJ81" s="49" t="s">
        <v>5</v>
      </c>
      <c r="AK81" s="50" t="s">
        <v>102</v>
      </c>
      <c r="AL81" s="49" t="s">
        <v>5</v>
      </c>
      <c r="AM81" s="50" t="s">
        <v>92</v>
      </c>
      <c r="AN81" s="49"/>
      <c r="AO81" s="50"/>
      <c r="AP81" s="49" t="s">
        <v>5</v>
      </c>
      <c r="AQ81" s="50" t="s">
        <v>131</v>
      </c>
      <c r="AR81" s="49" t="s">
        <v>1</v>
      </c>
      <c r="AS81" s="50" t="s">
        <v>104</v>
      </c>
      <c r="AT81" s="49" t="s">
        <v>5</v>
      </c>
      <c r="AU81" s="50" t="s">
        <v>105</v>
      </c>
      <c r="AV81" s="49" t="s">
        <v>5</v>
      </c>
      <c r="AW81" s="50" t="s">
        <v>112</v>
      </c>
      <c r="AX81" s="49" t="s">
        <v>5</v>
      </c>
      <c r="AY81" s="50" t="s">
        <v>95</v>
      </c>
      <c r="AZ81" s="49"/>
      <c r="BA81" s="50"/>
      <c r="BB81" s="49" t="s">
        <v>1</v>
      </c>
      <c r="BC81" s="50" t="s">
        <v>96</v>
      </c>
      <c r="BD81" s="49" t="s">
        <v>5</v>
      </c>
      <c r="BE81" s="50" t="s">
        <v>457</v>
      </c>
      <c r="BF81" s="49" t="s">
        <v>5</v>
      </c>
      <c r="BG81" s="50" t="s">
        <v>83</v>
      </c>
      <c r="BH81" s="49" t="s">
        <v>5</v>
      </c>
      <c r="BI81" s="50" t="s">
        <v>84</v>
      </c>
    </row>
    <row r="82" spans="1:61" x14ac:dyDescent="0.25">
      <c r="A82" s="76">
        <v>152874</v>
      </c>
      <c r="B82" s="77" t="s">
        <v>1706</v>
      </c>
      <c r="C82" s="78" t="s">
        <v>1622</v>
      </c>
      <c r="D82" s="76" t="s">
        <v>70</v>
      </c>
      <c r="E82" s="79" t="s">
        <v>14</v>
      </c>
      <c r="F82" s="79" t="s">
        <v>184</v>
      </c>
      <c r="G82" s="79" t="s">
        <v>87</v>
      </c>
      <c r="H82" s="79" t="s">
        <v>14</v>
      </c>
      <c r="I82" s="78" t="s">
        <v>14</v>
      </c>
      <c r="J82" s="79" t="s">
        <v>14</v>
      </c>
      <c r="K82" s="142" t="s">
        <v>1850</v>
      </c>
      <c r="L82" s="149" t="s">
        <v>1842</v>
      </c>
      <c r="M82" s="150" t="s">
        <v>12</v>
      </c>
      <c r="N82" s="151">
        <v>11</v>
      </c>
      <c r="O82" s="151">
        <v>0</v>
      </c>
      <c r="P82" s="152">
        <v>0</v>
      </c>
      <c r="Q82" s="153">
        <v>90.91</v>
      </c>
      <c r="R82" s="154">
        <v>2</v>
      </c>
      <c r="S82" s="38">
        <f t="shared" si="11"/>
        <v>1</v>
      </c>
      <c r="T82" s="39">
        <f t="shared" si="12"/>
        <v>13</v>
      </c>
      <c r="U82" s="40">
        <f t="shared" si="13"/>
        <v>0</v>
      </c>
      <c r="V82" s="40">
        <f t="shared" si="14"/>
        <v>0</v>
      </c>
      <c r="W82" s="40">
        <f t="shared" si="15"/>
        <v>0</v>
      </c>
      <c r="X82" s="40">
        <f t="shared" si="16"/>
        <v>0</v>
      </c>
      <c r="Y82" s="40">
        <f t="shared" si="17"/>
        <v>0</v>
      </c>
      <c r="Z82" s="40">
        <f t="shared" si="18"/>
        <v>0</v>
      </c>
      <c r="AA82" s="40">
        <f t="shared" si="19"/>
        <v>0</v>
      </c>
      <c r="AB82" s="40">
        <f t="shared" si="20"/>
        <v>0</v>
      </c>
      <c r="AC82" s="41">
        <f t="shared" si="21"/>
        <v>0</v>
      </c>
      <c r="AD82" s="49" t="s">
        <v>5</v>
      </c>
      <c r="AE82" s="50" t="s">
        <v>89</v>
      </c>
      <c r="AF82" s="49" t="s">
        <v>5</v>
      </c>
      <c r="AG82" s="50" t="s">
        <v>90</v>
      </c>
      <c r="AH82" s="49" t="s">
        <v>5</v>
      </c>
      <c r="AI82" s="50" t="s">
        <v>142</v>
      </c>
      <c r="AJ82" s="49" t="s">
        <v>5</v>
      </c>
      <c r="AK82" s="50" t="s">
        <v>459</v>
      </c>
      <c r="AL82" s="49" t="s">
        <v>5</v>
      </c>
      <c r="AM82" s="50" t="s">
        <v>98</v>
      </c>
      <c r="AN82" s="49" t="s">
        <v>5</v>
      </c>
      <c r="AO82" s="50" t="s">
        <v>75</v>
      </c>
      <c r="AP82" s="49" t="s">
        <v>5</v>
      </c>
      <c r="AQ82" s="50" t="s">
        <v>92</v>
      </c>
      <c r="AR82" s="49" t="s">
        <v>1</v>
      </c>
      <c r="AS82" s="50" t="s">
        <v>104</v>
      </c>
      <c r="AT82" s="49" t="s">
        <v>5</v>
      </c>
      <c r="AU82" s="50" t="s">
        <v>105</v>
      </c>
      <c r="AV82" s="49" t="s">
        <v>5</v>
      </c>
      <c r="AW82" s="50" t="s">
        <v>79</v>
      </c>
      <c r="AX82" s="49" t="s">
        <v>5</v>
      </c>
      <c r="AY82" s="50" t="s">
        <v>80</v>
      </c>
      <c r="AZ82" s="49"/>
      <c r="BA82" s="50"/>
      <c r="BB82" s="49" t="s">
        <v>5</v>
      </c>
      <c r="BC82" s="50" t="s">
        <v>152</v>
      </c>
      <c r="BD82" s="49" t="s">
        <v>5</v>
      </c>
      <c r="BE82" s="50" t="s">
        <v>122</v>
      </c>
      <c r="BF82" s="49" t="s">
        <v>5</v>
      </c>
      <c r="BG82" s="50" t="s">
        <v>98</v>
      </c>
      <c r="BH82" s="49"/>
      <c r="BI82" s="50"/>
    </row>
    <row r="83" spans="1:61" x14ac:dyDescent="0.25">
      <c r="A83" s="76">
        <v>152797</v>
      </c>
      <c r="B83" s="77" t="s">
        <v>1707</v>
      </c>
      <c r="C83" s="78" t="s">
        <v>1633</v>
      </c>
      <c r="D83" s="76" t="s">
        <v>12</v>
      </c>
      <c r="E83" s="79" t="s">
        <v>14</v>
      </c>
      <c r="F83" s="79" t="s">
        <v>88</v>
      </c>
      <c r="G83" s="79" t="s">
        <v>14</v>
      </c>
      <c r="H83" s="79" t="s">
        <v>14</v>
      </c>
      <c r="I83" s="78" t="s">
        <v>14</v>
      </c>
      <c r="J83" s="79" t="s">
        <v>6</v>
      </c>
      <c r="K83" s="142" t="s">
        <v>1850</v>
      </c>
      <c r="L83" s="149" t="s">
        <v>1842</v>
      </c>
      <c r="M83" s="150" t="s">
        <v>1853</v>
      </c>
      <c r="N83" s="151">
        <v>18</v>
      </c>
      <c r="O83" s="151">
        <v>0</v>
      </c>
      <c r="P83" s="152">
        <v>0</v>
      </c>
      <c r="Q83" s="153">
        <v>77.78</v>
      </c>
      <c r="R83" s="154">
        <v>1</v>
      </c>
      <c r="S83" s="38">
        <f t="shared" si="11"/>
        <v>1</v>
      </c>
      <c r="T83" s="39">
        <f t="shared" si="12"/>
        <v>13</v>
      </c>
      <c r="U83" s="40">
        <f t="shared" si="13"/>
        <v>0</v>
      </c>
      <c r="V83" s="40">
        <f t="shared" si="14"/>
        <v>0</v>
      </c>
      <c r="W83" s="40">
        <f t="shared" si="15"/>
        <v>0</v>
      </c>
      <c r="X83" s="40">
        <f t="shared" si="16"/>
        <v>0</v>
      </c>
      <c r="Y83" s="40">
        <f t="shared" si="17"/>
        <v>0</v>
      </c>
      <c r="Z83" s="40">
        <f t="shared" si="18"/>
        <v>0</v>
      </c>
      <c r="AA83" s="40">
        <f t="shared" si="19"/>
        <v>0</v>
      </c>
      <c r="AB83" s="40">
        <f t="shared" si="20"/>
        <v>0</v>
      </c>
      <c r="AC83" s="41">
        <f t="shared" si="21"/>
        <v>0</v>
      </c>
      <c r="AD83" s="49" t="s">
        <v>5</v>
      </c>
      <c r="AE83" s="50" t="s">
        <v>89</v>
      </c>
      <c r="AF83" s="49" t="s">
        <v>5</v>
      </c>
      <c r="AG83" s="50" t="s">
        <v>73</v>
      </c>
      <c r="AH83" s="49" t="s">
        <v>5</v>
      </c>
      <c r="AI83" s="50" t="s">
        <v>101</v>
      </c>
      <c r="AJ83" s="49" t="s">
        <v>5</v>
      </c>
      <c r="AK83" s="50" t="s">
        <v>102</v>
      </c>
      <c r="AL83" s="49" t="s">
        <v>5</v>
      </c>
      <c r="AM83" s="50" t="s">
        <v>122</v>
      </c>
      <c r="AN83" s="49"/>
      <c r="AO83" s="50"/>
      <c r="AP83" s="49" t="s">
        <v>5</v>
      </c>
      <c r="AQ83" s="50" t="s">
        <v>131</v>
      </c>
      <c r="AR83" s="49" t="s">
        <v>5</v>
      </c>
      <c r="AS83" s="50" t="s">
        <v>120</v>
      </c>
      <c r="AT83" s="49" t="s">
        <v>5</v>
      </c>
      <c r="AU83" s="50" t="s">
        <v>163</v>
      </c>
      <c r="AV83" s="49" t="s">
        <v>5</v>
      </c>
      <c r="AW83" s="50" t="s">
        <v>112</v>
      </c>
      <c r="AX83" s="49" t="s">
        <v>5</v>
      </c>
      <c r="AY83" s="50" t="s">
        <v>95</v>
      </c>
      <c r="AZ83" s="49"/>
      <c r="BA83" s="50"/>
      <c r="BB83" s="49" t="s">
        <v>1</v>
      </c>
      <c r="BC83" s="50" t="s">
        <v>96</v>
      </c>
      <c r="BD83" s="49" t="s">
        <v>5</v>
      </c>
      <c r="BE83" s="50" t="s">
        <v>495</v>
      </c>
      <c r="BF83" s="49" t="s">
        <v>5</v>
      </c>
      <c r="BG83" s="50" t="s">
        <v>83</v>
      </c>
      <c r="BH83" s="49" t="s">
        <v>5</v>
      </c>
      <c r="BI83" s="50" t="s">
        <v>75</v>
      </c>
    </row>
    <row r="84" spans="1:61" x14ac:dyDescent="0.25">
      <c r="A84" s="76">
        <v>152850</v>
      </c>
      <c r="B84" s="77" t="s">
        <v>1708</v>
      </c>
      <c r="C84" s="78" t="s">
        <v>1639</v>
      </c>
      <c r="D84" s="76" t="s">
        <v>12</v>
      </c>
      <c r="E84" s="79" t="s">
        <v>14</v>
      </c>
      <c r="F84" s="79" t="s">
        <v>88</v>
      </c>
      <c r="G84" s="79" t="s">
        <v>87</v>
      </c>
      <c r="H84" s="79" t="s">
        <v>14</v>
      </c>
      <c r="I84" s="78" t="s">
        <v>14</v>
      </c>
      <c r="J84" s="79" t="s">
        <v>14</v>
      </c>
      <c r="K84" s="142" t="s">
        <v>1850</v>
      </c>
      <c r="L84" s="149" t="s">
        <v>1843</v>
      </c>
      <c r="M84" s="150" t="s">
        <v>1852</v>
      </c>
      <c r="N84" s="151">
        <v>22</v>
      </c>
      <c r="O84" s="151">
        <v>9</v>
      </c>
      <c r="P84" s="152">
        <v>1</v>
      </c>
      <c r="Q84" s="153">
        <v>97.78</v>
      </c>
      <c r="R84" s="154">
        <v>2</v>
      </c>
      <c r="S84" s="38">
        <f t="shared" si="11"/>
        <v>0</v>
      </c>
      <c r="T84" s="39">
        <f t="shared" si="12"/>
        <v>11</v>
      </c>
      <c r="U84" s="40">
        <f t="shared" si="13"/>
        <v>0</v>
      </c>
      <c r="V84" s="40">
        <f t="shared" si="14"/>
        <v>3</v>
      </c>
      <c r="W84" s="40">
        <f t="shared" si="15"/>
        <v>0</v>
      </c>
      <c r="X84" s="40">
        <f t="shared" si="16"/>
        <v>3</v>
      </c>
      <c r="Y84" s="40">
        <f t="shared" si="17"/>
        <v>0</v>
      </c>
      <c r="Z84" s="40">
        <f t="shared" si="18"/>
        <v>0</v>
      </c>
      <c r="AA84" s="40">
        <f t="shared" si="19"/>
        <v>0</v>
      </c>
      <c r="AB84" s="40">
        <f t="shared" si="20"/>
        <v>0</v>
      </c>
      <c r="AC84" s="41">
        <f t="shared" si="21"/>
        <v>0</v>
      </c>
      <c r="AD84" s="49" t="s">
        <v>31</v>
      </c>
      <c r="AE84" s="50" t="s">
        <v>72</v>
      </c>
      <c r="AF84" s="49" t="s">
        <v>5</v>
      </c>
      <c r="AG84" s="50" t="s">
        <v>117</v>
      </c>
      <c r="AH84" s="49" t="s">
        <v>5</v>
      </c>
      <c r="AI84" s="50" t="s">
        <v>101</v>
      </c>
      <c r="AJ84" s="49" t="s">
        <v>5</v>
      </c>
      <c r="AK84" s="50" t="s">
        <v>111</v>
      </c>
      <c r="AL84" s="49" t="s">
        <v>5</v>
      </c>
      <c r="AM84" s="50" t="s">
        <v>130</v>
      </c>
      <c r="AN84" s="49" t="s">
        <v>5</v>
      </c>
      <c r="AO84" s="50" t="s">
        <v>143</v>
      </c>
      <c r="AP84" s="49" t="s">
        <v>5</v>
      </c>
      <c r="AQ84" s="50" t="s">
        <v>131</v>
      </c>
      <c r="AR84" s="49" t="s">
        <v>5</v>
      </c>
      <c r="AS84" s="50" t="s">
        <v>120</v>
      </c>
      <c r="AT84" s="49" t="s">
        <v>5</v>
      </c>
      <c r="AU84" s="50" t="s">
        <v>105</v>
      </c>
      <c r="AV84" s="49" t="s">
        <v>5</v>
      </c>
      <c r="AW84" s="50" t="s">
        <v>430</v>
      </c>
      <c r="AX84" s="49" t="s">
        <v>5</v>
      </c>
      <c r="AY84" s="50" t="s">
        <v>80</v>
      </c>
      <c r="AZ84" s="49"/>
      <c r="BA84" s="50"/>
      <c r="BB84" s="49" t="s">
        <v>5</v>
      </c>
      <c r="BC84" s="50" t="s">
        <v>107</v>
      </c>
      <c r="BD84" s="49" t="s">
        <v>31</v>
      </c>
      <c r="BE84" s="50" t="s">
        <v>82</v>
      </c>
      <c r="BF84" s="49" t="s">
        <v>31</v>
      </c>
      <c r="BG84" s="50" t="s">
        <v>98</v>
      </c>
      <c r="BH84" s="49"/>
      <c r="BI84" s="50"/>
    </row>
    <row r="85" spans="1:61" x14ac:dyDescent="0.25">
      <c r="A85" s="76">
        <v>152884</v>
      </c>
      <c r="B85" s="77" t="s">
        <v>1709</v>
      </c>
      <c r="C85" s="78" t="s">
        <v>1633</v>
      </c>
      <c r="D85" s="76" t="s">
        <v>12</v>
      </c>
      <c r="E85" s="79" t="s">
        <v>14</v>
      </c>
      <c r="F85" s="79" t="s">
        <v>71</v>
      </c>
      <c r="G85" s="79" t="s">
        <v>14</v>
      </c>
      <c r="H85" s="79" t="s">
        <v>14</v>
      </c>
      <c r="I85" s="78" t="s">
        <v>14</v>
      </c>
      <c r="J85" s="79" t="s">
        <v>14</v>
      </c>
      <c r="K85" s="142" t="s">
        <v>1850</v>
      </c>
      <c r="L85" s="149" t="s">
        <v>1848</v>
      </c>
      <c r="M85" s="150" t="s">
        <v>12</v>
      </c>
      <c r="N85" s="151">
        <v>22</v>
      </c>
      <c r="O85" s="151">
        <v>0</v>
      </c>
      <c r="P85" s="152">
        <v>0</v>
      </c>
      <c r="Q85" s="153">
        <v>100</v>
      </c>
      <c r="R85" s="154">
        <v>0</v>
      </c>
      <c r="S85" s="38">
        <f t="shared" si="11"/>
        <v>1</v>
      </c>
      <c r="T85" s="39">
        <f t="shared" si="12"/>
        <v>13</v>
      </c>
      <c r="U85" s="40">
        <f t="shared" si="13"/>
        <v>0</v>
      </c>
      <c r="V85" s="40">
        <f t="shared" si="14"/>
        <v>0</v>
      </c>
      <c r="W85" s="40">
        <f t="shared" si="15"/>
        <v>0</v>
      </c>
      <c r="X85" s="40">
        <f t="shared" si="16"/>
        <v>0</v>
      </c>
      <c r="Y85" s="40">
        <f t="shared" si="17"/>
        <v>0</v>
      </c>
      <c r="Z85" s="40">
        <f t="shared" si="18"/>
        <v>0</v>
      </c>
      <c r="AA85" s="40">
        <f t="shared" si="19"/>
        <v>0</v>
      </c>
      <c r="AB85" s="40">
        <f t="shared" si="20"/>
        <v>0</v>
      </c>
      <c r="AC85" s="41">
        <f t="shared" si="21"/>
        <v>0</v>
      </c>
      <c r="AD85" s="49" t="s">
        <v>5</v>
      </c>
      <c r="AE85" s="50" t="s">
        <v>89</v>
      </c>
      <c r="AF85" s="49"/>
      <c r="AG85" s="50"/>
      <c r="AH85" s="49" t="s">
        <v>5</v>
      </c>
      <c r="AI85" s="50" t="s">
        <v>101</v>
      </c>
      <c r="AJ85" s="49" t="s">
        <v>5</v>
      </c>
      <c r="AK85" s="50" t="s">
        <v>151</v>
      </c>
      <c r="AL85" s="49" t="s">
        <v>1</v>
      </c>
      <c r="AM85" s="50" t="s">
        <v>122</v>
      </c>
      <c r="AN85" s="49"/>
      <c r="AO85" s="50"/>
      <c r="AP85" s="49" t="s">
        <v>5</v>
      </c>
      <c r="AQ85" s="50" t="s">
        <v>131</v>
      </c>
      <c r="AR85" s="49" t="s">
        <v>5</v>
      </c>
      <c r="AS85" s="50" t="s">
        <v>120</v>
      </c>
      <c r="AT85" s="49" t="s">
        <v>5</v>
      </c>
      <c r="AU85" s="50" t="s">
        <v>163</v>
      </c>
      <c r="AV85" s="49" t="s">
        <v>5</v>
      </c>
      <c r="AW85" s="50" t="s">
        <v>94</v>
      </c>
      <c r="AX85" s="49" t="s">
        <v>5</v>
      </c>
      <c r="AY85" s="50" t="s">
        <v>95</v>
      </c>
      <c r="AZ85" s="49" t="s">
        <v>5</v>
      </c>
      <c r="BA85" s="50" t="s">
        <v>105</v>
      </c>
      <c r="BB85" s="49" t="s">
        <v>5</v>
      </c>
      <c r="BC85" s="50" t="s">
        <v>741</v>
      </c>
      <c r="BD85" s="49" t="s">
        <v>5</v>
      </c>
      <c r="BE85" s="50" t="s">
        <v>495</v>
      </c>
      <c r="BF85" s="49" t="s">
        <v>5</v>
      </c>
      <c r="BG85" s="50" t="s">
        <v>98</v>
      </c>
      <c r="BH85" s="49" t="s">
        <v>5</v>
      </c>
      <c r="BI85" s="50" t="s">
        <v>75</v>
      </c>
    </row>
    <row r="86" spans="1:61" x14ac:dyDescent="0.25">
      <c r="A86" s="76">
        <v>152794</v>
      </c>
      <c r="B86" s="77" t="s">
        <v>1710</v>
      </c>
      <c r="C86" s="78" t="s">
        <v>1639</v>
      </c>
      <c r="D86" s="76" t="s">
        <v>12</v>
      </c>
      <c r="E86" s="79" t="s">
        <v>14</v>
      </c>
      <c r="F86" s="79" t="s">
        <v>88</v>
      </c>
      <c r="G86" s="79" t="s">
        <v>87</v>
      </c>
      <c r="H86" s="79" t="s">
        <v>14</v>
      </c>
      <c r="I86" s="78" t="s">
        <v>14</v>
      </c>
      <c r="J86" s="79" t="s">
        <v>6</v>
      </c>
      <c r="K86" s="142" t="s">
        <v>1850</v>
      </c>
      <c r="L86" s="149" t="s">
        <v>1847</v>
      </c>
      <c r="M86" s="150" t="s">
        <v>1852</v>
      </c>
      <c r="N86" s="151">
        <v>14</v>
      </c>
      <c r="O86" s="151">
        <v>19</v>
      </c>
      <c r="P86" s="152">
        <v>5</v>
      </c>
      <c r="Q86" s="153">
        <v>100</v>
      </c>
      <c r="R86" s="154">
        <v>15</v>
      </c>
      <c r="S86" s="38">
        <f t="shared" si="11"/>
        <v>1</v>
      </c>
      <c r="T86" s="39">
        <f t="shared" si="12"/>
        <v>4</v>
      </c>
      <c r="U86" s="40">
        <f t="shared" si="13"/>
        <v>7</v>
      </c>
      <c r="V86" s="40">
        <f t="shared" si="14"/>
        <v>1</v>
      </c>
      <c r="W86" s="40">
        <f t="shared" si="15"/>
        <v>1</v>
      </c>
      <c r="X86" s="40">
        <f t="shared" si="16"/>
        <v>9</v>
      </c>
      <c r="Y86" s="40">
        <f t="shared" si="17"/>
        <v>0</v>
      </c>
      <c r="Z86" s="40">
        <f t="shared" si="18"/>
        <v>0</v>
      </c>
      <c r="AA86" s="40">
        <f t="shared" si="19"/>
        <v>0</v>
      </c>
      <c r="AB86" s="40">
        <f t="shared" si="20"/>
        <v>0</v>
      </c>
      <c r="AC86" s="41">
        <f t="shared" si="21"/>
        <v>0</v>
      </c>
      <c r="AD86" s="49" t="s">
        <v>30</v>
      </c>
      <c r="AE86" s="50" t="s">
        <v>72</v>
      </c>
      <c r="AF86" s="49" t="s">
        <v>5</v>
      </c>
      <c r="AG86" s="50" t="s">
        <v>135</v>
      </c>
      <c r="AH86" s="49" t="s">
        <v>31</v>
      </c>
      <c r="AI86" s="50" t="s">
        <v>101</v>
      </c>
      <c r="AJ86" s="49" t="s">
        <v>30</v>
      </c>
      <c r="AK86" s="50" t="s">
        <v>74</v>
      </c>
      <c r="AL86" s="49" t="s">
        <v>30</v>
      </c>
      <c r="AM86" s="50" t="s">
        <v>130</v>
      </c>
      <c r="AN86" s="49" t="s">
        <v>30</v>
      </c>
      <c r="AO86" s="50" t="s">
        <v>143</v>
      </c>
      <c r="AP86" s="49" t="s">
        <v>30</v>
      </c>
      <c r="AQ86" s="50" t="s">
        <v>131</v>
      </c>
      <c r="AR86" s="49" t="s">
        <v>30</v>
      </c>
      <c r="AS86" s="50" t="s">
        <v>120</v>
      </c>
      <c r="AT86" s="49" t="s">
        <v>5</v>
      </c>
      <c r="AU86" s="50" t="s">
        <v>105</v>
      </c>
      <c r="AV86" s="49" t="s">
        <v>5</v>
      </c>
      <c r="AW86" s="50" t="s">
        <v>711</v>
      </c>
      <c r="AX86" s="49" t="s">
        <v>5</v>
      </c>
      <c r="AY86" s="50" t="s">
        <v>80</v>
      </c>
      <c r="AZ86" s="49"/>
      <c r="BA86" s="50"/>
      <c r="BB86" s="49" t="s">
        <v>1</v>
      </c>
      <c r="BC86" s="50" t="s">
        <v>96</v>
      </c>
      <c r="BD86" s="49" t="s">
        <v>32</v>
      </c>
      <c r="BE86" s="50" t="s">
        <v>82</v>
      </c>
      <c r="BF86" s="49" t="s">
        <v>30</v>
      </c>
      <c r="BG86" s="50" t="s">
        <v>83</v>
      </c>
      <c r="BH86" s="49"/>
      <c r="BI86" s="50"/>
    </row>
    <row r="87" spans="1:61" x14ac:dyDescent="0.25">
      <c r="A87" s="76">
        <v>152855</v>
      </c>
      <c r="B87" s="77" t="s">
        <v>1711</v>
      </c>
      <c r="C87" s="78" t="s">
        <v>1620</v>
      </c>
      <c r="D87" s="76" t="s">
        <v>12</v>
      </c>
      <c r="E87" s="79" t="s">
        <v>14</v>
      </c>
      <c r="F87" s="79" t="s">
        <v>88</v>
      </c>
      <c r="G87" s="79" t="s">
        <v>14</v>
      </c>
      <c r="H87" s="79" t="s">
        <v>14</v>
      </c>
      <c r="I87" s="78" t="s">
        <v>14</v>
      </c>
      <c r="J87" s="79" t="s">
        <v>14</v>
      </c>
      <c r="K87" s="142" t="s">
        <v>1850</v>
      </c>
      <c r="L87" s="149" t="s">
        <v>1842</v>
      </c>
      <c r="M87" s="150" t="s">
        <v>12</v>
      </c>
      <c r="N87" s="151">
        <v>13</v>
      </c>
      <c r="O87" s="151">
        <v>1</v>
      </c>
      <c r="P87" s="152">
        <v>0</v>
      </c>
      <c r="Q87" s="153">
        <v>100</v>
      </c>
      <c r="R87" s="154">
        <v>1</v>
      </c>
      <c r="S87" s="38">
        <f t="shared" si="11"/>
        <v>0</v>
      </c>
      <c r="T87" s="39">
        <f t="shared" si="12"/>
        <v>13</v>
      </c>
      <c r="U87" s="40">
        <f t="shared" si="13"/>
        <v>0</v>
      </c>
      <c r="V87" s="40">
        <f t="shared" si="14"/>
        <v>0</v>
      </c>
      <c r="W87" s="40">
        <f t="shared" si="15"/>
        <v>1</v>
      </c>
      <c r="X87" s="40">
        <f t="shared" si="16"/>
        <v>1</v>
      </c>
      <c r="Y87" s="40">
        <f t="shared" si="17"/>
        <v>0</v>
      </c>
      <c r="Z87" s="40">
        <f t="shared" si="18"/>
        <v>0</v>
      </c>
      <c r="AA87" s="40">
        <f t="shared" si="19"/>
        <v>0</v>
      </c>
      <c r="AB87" s="40">
        <f t="shared" si="20"/>
        <v>0</v>
      </c>
      <c r="AC87" s="41">
        <f t="shared" si="21"/>
        <v>0</v>
      </c>
      <c r="AD87" s="49" t="s">
        <v>5</v>
      </c>
      <c r="AE87" s="50" t="s">
        <v>89</v>
      </c>
      <c r="AF87" s="49"/>
      <c r="AG87" s="50"/>
      <c r="AH87" s="49" t="s">
        <v>5</v>
      </c>
      <c r="AI87" s="50" t="s">
        <v>142</v>
      </c>
      <c r="AJ87" s="49" t="s">
        <v>5</v>
      </c>
      <c r="AK87" s="50" t="s">
        <v>102</v>
      </c>
      <c r="AL87" s="49" t="s">
        <v>32</v>
      </c>
      <c r="AM87" s="50" t="s">
        <v>142</v>
      </c>
      <c r="AN87" s="49"/>
      <c r="AO87" s="50"/>
      <c r="AP87" s="49" t="s">
        <v>5</v>
      </c>
      <c r="AQ87" s="50" t="s">
        <v>76</v>
      </c>
      <c r="AR87" s="49" t="s">
        <v>5</v>
      </c>
      <c r="AS87" s="50" t="s">
        <v>132</v>
      </c>
      <c r="AT87" s="49" t="s">
        <v>5</v>
      </c>
      <c r="AU87" s="50" t="s">
        <v>105</v>
      </c>
      <c r="AV87" s="49" t="s">
        <v>5</v>
      </c>
      <c r="AW87" s="50" t="s">
        <v>112</v>
      </c>
      <c r="AX87" s="49" t="s">
        <v>5</v>
      </c>
      <c r="AY87" s="50" t="s">
        <v>95</v>
      </c>
      <c r="AZ87" s="49" t="s">
        <v>5</v>
      </c>
      <c r="BA87" s="50" t="s">
        <v>105</v>
      </c>
      <c r="BB87" s="49" t="s">
        <v>5</v>
      </c>
      <c r="BC87" s="50" t="s">
        <v>741</v>
      </c>
      <c r="BD87" s="49" t="s">
        <v>5</v>
      </c>
      <c r="BE87" s="50" t="s">
        <v>97</v>
      </c>
      <c r="BF87" s="49" t="s">
        <v>5</v>
      </c>
      <c r="BG87" s="50" t="s">
        <v>98</v>
      </c>
      <c r="BH87" s="49" t="s">
        <v>5</v>
      </c>
      <c r="BI87" s="50" t="s">
        <v>130</v>
      </c>
    </row>
    <row r="88" spans="1:61" x14ac:dyDescent="0.25">
      <c r="A88" s="76">
        <v>152916</v>
      </c>
      <c r="B88" s="77" t="s">
        <v>1712</v>
      </c>
      <c r="C88" s="78" t="s">
        <v>1622</v>
      </c>
      <c r="D88" s="76" t="s">
        <v>12</v>
      </c>
      <c r="E88" s="79" t="s">
        <v>87</v>
      </c>
      <c r="F88" s="79" t="s">
        <v>450</v>
      </c>
      <c r="G88" s="79" t="s">
        <v>14</v>
      </c>
      <c r="H88" s="79" t="s">
        <v>87</v>
      </c>
      <c r="I88" s="78" t="s">
        <v>14</v>
      </c>
      <c r="J88" s="79" t="s">
        <v>14</v>
      </c>
      <c r="K88" s="142" t="s">
        <v>1850</v>
      </c>
      <c r="L88" s="149" t="s">
        <v>1842</v>
      </c>
      <c r="M88" s="150" t="s">
        <v>1853</v>
      </c>
      <c r="N88" s="151">
        <v>12</v>
      </c>
      <c r="O88" s="151">
        <v>0</v>
      </c>
      <c r="P88" s="152">
        <v>1</v>
      </c>
      <c r="Q88" s="153">
        <v>100</v>
      </c>
      <c r="R88" s="154">
        <v>0</v>
      </c>
      <c r="S88" s="38">
        <f t="shared" si="11"/>
        <v>1</v>
      </c>
      <c r="T88" s="39">
        <f t="shared" si="12"/>
        <v>13</v>
      </c>
      <c r="U88" s="40">
        <f t="shared" si="13"/>
        <v>0</v>
      </c>
      <c r="V88" s="40">
        <f t="shared" si="14"/>
        <v>0</v>
      </c>
      <c r="W88" s="40">
        <f t="shared" si="15"/>
        <v>0</v>
      </c>
      <c r="X88" s="40">
        <f t="shared" si="16"/>
        <v>0</v>
      </c>
      <c r="Y88" s="40">
        <f t="shared" si="17"/>
        <v>0</v>
      </c>
      <c r="Z88" s="40">
        <f t="shared" si="18"/>
        <v>0</v>
      </c>
      <c r="AA88" s="40">
        <f t="shared" si="19"/>
        <v>0</v>
      </c>
      <c r="AB88" s="40">
        <f t="shared" si="20"/>
        <v>0</v>
      </c>
      <c r="AC88" s="41">
        <f t="shared" si="21"/>
        <v>0</v>
      </c>
      <c r="AD88" s="49" t="s">
        <v>5</v>
      </c>
      <c r="AE88" s="50" t="s">
        <v>89</v>
      </c>
      <c r="AF88" s="49" t="s">
        <v>5</v>
      </c>
      <c r="AG88" s="50" t="s">
        <v>73</v>
      </c>
      <c r="AH88" s="49" t="s">
        <v>5</v>
      </c>
      <c r="AI88" s="50" t="s">
        <v>142</v>
      </c>
      <c r="AJ88" s="49" t="s">
        <v>5</v>
      </c>
      <c r="AK88" s="50" t="s">
        <v>722</v>
      </c>
      <c r="AL88" s="49" t="s">
        <v>5</v>
      </c>
      <c r="AM88" s="50" t="s">
        <v>98</v>
      </c>
      <c r="AN88" s="49" t="s">
        <v>5</v>
      </c>
      <c r="AO88" s="50" t="s">
        <v>75</v>
      </c>
      <c r="AP88" s="49" t="s">
        <v>5</v>
      </c>
      <c r="AQ88" s="50" t="s">
        <v>92</v>
      </c>
      <c r="AR88" s="49" t="s">
        <v>5</v>
      </c>
      <c r="AS88" s="50" t="s">
        <v>104</v>
      </c>
      <c r="AT88" s="49" t="s">
        <v>5</v>
      </c>
      <c r="AU88" s="50" t="s">
        <v>105</v>
      </c>
      <c r="AV88" s="49" t="s">
        <v>5</v>
      </c>
      <c r="AW88" s="50" t="s">
        <v>112</v>
      </c>
      <c r="AX88" s="49" t="s">
        <v>5</v>
      </c>
      <c r="AY88" s="50" t="s">
        <v>80</v>
      </c>
      <c r="AZ88" s="49"/>
      <c r="BA88" s="50"/>
      <c r="BB88" s="49" t="s">
        <v>1</v>
      </c>
      <c r="BC88" s="50" t="s">
        <v>107</v>
      </c>
      <c r="BD88" s="49" t="s">
        <v>5</v>
      </c>
      <c r="BE88" s="50" t="s">
        <v>122</v>
      </c>
      <c r="BF88" s="49" t="s">
        <v>5</v>
      </c>
      <c r="BG88" s="50" t="s">
        <v>83</v>
      </c>
      <c r="BH88" s="49"/>
      <c r="BI88" s="50"/>
    </row>
    <row r="89" spans="1:61" x14ac:dyDescent="0.25">
      <c r="A89" s="76">
        <v>152887</v>
      </c>
      <c r="B89" s="77" t="s">
        <v>1713</v>
      </c>
      <c r="C89" s="78" t="s">
        <v>1630</v>
      </c>
      <c r="D89" s="76" t="s">
        <v>70</v>
      </c>
      <c r="E89" s="79" t="s">
        <v>14</v>
      </c>
      <c r="F89" s="79" t="s">
        <v>115</v>
      </c>
      <c r="G89" s="79" t="s">
        <v>87</v>
      </c>
      <c r="H89" s="79" t="s">
        <v>14</v>
      </c>
      <c r="I89" s="78" t="s">
        <v>14</v>
      </c>
      <c r="J89" s="79" t="s">
        <v>14</v>
      </c>
      <c r="K89" s="142" t="s">
        <v>1850</v>
      </c>
      <c r="L89" s="149" t="s">
        <v>1845</v>
      </c>
      <c r="M89" s="150" t="s">
        <v>12</v>
      </c>
      <c r="N89" s="151">
        <v>21</v>
      </c>
      <c r="O89" s="151">
        <v>0</v>
      </c>
      <c r="P89" s="152">
        <v>1</v>
      </c>
      <c r="Q89" s="153">
        <v>93.48</v>
      </c>
      <c r="R89" s="154">
        <v>2</v>
      </c>
      <c r="S89" s="38">
        <f t="shared" si="11"/>
        <v>1</v>
      </c>
      <c r="T89" s="39">
        <f t="shared" si="12"/>
        <v>12</v>
      </c>
      <c r="U89" s="40">
        <f t="shared" si="13"/>
        <v>0</v>
      </c>
      <c r="V89" s="40">
        <f t="shared" si="14"/>
        <v>0</v>
      </c>
      <c r="W89" s="40">
        <f t="shared" si="15"/>
        <v>0</v>
      </c>
      <c r="X89" s="40">
        <f t="shared" si="16"/>
        <v>0</v>
      </c>
      <c r="Y89" s="40">
        <f t="shared" si="17"/>
        <v>0</v>
      </c>
      <c r="Z89" s="40">
        <f t="shared" si="18"/>
        <v>0</v>
      </c>
      <c r="AA89" s="40">
        <f t="shared" si="19"/>
        <v>0</v>
      </c>
      <c r="AB89" s="40">
        <f t="shared" si="20"/>
        <v>0</v>
      </c>
      <c r="AC89" s="41">
        <f t="shared" si="21"/>
        <v>0</v>
      </c>
      <c r="AD89" s="49" t="s">
        <v>5</v>
      </c>
      <c r="AE89" s="50" t="s">
        <v>89</v>
      </c>
      <c r="AF89" s="49" t="s">
        <v>5</v>
      </c>
      <c r="AG89" s="50" t="s">
        <v>73</v>
      </c>
      <c r="AH89" s="49" t="s">
        <v>189</v>
      </c>
      <c r="AI89" s="50" t="s">
        <v>101</v>
      </c>
      <c r="AJ89" s="49" t="s">
        <v>5</v>
      </c>
      <c r="AK89" s="50" t="s">
        <v>102</v>
      </c>
      <c r="AL89" s="49" t="s">
        <v>1</v>
      </c>
      <c r="AM89" s="50" t="s">
        <v>94</v>
      </c>
      <c r="AN89" s="49"/>
      <c r="AO89" s="50"/>
      <c r="AP89" s="49" t="s">
        <v>5</v>
      </c>
      <c r="AQ89" s="50" t="s">
        <v>131</v>
      </c>
      <c r="AR89" s="49" t="s">
        <v>5</v>
      </c>
      <c r="AS89" s="50" t="s">
        <v>120</v>
      </c>
      <c r="AT89" s="49" t="s">
        <v>5</v>
      </c>
      <c r="AU89" s="50" t="s">
        <v>78</v>
      </c>
      <c r="AV89" s="49" t="s">
        <v>5</v>
      </c>
      <c r="AW89" s="50" t="s">
        <v>430</v>
      </c>
      <c r="AX89" s="49" t="s">
        <v>5</v>
      </c>
      <c r="AY89" s="50" t="s">
        <v>95</v>
      </c>
      <c r="AZ89" s="49"/>
      <c r="BA89" s="50"/>
      <c r="BB89" s="49" t="s">
        <v>5</v>
      </c>
      <c r="BC89" s="50" t="s">
        <v>152</v>
      </c>
      <c r="BD89" s="49" t="s">
        <v>5</v>
      </c>
      <c r="BE89" s="50" t="s">
        <v>495</v>
      </c>
      <c r="BF89" s="49" t="s">
        <v>5</v>
      </c>
      <c r="BG89" s="50" t="s">
        <v>98</v>
      </c>
      <c r="BH89" s="49" t="s">
        <v>5</v>
      </c>
      <c r="BI89" s="50" t="s">
        <v>103</v>
      </c>
    </row>
    <row r="90" spans="1:61" x14ac:dyDescent="0.25">
      <c r="A90" s="76">
        <v>152885</v>
      </c>
      <c r="B90" s="77" t="s">
        <v>1714</v>
      </c>
      <c r="C90" s="78" t="s">
        <v>1648</v>
      </c>
      <c r="D90" s="76" t="s">
        <v>12</v>
      </c>
      <c r="E90" s="79" t="s">
        <v>14</v>
      </c>
      <c r="F90" s="79" t="s">
        <v>88</v>
      </c>
      <c r="G90" s="79" t="s">
        <v>14</v>
      </c>
      <c r="H90" s="79" t="s">
        <v>14</v>
      </c>
      <c r="I90" s="78" t="s">
        <v>14</v>
      </c>
      <c r="J90" s="79" t="s">
        <v>6</v>
      </c>
      <c r="K90" s="142" t="s">
        <v>1850</v>
      </c>
      <c r="L90" s="149" t="s">
        <v>1841</v>
      </c>
      <c r="M90" s="150" t="s">
        <v>1853</v>
      </c>
      <c r="N90" s="151">
        <v>7</v>
      </c>
      <c r="O90" s="151">
        <v>2</v>
      </c>
      <c r="P90" s="152">
        <v>1</v>
      </c>
      <c r="Q90" s="153">
        <v>100</v>
      </c>
      <c r="R90" s="154">
        <v>2</v>
      </c>
      <c r="S90" s="38">
        <f t="shared" si="11"/>
        <v>0</v>
      </c>
      <c r="T90" s="39">
        <f t="shared" si="12"/>
        <v>11</v>
      </c>
      <c r="U90" s="40">
        <f t="shared" si="13"/>
        <v>3</v>
      </c>
      <c r="V90" s="40">
        <f t="shared" si="14"/>
        <v>0</v>
      </c>
      <c r="W90" s="40">
        <f t="shared" si="15"/>
        <v>0</v>
      </c>
      <c r="X90" s="40">
        <f t="shared" si="16"/>
        <v>3</v>
      </c>
      <c r="Y90" s="40">
        <f t="shared" si="17"/>
        <v>0</v>
      </c>
      <c r="Z90" s="40">
        <f t="shared" si="18"/>
        <v>0</v>
      </c>
      <c r="AA90" s="40">
        <f t="shared" si="19"/>
        <v>0</v>
      </c>
      <c r="AB90" s="40">
        <f t="shared" si="20"/>
        <v>0</v>
      </c>
      <c r="AC90" s="41">
        <f t="shared" si="21"/>
        <v>0</v>
      </c>
      <c r="AD90" s="49" t="s">
        <v>5</v>
      </c>
      <c r="AE90" s="50" t="s">
        <v>116</v>
      </c>
      <c r="AF90" s="49" t="s">
        <v>5</v>
      </c>
      <c r="AG90" s="50" t="s">
        <v>90</v>
      </c>
      <c r="AH90" s="49" t="s">
        <v>5</v>
      </c>
      <c r="AI90" s="50" t="s">
        <v>101</v>
      </c>
      <c r="AJ90" s="49" t="s">
        <v>5</v>
      </c>
      <c r="AK90" s="50" t="s">
        <v>722</v>
      </c>
      <c r="AL90" s="49" t="s">
        <v>5</v>
      </c>
      <c r="AM90" s="50" t="s">
        <v>714</v>
      </c>
      <c r="AN90" s="49" t="s">
        <v>30</v>
      </c>
      <c r="AO90" s="50" t="s">
        <v>124</v>
      </c>
      <c r="AP90" s="49" t="s">
        <v>5</v>
      </c>
      <c r="AQ90" s="50" t="s">
        <v>76</v>
      </c>
      <c r="AR90" s="49" t="s">
        <v>5</v>
      </c>
      <c r="AS90" s="50" t="s">
        <v>132</v>
      </c>
      <c r="AT90" s="49" t="s">
        <v>5</v>
      </c>
      <c r="AU90" s="50" t="s">
        <v>163</v>
      </c>
      <c r="AV90" s="49" t="s">
        <v>30</v>
      </c>
      <c r="AW90" s="50" t="s">
        <v>112</v>
      </c>
      <c r="AX90" s="49" t="s">
        <v>5</v>
      </c>
      <c r="AY90" s="50" t="s">
        <v>95</v>
      </c>
      <c r="AZ90" s="49"/>
      <c r="BA90" s="50"/>
      <c r="BB90" s="49" t="s">
        <v>5</v>
      </c>
      <c r="BC90" s="50" t="s">
        <v>96</v>
      </c>
      <c r="BD90" s="49" t="s">
        <v>30</v>
      </c>
      <c r="BE90" s="50" t="s">
        <v>153</v>
      </c>
      <c r="BF90" s="49" t="s">
        <v>5</v>
      </c>
      <c r="BG90" s="50" t="s">
        <v>83</v>
      </c>
      <c r="BH90" s="49"/>
      <c r="BI90" s="50"/>
    </row>
    <row r="91" spans="1:61" x14ac:dyDescent="0.25">
      <c r="A91" s="76">
        <v>152922</v>
      </c>
      <c r="B91" s="77" t="s">
        <v>1715</v>
      </c>
      <c r="C91" s="78" t="s">
        <v>1633</v>
      </c>
      <c r="D91" s="76" t="s">
        <v>70</v>
      </c>
      <c r="E91" s="79" t="s">
        <v>14</v>
      </c>
      <c r="F91" s="79" t="s">
        <v>71</v>
      </c>
      <c r="G91" s="79" t="s">
        <v>14</v>
      </c>
      <c r="H91" s="79" t="s">
        <v>14</v>
      </c>
      <c r="I91" s="78" t="s">
        <v>14</v>
      </c>
      <c r="J91" s="79" t="s">
        <v>14</v>
      </c>
      <c r="K91" s="142" t="s">
        <v>1850</v>
      </c>
      <c r="L91" s="149" t="s">
        <v>1842</v>
      </c>
      <c r="M91" s="150" t="s">
        <v>1853</v>
      </c>
      <c r="N91" s="151">
        <v>23</v>
      </c>
      <c r="O91" s="151">
        <v>0</v>
      </c>
      <c r="P91" s="152">
        <v>0</v>
      </c>
      <c r="Q91" s="153">
        <v>95.56</v>
      </c>
      <c r="R91" s="154">
        <v>0</v>
      </c>
      <c r="S91" s="38">
        <f t="shared" si="11"/>
        <v>3</v>
      </c>
      <c r="T91" s="39">
        <f t="shared" si="12"/>
        <v>11</v>
      </c>
      <c r="U91" s="40">
        <f t="shared" si="13"/>
        <v>0</v>
      </c>
      <c r="V91" s="40">
        <f t="shared" si="14"/>
        <v>0</v>
      </c>
      <c r="W91" s="40">
        <f t="shared" si="15"/>
        <v>0</v>
      </c>
      <c r="X91" s="40">
        <f t="shared" si="16"/>
        <v>0</v>
      </c>
      <c r="Y91" s="40">
        <f t="shared" si="17"/>
        <v>0</v>
      </c>
      <c r="Z91" s="40">
        <f t="shared" si="18"/>
        <v>0</v>
      </c>
      <c r="AA91" s="40">
        <f t="shared" si="19"/>
        <v>0</v>
      </c>
      <c r="AB91" s="40">
        <f t="shared" si="20"/>
        <v>0</v>
      </c>
      <c r="AC91" s="41">
        <f t="shared" si="21"/>
        <v>0</v>
      </c>
      <c r="AD91" s="49" t="s">
        <v>5</v>
      </c>
      <c r="AE91" s="50" t="s">
        <v>89</v>
      </c>
      <c r="AF91" s="49" t="s">
        <v>5</v>
      </c>
      <c r="AG91" s="50" t="s">
        <v>117</v>
      </c>
      <c r="AH91" s="49" t="s">
        <v>5</v>
      </c>
      <c r="AI91" s="50" t="s">
        <v>101</v>
      </c>
      <c r="AJ91" s="49" t="s">
        <v>1</v>
      </c>
      <c r="AK91" s="50" t="s">
        <v>74</v>
      </c>
      <c r="AL91" s="49" t="s">
        <v>1</v>
      </c>
      <c r="AM91" s="50" t="s">
        <v>122</v>
      </c>
      <c r="AN91" s="49"/>
      <c r="AO91" s="50"/>
      <c r="AP91" s="49" t="s">
        <v>5</v>
      </c>
      <c r="AQ91" s="50" t="s">
        <v>131</v>
      </c>
      <c r="AR91" s="49" t="s">
        <v>5</v>
      </c>
      <c r="AS91" s="50" t="s">
        <v>120</v>
      </c>
      <c r="AT91" s="49" t="s">
        <v>5</v>
      </c>
      <c r="AU91" s="50" t="s">
        <v>163</v>
      </c>
      <c r="AV91" s="49" t="s">
        <v>5</v>
      </c>
      <c r="AW91" s="50" t="s">
        <v>79</v>
      </c>
      <c r="AX91" s="49" t="s">
        <v>5</v>
      </c>
      <c r="AY91" s="50" t="s">
        <v>95</v>
      </c>
      <c r="AZ91" s="49"/>
      <c r="BA91" s="50"/>
      <c r="BB91" s="49" t="s">
        <v>5</v>
      </c>
      <c r="BC91" s="50" t="s">
        <v>121</v>
      </c>
      <c r="BD91" s="49" t="s">
        <v>1</v>
      </c>
      <c r="BE91" s="50" t="s">
        <v>495</v>
      </c>
      <c r="BF91" s="49" t="s">
        <v>5</v>
      </c>
      <c r="BG91" s="50" t="s">
        <v>83</v>
      </c>
      <c r="BH91" s="49" t="s">
        <v>5</v>
      </c>
      <c r="BI91" s="50" t="s">
        <v>75</v>
      </c>
    </row>
    <row r="92" spans="1:61" x14ac:dyDescent="0.25">
      <c r="A92" s="76">
        <v>152902</v>
      </c>
      <c r="B92" s="77" t="s">
        <v>1716</v>
      </c>
      <c r="C92" s="78" t="s">
        <v>1628</v>
      </c>
      <c r="D92" s="76" t="s">
        <v>12</v>
      </c>
      <c r="E92" s="79" t="s">
        <v>14</v>
      </c>
      <c r="F92" s="79" t="s">
        <v>184</v>
      </c>
      <c r="G92" s="79" t="s">
        <v>14</v>
      </c>
      <c r="H92" s="79" t="s">
        <v>14</v>
      </c>
      <c r="I92" s="78" t="s">
        <v>14</v>
      </c>
      <c r="J92" s="79" t="s">
        <v>14</v>
      </c>
      <c r="K92" s="142" t="s">
        <v>1850</v>
      </c>
      <c r="L92" s="149" t="s">
        <v>1846</v>
      </c>
      <c r="M92" s="150" t="s">
        <v>1853</v>
      </c>
      <c r="N92" s="151">
        <v>15</v>
      </c>
      <c r="O92" s="151">
        <v>0</v>
      </c>
      <c r="P92" s="152">
        <v>0</v>
      </c>
      <c r="Q92" s="153">
        <v>100</v>
      </c>
      <c r="R92" s="154">
        <v>0</v>
      </c>
      <c r="S92" s="38">
        <f t="shared" si="11"/>
        <v>1</v>
      </c>
      <c r="T92" s="39">
        <f t="shared" si="12"/>
        <v>13</v>
      </c>
      <c r="U92" s="40">
        <f t="shared" si="13"/>
        <v>0</v>
      </c>
      <c r="V92" s="40">
        <f t="shared" si="14"/>
        <v>0</v>
      </c>
      <c r="W92" s="40">
        <f t="shared" si="15"/>
        <v>0</v>
      </c>
      <c r="X92" s="40">
        <f t="shared" si="16"/>
        <v>0</v>
      </c>
      <c r="Y92" s="40">
        <f t="shared" si="17"/>
        <v>0</v>
      </c>
      <c r="Z92" s="40">
        <f t="shared" si="18"/>
        <v>0</v>
      </c>
      <c r="AA92" s="40">
        <f t="shared" si="19"/>
        <v>0</v>
      </c>
      <c r="AB92" s="40">
        <f t="shared" si="20"/>
        <v>0</v>
      </c>
      <c r="AC92" s="41">
        <f t="shared" si="21"/>
        <v>0</v>
      </c>
      <c r="AD92" s="49" t="s">
        <v>5</v>
      </c>
      <c r="AE92" s="50" t="s">
        <v>116</v>
      </c>
      <c r="AF92" s="49"/>
      <c r="AG92" s="50"/>
      <c r="AH92" s="49" t="s">
        <v>5</v>
      </c>
      <c r="AI92" s="50" t="s">
        <v>101</v>
      </c>
      <c r="AJ92" s="49" t="s">
        <v>5</v>
      </c>
      <c r="AK92" s="50" t="s">
        <v>722</v>
      </c>
      <c r="AL92" s="49" t="s">
        <v>5</v>
      </c>
      <c r="AM92" s="50" t="s">
        <v>106</v>
      </c>
      <c r="AN92" s="49" t="s">
        <v>5</v>
      </c>
      <c r="AO92" s="50" t="s">
        <v>103</v>
      </c>
      <c r="AP92" s="49" t="s">
        <v>5</v>
      </c>
      <c r="AQ92" s="50" t="s">
        <v>144</v>
      </c>
      <c r="AR92" s="49" t="s">
        <v>5</v>
      </c>
      <c r="AS92" s="50" t="s">
        <v>104</v>
      </c>
      <c r="AT92" s="49" t="s">
        <v>5</v>
      </c>
      <c r="AU92" s="50" t="s">
        <v>105</v>
      </c>
      <c r="AV92" s="49" t="s">
        <v>5</v>
      </c>
      <c r="AW92" s="50" t="s">
        <v>112</v>
      </c>
      <c r="AX92" s="49" t="s">
        <v>5</v>
      </c>
      <c r="AY92" s="50" t="s">
        <v>95</v>
      </c>
      <c r="AZ92" s="49" t="s">
        <v>5</v>
      </c>
      <c r="BA92" s="50" t="s">
        <v>120</v>
      </c>
      <c r="BB92" s="49" t="s">
        <v>1</v>
      </c>
      <c r="BC92" s="50" t="s">
        <v>107</v>
      </c>
      <c r="BD92" s="49" t="s">
        <v>5</v>
      </c>
      <c r="BE92" s="50" t="s">
        <v>108</v>
      </c>
      <c r="BF92" s="49" t="s">
        <v>5</v>
      </c>
      <c r="BG92" s="50" t="s">
        <v>83</v>
      </c>
      <c r="BH92" s="49"/>
      <c r="BI92" s="50"/>
    </row>
    <row r="93" spans="1:61" x14ac:dyDescent="0.25">
      <c r="A93" s="76">
        <v>152876</v>
      </c>
      <c r="B93" s="77" t="s">
        <v>1717</v>
      </c>
      <c r="C93" s="78" t="s">
        <v>1628</v>
      </c>
      <c r="D93" s="76" t="s">
        <v>12</v>
      </c>
      <c r="E93" s="79" t="s">
        <v>14</v>
      </c>
      <c r="F93" s="79" t="s">
        <v>71</v>
      </c>
      <c r="G93" s="79" t="s">
        <v>87</v>
      </c>
      <c r="H93" s="79" t="s">
        <v>14</v>
      </c>
      <c r="I93" s="78" t="s">
        <v>14</v>
      </c>
      <c r="J93" s="79" t="s">
        <v>14</v>
      </c>
      <c r="K93" s="142" t="s">
        <v>1851</v>
      </c>
      <c r="L93" s="149" t="s">
        <v>1842</v>
      </c>
      <c r="M93" s="150" t="s">
        <v>1853</v>
      </c>
      <c r="N93" s="151">
        <v>17</v>
      </c>
      <c r="O93" s="151">
        <v>0</v>
      </c>
      <c r="P93" s="152">
        <v>0</v>
      </c>
      <c r="Q93" s="153">
        <v>100</v>
      </c>
      <c r="R93" s="154">
        <v>0</v>
      </c>
      <c r="S93" s="38">
        <f t="shared" si="11"/>
        <v>0</v>
      </c>
      <c r="T93" s="39">
        <f t="shared" si="12"/>
        <v>13</v>
      </c>
      <c r="U93" s="40">
        <f t="shared" si="13"/>
        <v>0</v>
      </c>
      <c r="V93" s="40">
        <f t="shared" si="14"/>
        <v>0</v>
      </c>
      <c r="W93" s="40">
        <f t="shared" si="15"/>
        <v>0</v>
      </c>
      <c r="X93" s="40">
        <f t="shared" si="16"/>
        <v>0</v>
      </c>
      <c r="Y93" s="40">
        <f t="shared" si="17"/>
        <v>0</v>
      </c>
      <c r="Z93" s="40">
        <f t="shared" si="18"/>
        <v>0</v>
      </c>
      <c r="AA93" s="40">
        <f t="shared" si="19"/>
        <v>0</v>
      </c>
      <c r="AB93" s="40">
        <f t="shared" si="20"/>
        <v>0</v>
      </c>
      <c r="AC93" s="41">
        <f t="shared" si="21"/>
        <v>0</v>
      </c>
      <c r="AD93" s="49" t="s">
        <v>5</v>
      </c>
      <c r="AE93" s="50" t="s">
        <v>116</v>
      </c>
      <c r="AF93" s="49" t="s">
        <v>5</v>
      </c>
      <c r="AG93" s="50" t="s">
        <v>117</v>
      </c>
      <c r="AH93" s="49" t="s">
        <v>5</v>
      </c>
      <c r="AI93" s="50" t="s">
        <v>101</v>
      </c>
      <c r="AJ93" s="49" t="s">
        <v>5</v>
      </c>
      <c r="AK93" s="50" t="s">
        <v>142</v>
      </c>
      <c r="AL93" s="49" t="s">
        <v>5</v>
      </c>
      <c r="AM93" s="50" t="s">
        <v>106</v>
      </c>
      <c r="AN93" s="49" t="s">
        <v>5</v>
      </c>
      <c r="AO93" s="50" t="s">
        <v>103</v>
      </c>
      <c r="AP93" s="49" t="s">
        <v>5</v>
      </c>
      <c r="AQ93" s="50" t="s">
        <v>144</v>
      </c>
      <c r="AR93" s="49" t="s">
        <v>5</v>
      </c>
      <c r="AS93" s="50" t="s">
        <v>104</v>
      </c>
      <c r="AT93" s="49" t="s">
        <v>5</v>
      </c>
      <c r="AU93" s="50" t="s">
        <v>105</v>
      </c>
      <c r="AV93" s="49" t="s">
        <v>5</v>
      </c>
      <c r="AW93" s="50" t="s">
        <v>94</v>
      </c>
      <c r="AX93" s="49" t="s">
        <v>5</v>
      </c>
      <c r="AY93" s="50" t="s">
        <v>95</v>
      </c>
      <c r="AZ93" s="49"/>
      <c r="BA93" s="50"/>
      <c r="BB93" s="49"/>
      <c r="BC93" s="50" t="s">
        <v>107</v>
      </c>
      <c r="BD93" s="49" t="s">
        <v>5</v>
      </c>
      <c r="BE93" s="50" t="s">
        <v>108</v>
      </c>
      <c r="BF93" s="49" t="s">
        <v>5</v>
      </c>
      <c r="BG93" s="50" t="s">
        <v>83</v>
      </c>
      <c r="BH93" s="49"/>
      <c r="BI93" s="50"/>
    </row>
    <row r="94" spans="1:61" x14ac:dyDescent="0.25">
      <c r="A94" s="76">
        <v>152811</v>
      </c>
      <c r="B94" s="77" t="s">
        <v>1718</v>
      </c>
      <c r="C94" s="78" t="s">
        <v>1630</v>
      </c>
      <c r="D94" s="76" t="s">
        <v>12</v>
      </c>
      <c r="E94" s="79" t="s">
        <v>14</v>
      </c>
      <c r="F94" s="79" t="s">
        <v>71</v>
      </c>
      <c r="G94" s="79" t="s">
        <v>14</v>
      </c>
      <c r="H94" s="79" t="s">
        <v>14</v>
      </c>
      <c r="I94" s="78" t="s">
        <v>14</v>
      </c>
      <c r="J94" s="79" t="s">
        <v>14</v>
      </c>
      <c r="K94" s="142" t="s">
        <v>1850</v>
      </c>
      <c r="L94" s="149" t="s">
        <v>1842</v>
      </c>
      <c r="M94" s="150" t="s">
        <v>12</v>
      </c>
      <c r="N94" s="151">
        <v>38</v>
      </c>
      <c r="O94" s="151">
        <v>1</v>
      </c>
      <c r="P94" s="152">
        <v>2</v>
      </c>
      <c r="Q94" s="153">
        <v>100</v>
      </c>
      <c r="R94" s="154">
        <v>0</v>
      </c>
      <c r="S94" s="38">
        <f t="shared" si="11"/>
        <v>5</v>
      </c>
      <c r="T94" s="39">
        <f t="shared" si="12"/>
        <v>9</v>
      </c>
      <c r="U94" s="40">
        <f t="shared" si="13"/>
        <v>0</v>
      </c>
      <c r="V94" s="40">
        <f t="shared" si="14"/>
        <v>0</v>
      </c>
      <c r="W94" s="40">
        <f t="shared" si="15"/>
        <v>0</v>
      </c>
      <c r="X94" s="40">
        <f t="shared" si="16"/>
        <v>0</v>
      </c>
      <c r="Y94" s="40">
        <f t="shared" si="17"/>
        <v>0</v>
      </c>
      <c r="Z94" s="40">
        <f t="shared" si="18"/>
        <v>0</v>
      </c>
      <c r="AA94" s="40">
        <f t="shared" si="19"/>
        <v>0</v>
      </c>
      <c r="AB94" s="40">
        <f t="shared" si="20"/>
        <v>0</v>
      </c>
      <c r="AC94" s="41">
        <f t="shared" si="21"/>
        <v>0</v>
      </c>
      <c r="AD94" s="49" t="s">
        <v>5</v>
      </c>
      <c r="AE94" s="50" t="s">
        <v>89</v>
      </c>
      <c r="AF94" s="49"/>
      <c r="AG94" s="50"/>
      <c r="AH94" s="49" t="s">
        <v>5</v>
      </c>
      <c r="AI94" s="50" t="s">
        <v>101</v>
      </c>
      <c r="AJ94" s="49" t="s">
        <v>5</v>
      </c>
      <c r="AK94" s="50" t="s">
        <v>194</v>
      </c>
      <c r="AL94" s="49" t="s">
        <v>1</v>
      </c>
      <c r="AM94" s="50" t="s">
        <v>94</v>
      </c>
      <c r="AN94" s="49"/>
      <c r="AO94" s="50"/>
      <c r="AP94" s="49" t="s">
        <v>1</v>
      </c>
      <c r="AQ94" s="50" t="s">
        <v>131</v>
      </c>
      <c r="AR94" s="49" t="s">
        <v>5</v>
      </c>
      <c r="AS94" s="50" t="s">
        <v>120</v>
      </c>
      <c r="AT94" s="49" t="s">
        <v>5</v>
      </c>
      <c r="AU94" s="50" t="s">
        <v>78</v>
      </c>
      <c r="AV94" s="49" t="s">
        <v>5</v>
      </c>
      <c r="AW94" s="50" t="s">
        <v>112</v>
      </c>
      <c r="AX94" s="49" t="s">
        <v>1</v>
      </c>
      <c r="AY94" s="50" t="s">
        <v>95</v>
      </c>
      <c r="AZ94" s="49" t="s">
        <v>5</v>
      </c>
      <c r="BA94" s="50" t="s">
        <v>105</v>
      </c>
      <c r="BB94" s="49" t="s">
        <v>1</v>
      </c>
      <c r="BC94" s="50" t="s">
        <v>96</v>
      </c>
      <c r="BD94" s="49" t="s">
        <v>1</v>
      </c>
      <c r="BE94" s="50" t="s">
        <v>495</v>
      </c>
      <c r="BF94" s="49" t="s">
        <v>5</v>
      </c>
      <c r="BG94" s="50" t="s">
        <v>164</v>
      </c>
      <c r="BH94" s="49" t="s">
        <v>5</v>
      </c>
      <c r="BI94" s="50" t="s">
        <v>103</v>
      </c>
    </row>
    <row r="95" spans="1:61" x14ac:dyDescent="0.25">
      <c r="A95" s="76">
        <v>152918</v>
      </c>
      <c r="B95" s="77" t="s">
        <v>1719</v>
      </c>
      <c r="C95" s="78" t="s">
        <v>1648</v>
      </c>
      <c r="D95" s="76" t="s">
        <v>12</v>
      </c>
      <c r="E95" s="79" t="s">
        <v>14</v>
      </c>
      <c r="F95" s="79" t="s">
        <v>150</v>
      </c>
      <c r="G95" s="79" t="s">
        <v>87</v>
      </c>
      <c r="H95" s="79" t="s">
        <v>14</v>
      </c>
      <c r="I95" s="78" t="s">
        <v>14</v>
      </c>
      <c r="J95" s="79" t="s">
        <v>14</v>
      </c>
      <c r="K95" s="142" t="s">
        <v>1850</v>
      </c>
      <c r="L95" s="149" t="s">
        <v>1844</v>
      </c>
      <c r="M95" s="150" t="s">
        <v>12</v>
      </c>
      <c r="N95" s="151">
        <v>20</v>
      </c>
      <c r="O95" s="151">
        <v>1</v>
      </c>
      <c r="P95" s="152">
        <v>1</v>
      </c>
      <c r="Q95" s="153">
        <v>77.78</v>
      </c>
      <c r="R95" s="154">
        <v>2</v>
      </c>
      <c r="S95" s="38">
        <f t="shared" si="11"/>
        <v>1</v>
      </c>
      <c r="T95" s="39">
        <f t="shared" si="12"/>
        <v>12</v>
      </c>
      <c r="U95" s="40">
        <f t="shared" si="13"/>
        <v>1</v>
      </c>
      <c r="V95" s="40">
        <f t="shared" si="14"/>
        <v>0</v>
      </c>
      <c r="W95" s="40">
        <f t="shared" si="15"/>
        <v>0</v>
      </c>
      <c r="X95" s="40">
        <f t="shared" si="16"/>
        <v>1</v>
      </c>
      <c r="Y95" s="40">
        <f t="shared" si="17"/>
        <v>0</v>
      </c>
      <c r="Z95" s="40">
        <f t="shared" si="18"/>
        <v>0</v>
      </c>
      <c r="AA95" s="40">
        <f t="shared" si="19"/>
        <v>0</v>
      </c>
      <c r="AB95" s="40">
        <f t="shared" si="20"/>
        <v>0</v>
      </c>
      <c r="AC95" s="41">
        <f t="shared" si="21"/>
        <v>0</v>
      </c>
      <c r="AD95" s="49" t="s">
        <v>30</v>
      </c>
      <c r="AE95" s="50" t="s">
        <v>116</v>
      </c>
      <c r="AF95" s="49" t="s">
        <v>1</v>
      </c>
      <c r="AG95" s="50" t="s">
        <v>73</v>
      </c>
      <c r="AH95" s="49" t="s">
        <v>5</v>
      </c>
      <c r="AI95" s="50" t="s">
        <v>101</v>
      </c>
      <c r="AJ95" s="49" t="s">
        <v>5</v>
      </c>
      <c r="AK95" s="50" t="s">
        <v>459</v>
      </c>
      <c r="AL95" s="49" t="s">
        <v>5</v>
      </c>
      <c r="AM95" s="50" t="s">
        <v>714</v>
      </c>
      <c r="AN95" s="49" t="s">
        <v>5</v>
      </c>
      <c r="AO95" s="50" t="s">
        <v>124</v>
      </c>
      <c r="AP95" s="49" t="s">
        <v>5</v>
      </c>
      <c r="AQ95" s="50" t="s">
        <v>76</v>
      </c>
      <c r="AR95" s="49" t="s">
        <v>5</v>
      </c>
      <c r="AS95" s="50" t="s">
        <v>132</v>
      </c>
      <c r="AT95" s="49" t="s">
        <v>5</v>
      </c>
      <c r="AU95" s="50" t="s">
        <v>163</v>
      </c>
      <c r="AV95" s="49" t="s">
        <v>5</v>
      </c>
      <c r="AW95" s="50" t="s">
        <v>79</v>
      </c>
      <c r="AX95" s="49" t="s">
        <v>5</v>
      </c>
      <c r="AY95" s="50" t="s">
        <v>95</v>
      </c>
      <c r="AZ95" s="49"/>
      <c r="BA95" s="50"/>
      <c r="BB95" s="49" t="s">
        <v>5</v>
      </c>
      <c r="BC95" s="50" t="s">
        <v>107</v>
      </c>
      <c r="BD95" s="49" t="s">
        <v>5</v>
      </c>
      <c r="BE95" s="50" t="s">
        <v>153</v>
      </c>
      <c r="BF95" s="49" t="s">
        <v>5</v>
      </c>
      <c r="BG95" s="50" t="s">
        <v>83</v>
      </c>
      <c r="BH95" s="49"/>
      <c r="BI95" s="50"/>
    </row>
    <row r="96" spans="1:61" x14ac:dyDescent="0.25">
      <c r="A96" s="76">
        <v>152747</v>
      </c>
      <c r="B96" s="77" t="s">
        <v>1720</v>
      </c>
      <c r="C96" s="78" t="s">
        <v>1633</v>
      </c>
      <c r="D96" s="76" t="s">
        <v>12</v>
      </c>
      <c r="E96" s="79" t="s">
        <v>14</v>
      </c>
      <c r="F96" s="79" t="s">
        <v>275</v>
      </c>
      <c r="G96" s="79" t="s">
        <v>14</v>
      </c>
      <c r="H96" s="79" t="s">
        <v>14</v>
      </c>
      <c r="I96" s="78" t="s">
        <v>14</v>
      </c>
      <c r="J96" s="79" t="s">
        <v>14</v>
      </c>
      <c r="K96" s="142" t="s">
        <v>1850</v>
      </c>
      <c r="L96" s="149" t="s">
        <v>1406</v>
      </c>
      <c r="M96" s="150" t="s">
        <v>1406</v>
      </c>
      <c r="N96" s="151">
        <v>27</v>
      </c>
      <c r="O96" s="151">
        <v>0</v>
      </c>
      <c r="P96" s="152">
        <v>0</v>
      </c>
      <c r="Q96" s="153">
        <v>100</v>
      </c>
      <c r="R96" s="154">
        <v>0</v>
      </c>
      <c r="S96" s="38">
        <f t="shared" si="11"/>
        <v>2</v>
      </c>
      <c r="T96" s="39">
        <f t="shared" si="12"/>
        <v>12</v>
      </c>
      <c r="U96" s="40">
        <f t="shared" si="13"/>
        <v>0</v>
      </c>
      <c r="V96" s="40">
        <f t="shared" si="14"/>
        <v>0</v>
      </c>
      <c r="W96" s="40">
        <f t="shared" si="15"/>
        <v>0</v>
      </c>
      <c r="X96" s="40">
        <f t="shared" si="16"/>
        <v>0</v>
      </c>
      <c r="Y96" s="40">
        <f t="shared" si="17"/>
        <v>0</v>
      </c>
      <c r="Z96" s="40">
        <f t="shared" si="18"/>
        <v>0</v>
      </c>
      <c r="AA96" s="40">
        <f t="shared" si="19"/>
        <v>0</v>
      </c>
      <c r="AB96" s="40">
        <f t="shared" si="20"/>
        <v>0</v>
      </c>
      <c r="AC96" s="41">
        <f t="shared" si="21"/>
        <v>0</v>
      </c>
      <c r="AD96" s="49" t="s">
        <v>5</v>
      </c>
      <c r="AE96" s="50" t="s">
        <v>89</v>
      </c>
      <c r="AF96" s="49" t="s">
        <v>5</v>
      </c>
      <c r="AG96" s="50" t="s">
        <v>135</v>
      </c>
      <c r="AH96" s="49" t="s">
        <v>5</v>
      </c>
      <c r="AI96" s="50" t="s">
        <v>101</v>
      </c>
      <c r="AJ96" s="49" t="s">
        <v>5</v>
      </c>
      <c r="AK96" s="50" t="s">
        <v>74</v>
      </c>
      <c r="AL96" s="49" t="s">
        <v>5</v>
      </c>
      <c r="AM96" s="50" t="s">
        <v>122</v>
      </c>
      <c r="AN96" s="49"/>
      <c r="AO96" s="50"/>
      <c r="AP96" s="49" t="s">
        <v>5</v>
      </c>
      <c r="AQ96" s="50" t="s">
        <v>131</v>
      </c>
      <c r="AR96" s="49" t="s">
        <v>5</v>
      </c>
      <c r="AS96" s="50" t="s">
        <v>120</v>
      </c>
      <c r="AT96" s="49" t="s">
        <v>5</v>
      </c>
      <c r="AU96" s="50" t="s">
        <v>163</v>
      </c>
      <c r="AV96" s="49" t="s">
        <v>5</v>
      </c>
      <c r="AW96" s="50" t="s">
        <v>112</v>
      </c>
      <c r="AX96" s="49" t="s">
        <v>5</v>
      </c>
      <c r="AY96" s="50" t="s">
        <v>95</v>
      </c>
      <c r="AZ96" s="49"/>
      <c r="BA96" s="50"/>
      <c r="BB96" s="49" t="s">
        <v>1</v>
      </c>
      <c r="BC96" s="50" t="s">
        <v>96</v>
      </c>
      <c r="BD96" s="49" t="s">
        <v>1</v>
      </c>
      <c r="BE96" s="50" t="s">
        <v>495</v>
      </c>
      <c r="BF96" s="49" t="s">
        <v>5</v>
      </c>
      <c r="BG96" s="50" t="s">
        <v>83</v>
      </c>
      <c r="BH96" s="49" t="s">
        <v>5</v>
      </c>
      <c r="BI96" s="50" t="s">
        <v>75</v>
      </c>
    </row>
    <row r="97" spans="1:61" x14ac:dyDescent="0.25">
      <c r="A97" s="76">
        <v>152779</v>
      </c>
      <c r="B97" s="77" t="s">
        <v>1721</v>
      </c>
      <c r="C97" s="78" t="s">
        <v>1628</v>
      </c>
      <c r="D97" s="76" t="s">
        <v>12</v>
      </c>
      <c r="E97" s="79" t="s">
        <v>14</v>
      </c>
      <c r="F97" s="79" t="s">
        <v>71</v>
      </c>
      <c r="G97" s="79" t="s">
        <v>14</v>
      </c>
      <c r="H97" s="79" t="s">
        <v>14</v>
      </c>
      <c r="I97" s="78" t="s">
        <v>14</v>
      </c>
      <c r="J97" s="79" t="s">
        <v>14</v>
      </c>
      <c r="K97" s="142" t="s">
        <v>1851</v>
      </c>
      <c r="L97" s="149" t="s">
        <v>1406</v>
      </c>
      <c r="M97" s="150" t="s">
        <v>1406</v>
      </c>
      <c r="N97" s="151">
        <v>17</v>
      </c>
      <c r="O97" s="151">
        <v>0</v>
      </c>
      <c r="P97" s="152">
        <v>0</v>
      </c>
      <c r="Q97" s="153">
        <v>86.67</v>
      </c>
      <c r="R97" s="154">
        <v>0</v>
      </c>
      <c r="S97" s="38">
        <f t="shared" si="11"/>
        <v>2</v>
      </c>
      <c r="T97" s="39">
        <f t="shared" si="12"/>
        <v>12</v>
      </c>
      <c r="U97" s="40">
        <f t="shared" si="13"/>
        <v>0</v>
      </c>
      <c r="V97" s="40">
        <f t="shared" si="14"/>
        <v>0</v>
      </c>
      <c r="W97" s="40">
        <f t="shared" si="15"/>
        <v>0</v>
      </c>
      <c r="X97" s="40">
        <f t="shared" si="16"/>
        <v>0</v>
      </c>
      <c r="Y97" s="40">
        <f t="shared" si="17"/>
        <v>0</v>
      </c>
      <c r="Z97" s="40">
        <f t="shared" si="18"/>
        <v>0</v>
      </c>
      <c r="AA97" s="40">
        <f t="shared" si="19"/>
        <v>0</v>
      </c>
      <c r="AB97" s="40">
        <f t="shared" si="20"/>
        <v>0</v>
      </c>
      <c r="AC97" s="41">
        <f t="shared" si="21"/>
        <v>0</v>
      </c>
      <c r="AD97" s="49" t="s">
        <v>5</v>
      </c>
      <c r="AE97" s="50" t="s">
        <v>116</v>
      </c>
      <c r="AF97" s="49" t="s">
        <v>5</v>
      </c>
      <c r="AG97" s="50" t="s">
        <v>135</v>
      </c>
      <c r="AH97" s="49" t="s">
        <v>5</v>
      </c>
      <c r="AI97" s="50" t="s">
        <v>101</v>
      </c>
      <c r="AJ97" s="49" t="s">
        <v>5</v>
      </c>
      <c r="AK97" s="50" t="s">
        <v>722</v>
      </c>
      <c r="AL97" s="49" t="s">
        <v>5</v>
      </c>
      <c r="AM97" s="50" t="s">
        <v>106</v>
      </c>
      <c r="AN97" s="49" t="s">
        <v>5</v>
      </c>
      <c r="AO97" s="50" t="s">
        <v>103</v>
      </c>
      <c r="AP97" s="49" t="s">
        <v>5</v>
      </c>
      <c r="AQ97" s="50" t="s">
        <v>144</v>
      </c>
      <c r="AR97" s="49" t="s">
        <v>5</v>
      </c>
      <c r="AS97" s="50" t="s">
        <v>104</v>
      </c>
      <c r="AT97" s="49" t="s">
        <v>5</v>
      </c>
      <c r="AU97" s="50" t="s">
        <v>105</v>
      </c>
      <c r="AV97" s="49" t="s">
        <v>5</v>
      </c>
      <c r="AW97" s="50" t="s">
        <v>112</v>
      </c>
      <c r="AX97" s="49" t="s">
        <v>1</v>
      </c>
      <c r="AY97" s="50" t="s">
        <v>95</v>
      </c>
      <c r="AZ97" s="49"/>
      <c r="BA97" s="50"/>
      <c r="BB97" s="49" t="s">
        <v>5</v>
      </c>
      <c r="BC97" s="50" t="s">
        <v>96</v>
      </c>
      <c r="BD97" s="49" t="s">
        <v>5</v>
      </c>
      <c r="BE97" s="50" t="s">
        <v>108</v>
      </c>
      <c r="BF97" s="49" t="s">
        <v>1</v>
      </c>
      <c r="BG97" s="50" t="s">
        <v>123</v>
      </c>
      <c r="BH97" s="49"/>
      <c r="BI97" s="50"/>
    </row>
    <row r="98" spans="1:61" x14ac:dyDescent="0.25">
      <c r="A98" s="76">
        <v>152748</v>
      </c>
      <c r="B98" s="77" t="s">
        <v>1722</v>
      </c>
      <c r="C98" s="78" t="s">
        <v>1648</v>
      </c>
      <c r="D98" s="76" t="s">
        <v>70</v>
      </c>
      <c r="E98" s="79" t="s">
        <v>14</v>
      </c>
      <c r="F98" s="79" t="s">
        <v>71</v>
      </c>
      <c r="G98" s="79" t="s">
        <v>14</v>
      </c>
      <c r="H98" s="79" t="s">
        <v>14</v>
      </c>
      <c r="I98" s="78" t="s">
        <v>14</v>
      </c>
      <c r="J98" s="79" t="s">
        <v>14</v>
      </c>
      <c r="K98" s="142" t="s">
        <v>1850</v>
      </c>
      <c r="L98" s="149" t="s">
        <v>1845</v>
      </c>
      <c r="M98" s="150" t="s">
        <v>12</v>
      </c>
      <c r="N98" s="151">
        <v>18</v>
      </c>
      <c r="O98" s="151">
        <v>0</v>
      </c>
      <c r="P98" s="152">
        <v>0</v>
      </c>
      <c r="Q98" s="153">
        <v>100</v>
      </c>
      <c r="R98" s="154">
        <v>1</v>
      </c>
      <c r="S98" s="38">
        <f t="shared" si="11"/>
        <v>2</v>
      </c>
      <c r="T98" s="39">
        <f t="shared" si="12"/>
        <v>12</v>
      </c>
      <c r="U98" s="40">
        <f t="shared" si="13"/>
        <v>0</v>
      </c>
      <c r="V98" s="40">
        <f t="shared" si="14"/>
        <v>0</v>
      </c>
      <c r="W98" s="40">
        <f t="shared" si="15"/>
        <v>0</v>
      </c>
      <c r="X98" s="40">
        <f t="shared" si="16"/>
        <v>0</v>
      </c>
      <c r="Y98" s="40">
        <f t="shared" si="17"/>
        <v>0</v>
      </c>
      <c r="Z98" s="40">
        <f t="shared" si="18"/>
        <v>0</v>
      </c>
      <c r="AA98" s="40">
        <f t="shared" si="19"/>
        <v>0</v>
      </c>
      <c r="AB98" s="40">
        <f t="shared" si="20"/>
        <v>0</v>
      </c>
      <c r="AC98" s="41">
        <f t="shared" si="21"/>
        <v>0</v>
      </c>
      <c r="AD98" s="49" t="s">
        <v>5</v>
      </c>
      <c r="AE98" s="50" t="s">
        <v>116</v>
      </c>
      <c r="AF98" s="49"/>
      <c r="AG98" s="50"/>
      <c r="AH98" s="49" t="s">
        <v>5</v>
      </c>
      <c r="AI98" s="50" t="s">
        <v>101</v>
      </c>
      <c r="AJ98" s="49" t="s">
        <v>5</v>
      </c>
      <c r="AK98" s="50" t="s">
        <v>111</v>
      </c>
      <c r="AL98" s="49" t="s">
        <v>5</v>
      </c>
      <c r="AM98" s="50" t="s">
        <v>714</v>
      </c>
      <c r="AN98" s="49" t="s">
        <v>5</v>
      </c>
      <c r="AO98" s="50" t="s">
        <v>124</v>
      </c>
      <c r="AP98" s="49" t="s">
        <v>5</v>
      </c>
      <c r="AQ98" s="50" t="s">
        <v>76</v>
      </c>
      <c r="AR98" s="49" t="s">
        <v>5</v>
      </c>
      <c r="AS98" s="50" t="s">
        <v>132</v>
      </c>
      <c r="AT98" s="49" t="s">
        <v>5</v>
      </c>
      <c r="AU98" s="50" t="s">
        <v>163</v>
      </c>
      <c r="AV98" s="49" t="s">
        <v>1</v>
      </c>
      <c r="AW98" s="50" t="s">
        <v>79</v>
      </c>
      <c r="AX98" s="49" t="s">
        <v>1</v>
      </c>
      <c r="AY98" s="50" t="s">
        <v>95</v>
      </c>
      <c r="AZ98" s="49" t="s">
        <v>5</v>
      </c>
      <c r="BA98" s="50" t="s">
        <v>120</v>
      </c>
      <c r="BB98" s="49" t="s">
        <v>5</v>
      </c>
      <c r="BC98" s="50" t="s">
        <v>81</v>
      </c>
      <c r="BD98" s="49" t="s">
        <v>5</v>
      </c>
      <c r="BE98" s="50" t="s">
        <v>153</v>
      </c>
      <c r="BF98" s="49" t="s">
        <v>5</v>
      </c>
      <c r="BG98" s="50" t="s">
        <v>170</v>
      </c>
      <c r="BH98" s="49"/>
      <c r="BI98" s="50"/>
    </row>
    <row r="99" spans="1:61" x14ac:dyDescent="0.25">
      <c r="A99" s="76">
        <v>152809</v>
      </c>
      <c r="B99" s="77" t="s">
        <v>1723</v>
      </c>
      <c r="C99" s="78" t="s">
        <v>1633</v>
      </c>
      <c r="D99" s="76" t="s">
        <v>70</v>
      </c>
      <c r="E99" s="79" t="s">
        <v>14</v>
      </c>
      <c r="F99" s="79" t="s">
        <v>71</v>
      </c>
      <c r="G99" s="79" t="s">
        <v>14</v>
      </c>
      <c r="H99" s="79" t="s">
        <v>14</v>
      </c>
      <c r="I99" s="78" t="s">
        <v>14</v>
      </c>
      <c r="J99" s="79" t="s">
        <v>14</v>
      </c>
      <c r="K99" s="142" t="s">
        <v>1850</v>
      </c>
      <c r="L99" s="149" t="s">
        <v>1845</v>
      </c>
      <c r="M99" s="150" t="s">
        <v>12</v>
      </c>
      <c r="N99" s="151">
        <v>22</v>
      </c>
      <c r="O99" s="151">
        <v>0</v>
      </c>
      <c r="P99" s="152">
        <v>0</v>
      </c>
      <c r="Q99" s="153">
        <v>95.56</v>
      </c>
      <c r="R99" s="154">
        <v>0</v>
      </c>
      <c r="S99" s="38">
        <f t="shared" si="11"/>
        <v>1</v>
      </c>
      <c r="T99" s="39">
        <f t="shared" si="12"/>
        <v>13</v>
      </c>
      <c r="U99" s="40">
        <f t="shared" si="13"/>
        <v>0</v>
      </c>
      <c r="V99" s="40">
        <f t="shared" si="14"/>
        <v>0</v>
      </c>
      <c r="W99" s="40">
        <f t="shared" si="15"/>
        <v>0</v>
      </c>
      <c r="X99" s="40">
        <f t="shared" si="16"/>
        <v>0</v>
      </c>
      <c r="Y99" s="40">
        <f t="shared" si="17"/>
        <v>0</v>
      </c>
      <c r="Z99" s="40">
        <f t="shared" si="18"/>
        <v>0</v>
      </c>
      <c r="AA99" s="40">
        <f t="shared" si="19"/>
        <v>0</v>
      </c>
      <c r="AB99" s="40">
        <f t="shared" si="20"/>
        <v>0</v>
      </c>
      <c r="AC99" s="41">
        <f t="shared" si="21"/>
        <v>0</v>
      </c>
      <c r="AD99" s="49" t="s">
        <v>5</v>
      </c>
      <c r="AE99" s="50" t="s">
        <v>89</v>
      </c>
      <c r="AF99" s="49" t="s">
        <v>5</v>
      </c>
      <c r="AG99" s="50" t="s">
        <v>90</v>
      </c>
      <c r="AH99" s="49" t="s">
        <v>5</v>
      </c>
      <c r="AI99" s="50" t="s">
        <v>101</v>
      </c>
      <c r="AJ99" s="49" t="s">
        <v>5</v>
      </c>
      <c r="AK99" s="50" t="s">
        <v>194</v>
      </c>
      <c r="AL99" s="49" t="s">
        <v>1</v>
      </c>
      <c r="AM99" s="50" t="s">
        <v>122</v>
      </c>
      <c r="AN99" s="49"/>
      <c r="AO99" s="50"/>
      <c r="AP99" s="49" t="s">
        <v>5</v>
      </c>
      <c r="AQ99" s="50" t="s">
        <v>131</v>
      </c>
      <c r="AR99" s="49" t="s">
        <v>5</v>
      </c>
      <c r="AS99" s="50" t="s">
        <v>120</v>
      </c>
      <c r="AT99" s="49" t="s">
        <v>5</v>
      </c>
      <c r="AU99" s="50" t="s">
        <v>163</v>
      </c>
      <c r="AV99" s="49" t="s">
        <v>5</v>
      </c>
      <c r="AW99" s="50" t="s">
        <v>430</v>
      </c>
      <c r="AX99" s="49" t="s">
        <v>5</v>
      </c>
      <c r="AY99" s="50" t="s">
        <v>95</v>
      </c>
      <c r="AZ99" s="49"/>
      <c r="BA99" s="50"/>
      <c r="BB99" s="49" t="s">
        <v>5</v>
      </c>
      <c r="BC99" s="50" t="s">
        <v>121</v>
      </c>
      <c r="BD99" s="49" t="s">
        <v>5</v>
      </c>
      <c r="BE99" s="50" t="s">
        <v>495</v>
      </c>
      <c r="BF99" s="49" t="s">
        <v>5</v>
      </c>
      <c r="BG99" s="50" t="s">
        <v>164</v>
      </c>
      <c r="BH99" s="49" t="s">
        <v>5</v>
      </c>
      <c r="BI99" s="50" t="s">
        <v>75</v>
      </c>
    </row>
    <row r="100" spans="1:61" x14ac:dyDescent="0.25">
      <c r="A100" s="76">
        <v>152814</v>
      </c>
      <c r="B100" s="77" t="s">
        <v>1724</v>
      </c>
      <c r="C100" s="78" t="s">
        <v>1628</v>
      </c>
      <c r="D100" s="76" t="s">
        <v>70</v>
      </c>
      <c r="E100" s="79" t="s">
        <v>14</v>
      </c>
      <c r="F100" s="79" t="s">
        <v>218</v>
      </c>
      <c r="G100" s="79" t="s">
        <v>87</v>
      </c>
      <c r="H100" s="79" t="s">
        <v>14</v>
      </c>
      <c r="I100" s="78" t="s">
        <v>14</v>
      </c>
      <c r="J100" s="79" t="s">
        <v>14</v>
      </c>
      <c r="K100" s="142" t="s">
        <v>1850</v>
      </c>
      <c r="L100" s="149" t="s">
        <v>1841</v>
      </c>
      <c r="M100" s="150" t="s">
        <v>1853</v>
      </c>
      <c r="N100" s="151">
        <v>13</v>
      </c>
      <c r="O100" s="151">
        <v>0</v>
      </c>
      <c r="P100" s="152">
        <v>0</v>
      </c>
      <c r="Q100" s="153">
        <v>100</v>
      </c>
      <c r="R100" s="154">
        <v>0</v>
      </c>
      <c r="S100" s="38">
        <f t="shared" si="11"/>
        <v>0</v>
      </c>
      <c r="T100" s="39">
        <f t="shared" si="12"/>
        <v>14</v>
      </c>
      <c r="U100" s="40">
        <f t="shared" si="13"/>
        <v>0</v>
      </c>
      <c r="V100" s="40">
        <f t="shared" si="14"/>
        <v>0</v>
      </c>
      <c r="W100" s="40">
        <f t="shared" si="15"/>
        <v>0</v>
      </c>
      <c r="X100" s="40">
        <f t="shared" si="16"/>
        <v>0</v>
      </c>
      <c r="Y100" s="40">
        <f t="shared" si="17"/>
        <v>0</v>
      </c>
      <c r="Z100" s="40">
        <f t="shared" si="18"/>
        <v>0</v>
      </c>
      <c r="AA100" s="40">
        <f t="shared" si="19"/>
        <v>0</v>
      </c>
      <c r="AB100" s="40">
        <f t="shared" si="20"/>
        <v>0</v>
      </c>
      <c r="AC100" s="41">
        <f t="shared" si="21"/>
        <v>0</v>
      </c>
      <c r="AD100" s="49" t="s">
        <v>5</v>
      </c>
      <c r="AE100" s="50" t="s">
        <v>116</v>
      </c>
      <c r="AF100" s="49" t="s">
        <v>5</v>
      </c>
      <c r="AG100" s="50" t="s">
        <v>90</v>
      </c>
      <c r="AH100" s="49" t="s">
        <v>5</v>
      </c>
      <c r="AI100" s="50" t="s">
        <v>101</v>
      </c>
      <c r="AJ100" s="49" t="s">
        <v>5</v>
      </c>
      <c r="AK100" s="50" t="s">
        <v>722</v>
      </c>
      <c r="AL100" s="49" t="s">
        <v>5</v>
      </c>
      <c r="AM100" s="50" t="s">
        <v>106</v>
      </c>
      <c r="AN100" s="49" t="s">
        <v>5</v>
      </c>
      <c r="AO100" s="50" t="s">
        <v>103</v>
      </c>
      <c r="AP100" s="49" t="s">
        <v>5</v>
      </c>
      <c r="AQ100" s="50" t="s">
        <v>144</v>
      </c>
      <c r="AR100" s="49" t="s">
        <v>5</v>
      </c>
      <c r="AS100" s="50" t="s">
        <v>104</v>
      </c>
      <c r="AT100" s="49" t="s">
        <v>5</v>
      </c>
      <c r="AU100" s="50" t="s">
        <v>105</v>
      </c>
      <c r="AV100" s="49" t="s">
        <v>5</v>
      </c>
      <c r="AW100" s="50" t="s">
        <v>112</v>
      </c>
      <c r="AX100" s="49" t="s">
        <v>5</v>
      </c>
      <c r="AY100" s="50" t="s">
        <v>95</v>
      </c>
      <c r="AZ100" s="49"/>
      <c r="BA100" s="50"/>
      <c r="BB100" s="49" t="s">
        <v>5</v>
      </c>
      <c r="BC100" s="50" t="s">
        <v>81</v>
      </c>
      <c r="BD100" s="49" t="s">
        <v>5</v>
      </c>
      <c r="BE100" s="50" t="s">
        <v>108</v>
      </c>
      <c r="BF100" s="49" t="s">
        <v>5</v>
      </c>
      <c r="BG100" s="50" t="s">
        <v>164</v>
      </c>
      <c r="BH100" s="49"/>
      <c r="BI100" s="50"/>
    </row>
    <row r="101" spans="1:61" ht="30" x14ac:dyDescent="0.25">
      <c r="A101" s="76">
        <v>160001</v>
      </c>
      <c r="B101" s="77" t="s">
        <v>1725</v>
      </c>
      <c r="C101" s="78" t="s">
        <v>1633</v>
      </c>
      <c r="D101" s="76" t="s">
        <v>12</v>
      </c>
      <c r="E101" s="79" t="s">
        <v>14</v>
      </c>
      <c r="F101" s="77" t="s">
        <v>1726</v>
      </c>
      <c r="G101" s="79" t="s">
        <v>14</v>
      </c>
      <c r="H101" s="79" t="s">
        <v>14</v>
      </c>
      <c r="I101" s="78" t="s">
        <v>14</v>
      </c>
      <c r="J101" s="79" t="s">
        <v>14</v>
      </c>
      <c r="K101" s="142" t="s">
        <v>1850</v>
      </c>
      <c r="L101" s="149" t="s">
        <v>1846</v>
      </c>
      <c r="M101" s="150" t="s">
        <v>1853</v>
      </c>
      <c r="N101" s="151">
        <v>33</v>
      </c>
      <c r="O101" s="151">
        <v>0</v>
      </c>
      <c r="P101" s="152">
        <v>0</v>
      </c>
      <c r="Q101" s="153">
        <v>100</v>
      </c>
      <c r="R101" s="154">
        <v>0</v>
      </c>
      <c r="S101" s="38">
        <f t="shared" si="11"/>
        <v>5</v>
      </c>
      <c r="T101" s="39">
        <f t="shared" si="12"/>
        <v>9</v>
      </c>
      <c r="U101" s="40">
        <f t="shared" si="13"/>
        <v>0</v>
      </c>
      <c r="V101" s="40">
        <f t="shared" si="14"/>
        <v>0</v>
      </c>
      <c r="W101" s="40">
        <f t="shared" si="15"/>
        <v>0</v>
      </c>
      <c r="X101" s="40">
        <f t="shared" si="16"/>
        <v>0</v>
      </c>
      <c r="Y101" s="40">
        <f t="shared" si="17"/>
        <v>0</v>
      </c>
      <c r="Z101" s="40">
        <f t="shared" si="18"/>
        <v>0</v>
      </c>
      <c r="AA101" s="40">
        <f t="shared" si="19"/>
        <v>0</v>
      </c>
      <c r="AB101" s="40">
        <f t="shared" si="20"/>
        <v>0</v>
      </c>
      <c r="AC101" s="41">
        <f t="shared" si="21"/>
        <v>0</v>
      </c>
      <c r="AD101" s="49" t="s">
        <v>5</v>
      </c>
      <c r="AE101" s="50" t="s">
        <v>89</v>
      </c>
      <c r="AF101" s="49" t="s">
        <v>5</v>
      </c>
      <c r="AG101" s="50" t="s">
        <v>73</v>
      </c>
      <c r="AH101" s="49" t="s">
        <v>5</v>
      </c>
      <c r="AI101" s="50" t="s">
        <v>101</v>
      </c>
      <c r="AJ101" s="49" t="s">
        <v>5</v>
      </c>
      <c r="AK101" s="50" t="s">
        <v>74</v>
      </c>
      <c r="AL101" s="49" t="s">
        <v>1</v>
      </c>
      <c r="AM101" s="50" t="s">
        <v>122</v>
      </c>
      <c r="AN101" s="49"/>
      <c r="AO101" s="50"/>
      <c r="AP101" s="49" t="s">
        <v>5</v>
      </c>
      <c r="AQ101" s="50" t="s">
        <v>131</v>
      </c>
      <c r="AR101" s="49" t="s">
        <v>5</v>
      </c>
      <c r="AS101" s="50" t="s">
        <v>120</v>
      </c>
      <c r="AT101" s="49" t="s">
        <v>1</v>
      </c>
      <c r="AU101" s="50" t="s">
        <v>163</v>
      </c>
      <c r="AV101" s="49" t="s">
        <v>5</v>
      </c>
      <c r="AW101" s="50" t="s">
        <v>112</v>
      </c>
      <c r="AX101" s="49" t="s">
        <v>1</v>
      </c>
      <c r="AY101" s="50" t="s">
        <v>95</v>
      </c>
      <c r="AZ101" s="49"/>
      <c r="BA101" s="50"/>
      <c r="BB101" s="49" t="s">
        <v>1</v>
      </c>
      <c r="BC101" s="50" t="s">
        <v>96</v>
      </c>
      <c r="BD101" s="49" t="s">
        <v>1</v>
      </c>
      <c r="BE101" s="50" t="s">
        <v>495</v>
      </c>
      <c r="BF101" s="49" t="s">
        <v>5</v>
      </c>
      <c r="BG101" s="50" t="s">
        <v>83</v>
      </c>
      <c r="BH101" s="49" t="s">
        <v>5</v>
      </c>
      <c r="BI101" s="50" t="s">
        <v>75</v>
      </c>
    </row>
    <row r="102" spans="1:61" x14ac:dyDescent="0.25">
      <c r="A102" s="76">
        <v>152772</v>
      </c>
      <c r="B102" s="77" t="s">
        <v>1727</v>
      </c>
      <c r="C102" s="78" t="s">
        <v>1633</v>
      </c>
      <c r="D102" s="76" t="s">
        <v>70</v>
      </c>
      <c r="E102" s="79" t="s">
        <v>14</v>
      </c>
      <c r="F102" s="79" t="s">
        <v>71</v>
      </c>
      <c r="G102" s="79" t="s">
        <v>14</v>
      </c>
      <c r="H102" s="79" t="s">
        <v>14</v>
      </c>
      <c r="I102" s="78" t="s">
        <v>14</v>
      </c>
      <c r="J102" s="79" t="s">
        <v>14</v>
      </c>
      <c r="K102" s="142" t="s">
        <v>1850</v>
      </c>
      <c r="L102" s="149" t="s">
        <v>1842</v>
      </c>
      <c r="M102" s="150" t="s">
        <v>1853</v>
      </c>
      <c r="N102" s="151">
        <v>20</v>
      </c>
      <c r="O102" s="151">
        <v>0</v>
      </c>
      <c r="P102" s="152">
        <v>0</v>
      </c>
      <c r="Q102" s="153">
        <v>100</v>
      </c>
      <c r="R102" s="154">
        <v>0</v>
      </c>
      <c r="S102" s="38">
        <f t="shared" si="11"/>
        <v>1</v>
      </c>
      <c r="T102" s="39">
        <f t="shared" si="12"/>
        <v>13</v>
      </c>
      <c r="U102" s="40">
        <f t="shared" si="13"/>
        <v>0</v>
      </c>
      <c r="V102" s="40">
        <f t="shared" si="14"/>
        <v>0</v>
      </c>
      <c r="W102" s="40">
        <f t="shared" si="15"/>
        <v>0</v>
      </c>
      <c r="X102" s="40">
        <f t="shared" si="16"/>
        <v>0</v>
      </c>
      <c r="Y102" s="40">
        <f t="shared" si="17"/>
        <v>0</v>
      </c>
      <c r="Z102" s="40">
        <f t="shared" si="18"/>
        <v>0</v>
      </c>
      <c r="AA102" s="40">
        <f t="shared" si="19"/>
        <v>0</v>
      </c>
      <c r="AB102" s="40">
        <f t="shared" si="20"/>
        <v>0</v>
      </c>
      <c r="AC102" s="41">
        <f t="shared" si="21"/>
        <v>0</v>
      </c>
      <c r="AD102" s="49" t="s">
        <v>5</v>
      </c>
      <c r="AE102" s="50" t="s">
        <v>89</v>
      </c>
      <c r="AF102" s="49"/>
      <c r="AG102" s="50"/>
      <c r="AH102" s="49" t="s">
        <v>5</v>
      </c>
      <c r="AI102" s="50" t="s">
        <v>101</v>
      </c>
      <c r="AJ102" s="49" t="s">
        <v>5</v>
      </c>
      <c r="AK102" s="50" t="s">
        <v>102</v>
      </c>
      <c r="AL102" s="49" t="s">
        <v>5</v>
      </c>
      <c r="AM102" s="50" t="s">
        <v>122</v>
      </c>
      <c r="AN102" s="49"/>
      <c r="AO102" s="50"/>
      <c r="AP102" s="49" t="s">
        <v>5</v>
      </c>
      <c r="AQ102" s="50" t="s">
        <v>131</v>
      </c>
      <c r="AR102" s="49" t="s">
        <v>5</v>
      </c>
      <c r="AS102" s="50" t="s">
        <v>120</v>
      </c>
      <c r="AT102" s="49" t="s">
        <v>5</v>
      </c>
      <c r="AU102" s="50" t="s">
        <v>163</v>
      </c>
      <c r="AV102" s="49" t="s">
        <v>1</v>
      </c>
      <c r="AW102" s="50" t="s">
        <v>79</v>
      </c>
      <c r="AX102" s="49" t="s">
        <v>5</v>
      </c>
      <c r="AY102" s="50" t="s">
        <v>95</v>
      </c>
      <c r="AZ102" s="49" t="s">
        <v>5</v>
      </c>
      <c r="BA102" s="50" t="s">
        <v>105</v>
      </c>
      <c r="BB102" s="49" t="s">
        <v>5</v>
      </c>
      <c r="BC102" s="50" t="s">
        <v>121</v>
      </c>
      <c r="BD102" s="49" t="s">
        <v>5</v>
      </c>
      <c r="BE102" s="50" t="s">
        <v>495</v>
      </c>
      <c r="BF102" s="49" t="s">
        <v>5</v>
      </c>
      <c r="BG102" s="50" t="s">
        <v>170</v>
      </c>
      <c r="BH102" s="49" t="s">
        <v>5</v>
      </c>
      <c r="BI102" s="50" t="s">
        <v>75</v>
      </c>
    </row>
    <row r="103" spans="1:61" x14ac:dyDescent="0.25">
      <c r="A103" s="76">
        <v>152804</v>
      </c>
      <c r="B103" s="77" t="s">
        <v>1728</v>
      </c>
      <c r="C103" s="78" t="s">
        <v>1630</v>
      </c>
      <c r="D103" s="76" t="s">
        <v>70</v>
      </c>
      <c r="E103" s="79" t="s">
        <v>87</v>
      </c>
      <c r="F103" s="79" t="s">
        <v>88</v>
      </c>
      <c r="G103" s="79" t="s">
        <v>14</v>
      </c>
      <c r="H103" s="79" t="s">
        <v>87</v>
      </c>
      <c r="I103" s="78" t="s">
        <v>14</v>
      </c>
      <c r="J103" s="79" t="s">
        <v>14</v>
      </c>
      <c r="K103" s="142" t="s">
        <v>1850</v>
      </c>
      <c r="L103" s="149" t="s">
        <v>1842</v>
      </c>
      <c r="M103" s="150" t="s">
        <v>1853</v>
      </c>
      <c r="N103" s="151">
        <v>34</v>
      </c>
      <c r="O103" s="151">
        <v>1</v>
      </c>
      <c r="P103" s="152">
        <v>1</v>
      </c>
      <c r="Q103" s="153">
        <v>97.83</v>
      </c>
      <c r="R103" s="154">
        <v>2</v>
      </c>
      <c r="S103" s="38">
        <f t="shared" si="11"/>
        <v>2</v>
      </c>
      <c r="T103" s="39">
        <f t="shared" si="12"/>
        <v>12</v>
      </c>
      <c r="U103" s="40">
        <f t="shared" si="13"/>
        <v>0</v>
      </c>
      <c r="V103" s="40">
        <f t="shared" si="14"/>
        <v>0</v>
      </c>
      <c r="W103" s="40">
        <f t="shared" si="15"/>
        <v>0</v>
      </c>
      <c r="X103" s="40">
        <f t="shared" si="16"/>
        <v>0</v>
      </c>
      <c r="Y103" s="40">
        <f t="shared" si="17"/>
        <v>0</v>
      </c>
      <c r="Z103" s="40">
        <f t="shared" si="18"/>
        <v>0</v>
      </c>
      <c r="AA103" s="40">
        <f t="shared" si="19"/>
        <v>0</v>
      </c>
      <c r="AB103" s="40">
        <f t="shared" si="20"/>
        <v>0</v>
      </c>
      <c r="AC103" s="41">
        <f t="shared" si="21"/>
        <v>0</v>
      </c>
      <c r="AD103" s="49" t="s">
        <v>5</v>
      </c>
      <c r="AE103" s="50" t="s">
        <v>89</v>
      </c>
      <c r="AF103" s="49" t="s">
        <v>5</v>
      </c>
      <c r="AG103" s="50" t="s">
        <v>117</v>
      </c>
      <c r="AH103" s="49" t="s">
        <v>5</v>
      </c>
      <c r="AI103" s="50" t="s">
        <v>101</v>
      </c>
      <c r="AJ103" s="49" t="s">
        <v>5</v>
      </c>
      <c r="AK103" s="50" t="s">
        <v>102</v>
      </c>
      <c r="AL103" s="49" t="s">
        <v>1</v>
      </c>
      <c r="AM103" s="50" t="s">
        <v>94</v>
      </c>
      <c r="AN103" s="49"/>
      <c r="AO103" s="50"/>
      <c r="AP103" s="49" t="s">
        <v>1</v>
      </c>
      <c r="AQ103" s="50" t="s">
        <v>131</v>
      </c>
      <c r="AR103" s="49" t="s">
        <v>5</v>
      </c>
      <c r="AS103" s="50" t="s">
        <v>120</v>
      </c>
      <c r="AT103" s="49" t="s">
        <v>5</v>
      </c>
      <c r="AU103" s="50" t="s">
        <v>78</v>
      </c>
      <c r="AV103" s="49" t="s">
        <v>5</v>
      </c>
      <c r="AW103" s="50" t="s">
        <v>112</v>
      </c>
      <c r="AX103" s="49" t="s">
        <v>5</v>
      </c>
      <c r="AY103" s="50" t="s">
        <v>95</v>
      </c>
      <c r="AZ103" s="49"/>
      <c r="BA103" s="50"/>
      <c r="BB103" s="49" t="s">
        <v>5</v>
      </c>
      <c r="BC103" s="50" t="s">
        <v>121</v>
      </c>
      <c r="BD103" s="49" t="s">
        <v>5</v>
      </c>
      <c r="BE103" s="50" t="s">
        <v>495</v>
      </c>
      <c r="BF103" s="49" t="s">
        <v>5</v>
      </c>
      <c r="BG103" s="50" t="s">
        <v>123</v>
      </c>
      <c r="BH103" s="49" t="s">
        <v>5</v>
      </c>
      <c r="BI103" s="50" t="s">
        <v>103</v>
      </c>
    </row>
    <row r="104" spans="1:61" x14ac:dyDescent="0.25">
      <c r="A104" s="76">
        <v>152787</v>
      </c>
      <c r="B104" s="77" t="s">
        <v>1729</v>
      </c>
      <c r="C104" s="78" t="s">
        <v>1630</v>
      </c>
      <c r="D104" s="76" t="s">
        <v>12</v>
      </c>
      <c r="E104" s="79" t="s">
        <v>14</v>
      </c>
      <c r="F104" s="79" t="s">
        <v>71</v>
      </c>
      <c r="G104" s="79" t="s">
        <v>14</v>
      </c>
      <c r="H104" s="79" t="s">
        <v>14</v>
      </c>
      <c r="I104" s="78" t="s">
        <v>14</v>
      </c>
      <c r="J104" s="79" t="s">
        <v>14</v>
      </c>
      <c r="K104" s="142" t="s">
        <v>1850</v>
      </c>
      <c r="L104" s="149" t="s">
        <v>1845</v>
      </c>
      <c r="M104" s="150" t="s">
        <v>12</v>
      </c>
      <c r="N104" s="151">
        <v>32</v>
      </c>
      <c r="O104" s="151">
        <v>0</v>
      </c>
      <c r="P104" s="152">
        <v>0</v>
      </c>
      <c r="Q104" s="153">
        <v>93.48</v>
      </c>
      <c r="R104" s="154">
        <v>0</v>
      </c>
      <c r="S104" s="38">
        <f t="shared" si="11"/>
        <v>1</v>
      </c>
      <c r="T104" s="39">
        <f t="shared" si="12"/>
        <v>12</v>
      </c>
      <c r="U104" s="40">
        <f t="shared" si="13"/>
        <v>1</v>
      </c>
      <c r="V104" s="40">
        <f t="shared" si="14"/>
        <v>0</v>
      </c>
      <c r="W104" s="40">
        <f t="shared" si="15"/>
        <v>0</v>
      </c>
      <c r="X104" s="40">
        <f t="shared" si="16"/>
        <v>1</v>
      </c>
      <c r="Y104" s="40">
        <f t="shared" si="17"/>
        <v>0</v>
      </c>
      <c r="Z104" s="40">
        <f t="shared" si="18"/>
        <v>0</v>
      </c>
      <c r="AA104" s="40">
        <f t="shared" si="19"/>
        <v>0</v>
      </c>
      <c r="AB104" s="40">
        <f t="shared" si="20"/>
        <v>0</v>
      </c>
      <c r="AC104" s="41">
        <f t="shared" si="21"/>
        <v>0</v>
      </c>
      <c r="AD104" s="49" t="s">
        <v>5</v>
      </c>
      <c r="AE104" s="50" t="s">
        <v>89</v>
      </c>
      <c r="AF104" s="49" t="s">
        <v>5</v>
      </c>
      <c r="AG104" s="50" t="s">
        <v>135</v>
      </c>
      <c r="AH104" s="49" t="s">
        <v>5</v>
      </c>
      <c r="AI104" s="50" t="s">
        <v>101</v>
      </c>
      <c r="AJ104" s="49" t="s">
        <v>5</v>
      </c>
      <c r="AK104" s="50" t="s">
        <v>722</v>
      </c>
      <c r="AL104" s="49" t="s">
        <v>5</v>
      </c>
      <c r="AM104" s="50" t="s">
        <v>94</v>
      </c>
      <c r="AN104" s="49"/>
      <c r="AO104" s="50"/>
      <c r="AP104" s="49" t="s">
        <v>5</v>
      </c>
      <c r="AQ104" s="50" t="s">
        <v>131</v>
      </c>
      <c r="AR104" s="49" t="s">
        <v>5</v>
      </c>
      <c r="AS104" s="50" t="s">
        <v>120</v>
      </c>
      <c r="AT104" s="49" t="s">
        <v>5</v>
      </c>
      <c r="AU104" s="50" t="s">
        <v>78</v>
      </c>
      <c r="AV104" s="49" t="s">
        <v>5</v>
      </c>
      <c r="AW104" s="50" t="s">
        <v>94</v>
      </c>
      <c r="AX104" s="49" t="s">
        <v>5</v>
      </c>
      <c r="AY104" s="50" t="s">
        <v>95</v>
      </c>
      <c r="AZ104" s="49"/>
      <c r="BA104" s="50"/>
      <c r="BB104" s="49" t="s">
        <v>1</v>
      </c>
      <c r="BC104" s="50" t="s">
        <v>96</v>
      </c>
      <c r="BD104" s="49" t="s">
        <v>30</v>
      </c>
      <c r="BE104" s="50" t="s">
        <v>495</v>
      </c>
      <c r="BF104" s="49" t="s">
        <v>5</v>
      </c>
      <c r="BG104" s="50" t="s">
        <v>164</v>
      </c>
      <c r="BH104" s="49" t="s">
        <v>5</v>
      </c>
      <c r="BI104" s="50" t="s">
        <v>103</v>
      </c>
    </row>
    <row r="105" spans="1:61" x14ac:dyDescent="0.25">
      <c r="A105" s="76">
        <v>152939</v>
      </c>
      <c r="B105" s="77" t="s">
        <v>1730</v>
      </c>
      <c r="C105" s="78" t="s">
        <v>1622</v>
      </c>
      <c r="D105" s="76" t="s">
        <v>12</v>
      </c>
      <c r="E105" s="79" t="s">
        <v>14</v>
      </c>
      <c r="F105" s="79" t="s">
        <v>275</v>
      </c>
      <c r="G105" s="79" t="s">
        <v>87</v>
      </c>
      <c r="H105" s="79" t="s">
        <v>14</v>
      </c>
      <c r="I105" s="78" t="s">
        <v>14</v>
      </c>
      <c r="J105" s="79" t="s">
        <v>4</v>
      </c>
      <c r="K105" s="142" t="s">
        <v>1850</v>
      </c>
      <c r="L105" s="149" t="s">
        <v>1843</v>
      </c>
      <c r="M105" s="150" t="s">
        <v>1852</v>
      </c>
      <c r="N105" s="151">
        <v>13</v>
      </c>
      <c r="O105" s="151">
        <v>0</v>
      </c>
      <c r="P105" s="152">
        <v>1</v>
      </c>
      <c r="Q105" s="153">
        <v>100</v>
      </c>
      <c r="R105" s="154">
        <v>0</v>
      </c>
      <c r="S105" s="38">
        <f t="shared" si="11"/>
        <v>0</v>
      </c>
      <c r="T105" s="39">
        <f t="shared" si="12"/>
        <v>14</v>
      </c>
      <c r="U105" s="40">
        <f t="shared" si="13"/>
        <v>0</v>
      </c>
      <c r="V105" s="40">
        <f t="shared" si="14"/>
        <v>0</v>
      </c>
      <c r="W105" s="40">
        <f t="shared" si="15"/>
        <v>0</v>
      </c>
      <c r="X105" s="40">
        <f t="shared" si="16"/>
        <v>0</v>
      </c>
      <c r="Y105" s="40">
        <f t="shared" si="17"/>
        <v>0</v>
      </c>
      <c r="Z105" s="40">
        <f t="shared" si="18"/>
        <v>0</v>
      </c>
      <c r="AA105" s="40">
        <f t="shared" si="19"/>
        <v>0</v>
      </c>
      <c r="AB105" s="40">
        <f t="shared" si="20"/>
        <v>0</v>
      </c>
      <c r="AC105" s="41">
        <f t="shared" si="21"/>
        <v>0</v>
      </c>
      <c r="AD105" s="49" t="s">
        <v>5</v>
      </c>
      <c r="AE105" s="50" t="s">
        <v>89</v>
      </c>
      <c r="AF105" s="49"/>
      <c r="AG105" s="50"/>
      <c r="AH105" s="49" t="s">
        <v>5</v>
      </c>
      <c r="AI105" s="50" t="s">
        <v>142</v>
      </c>
      <c r="AJ105" s="49" t="s">
        <v>5</v>
      </c>
      <c r="AK105" s="50" t="s">
        <v>74</v>
      </c>
      <c r="AL105" s="49" t="s">
        <v>5</v>
      </c>
      <c r="AM105" s="50" t="s">
        <v>98</v>
      </c>
      <c r="AN105" s="49" t="s">
        <v>5</v>
      </c>
      <c r="AO105" s="50" t="s">
        <v>75</v>
      </c>
      <c r="AP105" s="49" t="s">
        <v>5</v>
      </c>
      <c r="AQ105" s="50" t="s">
        <v>92</v>
      </c>
      <c r="AR105" s="49" t="s">
        <v>5</v>
      </c>
      <c r="AS105" s="50" t="s">
        <v>104</v>
      </c>
      <c r="AT105" s="49" t="s">
        <v>5</v>
      </c>
      <c r="AU105" s="50" t="s">
        <v>105</v>
      </c>
      <c r="AV105" s="49" t="s">
        <v>5</v>
      </c>
      <c r="AW105" s="50" t="s">
        <v>711</v>
      </c>
      <c r="AX105" s="49" t="s">
        <v>5</v>
      </c>
      <c r="AY105" s="50" t="s">
        <v>80</v>
      </c>
      <c r="AZ105" s="49" t="s">
        <v>5</v>
      </c>
      <c r="BA105" s="50" t="s">
        <v>120</v>
      </c>
      <c r="BB105" s="49" t="s">
        <v>5</v>
      </c>
      <c r="BC105" s="50" t="s">
        <v>96</v>
      </c>
      <c r="BD105" s="49" t="s">
        <v>5</v>
      </c>
      <c r="BE105" s="50" t="s">
        <v>122</v>
      </c>
      <c r="BF105" s="49" t="s">
        <v>5</v>
      </c>
      <c r="BG105" s="50" t="s">
        <v>83</v>
      </c>
      <c r="BH105" s="49"/>
      <c r="BI105" s="50"/>
    </row>
    <row r="106" spans="1:61" ht="30" x14ac:dyDescent="0.25">
      <c r="A106" s="76">
        <v>152807</v>
      </c>
      <c r="B106" s="77" t="s">
        <v>1731</v>
      </c>
      <c r="C106" s="78" t="s">
        <v>1633</v>
      </c>
      <c r="D106" s="76" t="s">
        <v>12</v>
      </c>
      <c r="E106" s="79" t="s">
        <v>14</v>
      </c>
      <c r="F106" s="77" t="s">
        <v>146</v>
      </c>
      <c r="G106" s="79" t="s">
        <v>14</v>
      </c>
      <c r="H106" s="79" t="s">
        <v>14</v>
      </c>
      <c r="I106" s="78" t="s">
        <v>14</v>
      </c>
      <c r="J106" s="79" t="s">
        <v>14</v>
      </c>
      <c r="K106" s="142" t="s">
        <v>1850</v>
      </c>
      <c r="L106" s="149" t="s">
        <v>1406</v>
      </c>
      <c r="M106" s="150" t="s">
        <v>1406</v>
      </c>
      <c r="N106" s="151">
        <v>25</v>
      </c>
      <c r="O106" s="151">
        <v>0</v>
      </c>
      <c r="P106" s="152">
        <v>0</v>
      </c>
      <c r="Q106" s="153">
        <v>91.11</v>
      </c>
      <c r="R106" s="154">
        <v>0</v>
      </c>
      <c r="S106" s="38">
        <f t="shared" si="11"/>
        <v>2</v>
      </c>
      <c r="T106" s="39">
        <f t="shared" si="12"/>
        <v>12</v>
      </c>
      <c r="U106" s="40">
        <f t="shared" si="13"/>
        <v>0</v>
      </c>
      <c r="V106" s="40">
        <f t="shared" si="14"/>
        <v>0</v>
      </c>
      <c r="W106" s="40">
        <f t="shared" si="15"/>
        <v>0</v>
      </c>
      <c r="X106" s="40">
        <f t="shared" si="16"/>
        <v>0</v>
      </c>
      <c r="Y106" s="40">
        <f t="shared" si="17"/>
        <v>0</v>
      </c>
      <c r="Z106" s="40">
        <f t="shared" si="18"/>
        <v>0</v>
      </c>
      <c r="AA106" s="40">
        <f t="shared" si="19"/>
        <v>0</v>
      </c>
      <c r="AB106" s="40">
        <f t="shared" si="20"/>
        <v>0</v>
      </c>
      <c r="AC106" s="41">
        <f t="shared" si="21"/>
        <v>0</v>
      </c>
      <c r="AD106" s="49" t="s">
        <v>5</v>
      </c>
      <c r="AE106" s="50" t="s">
        <v>89</v>
      </c>
      <c r="AF106" s="49" t="s">
        <v>5</v>
      </c>
      <c r="AG106" s="50" t="s">
        <v>117</v>
      </c>
      <c r="AH106" s="49" t="s">
        <v>5</v>
      </c>
      <c r="AI106" s="50" t="s">
        <v>101</v>
      </c>
      <c r="AJ106" s="49" t="s">
        <v>5</v>
      </c>
      <c r="AK106" s="50" t="s">
        <v>74</v>
      </c>
      <c r="AL106" s="49" t="s">
        <v>5</v>
      </c>
      <c r="AM106" s="50" t="s">
        <v>122</v>
      </c>
      <c r="AN106" s="49"/>
      <c r="AO106" s="50"/>
      <c r="AP106" s="49" t="s">
        <v>5</v>
      </c>
      <c r="AQ106" s="50" t="s">
        <v>131</v>
      </c>
      <c r="AR106" s="49" t="s">
        <v>5</v>
      </c>
      <c r="AS106" s="50" t="s">
        <v>120</v>
      </c>
      <c r="AT106" s="49" t="s">
        <v>5</v>
      </c>
      <c r="AU106" s="50" t="s">
        <v>163</v>
      </c>
      <c r="AV106" s="49" t="s">
        <v>5</v>
      </c>
      <c r="AW106" s="50" t="s">
        <v>112</v>
      </c>
      <c r="AX106" s="49" t="s">
        <v>5</v>
      </c>
      <c r="AY106" s="50" t="s">
        <v>95</v>
      </c>
      <c r="AZ106" s="49"/>
      <c r="BA106" s="50"/>
      <c r="BB106" s="49" t="s">
        <v>1</v>
      </c>
      <c r="BC106" s="50" t="s">
        <v>741</v>
      </c>
      <c r="BD106" s="49" t="s">
        <v>1</v>
      </c>
      <c r="BE106" s="50" t="s">
        <v>495</v>
      </c>
      <c r="BF106" s="49" t="s">
        <v>5</v>
      </c>
      <c r="BG106" s="50" t="s">
        <v>164</v>
      </c>
      <c r="BH106" s="49" t="s">
        <v>5</v>
      </c>
      <c r="BI106" s="50" t="s">
        <v>75</v>
      </c>
    </row>
    <row r="107" spans="1:61" x14ac:dyDescent="0.25">
      <c r="A107" s="76">
        <v>152816</v>
      </c>
      <c r="B107" s="77" t="s">
        <v>1732</v>
      </c>
      <c r="C107" s="78" t="s">
        <v>1622</v>
      </c>
      <c r="D107" s="76" t="s">
        <v>70</v>
      </c>
      <c r="E107" s="79" t="s">
        <v>14</v>
      </c>
      <c r="F107" s="79" t="s">
        <v>88</v>
      </c>
      <c r="G107" s="79" t="s">
        <v>14</v>
      </c>
      <c r="H107" s="79" t="s">
        <v>14</v>
      </c>
      <c r="I107" s="78" t="s">
        <v>14</v>
      </c>
      <c r="J107" s="79" t="s">
        <v>14</v>
      </c>
      <c r="K107" s="142" t="s">
        <v>1850</v>
      </c>
      <c r="L107" s="149" t="s">
        <v>1841</v>
      </c>
      <c r="M107" s="150" t="s">
        <v>1853</v>
      </c>
      <c r="N107" s="151">
        <v>13</v>
      </c>
      <c r="O107" s="151">
        <v>1</v>
      </c>
      <c r="P107" s="152">
        <v>0</v>
      </c>
      <c r="Q107" s="153">
        <v>100</v>
      </c>
      <c r="R107" s="154">
        <v>0</v>
      </c>
      <c r="S107" s="38">
        <f t="shared" si="11"/>
        <v>2</v>
      </c>
      <c r="T107" s="39">
        <f t="shared" si="12"/>
        <v>11</v>
      </c>
      <c r="U107" s="40">
        <f t="shared" si="13"/>
        <v>0</v>
      </c>
      <c r="V107" s="40">
        <f t="shared" si="14"/>
        <v>1</v>
      </c>
      <c r="W107" s="40">
        <f t="shared" si="15"/>
        <v>0</v>
      </c>
      <c r="X107" s="40">
        <f t="shared" si="16"/>
        <v>1</v>
      </c>
      <c r="Y107" s="40">
        <f t="shared" si="17"/>
        <v>0</v>
      </c>
      <c r="Z107" s="40">
        <f t="shared" si="18"/>
        <v>0</v>
      </c>
      <c r="AA107" s="40">
        <f t="shared" si="19"/>
        <v>0</v>
      </c>
      <c r="AB107" s="40">
        <f t="shared" si="20"/>
        <v>0</v>
      </c>
      <c r="AC107" s="41">
        <f t="shared" si="21"/>
        <v>0</v>
      </c>
      <c r="AD107" s="49" t="s">
        <v>5</v>
      </c>
      <c r="AE107" s="50" t="s">
        <v>89</v>
      </c>
      <c r="AF107" s="49" t="s">
        <v>5</v>
      </c>
      <c r="AG107" s="50" t="s">
        <v>117</v>
      </c>
      <c r="AH107" s="49" t="s">
        <v>5</v>
      </c>
      <c r="AI107" s="50" t="s">
        <v>142</v>
      </c>
      <c r="AJ107" s="49" t="s">
        <v>5</v>
      </c>
      <c r="AK107" s="50" t="s">
        <v>111</v>
      </c>
      <c r="AL107" s="49" t="s">
        <v>5</v>
      </c>
      <c r="AM107" s="50" t="s">
        <v>98</v>
      </c>
      <c r="AN107" s="49" t="s">
        <v>5</v>
      </c>
      <c r="AO107" s="50" t="s">
        <v>75</v>
      </c>
      <c r="AP107" s="49" t="s">
        <v>5</v>
      </c>
      <c r="AQ107" s="50" t="s">
        <v>92</v>
      </c>
      <c r="AR107" s="49" t="s">
        <v>1</v>
      </c>
      <c r="AS107" s="50" t="s">
        <v>104</v>
      </c>
      <c r="AT107" s="49" t="s">
        <v>5</v>
      </c>
      <c r="AU107" s="50" t="s">
        <v>105</v>
      </c>
      <c r="AV107" s="49" t="s">
        <v>1</v>
      </c>
      <c r="AW107" s="50" t="s">
        <v>112</v>
      </c>
      <c r="AX107" s="49" t="s">
        <v>5</v>
      </c>
      <c r="AY107" s="50" t="s">
        <v>80</v>
      </c>
      <c r="AZ107" s="49"/>
      <c r="BA107" s="50"/>
      <c r="BB107" s="49" t="s">
        <v>5</v>
      </c>
      <c r="BC107" s="50" t="s">
        <v>152</v>
      </c>
      <c r="BD107" s="49" t="s">
        <v>31</v>
      </c>
      <c r="BE107" s="50" t="s">
        <v>122</v>
      </c>
      <c r="BF107" s="49" t="s">
        <v>5</v>
      </c>
      <c r="BG107" s="50" t="s">
        <v>123</v>
      </c>
      <c r="BH107" s="49"/>
      <c r="BI107" s="50"/>
    </row>
    <row r="108" spans="1:61" x14ac:dyDescent="0.25">
      <c r="A108" s="76">
        <v>152848</v>
      </c>
      <c r="B108" s="77" t="s">
        <v>1733</v>
      </c>
      <c r="C108" s="78" t="s">
        <v>1622</v>
      </c>
      <c r="D108" s="76" t="s">
        <v>12</v>
      </c>
      <c r="E108" s="79" t="s">
        <v>14</v>
      </c>
      <c r="F108" s="79" t="s">
        <v>88</v>
      </c>
      <c r="G108" s="79" t="s">
        <v>87</v>
      </c>
      <c r="H108" s="79" t="s">
        <v>14</v>
      </c>
      <c r="I108" s="78" t="s">
        <v>14</v>
      </c>
      <c r="J108" s="79" t="s">
        <v>14</v>
      </c>
      <c r="K108" s="142" t="s">
        <v>1850</v>
      </c>
      <c r="L108" s="149" t="s">
        <v>1844</v>
      </c>
      <c r="M108" s="150" t="s">
        <v>12</v>
      </c>
      <c r="N108" s="151">
        <v>10</v>
      </c>
      <c r="O108" s="151">
        <v>1</v>
      </c>
      <c r="P108" s="152">
        <v>0</v>
      </c>
      <c r="Q108" s="153">
        <v>100</v>
      </c>
      <c r="R108" s="154">
        <v>0</v>
      </c>
      <c r="S108" s="38">
        <f t="shared" si="11"/>
        <v>1</v>
      </c>
      <c r="T108" s="39">
        <f t="shared" si="12"/>
        <v>11</v>
      </c>
      <c r="U108" s="40">
        <f t="shared" si="13"/>
        <v>1</v>
      </c>
      <c r="V108" s="40">
        <f t="shared" si="14"/>
        <v>1</v>
      </c>
      <c r="W108" s="40">
        <f t="shared" si="15"/>
        <v>0</v>
      </c>
      <c r="X108" s="40">
        <f t="shared" si="16"/>
        <v>2</v>
      </c>
      <c r="Y108" s="40">
        <f t="shared" si="17"/>
        <v>0</v>
      </c>
      <c r="Z108" s="40">
        <f t="shared" si="18"/>
        <v>0</v>
      </c>
      <c r="AA108" s="40">
        <f t="shared" si="19"/>
        <v>0</v>
      </c>
      <c r="AB108" s="40">
        <f t="shared" si="20"/>
        <v>0</v>
      </c>
      <c r="AC108" s="41">
        <f t="shared" si="21"/>
        <v>0</v>
      </c>
      <c r="AD108" s="49" t="s">
        <v>5</v>
      </c>
      <c r="AE108" s="50" t="s">
        <v>89</v>
      </c>
      <c r="AF108" s="49" t="s">
        <v>5</v>
      </c>
      <c r="AG108" s="50" t="s">
        <v>135</v>
      </c>
      <c r="AH108" s="49" t="s">
        <v>5</v>
      </c>
      <c r="AI108" s="50" t="s">
        <v>142</v>
      </c>
      <c r="AJ108" s="49" t="s">
        <v>5</v>
      </c>
      <c r="AK108" s="50" t="s">
        <v>111</v>
      </c>
      <c r="AL108" s="49" t="s">
        <v>31</v>
      </c>
      <c r="AM108" s="50" t="s">
        <v>98</v>
      </c>
      <c r="AN108" s="49" t="s">
        <v>5</v>
      </c>
      <c r="AO108" s="50" t="s">
        <v>75</v>
      </c>
      <c r="AP108" s="49" t="s">
        <v>5</v>
      </c>
      <c r="AQ108" s="50" t="s">
        <v>92</v>
      </c>
      <c r="AR108" s="49" t="s">
        <v>1</v>
      </c>
      <c r="AS108" s="50" t="s">
        <v>104</v>
      </c>
      <c r="AT108" s="49" t="s">
        <v>5</v>
      </c>
      <c r="AU108" s="50" t="s">
        <v>105</v>
      </c>
      <c r="AV108" s="49" t="s">
        <v>5</v>
      </c>
      <c r="AW108" s="50" t="s">
        <v>112</v>
      </c>
      <c r="AX108" s="49" t="s">
        <v>5</v>
      </c>
      <c r="AY108" s="50" t="s">
        <v>80</v>
      </c>
      <c r="AZ108" s="49"/>
      <c r="BA108" s="50"/>
      <c r="BB108" s="49" t="s">
        <v>5</v>
      </c>
      <c r="BC108" s="50" t="s">
        <v>107</v>
      </c>
      <c r="BD108" s="49" t="s">
        <v>30</v>
      </c>
      <c r="BE108" s="50" t="s">
        <v>122</v>
      </c>
      <c r="BF108" s="49" t="s">
        <v>5</v>
      </c>
      <c r="BG108" s="50" t="s">
        <v>170</v>
      </c>
      <c r="BH108" s="49"/>
      <c r="BI108" s="50"/>
    </row>
    <row r="109" spans="1:61" x14ac:dyDescent="0.25">
      <c r="A109" s="76">
        <v>152789</v>
      </c>
      <c r="B109" s="77" t="s">
        <v>1734</v>
      </c>
      <c r="C109" s="78" t="s">
        <v>1648</v>
      </c>
      <c r="D109" s="76" t="s">
        <v>12</v>
      </c>
      <c r="E109" s="79" t="s">
        <v>14</v>
      </c>
      <c r="F109" s="79" t="s">
        <v>71</v>
      </c>
      <c r="G109" s="79" t="s">
        <v>14</v>
      </c>
      <c r="H109" s="79" t="s">
        <v>14</v>
      </c>
      <c r="I109" s="78" t="s">
        <v>14</v>
      </c>
      <c r="J109" s="79" t="s">
        <v>14</v>
      </c>
      <c r="K109" s="142" t="s">
        <v>1850</v>
      </c>
      <c r="L109" s="149" t="s">
        <v>1841</v>
      </c>
      <c r="M109" s="150" t="s">
        <v>1853</v>
      </c>
      <c r="N109" s="151">
        <v>20</v>
      </c>
      <c r="O109" s="151">
        <v>0</v>
      </c>
      <c r="P109" s="152">
        <v>0</v>
      </c>
      <c r="Q109" s="153">
        <v>93.33</v>
      </c>
      <c r="R109" s="154">
        <v>0</v>
      </c>
      <c r="S109" s="38">
        <f t="shared" si="11"/>
        <v>1</v>
      </c>
      <c r="T109" s="39">
        <f t="shared" si="12"/>
        <v>13</v>
      </c>
      <c r="U109" s="40">
        <f t="shared" si="13"/>
        <v>0</v>
      </c>
      <c r="V109" s="40">
        <f t="shared" si="14"/>
        <v>0</v>
      </c>
      <c r="W109" s="40">
        <f t="shared" si="15"/>
        <v>0</v>
      </c>
      <c r="X109" s="40">
        <f t="shared" si="16"/>
        <v>0</v>
      </c>
      <c r="Y109" s="40">
        <f t="shared" si="17"/>
        <v>0</v>
      </c>
      <c r="Z109" s="40">
        <f t="shared" si="18"/>
        <v>0</v>
      </c>
      <c r="AA109" s="40">
        <f t="shared" si="19"/>
        <v>0</v>
      </c>
      <c r="AB109" s="40">
        <f t="shared" si="20"/>
        <v>0</v>
      </c>
      <c r="AC109" s="41">
        <f t="shared" si="21"/>
        <v>0</v>
      </c>
      <c r="AD109" s="49" t="s">
        <v>5</v>
      </c>
      <c r="AE109" s="50" t="s">
        <v>116</v>
      </c>
      <c r="AF109" s="49" t="s">
        <v>5</v>
      </c>
      <c r="AG109" s="50" t="s">
        <v>117</v>
      </c>
      <c r="AH109" s="49" t="s">
        <v>5</v>
      </c>
      <c r="AI109" s="50" t="s">
        <v>101</v>
      </c>
      <c r="AJ109" s="49" t="s">
        <v>5</v>
      </c>
      <c r="AK109" s="50" t="s">
        <v>722</v>
      </c>
      <c r="AL109" s="49" t="s">
        <v>5</v>
      </c>
      <c r="AM109" s="50" t="s">
        <v>714</v>
      </c>
      <c r="AN109" s="49" t="s">
        <v>5</v>
      </c>
      <c r="AO109" s="50" t="s">
        <v>124</v>
      </c>
      <c r="AP109" s="49" t="s">
        <v>5</v>
      </c>
      <c r="AQ109" s="50" t="s">
        <v>76</v>
      </c>
      <c r="AR109" s="49" t="s">
        <v>5</v>
      </c>
      <c r="AS109" s="50" t="s">
        <v>132</v>
      </c>
      <c r="AT109" s="49" t="s">
        <v>5</v>
      </c>
      <c r="AU109" s="50" t="s">
        <v>163</v>
      </c>
      <c r="AV109" s="49" t="s">
        <v>5</v>
      </c>
      <c r="AW109" s="50" t="s">
        <v>79</v>
      </c>
      <c r="AX109" s="49" t="s">
        <v>5</v>
      </c>
      <c r="AY109" s="50" t="s">
        <v>95</v>
      </c>
      <c r="AZ109" s="49"/>
      <c r="BA109" s="50"/>
      <c r="BB109" s="49" t="s">
        <v>1</v>
      </c>
      <c r="BC109" s="50" t="s">
        <v>96</v>
      </c>
      <c r="BD109" s="49" t="s">
        <v>5</v>
      </c>
      <c r="BE109" s="50" t="s">
        <v>153</v>
      </c>
      <c r="BF109" s="49" t="s">
        <v>5</v>
      </c>
      <c r="BG109" s="50" t="s">
        <v>83</v>
      </c>
      <c r="BH109" s="49"/>
      <c r="BI109" s="50"/>
    </row>
    <row r="110" spans="1:61" x14ac:dyDescent="0.25">
      <c r="A110" s="76">
        <v>152900</v>
      </c>
      <c r="B110" s="77" t="s">
        <v>1735</v>
      </c>
      <c r="C110" s="78" t="s">
        <v>1630</v>
      </c>
      <c r="D110" s="76" t="s">
        <v>12</v>
      </c>
      <c r="E110" s="79" t="s">
        <v>14</v>
      </c>
      <c r="F110" s="79" t="s">
        <v>71</v>
      </c>
      <c r="G110" s="79" t="s">
        <v>14</v>
      </c>
      <c r="H110" s="79" t="s">
        <v>14</v>
      </c>
      <c r="I110" s="78" t="s">
        <v>14</v>
      </c>
      <c r="J110" s="79" t="s">
        <v>14</v>
      </c>
      <c r="K110" s="142" t="s">
        <v>1850</v>
      </c>
      <c r="L110" s="149" t="s">
        <v>1844</v>
      </c>
      <c r="M110" s="150" t="s">
        <v>12</v>
      </c>
      <c r="N110" s="151">
        <v>22</v>
      </c>
      <c r="O110" s="151">
        <v>0</v>
      </c>
      <c r="P110" s="152">
        <v>1</v>
      </c>
      <c r="Q110" s="153">
        <v>89.13</v>
      </c>
      <c r="R110" s="154">
        <v>0</v>
      </c>
      <c r="S110" s="38">
        <f t="shared" si="11"/>
        <v>1</v>
      </c>
      <c r="T110" s="39">
        <f t="shared" si="12"/>
        <v>12</v>
      </c>
      <c r="U110" s="40">
        <f t="shared" si="13"/>
        <v>1</v>
      </c>
      <c r="V110" s="40">
        <f t="shared" si="14"/>
        <v>0</v>
      </c>
      <c r="W110" s="40">
        <f t="shared" si="15"/>
        <v>0</v>
      </c>
      <c r="X110" s="40">
        <f t="shared" si="16"/>
        <v>1</v>
      </c>
      <c r="Y110" s="40">
        <f t="shared" si="17"/>
        <v>0</v>
      </c>
      <c r="Z110" s="40">
        <f t="shared" si="18"/>
        <v>0</v>
      </c>
      <c r="AA110" s="40">
        <f t="shared" si="19"/>
        <v>0</v>
      </c>
      <c r="AB110" s="40">
        <f t="shared" si="20"/>
        <v>0</v>
      </c>
      <c r="AC110" s="41">
        <f t="shared" si="21"/>
        <v>0</v>
      </c>
      <c r="AD110" s="49" t="s">
        <v>5</v>
      </c>
      <c r="AE110" s="50" t="s">
        <v>89</v>
      </c>
      <c r="AF110" s="49" t="s">
        <v>5</v>
      </c>
      <c r="AG110" s="50" t="s">
        <v>90</v>
      </c>
      <c r="AH110" s="49" t="s">
        <v>5</v>
      </c>
      <c r="AI110" s="50" t="s">
        <v>101</v>
      </c>
      <c r="AJ110" s="49" t="s">
        <v>5</v>
      </c>
      <c r="AK110" s="50" t="s">
        <v>722</v>
      </c>
      <c r="AL110" s="49" t="s">
        <v>5</v>
      </c>
      <c r="AM110" s="50" t="s">
        <v>94</v>
      </c>
      <c r="AN110" s="49"/>
      <c r="AO110" s="50"/>
      <c r="AP110" s="49" t="s">
        <v>5</v>
      </c>
      <c r="AQ110" s="50" t="s">
        <v>131</v>
      </c>
      <c r="AR110" s="49" t="s">
        <v>5</v>
      </c>
      <c r="AS110" s="50" t="s">
        <v>120</v>
      </c>
      <c r="AT110" s="49" t="s">
        <v>5</v>
      </c>
      <c r="AU110" s="50" t="s">
        <v>78</v>
      </c>
      <c r="AV110" s="49" t="s">
        <v>5</v>
      </c>
      <c r="AW110" s="50" t="s">
        <v>79</v>
      </c>
      <c r="AX110" s="49" t="s">
        <v>5</v>
      </c>
      <c r="AY110" s="50" t="s">
        <v>95</v>
      </c>
      <c r="AZ110" s="49"/>
      <c r="BA110" s="50"/>
      <c r="BB110" s="49" t="s">
        <v>1</v>
      </c>
      <c r="BC110" s="50" t="s">
        <v>96</v>
      </c>
      <c r="BD110" s="49" t="s">
        <v>30</v>
      </c>
      <c r="BE110" s="50" t="s">
        <v>495</v>
      </c>
      <c r="BF110" s="49" t="s">
        <v>5</v>
      </c>
      <c r="BG110" s="50" t="s">
        <v>164</v>
      </c>
      <c r="BH110" s="49" t="s">
        <v>5</v>
      </c>
      <c r="BI110" s="50" t="s">
        <v>103</v>
      </c>
    </row>
    <row r="111" spans="1:61" x14ac:dyDescent="0.25">
      <c r="A111" s="76">
        <v>152791</v>
      </c>
      <c r="B111" s="77" t="s">
        <v>1736</v>
      </c>
      <c r="C111" s="78" t="s">
        <v>1622</v>
      </c>
      <c r="D111" s="76" t="s">
        <v>70</v>
      </c>
      <c r="E111" s="79" t="s">
        <v>87</v>
      </c>
      <c r="F111" s="79" t="s">
        <v>71</v>
      </c>
      <c r="G111" s="79" t="s">
        <v>14</v>
      </c>
      <c r="H111" s="79" t="s">
        <v>87</v>
      </c>
      <c r="I111" s="78" t="s">
        <v>14</v>
      </c>
      <c r="J111" s="79" t="s">
        <v>14</v>
      </c>
      <c r="K111" s="142" t="s">
        <v>1850</v>
      </c>
      <c r="L111" s="149" t="s">
        <v>1841</v>
      </c>
      <c r="M111" s="150" t="s">
        <v>1853</v>
      </c>
      <c r="N111" s="151">
        <v>12</v>
      </c>
      <c r="O111" s="151">
        <v>0</v>
      </c>
      <c r="P111" s="152">
        <v>0</v>
      </c>
      <c r="Q111" s="153">
        <v>100</v>
      </c>
      <c r="R111" s="154">
        <v>0</v>
      </c>
      <c r="S111" s="38">
        <f t="shared" si="11"/>
        <v>0</v>
      </c>
      <c r="T111" s="39">
        <f t="shared" si="12"/>
        <v>14</v>
      </c>
      <c r="U111" s="40">
        <f t="shared" si="13"/>
        <v>0</v>
      </c>
      <c r="V111" s="40">
        <f t="shared" si="14"/>
        <v>0</v>
      </c>
      <c r="W111" s="40">
        <f t="shared" si="15"/>
        <v>0</v>
      </c>
      <c r="X111" s="40">
        <f t="shared" si="16"/>
        <v>0</v>
      </c>
      <c r="Y111" s="40">
        <f t="shared" si="17"/>
        <v>0</v>
      </c>
      <c r="Z111" s="40">
        <f t="shared" si="18"/>
        <v>0</v>
      </c>
      <c r="AA111" s="40">
        <f t="shared" si="19"/>
        <v>0</v>
      </c>
      <c r="AB111" s="40">
        <f t="shared" si="20"/>
        <v>0</v>
      </c>
      <c r="AC111" s="41">
        <f t="shared" si="21"/>
        <v>0</v>
      </c>
      <c r="AD111" s="49" t="s">
        <v>5</v>
      </c>
      <c r="AE111" s="50" t="s">
        <v>89</v>
      </c>
      <c r="AF111" s="49" t="s">
        <v>5</v>
      </c>
      <c r="AG111" s="50" t="s">
        <v>90</v>
      </c>
      <c r="AH111" s="49" t="s">
        <v>5</v>
      </c>
      <c r="AI111" s="50" t="s">
        <v>142</v>
      </c>
      <c r="AJ111" s="49" t="s">
        <v>5</v>
      </c>
      <c r="AK111" s="50" t="s">
        <v>722</v>
      </c>
      <c r="AL111" s="49" t="s">
        <v>5</v>
      </c>
      <c r="AM111" s="50" t="s">
        <v>98</v>
      </c>
      <c r="AN111" s="49" t="s">
        <v>5</v>
      </c>
      <c r="AO111" s="50" t="s">
        <v>75</v>
      </c>
      <c r="AP111" s="49" t="s">
        <v>5</v>
      </c>
      <c r="AQ111" s="50" t="s">
        <v>92</v>
      </c>
      <c r="AR111" s="49" t="s">
        <v>5</v>
      </c>
      <c r="AS111" s="50" t="s">
        <v>104</v>
      </c>
      <c r="AT111" s="49" t="s">
        <v>5</v>
      </c>
      <c r="AU111" s="50" t="s">
        <v>105</v>
      </c>
      <c r="AV111" s="49" t="s">
        <v>5</v>
      </c>
      <c r="AW111" s="50" t="s">
        <v>112</v>
      </c>
      <c r="AX111" s="49" t="s">
        <v>5</v>
      </c>
      <c r="AY111" s="50" t="s">
        <v>80</v>
      </c>
      <c r="AZ111" s="49"/>
      <c r="BA111" s="50"/>
      <c r="BB111" s="49" t="s">
        <v>5</v>
      </c>
      <c r="BC111" s="50" t="s">
        <v>81</v>
      </c>
      <c r="BD111" s="49" t="s">
        <v>5</v>
      </c>
      <c r="BE111" s="50" t="s">
        <v>122</v>
      </c>
      <c r="BF111" s="49" t="s">
        <v>5</v>
      </c>
      <c r="BG111" s="50" t="s">
        <v>164</v>
      </c>
      <c r="BH111" s="49"/>
      <c r="BI111" s="50"/>
    </row>
    <row r="112" spans="1:61" x14ac:dyDescent="0.25">
      <c r="A112" s="76">
        <v>152758</v>
      </c>
      <c r="B112" s="77" t="s">
        <v>1737</v>
      </c>
      <c r="C112" s="78" t="s">
        <v>1648</v>
      </c>
      <c r="D112" s="76" t="s">
        <v>70</v>
      </c>
      <c r="E112" s="79" t="s">
        <v>14</v>
      </c>
      <c r="F112" s="79" t="s">
        <v>71</v>
      </c>
      <c r="G112" s="79" t="s">
        <v>14</v>
      </c>
      <c r="H112" s="79" t="s">
        <v>14</v>
      </c>
      <c r="I112" s="78" t="s">
        <v>14</v>
      </c>
      <c r="J112" s="79" t="s">
        <v>14</v>
      </c>
      <c r="K112" s="142" t="s">
        <v>1850</v>
      </c>
      <c r="L112" s="149" t="s">
        <v>1841</v>
      </c>
      <c r="M112" s="150" t="s">
        <v>1853</v>
      </c>
      <c r="N112" s="151">
        <v>22</v>
      </c>
      <c r="O112" s="151">
        <v>1</v>
      </c>
      <c r="P112" s="152">
        <v>0</v>
      </c>
      <c r="Q112" s="153">
        <v>100</v>
      </c>
      <c r="R112" s="154">
        <v>0</v>
      </c>
      <c r="S112" s="38">
        <f t="shared" si="11"/>
        <v>0</v>
      </c>
      <c r="T112" s="39">
        <f t="shared" si="12"/>
        <v>14</v>
      </c>
      <c r="U112" s="40">
        <f t="shared" si="13"/>
        <v>0</v>
      </c>
      <c r="V112" s="40">
        <f t="shared" si="14"/>
        <v>0</v>
      </c>
      <c r="W112" s="40">
        <f t="shared" si="15"/>
        <v>0</v>
      </c>
      <c r="X112" s="40">
        <f t="shared" si="16"/>
        <v>0</v>
      </c>
      <c r="Y112" s="40">
        <f t="shared" si="17"/>
        <v>0</v>
      </c>
      <c r="Z112" s="40">
        <f t="shared" si="18"/>
        <v>0</v>
      </c>
      <c r="AA112" s="40">
        <f t="shared" si="19"/>
        <v>0</v>
      </c>
      <c r="AB112" s="40">
        <f t="shared" si="20"/>
        <v>0</v>
      </c>
      <c r="AC112" s="41">
        <f t="shared" si="21"/>
        <v>0</v>
      </c>
      <c r="AD112" s="49" t="s">
        <v>5</v>
      </c>
      <c r="AE112" s="50" t="s">
        <v>116</v>
      </c>
      <c r="AF112" s="49" t="s">
        <v>5</v>
      </c>
      <c r="AG112" s="50" t="s">
        <v>135</v>
      </c>
      <c r="AH112" s="49" t="s">
        <v>5</v>
      </c>
      <c r="AI112" s="50" t="s">
        <v>101</v>
      </c>
      <c r="AJ112" s="49" t="s">
        <v>5</v>
      </c>
      <c r="AK112" s="50" t="s">
        <v>722</v>
      </c>
      <c r="AL112" s="49" t="s">
        <v>5</v>
      </c>
      <c r="AM112" s="50" t="s">
        <v>714</v>
      </c>
      <c r="AN112" s="49" t="s">
        <v>5</v>
      </c>
      <c r="AO112" s="50" t="s">
        <v>124</v>
      </c>
      <c r="AP112" s="49" t="s">
        <v>5</v>
      </c>
      <c r="AQ112" s="50" t="s">
        <v>76</v>
      </c>
      <c r="AR112" s="49" t="s">
        <v>5</v>
      </c>
      <c r="AS112" s="50" t="s">
        <v>132</v>
      </c>
      <c r="AT112" s="49" t="s">
        <v>5</v>
      </c>
      <c r="AU112" s="50" t="s">
        <v>163</v>
      </c>
      <c r="AV112" s="49" t="s">
        <v>5</v>
      </c>
      <c r="AW112" s="50" t="s">
        <v>94</v>
      </c>
      <c r="AX112" s="49" t="s">
        <v>5</v>
      </c>
      <c r="AY112" s="50" t="s">
        <v>95</v>
      </c>
      <c r="AZ112" s="49"/>
      <c r="BA112" s="50"/>
      <c r="BB112" s="49" t="s">
        <v>5</v>
      </c>
      <c r="BC112" s="50" t="s">
        <v>152</v>
      </c>
      <c r="BD112" s="49" t="s">
        <v>5</v>
      </c>
      <c r="BE112" s="50" t="s">
        <v>153</v>
      </c>
      <c r="BF112" s="49" t="s">
        <v>5</v>
      </c>
      <c r="BG112" s="50" t="s">
        <v>123</v>
      </c>
      <c r="BH112" s="49"/>
      <c r="BI112" s="50"/>
    </row>
    <row r="113" spans="1:61" x14ac:dyDescent="0.25">
      <c r="A113" s="76">
        <v>152889</v>
      </c>
      <c r="B113" s="77" t="s">
        <v>1738</v>
      </c>
      <c r="C113" s="78" t="s">
        <v>1633</v>
      </c>
      <c r="D113" s="76" t="s">
        <v>70</v>
      </c>
      <c r="E113" s="79" t="s">
        <v>14</v>
      </c>
      <c r="F113" s="79" t="s">
        <v>71</v>
      </c>
      <c r="G113" s="79" t="s">
        <v>14</v>
      </c>
      <c r="H113" s="79" t="s">
        <v>14</v>
      </c>
      <c r="I113" s="78" t="s">
        <v>14</v>
      </c>
      <c r="J113" s="79" t="s">
        <v>14</v>
      </c>
      <c r="K113" s="142" t="s">
        <v>1850</v>
      </c>
      <c r="L113" s="149" t="s">
        <v>1841</v>
      </c>
      <c r="M113" s="150" t="s">
        <v>1853</v>
      </c>
      <c r="N113" s="151">
        <v>22</v>
      </c>
      <c r="O113" s="151">
        <v>0</v>
      </c>
      <c r="P113" s="152">
        <v>0</v>
      </c>
      <c r="Q113" s="153">
        <v>100</v>
      </c>
      <c r="R113" s="154">
        <v>0</v>
      </c>
      <c r="S113" s="38">
        <f t="shared" si="11"/>
        <v>3</v>
      </c>
      <c r="T113" s="39">
        <f t="shared" si="12"/>
        <v>11</v>
      </c>
      <c r="U113" s="40">
        <f t="shared" si="13"/>
        <v>0</v>
      </c>
      <c r="V113" s="40">
        <f t="shared" si="14"/>
        <v>0</v>
      </c>
      <c r="W113" s="40">
        <f t="shared" si="15"/>
        <v>0</v>
      </c>
      <c r="X113" s="40">
        <f t="shared" si="16"/>
        <v>0</v>
      </c>
      <c r="Y113" s="40">
        <f t="shared" si="17"/>
        <v>0</v>
      </c>
      <c r="Z113" s="40">
        <f t="shared" si="18"/>
        <v>0</v>
      </c>
      <c r="AA113" s="40">
        <f t="shared" si="19"/>
        <v>0</v>
      </c>
      <c r="AB113" s="40">
        <f t="shared" si="20"/>
        <v>0</v>
      </c>
      <c r="AC113" s="41">
        <f t="shared" si="21"/>
        <v>0</v>
      </c>
      <c r="AD113" s="49" t="s">
        <v>5</v>
      </c>
      <c r="AE113" s="50" t="s">
        <v>89</v>
      </c>
      <c r="AF113" s="49" t="s">
        <v>5</v>
      </c>
      <c r="AG113" s="50" t="s">
        <v>135</v>
      </c>
      <c r="AH113" s="49" t="s">
        <v>5</v>
      </c>
      <c r="AI113" s="50" t="s">
        <v>101</v>
      </c>
      <c r="AJ113" s="49" t="s">
        <v>5</v>
      </c>
      <c r="AK113" s="50" t="s">
        <v>102</v>
      </c>
      <c r="AL113" s="49" t="s">
        <v>1</v>
      </c>
      <c r="AM113" s="50" t="s">
        <v>122</v>
      </c>
      <c r="AN113" s="49"/>
      <c r="AO113" s="50"/>
      <c r="AP113" s="49" t="s">
        <v>5</v>
      </c>
      <c r="AQ113" s="50" t="s">
        <v>131</v>
      </c>
      <c r="AR113" s="49" t="s">
        <v>5</v>
      </c>
      <c r="AS113" s="50" t="s">
        <v>120</v>
      </c>
      <c r="AT113" s="49" t="s">
        <v>5</v>
      </c>
      <c r="AU113" s="50" t="s">
        <v>163</v>
      </c>
      <c r="AV113" s="49" t="s">
        <v>5</v>
      </c>
      <c r="AW113" s="50" t="s">
        <v>112</v>
      </c>
      <c r="AX113" s="49" t="s">
        <v>1</v>
      </c>
      <c r="AY113" s="50" t="s">
        <v>95</v>
      </c>
      <c r="AZ113" s="49"/>
      <c r="BA113" s="50"/>
      <c r="BB113" s="49" t="s">
        <v>5</v>
      </c>
      <c r="BC113" s="50" t="s">
        <v>121</v>
      </c>
      <c r="BD113" s="49" t="s">
        <v>1</v>
      </c>
      <c r="BE113" s="50" t="s">
        <v>495</v>
      </c>
      <c r="BF113" s="49" t="s">
        <v>5</v>
      </c>
      <c r="BG113" s="50" t="s">
        <v>164</v>
      </c>
      <c r="BH113" s="49" t="s">
        <v>5</v>
      </c>
      <c r="BI113" s="50" t="s">
        <v>75</v>
      </c>
    </row>
    <row r="114" spans="1:61" x14ac:dyDescent="0.25">
      <c r="A114" s="76">
        <v>152895</v>
      </c>
      <c r="B114" s="77" t="s">
        <v>1739</v>
      </c>
      <c r="C114" s="78" t="s">
        <v>1630</v>
      </c>
      <c r="D114" s="76" t="s">
        <v>12</v>
      </c>
      <c r="E114" s="79" t="s">
        <v>14</v>
      </c>
      <c r="F114" s="79" t="s">
        <v>71</v>
      </c>
      <c r="G114" s="79" t="s">
        <v>14</v>
      </c>
      <c r="H114" s="79" t="s">
        <v>14</v>
      </c>
      <c r="I114" s="78" t="s">
        <v>14</v>
      </c>
      <c r="J114" s="79" t="s">
        <v>14</v>
      </c>
      <c r="K114" s="142" t="s">
        <v>1850</v>
      </c>
      <c r="L114" s="149" t="s">
        <v>1845</v>
      </c>
      <c r="M114" s="150" t="s">
        <v>12</v>
      </c>
      <c r="N114" s="151">
        <v>26</v>
      </c>
      <c r="O114" s="151">
        <v>1</v>
      </c>
      <c r="P114" s="152">
        <v>1</v>
      </c>
      <c r="Q114" s="153">
        <v>91.3</v>
      </c>
      <c r="R114" s="154">
        <v>0</v>
      </c>
      <c r="S114" s="38">
        <f t="shared" si="11"/>
        <v>3</v>
      </c>
      <c r="T114" s="39">
        <f t="shared" si="12"/>
        <v>11</v>
      </c>
      <c r="U114" s="40">
        <f t="shared" si="13"/>
        <v>0</v>
      </c>
      <c r="V114" s="40">
        <f t="shared" si="14"/>
        <v>0</v>
      </c>
      <c r="W114" s="40">
        <f t="shared" si="15"/>
        <v>0</v>
      </c>
      <c r="X114" s="40">
        <f t="shared" si="16"/>
        <v>0</v>
      </c>
      <c r="Y114" s="40">
        <f t="shared" si="17"/>
        <v>0</v>
      </c>
      <c r="Z114" s="40">
        <f t="shared" si="18"/>
        <v>0</v>
      </c>
      <c r="AA114" s="40">
        <f t="shared" si="19"/>
        <v>0</v>
      </c>
      <c r="AB114" s="40">
        <f t="shared" si="20"/>
        <v>0</v>
      </c>
      <c r="AC114" s="41">
        <f t="shared" si="21"/>
        <v>0</v>
      </c>
      <c r="AD114" s="49" t="s">
        <v>5</v>
      </c>
      <c r="AE114" s="50" t="s">
        <v>89</v>
      </c>
      <c r="AF114" s="49" t="s">
        <v>5</v>
      </c>
      <c r="AG114" s="50" t="s">
        <v>73</v>
      </c>
      <c r="AH114" s="49" t="s">
        <v>5</v>
      </c>
      <c r="AI114" s="50" t="s">
        <v>101</v>
      </c>
      <c r="AJ114" s="49" t="s">
        <v>5</v>
      </c>
      <c r="AK114" s="50" t="s">
        <v>102</v>
      </c>
      <c r="AL114" s="49" t="s">
        <v>1</v>
      </c>
      <c r="AM114" s="50" t="s">
        <v>94</v>
      </c>
      <c r="AN114" s="49"/>
      <c r="AO114" s="50"/>
      <c r="AP114" s="49" t="s">
        <v>5</v>
      </c>
      <c r="AQ114" s="50" t="s">
        <v>131</v>
      </c>
      <c r="AR114" s="49" t="s">
        <v>1</v>
      </c>
      <c r="AS114" s="50" t="s">
        <v>120</v>
      </c>
      <c r="AT114" s="49" t="s">
        <v>5</v>
      </c>
      <c r="AU114" s="50" t="s">
        <v>78</v>
      </c>
      <c r="AV114" s="49" t="s">
        <v>5</v>
      </c>
      <c r="AW114" s="50" t="s">
        <v>94</v>
      </c>
      <c r="AX114" s="49" t="s">
        <v>5</v>
      </c>
      <c r="AY114" s="50" t="s">
        <v>95</v>
      </c>
      <c r="AZ114" s="49"/>
      <c r="BA114" s="50"/>
      <c r="BB114" s="49" t="s">
        <v>1</v>
      </c>
      <c r="BC114" s="50" t="s">
        <v>96</v>
      </c>
      <c r="BD114" s="49" t="s">
        <v>5</v>
      </c>
      <c r="BE114" s="50" t="s">
        <v>495</v>
      </c>
      <c r="BF114" s="49" t="s">
        <v>5</v>
      </c>
      <c r="BG114" s="50" t="s">
        <v>170</v>
      </c>
      <c r="BH114" s="49" t="s">
        <v>5</v>
      </c>
      <c r="BI114" s="50" t="s">
        <v>103</v>
      </c>
    </row>
    <row r="115" spans="1:61" x14ac:dyDescent="0.25">
      <c r="A115" s="76">
        <v>160009</v>
      </c>
      <c r="B115" s="77" t="s">
        <v>1740</v>
      </c>
      <c r="C115" s="78" t="s">
        <v>1630</v>
      </c>
      <c r="D115" s="76" t="s">
        <v>70</v>
      </c>
      <c r="E115" s="79" t="s">
        <v>14</v>
      </c>
      <c r="F115" s="79" t="s">
        <v>508</v>
      </c>
      <c r="G115" s="79" t="s">
        <v>14</v>
      </c>
      <c r="H115" s="79" t="s">
        <v>14</v>
      </c>
      <c r="I115" s="78" t="s">
        <v>14</v>
      </c>
      <c r="J115" s="79" t="s">
        <v>14</v>
      </c>
      <c r="K115" s="142" t="s">
        <v>1850</v>
      </c>
      <c r="L115" s="149" t="s">
        <v>1847</v>
      </c>
      <c r="M115" s="150" t="s">
        <v>1853</v>
      </c>
      <c r="N115" s="151">
        <v>19</v>
      </c>
      <c r="O115" s="151">
        <v>0</v>
      </c>
      <c r="P115" s="152">
        <v>2</v>
      </c>
      <c r="Q115" s="153">
        <v>100</v>
      </c>
      <c r="R115" s="154">
        <v>4</v>
      </c>
      <c r="S115" s="38">
        <f t="shared" si="11"/>
        <v>0</v>
      </c>
      <c r="T115" s="39">
        <f t="shared" si="12"/>
        <v>14</v>
      </c>
      <c r="U115" s="40">
        <f t="shared" si="13"/>
        <v>0</v>
      </c>
      <c r="V115" s="40">
        <f t="shared" si="14"/>
        <v>0</v>
      </c>
      <c r="W115" s="40">
        <f t="shared" si="15"/>
        <v>0</v>
      </c>
      <c r="X115" s="40">
        <f t="shared" si="16"/>
        <v>0</v>
      </c>
      <c r="Y115" s="40">
        <f t="shared" si="17"/>
        <v>0</v>
      </c>
      <c r="Z115" s="40">
        <f t="shared" si="18"/>
        <v>0</v>
      </c>
      <c r="AA115" s="40">
        <f t="shared" si="19"/>
        <v>0</v>
      </c>
      <c r="AB115" s="40">
        <f t="shared" si="20"/>
        <v>0</v>
      </c>
      <c r="AC115" s="41">
        <f t="shared" si="21"/>
        <v>0</v>
      </c>
      <c r="AD115" s="49" t="s">
        <v>5</v>
      </c>
      <c r="AE115" s="50" t="s">
        <v>89</v>
      </c>
      <c r="AF115" s="49"/>
      <c r="AG115" s="50"/>
      <c r="AH115" s="49" t="s">
        <v>5</v>
      </c>
      <c r="AI115" s="50" t="s">
        <v>101</v>
      </c>
      <c r="AJ115" s="49" t="s">
        <v>5</v>
      </c>
      <c r="AK115" s="50" t="s">
        <v>151</v>
      </c>
      <c r="AL115" s="49" t="s">
        <v>5</v>
      </c>
      <c r="AM115" s="50" t="s">
        <v>94</v>
      </c>
      <c r="AN115" s="49"/>
      <c r="AO115" s="50"/>
      <c r="AP115" s="49" t="s">
        <v>5</v>
      </c>
      <c r="AQ115" s="50" t="s">
        <v>131</v>
      </c>
      <c r="AR115" s="49" t="s">
        <v>5</v>
      </c>
      <c r="AS115" s="50" t="s">
        <v>120</v>
      </c>
      <c r="AT115" s="49" t="s">
        <v>5</v>
      </c>
      <c r="AU115" s="50" t="s">
        <v>78</v>
      </c>
      <c r="AV115" s="49" t="s">
        <v>5</v>
      </c>
      <c r="AW115" s="50" t="s">
        <v>711</v>
      </c>
      <c r="AX115" s="49" t="s">
        <v>5</v>
      </c>
      <c r="AY115" s="50" t="s">
        <v>95</v>
      </c>
      <c r="AZ115" s="49" t="s">
        <v>5</v>
      </c>
      <c r="BA115" s="50" t="s">
        <v>105</v>
      </c>
      <c r="BB115" s="49" t="s">
        <v>5</v>
      </c>
      <c r="BC115" s="50" t="s">
        <v>152</v>
      </c>
      <c r="BD115" s="49" t="s">
        <v>5</v>
      </c>
      <c r="BE115" s="50" t="s">
        <v>495</v>
      </c>
      <c r="BF115" s="49" t="s">
        <v>5</v>
      </c>
      <c r="BG115" s="50" t="s">
        <v>83</v>
      </c>
      <c r="BH115" s="49" t="s">
        <v>5</v>
      </c>
      <c r="BI115" s="50" t="s">
        <v>103</v>
      </c>
    </row>
    <row r="116" spans="1:61" x14ac:dyDescent="0.25">
      <c r="A116" s="76">
        <v>152854</v>
      </c>
      <c r="B116" s="77" t="s">
        <v>1741</v>
      </c>
      <c r="C116" s="78" t="s">
        <v>1665</v>
      </c>
      <c r="D116" s="76" t="s">
        <v>12</v>
      </c>
      <c r="E116" s="79" t="s">
        <v>14</v>
      </c>
      <c r="F116" s="79" t="s">
        <v>88</v>
      </c>
      <c r="G116" s="79" t="s">
        <v>14</v>
      </c>
      <c r="H116" s="79" t="s">
        <v>14</v>
      </c>
      <c r="I116" s="78" t="s">
        <v>14</v>
      </c>
      <c r="J116" s="79" t="s">
        <v>14</v>
      </c>
      <c r="K116" s="142" t="s">
        <v>1850</v>
      </c>
      <c r="L116" s="149" t="s">
        <v>1844</v>
      </c>
      <c r="M116" s="150" t="s">
        <v>12</v>
      </c>
      <c r="N116" s="151">
        <v>19</v>
      </c>
      <c r="O116" s="151">
        <v>0</v>
      </c>
      <c r="P116" s="152">
        <v>1</v>
      </c>
      <c r="Q116" s="153">
        <v>93.33</v>
      </c>
      <c r="R116" s="154">
        <v>1</v>
      </c>
      <c r="S116" s="38">
        <f t="shared" si="11"/>
        <v>1</v>
      </c>
      <c r="T116" s="39">
        <f t="shared" si="12"/>
        <v>13</v>
      </c>
      <c r="U116" s="40">
        <f t="shared" si="13"/>
        <v>0</v>
      </c>
      <c r="V116" s="40">
        <f t="shared" si="14"/>
        <v>0</v>
      </c>
      <c r="W116" s="40">
        <f t="shared" si="15"/>
        <v>0</v>
      </c>
      <c r="X116" s="40">
        <f t="shared" si="16"/>
        <v>0</v>
      </c>
      <c r="Y116" s="40">
        <f t="shared" si="17"/>
        <v>0</v>
      </c>
      <c r="Z116" s="40">
        <f t="shared" si="18"/>
        <v>0</v>
      </c>
      <c r="AA116" s="40">
        <f t="shared" si="19"/>
        <v>0</v>
      </c>
      <c r="AB116" s="40">
        <f t="shared" si="20"/>
        <v>0</v>
      </c>
      <c r="AC116" s="41">
        <f t="shared" si="21"/>
        <v>0</v>
      </c>
      <c r="AD116" s="49" t="s">
        <v>5</v>
      </c>
      <c r="AE116" s="50" t="s">
        <v>116</v>
      </c>
      <c r="AF116" s="49" t="s">
        <v>5</v>
      </c>
      <c r="AG116" s="50" t="s">
        <v>135</v>
      </c>
      <c r="AH116" s="49" t="s">
        <v>5</v>
      </c>
      <c r="AI116" s="50" t="s">
        <v>101</v>
      </c>
      <c r="AJ116" s="49" t="s">
        <v>5</v>
      </c>
      <c r="AK116" s="50" t="s">
        <v>194</v>
      </c>
      <c r="AL116" s="49" t="s">
        <v>5</v>
      </c>
      <c r="AM116" s="50" t="s">
        <v>92</v>
      </c>
      <c r="AN116" s="49"/>
      <c r="AO116" s="50"/>
      <c r="AP116" s="49" t="s">
        <v>5</v>
      </c>
      <c r="AQ116" s="50" t="s">
        <v>131</v>
      </c>
      <c r="AR116" s="49" t="s">
        <v>5</v>
      </c>
      <c r="AS116" s="50" t="s">
        <v>104</v>
      </c>
      <c r="AT116" s="49" t="s">
        <v>5</v>
      </c>
      <c r="AU116" s="50" t="s">
        <v>105</v>
      </c>
      <c r="AV116" s="49" t="s">
        <v>5</v>
      </c>
      <c r="AW116" s="50" t="s">
        <v>112</v>
      </c>
      <c r="AX116" s="49" t="s">
        <v>5</v>
      </c>
      <c r="AY116" s="50" t="s">
        <v>95</v>
      </c>
      <c r="AZ116" s="49"/>
      <c r="BA116" s="50"/>
      <c r="BB116" s="49" t="s">
        <v>1</v>
      </c>
      <c r="BC116" s="50" t="s">
        <v>96</v>
      </c>
      <c r="BD116" s="49" t="s">
        <v>5</v>
      </c>
      <c r="BE116" s="50" t="s">
        <v>457</v>
      </c>
      <c r="BF116" s="49" t="s">
        <v>5</v>
      </c>
      <c r="BG116" s="50" t="s">
        <v>164</v>
      </c>
      <c r="BH116" s="49" t="s">
        <v>5</v>
      </c>
      <c r="BI116" s="50" t="s">
        <v>84</v>
      </c>
    </row>
    <row r="117" spans="1:61" x14ac:dyDescent="0.25">
      <c r="A117" s="76">
        <v>152915</v>
      </c>
      <c r="B117" s="77" t="s">
        <v>1742</v>
      </c>
      <c r="C117" s="78" t="s">
        <v>1633</v>
      </c>
      <c r="D117" s="76" t="s">
        <v>12</v>
      </c>
      <c r="E117" s="79" t="s">
        <v>87</v>
      </c>
      <c r="F117" s="79" t="s">
        <v>88</v>
      </c>
      <c r="G117" s="79" t="s">
        <v>14</v>
      </c>
      <c r="H117" s="79" t="s">
        <v>87</v>
      </c>
      <c r="I117" s="78" t="s">
        <v>14</v>
      </c>
      <c r="J117" s="79" t="s">
        <v>6</v>
      </c>
      <c r="K117" s="142" t="s">
        <v>1851</v>
      </c>
      <c r="L117" s="149" t="s">
        <v>1848</v>
      </c>
      <c r="M117" s="150" t="s">
        <v>12</v>
      </c>
      <c r="N117" s="151">
        <v>17</v>
      </c>
      <c r="O117" s="151">
        <v>23</v>
      </c>
      <c r="P117" s="152">
        <v>2</v>
      </c>
      <c r="Q117" s="153">
        <v>91.11</v>
      </c>
      <c r="R117" s="154">
        <v>8</v>
      </c>
      <c r="S117" s="38">
        <f t="shared" si="11"/>
        <v>0</v>
      </c>
      <c r="T117" s="39">
        <f t="shared" si="12"/>
        <v>5</v>
      </c>
      <c r="U117" s="40">
        <f t="shared" si="13"/>
        <v>3</v>
      </c>
      <c r="V117" s="40">
        <f t="shared" si="14"/>
        <v>4</v>
      </c>
      <c r="W117" s="40">
        <f t="shared" si="15"/>
        <v>0</v>
      </c>
      <c r="X117" s="40">
        <f t="shared" si="16"/>
        <v>7</v>
      </c>
      <c r="Y117" s="40">
        <f t="shared" si="17"/>
        <v>0</v>
      </c>
      <c r="Z117" s="40">
        <f t="shared" si="18"/>
        <v>2</v>
      </c>
      <c r="AA117" s="40">
        <f t="shared" si="19"/>
        <v>0</v>
      </c>
      <c r="AB117" s="40">
        <f t="shared" si="20"/>
        <v>2</v>
      </c>
      <c r="AC117" s="41">
        <f t="shared" si="21"/>
        <v>0</v>
      </c>
      <c r="AD117" s="49" t="s">
        <v>5</v>
      </c>
      <c r="AE117" s="50" t="s">
        <v>89</v>
      </c>
      <c r="AF117" s="49" t="s">
        <v>5</v>
      </c>
      <c r="AG117" s="50" t="s">
        <v>90</v>
      </c>
      <c r="AH117" s="49" t="s">
        <v>31</v>
      </c>
      <c r="AI117" s="50" t="s">
        <v>101</v>
      </c>
      <c r="AJ117" s="49" t="s">
        <v>35</v>
      </c>
      <c r="AK117" s="50" t="s">
        <v>722</v>
      </c>
      <c r="AL117" s="49" t="s">
        <v>35</v>
      </c>
      <c r="AM117" s="50" t="s">
        <v>122</v>
      </c>
      <c r="AN117" s="49"/>
      <c r="AO117" s="50"/>
      <c r="AP117" s="49" t="s">
        <v>5</v>
      </c>
      <c r="AQ117" s="50" t="s">
        <v>131</v>
      </c>
      <c r="AR117" s="49" t="s">
        <v>31</v>
      </c>
      <c r="AS117" s="50" t="s">
        <v>120</v>
      </c>
      <c r="AT117" s="49" t="s">
        <v>31</v>
      </c>
      <c r="AU117" s="50" t="s">
        <v>163</v>
      </c>
      <c r="AV117" s="49" t="s">
        <v>5</v>
      </c>
      <c r="AW117" s="50" t="s">
        <v>430</v>
      </c>
      <c r="AX117" s="49" t="s">
        <v>30</v>
      </c>
      <c r="AY117" s="50" t="s">
        <v>95</v>
      </c>
      <c r="AZ117" s="49"/>
      <c r="BA117" s="50"/>
      <c r="BB117" s="49" t="s">
        <v>5</v>
      </c>
      <c r="BC117" s="50" t="s">
        <v>741</v>
      </c>
      <c r="BD117" s="49" t="s">
        <v>30</v>
      </c>
      <c r="BE117" s="50" t="s">
        <v>495</v>
      </c>
      <c r="BF117" s="49" t="s">
        <v>31</v>
      </c>
      <c r="BG117" s="50" t="s">
        <v>164</v>
      </c>
      <c r="BH117" s="49" t="s">
        <v>30</v>
      </c>
      <c r="BI117" s="50" t="s">
        <v>75</v>
      </c>
    </row>
    <row r="118" spans="1:61" x14ac:dyDescent="0.25">
      <c r="A118" s="76">
        <v>152818</v>
      </c>
      <c r="B118" s="77" t="s">
        <v>1743</v>
      </c>
      <c r="C118" s="78" t="s">
        <v>1628</v>
      </c>
      <c r="D118" s="76" t="s">
        <v>70</v>
      </c>
      <c r="E118" s="79" t="s">
        <v>14</v>
      </c>
      <c r="F118" s="79" t="s">
        <v>158</v>
      </c>
      <c r="G118" s="79" t="s">
        <v>14</v>
      </c>
      <c r="H118" s="79" t="s">
        <v>14</v>
      </c>
      <c r="I118" s="78" t="s">
        <v>14</v>
      </c>
      <c r="J118" s="79" t="s">
        <v>14</v>
      </c>
      <c r="K118" s="142" t="s">
        <v>1850</v>
      </c>
      <c r="L118" s="149" t="s">
        <v>1848</v>
      </c>
      <c r="M118" s="150" t="s">
        <v>1852</v>
      </c>
      <c r="N118" s="151">
        <v>18</v>
      </c>
      <c r="O118" s="151">
        <v>0</v>
      </c>
      <c r="P118" s="152">
        <v>0</v>
      </c>
      <c r="Q118" s="153">
        <v>100</v>
      </c>
      <c r="R118" s="154">
        <v>2</v>
      </c>
      <c r="S118" s="38">
        <f t="shared" si="11"/>
        <v>0</v>
      </c>
      <c r="T118" s="39">
        <f t="shared" si="12"/>
        <v>13</v>
      </c>
      <c r="U118" s="40">
        <f t="shared" si="13"/>
        <v>1</v>
      </c>
      <c r="V118" s="40">
        <f t="shared" si="14"/>
        <v>0</v>
      </c>
      <c r="W118" s="40">
        <f t="shared" si="15"/>
        <v>0</v>
      </c>
      <c r="X118" s="40">
        <f t="shared" si="16"/>
        <v>1</v>
      </c>
      <c r="Y118" s="40">
        <f t="shared" si="17"/>
        <v>0</v>
      </c>
      <c r="Z118" s="40">
        <f t="shared" si="18"/>
        <v>0</v>
      </c>
      <c r="AA118" s="40">
        <f t="shared" si="19"/>
        <v>0</v>
      </c>
      <c r="AB118" s="40">
        <f t="shared" si="20"/>
        <v>0</v>
      </c>
      <c r="AC118" s="41">
        <f t="shared" si="21"/>
        <v>0</v>
      </c>
      <c r="AD118" s="49" t="s">
        <v>5</v>
      </c>
      <c r="AE118" s="50" t="s">
        <v>116</v>
      </c>
      <c r="AF118" s="49" t="s">
        <v>5</v>
      </c>
      <c r="AG118" s="50" t="s">
        <v>73</v>
      </c>
      <c r="AH118" s="49" t="s">
        <v>5</v>
      </c>
      <c r="AI118" s="50" t="s">
        <v>101</v>
      </c>
      <c r="AJ118" s="49" t="s">
        <v>5</v>
      </c>
      <c r="AK118" s="50" t="s">
        <v>74</v>
      </c>
      <c r="AL118" s="49" t="s">
        <v>5</v>
      </c>
      <c r="AM118" s="50" t="s">
        <v>106</v>
      </c>
      <c r="AN118" s="49" t="s">
        <v>5</v>
      </c>
      <c r="AO118" s="50" t="s">
        <v>103</v>
      </c>
      <c r="AP118" s="49" t="s">
        <v>5</v>
      </c>
      <c r="AQ118" s="50" t="s">
        <v>144</v>
      </c>
      <c r="AR118" s="49" t="s">
        <v>5</v>
      </c>
      <c r="AS118" s="50" t="s">
        <v>104</v>
      </c>
      <c r="AT118" s="49" t="s">
        <v>5</v>
      </c>
      <c r="AU118" s="50" t="s">
        <v>105</v>
      </c>
      <c r="AV118" s="49" t="s">
        <v>5</v>
      </c>
      <c r="AW118" s="50" t="s">
        <v>94</v>
      </c>
      <c r="AX118" s="49" t="s">
        <v>5</v>
      </c>
      <c r="AY118" s="50" t="s">
        <v>95</v>
      </c>
      <c r="AZ118" s="49"/>
      <c r="BA118" s="50"/>
      <c r="BB118" s="49" t="s">
        <v>5</v>
      </c>
      <c r="BC118" s="50" t="s">
        <v>152</v>
      </c>
      <c r="BD118" s="49" t="s">
        <v>5</v>
      </c>
      <c r="BE118" s="50" t="s">
        <v>108</v>
      </c>
      <c r="BF118" s="49" t="s">
        <v>30</v>
      </c>
      <c r="BG118" s="50" t="s">
        <v>83</v>
      </c>
      <c r="BH118" s="49"/>
      <c r="BI118" s="50"/>
    </row>
    <row r="119" spans="1:61" ht="30" x14ac:dyDescent="0.25">
      <c r="A119" s="76">
        <v>152873</v>
      </c>
      <c r="B119" s="77" t="s">
        <v>1744</v>
      </c>
      <c r="C119" s="78" t="s">
        <v>1630</v>
      </c>
      <c r="D119" s="76" t="s">
        <v>70</v>
      </c>
      <c r="E119" s="79" t="s">
        <v>14</v>
      </c>
      <c r="F119" s="79" t="s">
        <v>71</v>
      </c>
      <c r="G119" s="79" t="s">
        <v>14</v>
      </c>
      <c r="H119" s="79" t="s">
        <v>14</v>
      </c>
      <c r="I119" s="78" t="s">
        <v>14</v>
      </c>
      <c r="J119" s="79" t="s">
        <v>14</v>
      </c>
      <c r="K119" s="142" t="s">
        <v>1850</v>
      </c>
      <c r="L119" s="149" t="s">
        <v>1844</v>
      </c>
      <c r="M119" s="150" t="s">
        <v>12</v>
      </c>
      <c r="N119" s="151">
        <v>32</v>
      </c>
      <c r="O119" s="151">
        <v>0</v>
      </c>
      <c r="P119" s="152">
        <v>1</v>
      </c>
      <c r="Q119" s="153">
        <v>100</v>
      </c>
      <c r="R119" s="154">
        <v>0</v>
      </c>
      <c r="S119" s="38">
        <f t="shared" si="11"/>
        <v>5</v>
      </c>
      <c r="T119" s="39">
        <f t="shared" si="12"/>
        <v>9</v>
      </c>
      <c r="U119" s="40">
        <f t="shared" si="13"/>
        <v>0</v>
      </c>
      <c r="V119" s="40">
        <f t="shared" si="14"/>
        <v>0</v>
      </c>
      <c r="W119" s="40">
        <f t="shared" si="15"/>
        <v>0</v>
      </c>
      <c r="X119" s="40">
        <f t="shared" si="16"/>
        <v>0</v>
      </c>
      <c r="Y119" s="40">
        <f t="shared" si="17"/>
        <v>0</v>
      </c>
      <c r="Z119" s="40">
        <f t="shared" si="18"/>
        <v>0</v>
      </c>
      <c r="AA119" s="40">
        <f t="shared" si="19"/>
        <v>0</v>
      </c>
      <c r="AB119" s="40">
        <f t="shared" si="20"/>
        <v>0</v>
      </c>
      <c r="AC119" s="41">
        <f t="shared" si="21"/>
        <v>0</v>
      </c>
      <c r="AD119" s="49" t="s">
        <v>5</v>
      </c>
      <c r="AE119" s="50" t="s">
        <v>89</v>
      </c>
      <c r="AF119" s="49" t="s">
        <v>5</v>
      </c>
      <c r="AG119" s="50" t="s">
        <v>117</v>
      </c>
      <c r="AH119" s="49" t="s">
        <v>1</v>
      </c>
      <c r="AI119" s="50" t="s">
        <v>101</v>
      </c>
      <c r="AJ119" s="49" t="s">
        <v>5</v>
      </c>
      <c r="AK119" s="50" t="s">
        <v>102</v>
      </c>
      <c r="AL119" s="49" t="s">
        <v>1</v>
      </c>
      <c r="AM119" s="50" t="s">
        <v>94</v>
      </c>
      <c r="AN119" s="49"/>
      <c r="AO119" s="50"/>
      <c r="AP119" s="49" t="s">
        <v>5</v>
      </c>
      <c r="AQ119" s="50" t="s">
        <v>131</v>
      </c>
      <c r="AR119" s="49" t="s">
        <v>5</v>
      </c>
      <c r="AS119" s="50" t="s">
        <v>120</v>
      </c>
      <c r="AT119" s="49" t="s">
        <v>5</v>
      </c>
      <c r="AU119" s="50" t="s">
        <v>78</v>
      </c>
      <c r="AV119" s="49" t="s">
        <v>1</v>
      </c>
      <c r="AW119" s="50" t="s">
        <v>79</v>
      </c>
      <c r="AX119" s="49" t="s">
        <v>1</v>
      </c>
      <c r="AY119" s="50" t="s">
        <v>95</v>
      </c>
      <c r="AZ119" s="49"/>
      <c r="BA119" s="50"/>
      <c r="BB119" s="49" t="s">
        <v>5</v>
      </c>
      <c r="BC119" s="50" t="s">
        <v>121</v>
      </c>
      <c r="BD119" s="49" t="s">
        <v>1</v>
      </c>
      <c r="BE119" s="50" t="s">
        <v>495</v>
      </c>
      <c r="BF119" s="49" t="s">
        <v>5</v>
      </c>
      <c r="BG119" s="50" t="s">
        <v>170</v>
      </c>
      <c r="BH119" s="49" t="s">
        <v>5</v>
      </c>
      <c r="BI119" s="50" t="s">
        <v>103</v>
      </c>
    </row>
    <row r="120" spans="1:61" ht="30" x14ac:dyDescent="0.25">
      <c r="A120" s="76">
        <v>152940</v>
      </c>
      <c r="B120" s="77" t="s">
        <v>1745</v>
      </c>
      <c r="C120" s="78" t="s">
        <v>1622</v>
      </c>
      <c r="D120" s="76" t="s">
        <v>70</v>
      </c>
      <c r="E120" s="79" t="s">
        <v>14</v>
      </c>
      <c r="F120" s="79" t="s">
        <v>71</v>
      </c>
      <c r="G120" s="79" t="s">
        <v>14</v>
      </c>
      <c r="H120" s="79" t="s">
        <v>14</v>
      </c>
      <c r="I120" s="78" t="s">
        <v>14</v>
      </c>
      <c r="J120" s="79" t="s">
        <v>14</v>
      </c>
      <c r="K120" s="142" t="s">
        <v>1850</v>
      </c>
      <c r="L120" s="149" t="s">
        <v>1845</v>
      </c>
      <c r="M120" s="150" t="s">
        <v>12</v>
      </c>
      <c r="N120" s="151">
        <v>9</v>
      </c>
      <c r="O120" s="151">
        <v>0</v>
      </c>
      <c r="P120" s="152">
        <v>0</v>
      </c>
      <c r="Q120" s="153">
        <v>95.65</v>
      </c>
      <c r="R120" s="154">
        <v>0</v>
      </c>
      <c r="S120" s="38">
        <f t="shared" si="11"/>
        <v>1</v>
      </c>
      <c r="T120" s="39">
        <f t="shared" si="12"/>
        <v>13</v>
      </c>
      <c r="U120" s="40">
        <f t="shared" si="13"/>
        <v>0</v>
      </c>
      <c r="V120" s="40">
        <f t="shared" si="14"/>
        <v>0</v>
      </c>
      <c r="W120" s="40">
        <f t="shared" si="15"/>
        <v>0</v>
      </c>
      <c r="X120" s="40">
        <f t="shared" si="16"/>
        <v>0</v>
      </c>
      <c r="Y120" s="40">
        <f t="shared" si="17"/>
        <v>0</v>
      </c>
      <c r="Z120" s="40">
        <f t="shared" si="18"/>
        <v>0</v>
      </c>
      <c r="AA120" s="40">
        <f t="shared" si="19"/>
        <v>0</v>
      </c>
      <c r="AB120" s="40">
        <f t="shared" si="20"/>
        <v>0</v>
      </c>
      <c r="AC120" s="41">
        <f t="shared" si="21"/>
        <v>0</v>
      </c>
      <c r="AD120" s="49" t="s">
        <v>5</v>
      </c>
      <c r="AE120" s="50" t="s">
        <v>89</v>
      </c>
      <c r="AF120" s="49" t="s">
        <v>1</v>
      </c>
      <c r="AG120" s="50" t="s">
        <v>73</v>
      </c>
      <c r="AH120" s="49" t="s">
        <v>5</v>
      </c>
      <c r="AI120" s="50" t="s">
        <v>142</v>
      </c>
      <c r="AJ120" s="49" t="s">
        <v>5</v>
      </c>
      <c r="AK120" s="50" t="s">
        <v>142</v>
      </c>
      <c r="AL120" s="49" t="s">
        <v>5</v>
      </c>
      <c r="AM120" s="50" t="s">
        <v>98</v>
      </c>
      <c r="AN120" s="49" t="s">
        <v>5</v>
      </c>
      <c r="AO120" s="50" t="s">
        <v>75</v>
      </c>
      <c r="AP120" s="49" t="s">
        <v>5</v>
      </c>
      <c r="AQ120" s="50" t="s">
        <v>92</v>
      </c>
      <c r="AR120" s="49" t="s">
        <v>5</v>
      </c>
      <c r="AS120" s="50" t="s">
        <v>104</v>
      </c>
      <c r="AT120" s="49" t="s">
        <v>5</v>
      </c>
      <c r="AU120" s="50" t="s">
        <v>105</v>
      </c>
      <c r="AV120" s="49" t="s">
        <v>5</v>
      </c>
      <c r="AW120" s="50" t="s">
        <v>94</v>
      </c>
      <c r="AX120" s="49" t="s">
        <v>5</v>
      </c>
      <c r="AY120" s="50" t="s">
        <v>80</v>
      </c>
      <c r="AZ120" s="49"/>
      <c r="BA120" s="50"/>
      <c r="BB120" s="49" t="s">
        <v>5</v>
      </c>
      <c r="BC120" s="50" t="s">
        <v>81</v>
      </c>
      <c r="BD120" s="49" t="s">
        <v>5</v>
      </c>
      <c r="BE120" s="50" t="s">
        <v>122</v>
      </c>
      <c r="BF120" s="49" t="s">
        <v>5</v>
      </c>
      <c r="BG120" s="50" t="s">
        <v>98</v>
      </c>
      <c r="BH120" s="49"/>
      <c r="BI120" s="50"/>
    </row>
    <row r="121" spans="1:61" ht="30" x14ac:dyDescent="0.25">
      <c r="A121" s="76">
        <v>152744</v>
      </c>
      <c r="B121" s="77" t="s">
        <v>1746</v>
      </c>
      <c r="C121" s="78" t="s">
        <v>1633</v>
      </c>
      <c r="D121" s="76" t="s">
        <v>70</v>
      </c>
      <c r="E121" s="79" t="s">
        <v>14</v>
      </c>
      <c r="F121" s="79" t="s">
        <v>198</v>
      </c>
      <c r="G121" s="79" t="s">
        <v>14</v>
      </c>
      <c r="H121" s="79" t="s">
        <v>14</v>
      </c>
      <c r="I121" s="78" t="s">
        <v>14</v>
      </c>
      <c r="J121" s="79" t="s">
        <v>14</v>
      </c>
      <c r="K121" s="142" t="s">
        <v>1850</v>
      </c>
      <c r="L121" s="149" t="s">
        <v>1844</v>
      </c>
      <c r="M121" s="150" t="s">
        <v>12</v>
      </c>
      <c r="N121" s="151">
        <v>29</v>
      </c>
      <c r="O121" s="151">
        <v>0</v>
      </c>
      <c r="P121" s="152">
        <v>0</v>
      </c>
      <c r="Q121" s="153">
        <v>95.56</v>
      </c>
      <c r="R121" s="154">
        <v>0</v>
      </c>
      <c r="S121" s="38">
        <f t="shared" si="11"/>
        <v>1</v>
      </c>
      <c r="T121" s="39">
        <f t="shared" si="12"/>
        <v>13</v>
      </c>
      <c r="U121" s="40">
        <f t="shared" si="13"/>
        <v>0</v>
      </c>
      <c r="V121" s="40">
        <f t="shared" si="14"/>
        <v>0</v>
      </c>
      <c r="W121" s="40">
        <f t="shared" si="15"/>
        <v>0</v>
      </c>
      <c r="X121" s="40">
        <f t="shared" si="16"/>
        <v>0</v>
      </c>
      <c r="Y121" s="40">
        <f t="shared" si="17"/>
        <v>0</v>
      </c>
      <c r="Z121" s="40">
        <f t="shared" si="18"/>
        <v>0</v>
      </c>
      <c r="AA121" s="40">
        <f t="shared" si="19"/>
        <v>0</v>
      </c>
      <c r="AB121" s="40">
        <f t="shared" si="20"/>
        <v>0</v>
      </c>
      <c r="AC121" s="41">
        <f t="shared" si="21"/>
        <v>0</v>
      </c>
      <c r="AD121" s="49" t="s">
        <v>5</v>
      </c>
      <c r="AE121" s="50" t="s">
        <v>89</v>
      </c>
      <c r="AF121" s="49" t="s">
        <v>5</v>
      </c>
      <c r="AG121" s="50" t="s">
        <v>73</v>
      </c>
      <c r="AH121" s="49" t="s">
        <v>5</v>
      </c>
      <c r="AI121" s="50" t="s">
        <v>101</v>
      </c>
      <c r="AJ121" s="49" t="s">
        <v>5</v>
      </c>
      <c r="AK121" s="50" t="s">
        <v>74</v>
      </c>
      <c r="AL121" s="49" t="s">
        <v>5</v>
      </c>
      <c r="AM121" s="50" t="s">
        <v>122</v>
      </c>
      <c r="AN121" s="49"/>
      <c r="AO121" s="50"/>
      <c r="AP121" s="49" t="s">
        <v>5</v>
      </c>
      <c r="AQ121" s="50" t="s">
        <v>131</v>
      </c>
      <c r="AR121" s="49" t="s">
        <v>5</v>
      </c>
      <c r="AS121" s="50" t="s">
        <v>120</v>
      </c>
      <c r="AT121" s="49" t="s">
        <v>5</v>
      </c>
      <c r="AU121" s="50" t="s">
        <v>163</v>
      </c>
      <c r="AV121" s="49" t="s">
        <v>1</v>
      </c>
      <c r="AW121" s="50" t="s">
        <v>79</v>
      </c>
      <c r="AX121" s="49" t="s">
        <v>5</v>
      </c>
      <c r="AY121" s="50" t="s">
        <v>95</v>
      </c>
      <c r="AZ121" s="49"/>
      <c r="BA121" s="50"/>
      <c r="BB121" s="49" t="s">
        <v>5</v>
      </c>
      <c r="BC121" s="50" t="s">
        <v>152</v>
      </c>
      <c r="BD121" s="49" t="s">
        <v>5</v>
      </c>
      <c r="BE121" s="50" t="s">
        <v>495</v>
      </c>
      <c r="BF121" s="49" t="s">
        <v>5</v>
      </c>
      <c r="BG121" s="50" t="s">
        <v>83</v>
      </c>
      <c r="BH121" s="49" t="s">
        <v>5</v>
      </c>
      <c r="BI121" s="50" t="s">
        <v>75</v>
      </c>
    </row>
    <row r="122" spans="1:61" x14ac:dyDescent="0.25">
      <c r="A122" s="76">
        <v>152941</v>
      </c>
      <c r="B122" s="77" t="s">
        <v>1747</v>
      </c>
      <c r="C122" s="78" t="s">
        <v>1630</v>
      </c>
      <c r="D122" s="76" t="s">
        <v>70</v>
      </c>
      <c r="E122" s="79" t="s">
        <v>14</v>
      </c>
      <c r="F122" s="79" t="s">
        <v>71</v>
      </c>
      <c r="G122" s="79" t="s">
        <v>14</v>
      </c>
      <c r="H122" s="79" t="s">
        <v>14</v>
      </c>
      <c r="I122" s="78" t="s">
        <v>14</v>
      </c>
      <c r="J122" s="79" t="s">
        <v>14</v>
      </c>
      <c r="K122" s="142" t="s">
        <v>1850</v>
      </c>
      <c r="L122" s="149" t="s">
        <v>1844</v>
      </c>
      <c r="M122" s="150" t="s">
        <v>12</v>
      </c>
      <c r="N122" s="151">
        <v>37</v>
      </c>
      <c r="O122" s="151">
        <v>0</v>
      </c>
      <c r="P122" s="152">
        <v>1</v>
      </c>
      <c r="Q122" s="153">
        <v>95.65</v>
      </c>
      <c r="R122" s="154">
        <v>0</v>
      </c>
      <c r="S122" s="38">
        <f t="shared" si="11"/>
        <v>4</v>
      </c>
      <c r="T122" s="39">
        <f t="shared" si="12"/>
        <v>10</v>
      </c>
      <c r="U122" s="40">
        <f t="shared" si="13"/>
        <v>0</v>
      </c>
      <c r="V122" s="40">
        <f t="shared" si="14"/>
        <v>0</v>
      </c>
      <c r="W122" s="40">
        <f t="shared" si="15"/>
        <v>0</v>
      </c>
      <c r="X122" s="40">
        <f t="shared" si="16"/>
        <v>0</v>
      </c>
      <c r="Y122" s="40">
        <f t="shared" si="17"/>
        <v>0</v>
      </c>
      <c r="Z122" s="40">
        <f t="shared" si="18"/>
        <v>0</v>
      </c>
      <c r="AA122" s="40">
        <f t="shared" si="19"/>
        <v>0</v>
      </c>
      <c r="AB122" s="40">
        <f t="shared" si="20"/>
        <v>0</v>
      </c>
      <c r="AC122" s="41">
        <f t="shared" si="21"/>
        <v>0</v>
      </c>
      <c r="AD122" s="49" t="s">
        <v>5</v>
      </c>
      <c r="AE122" s="50" t="s">
        <v>89</v>
      </c>
      <c r="AF122" s="49" t="s">
        <v>5</v>
      </c>
      <c r="AG122" s="50" t="s">
        <v>135</v>
      </c>
      <c r="AH122" s="49" t="s">
        <v>1</v>
      </c>
      <c r="AI122" s="50" t="s">
        <v>101</v>
      </c>
      <c r="AJ122" s="49" t="s">
        <v>5</v>
      </c>
      <c r="AK122" s="50" t="s">
        <v>74</v>
      </c>
      <c r="AL122" s="49" t="s">
        <v>1</v>
      </c>
      <c r="AM122" s="50" t="s">
        <v>94</v>
      </c>
      <c r="AN122" s="49"/>
      <c r="AO122" s="50"/>
      <c r="AP122" s="49" t="s">
        <v>5</v>
      </c>
      <c r="AQ122" s="50" t="s">
        <v>131</v>
      </c>
      <c r="AR122" s="49" t="s">
        <v>5</v>
      </c>
      <c r="AS122" s="50" t="s">
        <v>120</v>
      </c>
      <c r="AT122" s="49" t="s">
        <v>5</v>
      </c>
      <c r="AU122" s="50" t="s">
        <v>78</v>
      </c>
      <c r="AV122" s="49" t="s">
        <v>5</v>
      </c>
      <c r="AW122" s="50" t="s">
        <v>94</v>
      </c>
      <c r="AX122" s="49" t="s">
        <v>1</v>
      </c>
      <c r="AY122" s="50" t="s">
        <v>95</v>
      </c>
      <c r="AZ122" s="49"/>
      <c r="BA122" s="50"/>
      <c r="BB122" s="49" t="s">
        <v>5</v>
      </c>
      <c r="BC122" s="50" t="s">
        <v>152</v>
      </c>
      <c r="BD122" s="49" t="s">
        <v>1</v>
      </c>
      <c r="BE122" s="50" t="s">
        <v>495</v>
      </c>
      <c r="BF122" s="49" t="s">
        <v>5</v>
      </c>
      <c r="BG122" s="50" t="s">
        <v>164</v>
      </c>
      <c r="BH122" s="49" t="s">
        <v>5</v>
      </c>
      <c r="BI122" s="50" t="s">
        <v>103</v>
      </c>
    </row>
    <row r="123" spans="1:61" x14ac:dyDescent="0.25">
      <c r="A123" s="76">
        <v>152888</v>
      </c>
      <c r="B123" s="77" t="s">
        <v>1748</v>
      </c>
      <c r="C123" s="78" t="s">
        <v>1633</v>
      </c>
      <c r="D123" s="76" t="s">
        <v>70</v>
      </c>
      <c r="E123" s="79" t="s">
        <v>14</v>
      </c>
      <c r="F123" s="79" t="s">
        <v>88</v>
      </c>
      <c r="G123" s="79" t="s">
        <v>14</v>
      </c>
      <c r="H123" s="79" t="s">
        <v>14</v>
      </c>
      <c r="I123" s="78" t="s">
        <v>14</v>
      </c>
      <c r="J123" s="79" t="s">
        <v>14</v>
      </c>
      <c r="K123" s="142" t="s">
        <v>1850</v>
      </c>
      <c r="L123" s="149" t="s">
        <v>1844</v>
      </c>
      <c r="M123" s="150" t="s">
        <v>12</v>
      </c>
      <c r="N123" s="151">
        <v>23</v>
      </c>
      <c r="O123" s="151">
        <v>0</v>
      </c>
      <c r="P123" s="152">
        <v>0</v>
      </c>
      <c r="Q123" s="153">
        <v>100</v>
      </c>
      <c r="R123" s="154">
        <v>0</v>
      </c>
      <c r="S123" s="38">
        <f t="shared" si="11"/>
        <v>0</v>
      </c>
      <c r="T123" s="39">
        <f t="shared" si="12"/>
        <v>14</v>
      </c>
      <c r="U123" s="40">
        <f t="shared" si="13"/>
        <v>0</v>
      </c>
      <c r="V123" s="40">
        <f t="shared" si="14"/>
        <v>0</v>
      </c>
      <c r="W123" s="40">
        <f t="shared" si="15"/>
        <v>0</v>
      </c>
      <c r="X123" s="40">
        <f t="shared" si="16"/>
        <v>0</v>
      </c>
      <c r="Y123" s="40">
        <f t="shared" si="17"/>
        <v>0</v>
      </c>
      <c r="Z123" s="40">
        <f t="shared" si="18"/>
        <v>0</v>
      </c>
      <c r="AA123" s="40">
        <f t="shared" si="19"/>
        <v>0</v>
      </c>
      <c r="AB123" s="40">
        <f t="shared" si="20"/>
        <v>0</v>
      </c>
      <c r="AC123" s="41">
        <f t="shared" si="21"/>
        <v>0</v>
      </c>
      <c r="AD123" s="49" t="s">
        <v>5</v>
      </c>
      <c r="AE123" s="50" t="s">
        <v>89</v>
      </c>
      <c r="AF123" s="49"/>
      <c r="AG123" s="50"/>
      <c r="AH123" s="49" t="s">
        <v>5</v>
      </c>
      <c r="AI123" s="50" t="s">
        <v>101</v>
      </c>
      <c r="AJ123" s="49" t="s">
        <v>5</v>
      </c>
      <c r="AK123" s="50" t="s">
        <v>102</v>
      </c>
      <c r="AL123" s="49" t="s">
        <v>5</v>
      </c>
      <c r="AM123" s="50" t="s">
        <v>122</v>
      </c>
      <c r="AN123" s="49"/>
      <c r="AO123" s="50"/>
      <c r="AP123" s="49" t="s">
        <v>5</v>
      </c>
      <c r="AQ123" s="50" t="s">
        <v>131</v>
      </c>
      <c r="AR123" s="49" t="s">
        <v>5</v>
      </c>
      <c r="AS123" s="50" t="s">
        <v>120</v>
      </c>
      <c r="AT123" s="49" t="s">
        <v>5</v>
      </c>
      <c r="AU123" s="50" t="s">
        <v>163</v>
      </c>
      <c r="AV123" s="49" t="s">
        <v>5</v>
      </c>
      <c r="AW123" s="50" t="s">
        <v>79</v>
      </c>
      <c r="AX123" s="49" t="s">
        <v>5</v>
      </c>
      <c r="AY123" s="50" t="s">
        <v>95</v>
      </c>
      <c r="AZ123" s="49" t="s">
        <v>5</v>
      </c>
      <c r="BA123" s="50" t="s">
        <v>105</v>
      </c>
      <c r="BB123" s="49" t="s">
        <v>5</v>
      </c>
      <c r="BC123" s="50" t="s">
        <v>121</v>
      </c>
      <c r="BD123" s="49" t="s">
        <v>5</v>
      </c>
      <c r="BE123" s="50" t="s">
        <v>495</v>
      </c>
      <c r="BF123" s="49" t="s">
        <v>5</v>
      </c>
      <c r="BG123" s="50" t="s">
        <v>164</v>
      </c>
      <c r="BH123" s="49" t="s">
        <v>5</v>
      </c>
      <c r="BI123" s="50" t="s">
        <v>75</v>
      </c>
    </row>
    <row r="124" spans="1:61" x14ac:dyDescent="0.25">
      <c r="A124" s="76">
        <v>152894</v>
      </c>
      <c r="B124" s="77" t="s">
        <v>1749</v>
      </c>
      <c r="C124" s="78" t="s">
        <v>1648</v>
      </c>
      <c r="D124" s="76" t="s">
        <v>70</v>
      </c>
      <c r="E124" s="79" t="s">
        <v>14</v>
      </c>
      <c r="F124" s="79" t="s">
        <v>71</v>
      </c>
      <c r="G124" s="79" t="s">
        <v>14</v>
      </c>
      <c r="H124" s="79" t="s">
        <v>14</v>
      </c>
      <c r="I124" s="78" t="s">
        <v>14</v>
      </c>
      <c r="J124" s="79" t="s">
        <v>14</v>
      </c>
      <c r="K124" s="142" t="s">
        <v>1850</v>
      </c>
      <c r="L124" s="149" t="s">
        <v>1846</v>
      </c>
      <c r="M124" s="150" t="s">
        <v>1853</v>
      </c>
      <c r="N124" s="151">
        <v>16</v>
      </c>
      <c r="O124" s="151">
        <v>0</v>
      </c>
      <c r="P124" s="152">
        <v>0</v>
      </c>
      <c r="Q124" s="153">
        <v>91.3</v>
      </c>
      <c r="R124" s="154">
        <v>0</v>
      </c>
      <c r="S124" s="38">
        <f t="shared" si="11"/>
        <v>2</v>
      </c>
      <c r="T124" s="39">
        <f t="shared" si="12"/>
        <v>12</v>
      </c>
      <c r="U124" s="40">
        <f t="shared" si="13"/>
        <v>0</v>
      </c>
      <c r="V124" s="40">
        <f t="shared" si="14"/>
        <v>0</v>
      </c>
      <c r="W124" s="40">
        <f t="shared" si="15"/>
        <v>0</v>
      </c>
      <c r="X124" s="40">
        <f t="shared" si="16"/>
        <v>0</v>
      </c>
      <c r="Y124" s="40">
        <f t="shared" si="17"/>
        <v>0</v>
      </c>
      <c r="Z124" s="40">
        <f t="shared" si="18"/>
        <v>0</v>
      </c>
      <c r="AA124" s="40">
        <f t="shared" si="19"/>
        <v>0</v>
      </c>
      <c r="AB124" s="40">
        <f t="shared" si="20"/>
        <v>0</v>
      </c>
      <c r="AC124" s="41">
        <f t="shared" si="21"/>
        <v>0</v>
      </c>
      <c r="AD124" s="49" t="s">
        <v>5</v>
      </c>
      <c r="AE124" s="50" t="s">
        <v>116</v>
      </c>
      <c r="AF124" s="49" t="s">
        <v>5</v>
      </c>
      <c r="AG124" s="50" t="s">
        <v>90</v>
      </c>
      <c r="AH124" s="49" t="s">
        <v>1</v>
      </c>
      <c r="AI124" s="50" t="s">
        <v>101</v>
      </c>
      <c r="AJ124" s="49" t="s">
        <v>5</v>
      </c>
      <c r="AK124" s="50" t="s">
        <v>722</v>
      </c>
      <c r="AL124" s="49" t="s">
        <v>5</v>
      </c>
      <c r="AM124" s="50" t="s">
        <v>714</v>
      </c>
      <c r="AN124" s="49" t="s">
        <v>5</v>
      </c>
      <c r="AO124" s="50" t="s">
        <v>124</v>
      </c>
      <c r="AP124" s="49" t="s">
        <v>5</v>
      </c>
      <c r="AQ124" s="50" t="s">
        <v>76</v>
      </c>
      <c r="AR124" s="49" t="s">
        <v>5</v>
      </c>
      <c r="AS124" s="50" t="s">
        <v>132</v>
      </c>
      <c r="AT124" s="49" t="s">
        <v>5</v>
      </c>
      <c r="AU124" s="50" t="s">
        <v>163</v>
      </c>
      <c r="AV124" s="49" t="s">
        <v>5</v>
      </c>
      <c r="AW124" s="50" t="s">
        <v>112</v>
      </c>
      <c r="AX124" s="49" t="s">
        <v>1</v>
      </c>
      <c r="AY124" s="50" t="s">
        <v>95</v>
      </c>
      <c r="AZ124" s="49"/>
      <c r="BA124" s="50"/>
      <c r="BB124" s="49" t="s">
        <v>5</v>
      </c>
      <c r="BC124" s="50" t="s">
        <v>152</v>
      </c>
      <c r="BD124" s="49" t="s">
        <v>5</v>
      </c>
      <c r="BE124" s="50" t="s">
        <v>153</v>
      </c>
      <c r="BF124" s="49" t="s">
        <v>5</v>
      </c>
      <c r="BG124" s="50" t="s">
        <v>83</v>
      </c>
      <c r="BH124" s="49"/>
      <c r="BI124" s="50"/>
    </row>
    <row r="125" spans="1:61" x14ac:dyDescent="0.25">
      <c r="A125" s="76">
        <v>152784</v>
      </c>
      <c r="B125" s="77" t="s">
        <v>1750</v>
      </c>
      <c r="C125" s="78" t="s">
        <v>1630</v>
      </c>
      <c r="D125" s="76" t="s">
        <v>12</v>
      </c>
      <c r="E125" s="79" t="s">
        <v>14</v>
      </c>
      <c r="F125" s="79" t="s">
        <v>71</v>
      </c>
      <c r="G125" s="79" t="s">
        <v>14</v>
      </c>
      <c r="H125" s="79" t="s">
        <v>14</v>
      </c>
      <c r="I125" s="78" t="s">
        <v>14</v>
      </c>
      <c r="J125" s="79" t="s">
        <v>14</v>
      </c>
      <c r="K125" s="142" t="s">
        <v>1850</v>
      </c>
      <c r="L125" s="149" t="s">
        <v>1844</v>
      </c>
      <c r="M125" s="150" t="s">
        <v>12</v>
      </c>
      <c r="N125" s="151">
        <v>27</v>
      </c>
      <c r="O125" s="151">
        <v>1</v>
      </c>
      <c r="P125" s="152">
        <v>1</v>
      </c>
      <c r="Q125" s="153">
        <v>91.3</v>
      </c>
      <c r="R125" s="154">
        <v>0</v>
      </c>
      <c r="S125" s="38">
        <f t="shared" si="11"/>
        <v>1</v>
      </c>
      <c r="T125" s="39">
        <f t="shared" si="12"/>
        <v>12</v>
      </c>
      <c r="U125" s="40">
        <f t="shared" si="13"/>
        <v>1</v>
      </c>
      <c r="V125" s="40">
        <f t="shared" si="14"/>
        <v>0</v>
      </c>
      <c r="W125" s="40">
        <f t="shared" si="15"/>
        <v>0</v>
      </c>
      <c r="X125" s="40">
        <f t="shared" si="16"/>
        <v>1</v>
      </c>
      <c r="Y125" s="40">
        <f t="shared" si="17"/>
        <v>0</v>
      </c>
      <c r="Z125" s="40">
        <f t="shared" si="18"/>
        <v>0</v>
      </c>
      <c r="AA125" s="40">
        <f t="shared" si="19"/>
        <v>0</v>
      </c>
      <c r="AB125" s="40">
        <f t="shared" si="20"/>
        <v>0</v>
      </c>
      <c r="AC125" s="41">
        <f t="shared" si="21"/>
        <v>0</v>
      </c>
      <c r="AD125" s="49" t="s">
        <v>5</v>
      </c>
      <c r="AE125" s="50" t="s">
        <v>89</v>
      </c>
      <c r="AF125" s="49" t="s">
        <v>5</v>
      </c>
      <c r="AG125" s="50" t="s">
        <v>90</v>
      </c>
      <c r="AH125" s="49" t="s">
        <v>5</v>
      </c>
      <c r="AI125" s="50" t="s">
        <v>101</v>
      </c>
      <c r="AJ125" s="49" t="s">
        <v>30</v>
      </c>
      <c r="AK125" s="50" t="s">
        <v>722</v>
      </c>
      <c r="AL125" s="49" t="s">
        <v>5</v>
      </c>
      <c r="AM125" s="50" t="s">
        <v>94</v>
      </c>
      <c r="AN125" s="49"/>
      <c r="AO125" s="50"/>
      <c r="AP125" s="49" t="s">
        <v>5</v>
      </c>
      <c r="AQ125" s="50" t="s">
        <v>131</v>
      </c>
      <c r="AR125" s="49" t="s">
        <v>5</v>
      </c>
      <c r="AS125" s="50" t="s">
        <v>120</v>
      </c>
      <c r="AT125" s="49" t="s">
        <v>5</v>
      </c>
      <c r="AU125" s="50" t="s">
        <v>78</v>
      </c>
      <c r="AV125" s="49" t="s">
        <v>5</v>
      </c>
      <c r="AW125" s="50" t="s">
        <v>94</v>
      </c>
      <c r="AX125" s="49" t="s">
        <v>5</v>
      </c>
      <c r="AY125" s="50" t="s">
        <v>95</v>
      </c>
      <c r="AZ125" s="49"/>
      <c r="BA125" s="50"/>
      <c r="BB125" s="49" t="s">
        <v>1</v>
      </c>
      <c r="BC125" s="50" t="s">
        <v>96</v>
      </c>
      <c r="BD125" s="49" t="s">
        <v>5</v>
      </c>
      <c r="BE125" s="50" t="s">
        <v>495</v>
      </c>
      <c r="BF125" s="49" t="s">
        <v>5</v>
      </c>
      <c r="BG125" s="50" t="s">
        <v>98</v>
      </c>
      <c r="BH125" s="49" t="s">
        <v>5</v>
      </c>
      <c r="BI125" s="50" t="s">
        <v>103</v>
      </c>
    </row>
    <row r="126" spans="1:61" x14ac:dyDescent="0.25">
      <c r="A126" s="76">
        <v>152863</v>
      </c>
      <c r="B126" s="77" t="s">
        <v>1751</v>
      </c>
      <c r="C126" s="78" t="s">
        <v>1630</v>
      </c>
      <c r="D126" s="76" t="s">
        <v>12</v>
      </c>
      <c r="E126" s="79" t="s">
        <v>14</v>
      </c>
      <c r="F126" s="79" t="s">
        <v>184</v>
      </c>
      <c r="G126" s="79" t="s">
        <v>14</v>
      </c>
      <c r="H126" s="79" t="s">
        <v>14</v>
      </c>
      <c r="I126" s="78" t="s">
        <v>14</v>
      </c>
      <c r="J126" s="79" t="s">
        <v>14</v>
      </c>
      <c r="K126" s="142" t="s">
        <v>1851</v>
      </c>
      <c r="L126" s="149" t="s">
        <v>1842</v>
      </c>
      <c r="M126" s="150" t="s">
        <v>1853</v>
      </c>
      <c r="N126" s="151">
        <v>40</v>
      </c>
      <c r="O126" s="151">
        <v>0</v>
      </c>
      <c r="P126" s="152">
        <v>2</v>
      </c>
      <c r="Q126" s="153">
        <v>100</v>
      </c>
      <c r="R126" s="154">
        <v>0</v>
      </c>
      <c r="S126" s="38">
        <f t="shared" si="11"/>
        <v>5</v>
      </c>
      <c r="T126" s="39">
        <f t="shared" si="12"/>
        <v>9</v>
      </c>
      <c r="U126" s="40">
        <f t="shared" si="13"/>
        <v>0</v>
      </c>
      <c r="V126" s="40">
        <f t="shared" si="14"/>
        <v>0</v>
      </c>
      <c r="W126" s="40">
        <f t="shared" si="15"/>
        <v>0</v>
      </c>
      <c r="X126" s="40">
        <f t="shared" si="16"/>
        <v>0</v>
      </c>
      <c r="Y126" s="40">
        <f t="shared" si="17"/>
        <v>0</v>
      </c>
      <c r="Z126" s="40">
        <f t="shared" si="18"/>
        <v>0</v>
      </c>
      <c r="AA126" s="40">
        <f t="shared" si="19"/>
        <v>0</v>
      </c>
      <c r="AB126" s="40">
        <f t="shared" si="20"/>
        <v>0</v>
      </c>
      <c r="AC126" s="41">
        <f t="shared" si="21"/>
        <v>0</v>
      </c>
      <c r="AD126" s="49" t="s">
        <v>5</v>
      </c>
      <c r="AE126" s="50" t="s">
        <v>89</v>
      </c>
      <c r="AF126" s="49" t="s">
        <v>5</v>
      </c>
      <c r="AG126" s="50" t="s">
        <v>73</v>
      </c>
      <c r="AH126" s="49" t="s">
        <v>1</v>
      </c>
      <c r="AI126" s="50" t="s">
        <v>101</v>
      </c>
      <c r="AJ126" s="49" t="s">
        <v>5</v>
      </c>
      <c r="AK126" s="50" t="s">
        <v>194</v>
      </c>
      <c r="AL126" s="49" t="s">
        <v>1</v>
      </c>
      <c r="AM126" s="50" t="s">
        <v>94</v>
      </c>
      <c r="AN126" s="49"/>
      <c r="AO126" s="50"/>
      <c r="AP126" s="49" t="s">
        <v>5</v>
      </c>
      <c r="AQ126" s="50" t="s">
        <v>131</v>
      </c>
      <c r="AR126" s="49" t="s">
        <v>1</v>
      </c>
      <c r="AS126" s="50" t="s">
        <v>120</v>
      </c>
      <c r="AT126" s="49" t="s">
        <v>5</v>
      </c>
      <c r="AU126" s="50" t="s">
        <v>78</v>
      </c>
      <c r="AV126" s="49" t="s">
        <v>1</v>
      </c>
      <c r="AW126" s="50" t="s">
        <v>79</v>
      </c>
      <c r="AX126" s="49" t="s">
        <v>5</v>
      </c>
      <c r="AY126" s="50" t="s">
        <v>95</v>
      </c>
      <c r="AZ126" s="49"/>
      <c r="BA126" s="50"/>
      <c r="BB126" s="49" t="s">
        <v>5</v>
      </c>
      <c r="BC126" s="50" t="s">
        <v>741</v>
      </c>
      <c r="BD126" s="49" t="s">
        <v>1</v>
      </c>
      <c r="BE126" s="50" t="s">
        <v>495</v>
      </c>
      <c r="BF126" s="49" t="s">
        <v>5</v>
      </c>
      <c r="BG126" s="50" t="s">
        <v>83</v>
      </c>
      <c r="BH126" s="49" t="s">
        <v>5</v>
      </c>
      <c r="BI126" s="50" t="s">
        <v>103</v>
      </c>
    </row>
    <row r="127" spans="1:61" ht="30" x14ac:dyDescent="0.25">
      <c r="A127" s="76">
        <v>152813</v>
      </c>
      <c r="B127" s="77" t="s">
        <v>1752</v>
      </c>
      <c r="C127" s="78" t="s">
        <v>1628</v>
      </c>
      <c r="D127" s="76" t="s">
        <v>70</v>
      </c>
      <c r="E127" s="79" t="s">
        <v>14</v>
      </c>
      <c r="F127" s="79" t="s">
        <v>71</v>
      </c>
      <c r="G127" s="79" t="s">
        <v>14</v>
      </c>
      <c r="H127" s="79" t="s">
        <v>14</v>
      </c>
      <c r="I127" s="78" t="s">
        <v>14</v>
      </c>
      <c r="J127" s="79" t="s">
        <v>14</v>
      </c>
      <c r="K127" s="142" t="s">
        <v>1850</v>
      </c>
      <c r="L127" s="149" t="s">
        <v>1844</v>
      </c>
      <c r="M127" s="150" t="s">
        <v>12</v>
      </c>
      <c r="N127" s="151">
        <v>14</v>
      </c>
      <c r="O127" s="151">
        <v>0</v>
      </c>
      <c r="P127" s="152">
        <v>0</v>
      </c>
      <c r="Q127" s="153">
        <v>100</v>
      </c>
      <c r="R127" s="154">
        <v>0</v>
      </c>
      <c r="S127" s="38">
        <f t="shared" si="11"/>
        <v>1</v>
      </c>
      <c r="T127" s="39">
        <f t="shared" si="12"/>
        <v>13</v>
      </c>
      <c r="U127" s="40">
        <f t="shared" si="13"/>
        <v>0</v>
      </c>
      <c r="V127" s="40">
        <f t="shared" si="14"/>
        <v>0</v>
      </c>
      <c r="W127" s="40">
        <f t="shared" si="15"/>
        <v>0</v>
      </c>
      <c r="X127" s="40">
        <f t="shared" si="16"/>
        <v>0</v>
      </c>
      <c r="Y127" s="40">
        <f t="shared" si="17"/>
        <v>0</v>
      </c>
      <c r="Z127" s="40">
        <f t="shared" si="18"/>
        <v>0</v>
      </c>
      <c r="AA127" s="40">
        <f t="shared" si="19"/>
        <v>0</v>
      </c>
      <c r="AB127" s="40">
        <f t="shared" si="20"/>
        <v>0</v>
      </c>
      <c r="AC127" s="41">
        <f t="shared" si="21"/>
        <v>0</v>
      </c>
      <c r="AD127" s="49" t="s">
        <v>5</v>
      </c>
      <c r="AE127" s="50" t="s">
        <v>116</v>
      </c>
      <c r="AF127" s="49"/>
      <c r="AG127" s="50"/>
      <c r="AH127" s="49" t="s">
        <v>5</v>
      </c>
      <c r="AI127" s="50" t="s">
        <v>101</v>
      </c>
      <c r="AJ127" s="49" t="s">
        <v>5</v>
      </c>
      <c r="AK127" s="50" t="s">
        <v>111</v>
      </c>
      <c r="AL127" s="49" t="s">
        <v>5</v>
      </c>
      <c r="AM127" s="50" t="s">
        <v>106</v>
      </c>
      <c r="AN127" s="49" t="s">
        <v>5</v>
      </c>
      <c r="AO127" s="50" t="s">
        <v>103</v>
      </c>
      <c r="AP127" s="49" t="s">
        <v>5</v>
      </c>
      <c r="AQ127" s="50" t="s">
        <v>144</v>
      </c>
      <c r="AR127" s="49" t="s">
        <v>5</v>
      </c>
      <c r="AS127" s="50" t="s">
        <v>104</v>
      </c>
      <c r="AT127" s="49" t="s">
        <v>5</v>
      </c>
      <c r="AU127" s="50" t="s">
        <v>105</v>
      </c>
      <c r="AV127" s="49" t="s">
        <v>5</v>
      </c>
      <c r="AW127" s="50" t="s">
        <v>94</v>
      </c>
      <c r="AX127" s="49" t="s">
        <v>1</v>
      </c>
      <c r="AY127" s="50" t="s">
        <v>95</v>
      </c>
      <c r="AZ127" s="49" t="s">
        <v>5</v>
      </c>
      <c r="BA127" s="50" t="s">
        <v>120</v>
      </c>
      <c r="BB127" s="49" t="s">
        <v>5</v>
      </c>
      <c r="BC127" s="50" t="s">
        <v>152</v>
      </c>
      <c r="BD127" s="49" t="s">
        <v>5</v>
      </c>
      <c r="BE127" s="50" t="s">
        <v>108</v>
      </c>
      <c r="BF127" s="49" t="s">
        <v>5</v>
      </c>
      <c r="BG127" s="50" t="s">
        <v>164</v>
      </c>
      <c r="BH127" s="49"/>
      <c r="BI127" s="50"/>
    </row>
    <row r="128" spans="1:61" x14ac:dyDescent="0.25">
      <c r="A128" s="76">
        <v>152930</v>
      </c>
      <c r="B128" s="77" t="s">
        <v>1753</v>
      </c>
      <c r="C128" s="78" t="s">
        <v>1630</v>
      </c>
      <c r="D128" s="76" t="s">
        <v>12</v>
      </c>
      <c r="E128" s="79" t="s">
        <v>14</v>
      </c>
      <c r="F128" s="79" t="s">
        <v>71</v>
      </c>
      <c r="G128" s="79" t="s">
        <v>14</v>
      </c>
      <c r="H128" s="79" t="s">
        <v>14</v>
      </c>
      <c r="I128" s="78" t="s">
        <v>14</v>
      </c>
      <c r="J128" s="79" t="s">
        <v>14</v>
      </c>
      <c r="K128" s="142" t="s">
        <v>1850</v>
      </c>
      <c r="L128" s="149" t="s">
        <v>1845</v>
      </c>
      <c r="M128" s="150" t="s">
        <v>12</v>
      </c>
      <c r="N128" s="151">
        <v>29</v>
      </c>
      <c r="O128" s="151">
        <v>3</v>
      </c>
      <c r="P128" s="152">
        <v>3</v>
      </c>
      <c r="Q128" s="153">
        <v>91.3</v>
      </c>
      <c r="R128" s="154">
        <v>2</v>
      </c>
      <c r="S128" s="38">
        <f t="shared" si="11"/>
        <v>0</v>
      </c>
      <c r="T128" s="39">
        <f t="shared" si="12"/>
        <v>12</v>
      </c>
      <c r="U128" s="40">
        <f t="shared" si="13"/>
        <v>1</v>
      </c>
      <c r="V128" s="40">
        <f t="shared" si="14"/>
        <v>1</v>
      </c>
      <c r="W128" s="40">
        <f t="shared" si="15"/>
        <v>0</v>
      </c>
      <c r="X128" s="40">
        <f t="shared" si="16"/>
        <v>2</v>
      </c>
      <c r="Y128" s="40">
        <f t="shared" si="17"/>
        <v>0</v>
      </c>
      <c r="Z128" s="40">
        <f t="shared" si="18"/>
        <v>0</v>
      </c>
      <c r="AA128" s="40">
        <f t="shared" si="19"/>
        <v>0</v>
      </c>
      <c r="AB128" s="40">
        <f t="shared" si="20"/>
        <v>0</v>
      </c>
      <c r="AC128" s="41">
        <f t="shared" si="21"/>
        <v>0</v>
      </c>
      <c r="AD128" s="49" t="s">
        <v>31</v>
      </c>
      <c r="AE128" s="50" t="s">
        <v>89</v>
      </c>
      <c r="AF128" s="49"/>
      <c r="AG128" s="50"/>
      <c r="AH128" s="49" t="s">
        <v>5</v>
      </c>
      <c r="AI128" s="50" t="s">
        <v>101</v>
      </c>
      <c r="AJ128" s="49" t="s">
        <v>5</v>
      </c>
      <c r="AK128" s="50" t="s">
        <v>194</v>
      </c>
      <c r="AL128" s="49" t="s">
        <v>5</v>
      </c>
      <c r="AM128" s="50" t="s">
        <v>94</v>
      </c>
      <c r="AN128" s="49"/>
      <c r="AO128" s="50"/>
      <c r="AP128" s="49" t="s">
        <v>5</v>
      </c>
      <c r="AQ128" s="50" t="s">
        <v>131</v>
      </c>
      <c r="AR128" s="49" t="s">
        <v>5</v>
      </c>
      <c r="AS128" s="50" t="s">
        <v>120</v>
      </c>
      <c r="AT128" s="49" t="s">
        <v>5</v>
      </c>
      <c r="AU128" s="50" t="s">
        <v>78</v>
      </c>
      <c r="AV128" s="49" t="s">
        <v>5</v>
      </c>
      <c r="AW128" s="50" t="s">
        <v>79</v>
      </c>
      <c r="AX128" s="49" t="s">
        <v>5</v>
      </c>
      <c r="AY128" s="50" t="s">
        <v>95</v>
      </c>
      <c r="AZ128" s="49" t="s">
        <v>5</v>
      </c>
      <c r="BA128" s="50" t="s">
        <v>105</v>
      </c>
      <c r="BB128" s="49" t="s">
        <v>5</v>
      </c>
      <c r="BC128" s="50" t="s">
        <v>96</v>
      </c>
      <c r="BD128" s="49" t="s">
        <v>30</v>
      </c>
      <c r="BE128" s="50" t="s">
        <v>495</v>
      </c>
      <c r="BF128" s="49" t="s">
        <v>5</v>
      </c>
      <c r="BG128" s="50" t="s">
        <v>170</v>
      </c>
      <c r="BH128" s="49" t="s">
        <v>5</v>
      </c>
      <c r="BI128" s="50" t="s">
        <v>103</v>
      </c>
    </row>
    <row r="129" spans="1:61" x14ac:dyDescent="0.25">
      <c r="A129" s="76">
        <v>152802</v>
      </c>
      <c r="B129" s="77" t="s">
        <v>1754</v>
      </c>
      <c r="C129" s="78" t="s">
        <v>1633</v>
      </c>
      <c r="D129" s="76" t="s">
        <v>12</v>
      </c>
      <c r="E129" s="79" t="s">
        <v>14</v>
      </c>
      <c r="F129" s="79" t="s">
        <v>71</v>
      </c>
      <c r="G129" s="79" t="s">
        <v>14</v>
      </c>
      <c r="H129" s="79" t="s">
        <v>14</v>
      </c>
      <c r="I129" s="78" t="s">
        <v>14</v>
      </c>
      <c r="J129" s="79" t="s">
        <v>14</v>
      </c>
      <c r="K129" s="142" t="s">
        <v>1851</v>
      </c>
      <c r="L129" s="149" t="s">
        <v>1845</v>
      </c>
      <c r="M129" s="150" t="s">
        <v>12</v>
      </c>
      <c r="N129" s="151">
        <v>28</v>
      </c>
      <c r="O129" s="151">
        <v>0</v>
      </c>
      <c r="P129" s="152">
        <v>0</v>
      </c>
      <c r="Q129" s="153">
        <v>95.56</v>
      </c>
      <c r="R129" s="154">
        <v>0</v>
      </c>
      <c r="S129" s="38">
        <f t="shared" si="11"/>
        <v>2</v>
      </c>
      <c r="T129" s="39">
        <f t="shared" si="12"/>
        <v>12</v>
      </c>
      <c r="U129" s="40">
        <f t="shared" si="13"/>
        <v>0</v>
      </c>
      <c r="V129" s="40">
        <f t="shared" si="14"/>
        <v>0</v>
      </c>
      <c r="W129" s="40">
        <f t="shared" si="15"/>
        <v>0</v>
      </c>
      <c r="X129" s="40">
        <f t="shared" si="16"/>
        <v>0</v>
      </c>
      <c r="Y129" s="40">
        <f t="shared" si="17"/>
        <v>0</v>
      </c>
      <c r="Z129" s="40">
        <f t="shared" si="18"/>
        <v>0</v>
      </c>
      <c r="AA129" s="40">
        <f t="shared" si="19"/>
        <v>0</v>
      </c>
      <c r="AB129" s="40">
        <f t="shared" si="20"/>
        <v>0</v>
      </c>
      <c r="AC129" s="41">
        <f t="shared" si="21"/>
        <v>0</v>
      </c>
      <c r="AD129" s="49" t="s">
        <v>5</v>
      </c>
      <c r="AE129" s="50" t="s">
        <v>89</v>
      </c>
      <c r="AF129" s="49" t="s">
        <v>5</v>
      </c>
      <c r="AG129" s="50" t="s">
        <v>117</v>
      </c>
      <c r="AH129" s="49" t="s">
        <v>5</v>
      </c>
      <c r="AI129" s="50" t="s">
        <v>101</v>
      </c>
      <c r="AJ129" s="49" t="s">
        <v>5</v>
      </c>
      <c r="AK129" s="50" t="s">
        <v>722</v>
      </c>
      <c r="AL129" s="49" t="s">
        <v>1</v>
      </c>
      <c r="AM129" s="50" t="s">
        <v>122</v>
      </c>
      <c r="AN129" s="49"/>
      <c r="AO129" s="50"/>
      <c r="AP129" s="49" t="s">
        <v>5</v>
      </c>
      <c r="AQ129" s="50" t="s">
        <v>131</v>
      </c>
      <c r="AR129" s="49" t="s">
        <v>5</v>
      </c>
      <c r="AS129" s="50" t="s">
        <v>120</v>
      </c>
      <c r="AT129" s="49" t="s">
        <v>5</v>
      </c>
      <c r="AU129" s="50" t="s">
        <v>163</v>
      </c>
      <c r="AV129" s="49" t="s">
        <v>5</v>
      </c>
      <c r="AW129" s="50" t="s">
        <v>94</v>
      </c>
      <c r="AX129" s="49" t="s">
        <v>5</v>
      </c>
      <c r="AY129" s="50" t="s">
        <v>95</v>
      </c>
      <c r="AZ129" s="49"/>
      <c r="BA129" s="50"/>
      <c r="BB129" s="49" t="s">
        <v>5</v>
      </c>
      <c r="BC129" s="50" t="s">
        <v>741</v>
      </c>
      <c r="BD129" s="49" t="s">
        <v>5</v>
      </c>
      <c r="BE129" s="50" t="s">
        <v>495</v>
      </c>
      <c r="BF129" s="49" t="s">
        <v>1</v>
      </c>
      <c r="BG129" s="50" t="s">
        <v>98</v>
      </c>
      <c r="BH129" s="49" t="s">
        <v>5</v>
      </c>
      <c r="BI129" s="50" t="s">
        <v>75</v>
      </c>
    </row>
    <row r="130" spans="1:61" x14ac:dyDescent="0.25">
      <c r="A130" s="76">
        <v>152826</v>
      </c>
      <c r="B130" s="77" t="s">
        <v>1755</v>
      </c>
      <c r="C130" s="78" t="s">
        <v>1620</v>
      </c>
      <c r="D130" s="76" t="s">
        <v>70</v>
      </c>
      <c r="E130" s="79" t="s">
        <v>87</v>
      </c>
      <c r="F130" s="79" t="s">
        <v>455</v>
      </c>
      <c r="G130" s="79" t="s">
        <v>87</v>
      </c>
      <c r="H130" s="79" t="s">
        <v>87</v>
      </c>
      <c r="I130" s="78" t="s">
        <v>14</v>
      </c>
      <c r="J130" s="79" t="s">
        <v>6</v>
      </c>
      <c r="K130" s="142" t="s">
        <v>1851</v>
      </c>
      <c r="L130" s="149" t="s">
        <v>1847</v>
      </c>
      <c r="M130" s="150" t="s">
        <v>1853</v>
      </c>
      <c r="N130" s="151">
        <v>12</v>
      </c>
      <c r="O130" s="151">
        <v>0</v>
      </c>
      <c r="P130" s="152">
        <v>2</v>
      </c>
      <c r="Q130" s="153">
        <v>95.65</v>
      </c>
      <c r="R130" s="154">
        <v>5</v>
      </c>
      <c r="S130" s="38">
        <f t="shared" ref="S130:S193" si="22">COUNTIF($AD130:$BI130,"Outstanding")</f>
        <v>1</v>
      </c>
      <c r="T130" s="39">
        <f t="shared" ref="T130:T193" si="23">COUNTIF($AD130:$BI130,"Good")</f>
        <v>13</v>
      </c>
      <c r="U130" s="40">
        <f t="shared" ref="U130:U193" si="24">COUNTIF($AD130:$BI130,"N2Improve - Engagement")</f>
        <v>0</v>
      </c>
      <c r="V130" s="40">
        <f t="shared" ref="V130:V193" si="25">COUNTIF($AD130:$BI130,"N2Improve - Community Conduct")</f>
        <v>0</v>
      </c>
      <c r="W130" s="40">
        <f t="shared" ref="W130:W193" si="26">COUNTIF($AD130:$BI130,"N2Improve - Personal Org.")</f>
        <v>0</v>
      </c>
      <c r="X130" s="40">
        <f t="shared" ref="X130:X193" si="27">SUM(U130:W130)</f>
        <v>0</v>
      </c>
      <c r="Y130" s="40">
        <f t="shared" ref="Y130:Y193" si="28">COUNTIF($AD130:$BI130,"Serious Conc - Engagement")</f>
        <v>0</v>
      </c>
      <c r="Z130" s="40">
        <f t="shared" ref="Z130:Z193" si="29">COUNTIF($AD130:$BI130,"Serious Conc - Comm. Concern")</f>
        <v>0</v>
      </c>
      <c r="AA130" s="40">
        <f t="shared" ref="AA130:AA193" si="30">COUNTIF($AD130:$BI130,"Serious Conc - Personal Org.")</f>
        <v>0</v>
      </c>
      <c r="AB130" s="40">
        <f t="shared" ref="AB130:AB193" si="31">SUM(Y130:AA130)</f>
        <v>0</v>
      </c>
      <c r="AC130" s="41">
        <f t="shared" si="21"/>
        <v>0</v>
      </c>
      <c r="AD130" s="49" t="s">
        <v>5</v>
      </c>
      <c r="AE130" s="50" t="s">
        <v>89</v>
      </c>
      <c r="AF130" s="49" t="s">
        <v>5</v>
      </c>
      <c r="AG130" s="50" t="s">
        <v>117</v>
      </c>
      <c r="AH130" s="49" t="s">
        <v>5</v>
      </c>
      <c r="AI130" s="50" t="s">
        <v>142</v>
      </c>
      <c r="AJ130" s="49" t="s">
        <v>5</v>
      </c>
      <c r="AK130" s="50" t="s">
        <v>722</v>
      </c>
      <c r="AL130" s="49" t="s">
        <v>5</v>
      </c>
      <c r="AM130" s="50" t="s">
        <v>142</v>
      </c>
      <c r="AN130" s="49"/>
      <c r="AO130" s="50"/>
      <c r="AP130" s="49" t="s">
        <v>5</v>
      </c>
      <c r="AQ130" s="50" t="s">
        <v>76</v>
      </c>
      <c r="AR130" s="49" t="s">
        <v>5</v>
      </c>
      <c r="AS130" s="50" t="s">
        <v>132</v>
      </c>
      <c r="AT130" s="49" t="s">
        <v>5</v>
      </c>
      <c r="AU130" s="50" t="s">
        <v>105</v>
      </c>
      <c r="AV130" s="49" t="s">
        <v>5</v>
      </c>
      <c r="AW130" s="50" t="s">
        <v>711</v>
      </c>
      <c r="AX130" s="49" t="s">
        <v>1</v>
      </c>
      <c r="AY130" s="50" t="s">
        <v>95</v>
      </c>
      <c r="AZ130" s="49"/>
      <c r="BA130" s="50"/>
      <c r="BB130" s="49" t="s">
        <v>5</v>
      </c>
      <c r="BC130" s="50" t="s">
        <v>121</v>
      </c>
      <c r="BD130" s="49" t="s">
        <v>5</v>
      </c>
      <c r="BE130" s="50" t="s">
        <v>97</v>
      </c>
      <c r="BF130" s="49" t="s">
        <v>5</v>
      </c>
      <c r="BG130" s="50" t="s">
        <v>83</v>
      </c>
      <c r="BH130" s="49" t="s">
        <v>5</v>
      </c>
      <c r="BI130" s="50" t="s">
        <v>130</v>
      </c>
    </row>
    <row r="131" spans="1:61" x14ac:dyDescent="0.25">
      <c r="A131" s="76">
        <v>152755</v>
      </c>
      <c r="B131" s="77" t="s">
        <v>1756</v>
      </c>
      <c r="C131" s="78" t="s">
        <v>1665</v>
      </c>
      <c r="D131" s="76" t="s">
        <v>12</v>
      </c>
      <c r="E131" s="79" t="s">
        <v>87</v>
      </c>
      <c r="F131" s="79" t="s">
        <v>88</v>
      </c>
      <c r="G131" s="79" t="s">
        <v>14</v>
      </c>
      <c r="H131" s="79" t="s">
        <v>87</v>
      </c>
      <c r="I131" s="78" t="s">
        <v>14</v>
      </c>
      <c r="J131" s="79" t="s">
        <v>14</v>
      </c>
      <c r="K131" s="142" t="s">
        <v>1850</v>
      </c>
      <c r="L131" s="149" t="s">
        <v>1845</v>
      </c>
      <c r="M131" s="150" t="s">
        <v>12</v>
      </c>
      <c r="N131" s="151">
        <v>15</v>
      </c>
      <c r="O131" s="151">
        <v>13</v>
      </c>
      <c r="P131" s="152">
        <v>1</v>
      </c>
      <c r="Q131" s="153">
        <v>88.89</v>
      </c>
      <c r="R131" s="154">
        <v>5</v>
      </c>
      <c r="S131" s="38">
        <f t="shared" si="22"/>
        <v>0</v>
      </c>
      <c r="T131" s="39">
        <f t="shared" si="23"/>
        <v>4</v>
      </c>
      <c r="U131" s="40">
        <f t="shared" si="24"/>
        <v>7</v>
      </c>
      <c r="V131" s="40">
        <f t="shared" si="25"/>
        <v>1</v>
      </c>
      <c r="W131" s="40">
        <f t="shared" si="26"/>
        <v>0</v>
      </c>
      <c r="X131" s="40">
        <f t="shared" si="27"/>
        <v>8</v>
      </c>
      <c r="Y131" s="40">
        <f t="shared" si="28"/>
        <v>1</v>
      </c>
      <c r="Z131" s="40">
        <f t="shared" si="29"/>
        <v>1</v>
      </c>
      <c r="AA131" s="40">
        <f t="shared" si="30"/>
        <v>0</v>
      </c>
      <c r="AB131" s="40">
        <f t="shared" si="31"/>
        <v>2</v>
      </c>
      <c r="AC131" s="41">
        <f t="shared" ref="AC131:AC194" si="32">COUNTIF(AD131:BI131,"*still*")</f>
        <v>0</v>
      </c>
      <c r="AD131" s="49" t="s">
        <v>30</v>
      </c>
      <c r="AE131" s="50" t="s">
        <v>116</v>
      </c>
      <c r="AF131" s="49" t="s">
        <v>5</v>
      </c>
      <c r="AG131" s="50" t="s">
        <v>90</v>
      </c>
      <c r="AH131" s="49" t="s">
        <v>31</v>
      </c>
      <c r="AI131" s="50" t="s">
        <v>101</v>
      </c>
      <c r="AJ131" s="49" t="s">
        <v>35</v>
      </c>
      <c r="AK131" s="50" t="s">
        <v>722</v>
      </c>
      <c r="AL131" s="49" t="s">
        <v>34</v>
      </c>
      <c r="AM131" s="50" t="s">
        <v>92</v>
      </c>
      <c r="AN131" s="49"/>
      <c r="AO131" s="50"/>
      <c r="AP131" s="49" t="s">
        <v>5</v>
      </c>
      <c r="AQ131" s="50" t="s">
        <v>131</v>
      </c>
      <c r="AR131" s="49" t="s">
        <v>30</v>
      </c>
      <c r="AS131" s="50" t="s">
        <v>104</v>
      </c>
      <c r="AT131" s="49" t="s">
        <v>5</v>
      </c>
      <c r="AU131" s="50" t="s">
        <v>105</v>
      </c>
      <c r="AV131" s="49" t="s">
        <v>30</v>
      </c>
      <c r="AW131" s="50" t="s">
        <v>79</v>
      </c>
      <c r="AX131" s="49" t="s">
        <v>30</v>
      </c>
      <c r="AY131" s="50" t="s">
        <v>95</v>
      </c>
      <c r="AZ131" s="49"/>
      <c r="BA131" s="50"/>
      <c r="BB131" s="49" t="s">
        <v>5</v>
      </c>
      <c r="BC131" s="50" t="s">
        <v>96</v>
      </c>
      <c r="BD131" s="49" t="s">
        <v>30</v>
      </c>
      <c r="BE131" s="50" t="s">
        <v>457</v>
      </c>
      <c r="BF131" s="49" t="s">
        <v>30</v>
      </c>
      <c r="BG131" s="50" t="s">
        <v>83</v>
      </c>
      <c r="BH131" s="49" t="s">
        <v>30</v>
      </c>
      <c r="BI131" s="50" t="s">
        <v>84</v>
      </c>
    </row>
    <row r="132" spans="1:61" x14ac:dyDescent="0.25">
      <c r="A132" s="76">
        <v>152898</v>
      </c>
      <c r="B132" s="77" t="s">
        <v>1757</v>
      </c>
      <c r="C132" s="78" t="s">
        <v>1639</v>
      </c>
      <c r="D132" s="76" t="s">
        <v>12</v>
      </c>
      <c r="E132" s="79" t="s">
        <v>14</v>
      </c>
      <c r="F132" s="79" t="s">
        <v>158</v>
      </c>
      <c r="G132" s="79" t="s">
        <v>14</v>
      </c>
      <c r="H132" s="79" t="s">
        <v>87</v>
      </c>
      <c r="I132" s="78" t="s">
        <v>14</v>
      </c>
      <c r="J132" s="79" t="s">
        <v>6</v>
      </c>
      <c r="K132" s="142" t="s">
        <v>1850</v>
      </c>
      <c r="L132" s="149" t="s">
        <v>1845</v>
      </c>
      <c r="M132" s="150" t="s">
        <v>12</v>
      </c>
      <c r="N132" s="151">
        <v>9</v>
      </c>
      <c r="O132" s="151">
        <v>14</v>
      </c>
      <c r="P132" s="152">
        <v>1</v>
      </c>
      <c r="Q132" s="153">
        <v>93.48</v>
      </c>
      <c r="R132" s="154">
        <v>10</v>
      </c>
      <c r="S132" s="38">
        <f t="shared" si="22"/>
        <v>0</v>
      </c>
      <c r="T132" s="39">
        <f t="shared" si="23"/>
        <v>6</v>
      </c>
      <c r="U132" s="40">
        <f t="shared" si="24"/>
        <v>4</v>
      </c>
      <c r="V132" s="40">
        <f t="shared" si="25"/>
        <v>1</v>
      </c>
      <c r="W132" s="40">
        <f t="shared" si="26"/>
        <v>2</v>
      </c>
      <c r="X132" s="40">
        <f t="shared" si="27"/>
        <v>7</v>
      </c>
      <c r="Y132" s="40">
        <f t="shared" si="28"/>
        <v>0</v>
      </c>
      <c r="Z132" s="40">
        <f t="shared" si="29"/>
        <v>1</v>
      </c>
      <c r="AA132" s="40">
        <f t="shared" si="30"/>
        <v>0</v>
      </c>
      <c r="AB132" s="40">
        <f t="shared" si="31"/>
        <v>1</v>
      </c>
      <c r="AC132" s="41">
        <f t="shared" si="32"/>
        <v>0</v>
      </c>
      <c r="AD132" s="49" t="s">
        <v>30</v>
      </c>
      <c r="AE132" s="50" t="s">
        <v>72</v>
      </c>
      <c r="AF132" s="49" t="s">
        <v>5</v>
      </c>
      <c r="AG132" s="50" t="s">
        <v>90</v>
      </c>
      <c r="AH132" s="49" t="s">
        <v>31</v>
      </c>
      <c r="AI132" s="50" t="s">
        <v>101</v>
      </c>
      <c r="AJ132" s="49" t="s">
        <v>30</v>
      </c>
      <c r="AK132" s="50" t="s">
        <v>142</v>
      </c>
      <c r="AL132" s="49" t="s">
        <v>5</v>
      </c>
      <c r="AM132" s="50" t="s">
        <v>130</v>
      </c>
      <c r="AN132" s="49" t="s">
        <v>30</v>
      </c>
      <c r="AO132" s="50" t="s">
        <v>143</v>
      </c>
      <c r="AP132" s="49" t="s">
        <v>35</v>
      </c>
      <c r="AQ132" s="50" t="s">
        <v>131</v>
      </c>
      <c r="AR132" s="49" t="s">
        <v>5</v>
      </c>
      <c r="AS132" s="50" t="s">
        <v>120</v>
      </c>
      <c r="AT132" s="49" t="s">
        <v>5</v>
      </c>
      <c r="AU132" s="50" t="s">
        <v>105</v>
      </c>
      <c r="AV132" s="49" t="s">
        <v>30</v>
      </c>
      <c r="AW132" s="50" t="s">
        <v>430</v>
      </c>
      <c r="AX132" s="49" t="s">
        <v>5</v>
      </c>
      <c r="AY132" s="50" t="s">
        <v>80</v>
      </c>
      <c r="AZ132" s="49"/>
      <c r="BA132" s="50"/>
      <c r="BB132" s="49" t="s">
        <v>5</v>
      </c>
      <c r="BC132" s="50" t="s">
        <v>107</v>
      </c>
      <c r="BD132" s="49" t="s">
        <v>32</v>
      </c>
      <c r="BE132" s="50" t="s">
        <v>82</v>
      </c>
      <c r="BF132" s="49" t="s">
        <v>32</v>
      </c>
      <c r="BG132" s="50" t="s">
        <v>83</v>
      </c>
      <c r="BH132" s="49"/>
      <c r="BI132" s="50"/>
    </row>
    <row r="133" spans="1:61" x14ac:dyDescent="0.25">
      <c r="A133" s="76">
        <v>152829</v>
      </c>
      <c r="B133" s="77" t="s">
        <v>1758</v>
      </c>
      <c r="C133" s="78" t="s">
        <v>1665</v>
      </c>
      <c r="D133" s="76" t="s">
        <v>12</v>
      </c>
      <c r="E133" s="79" t="s">
        <v>14</v>
      </c>
      <c r="F133" s="79" t="s">
        <v>126</v>
      </c>
      <c r="G133" s="79" t="s">
        <v>87</v>
      </c>
      <c r="H133" s="79" t="s">
        <v>14</v>
      </c>
      <c r="I133" s="78" t="s">
        <v>14</v>
      </c>
      <c r="J133" s="79" t="s">
        <v>14</v>
      </c>
      <c r="K133" s="142" t="s">
        <v>1850</v>
      </c>
      <c r="L133" s="149" t="s">
        <v>1841</v>
      </c>
      <c r="M133" s="150" t="s">
        <v>1853</v>
      </c>
      <c r="N133" s="151">
        <v>21</v>
      </c>
      <c r="O133" s="151">
        <v>0</v>
      </c>
      <c r="P133" s="152">
        <v>1</v>
      </c>
      <c r="Q133" s="153">
        <v>100</v>
      </c>
      <c r="R133" s="154">
        <v>0</v>
      </c>
      <c r="S133" s="38">
        <f t="shared" si="22"/>
        <v>3</v>
      </c>
      <c r="T133" s="39">
        <f t="shared" si="23"/>
        <v>11</v>
      </c>
      <c r="U133" s="40">
        <f t="shared" si="24"/>
        <v>0</v>
      </c>
      <c r="V133" s="40">
        <f t="shared" si="25"/>
        <v>0</v>
      </c>
      <c r="W133" s="40">
        <f t="shared" si="26"/>
        <v>0</v>
      </c>
      <c r="X133" s="40">
        <f t="shared" si="27"/>
        <v>0</v>
      </c>
      <c r="Y133" s="40">
        <f t="shared" si="28"/>
        <v>0</v>
      </c>
      <c r="Z133" s="40">
        <f t="shared" si="29"/>
        <v>0</v>
      </c>
      <c r="AA133" s="40">
        <f t="shared" si="30"/>
        <v>0</v>
      </c>
      <c r="AB133" s="40">
        <f t="shared" si="31"/>
        <v>0</v>
      </c>
      <c r="AC133" s="41">
        <f t="shared" si="32"/>
        <v>0</v>
      </c>
      <c r="AD133" s="49" t="s">
        <v>5</v>
      </c>
      <c r="AE133" s="50" t="s">
        <v>116</v>
      </c>
      <c r="AF133" s="49" t="s">
        <v>1</v>
      </c>
      <c r="AG133" s="50" t="s">
        <v>73</v>
      </c>
      <c r="AH133" s="49" t="s">
        <v>5</v>
      </c>
      <c r="AI133" s="50" t="s">
        <v>101</v>
      </c>
      <c r="AJ133" s="49" t="s">
        <v>5</v>
      </c>
      <c r="AK133" s="50" t="s">
        <v>74</v>
      </c>
      <c r="AL133" s="49" t="s">
        <v>1</v>
      </c>
      <c r="AM133" s="50" t="s">
        <v>92</v>
      </c>
      <c r="AN133" s="49"/>
      <c r="AO133" s="50"/>
      <c r="AP133" s="49" t="s">
        <v>5</v>
      </c>
      <c r="AQ133" s="50" t="s">
        <v>131</v>
      </c>
      <c r="AR133" s="49" t="s">
        <v>5</v>
      </c>
      <c r="AS133" s="50" t="s">
        <v>104</v>
      </c>
      <c r="AT133" s="49" t="s">
        <v>5</v>
      </c>
      <c r="AU133" s="50" t="s">
        <v>105</v>
      </c>
      <c r="AV133" s="49" t="s">
        <v>5</v>
      </c>
      <c r="AW133" s="50" t="s">
        <v>112</v>
      </c>
      <c r="AX133" s="49" t="s">
        <v>5</v>
      </c>
      <c r="AY133" s="50" t="s">
        <v>95</v>
      </c>
      <c r="AZ133" s="49"/>
      <c r="BA133" s="50"/>
      <c r="BB133" s="49" t="s">
        <v>1</v>
      </c>
      <c r="BC133" s="50" t="s">
        <v>96</v>
      </c>
      <c r="BD133" s="49" t="s">
        <v>5</v>
      </c>
      <c r="BE133" s="50" t="s">
        <v>457</v>
      </c>
      <c r="BF133" s="49" t="s">
        <v>5</v>
      </c>
      <c r="BG133" s="50" t="s">
        <v>83</v>
      </c>
      <c r="BH133" s="49" t="s">
        <v>5</v>
      </c>
      <c r="BI133" s="50" t="s">
        <v>84</v>
      </c>
    </row>
    <row r="134" spans="1:61" x14ac:dyDescent="0.25">
      <c r="A134" s="76">
        <v>152769</v>
      </c>
      <c r="B134" s="77" t="s">
        <v>1759</v>
      </c>
      <c r="C134" s="78" t="s">
        <v>1633</v>
      </c>
      <c r="D134" s="76" t="s">
        <v>70</v>
      </c>
      <c r="E134" s="79" t="s">
        <v>14</v>
      </c>
      <c r="F134" s="79" t="s">
        <v>126</v>
      </c>
      <c r="G134" s="79" t="s">
        <v>14</v>
      </c>
      <c r="H134" s="79" t="s">
        <v>14</v>
      </c>
      <c r="I134" s="78" t="s">
        <v>14</v>
      </c>
      <c r="J134" s="79" t="s">
        <v>14</v>
      </c>
      <c r="K134" s="142" t="s">
        <v>1850</v>
      </c>
      <c r="L134" s="149" t="s">
        <v>1844</v>
      </c>
      <c r="M134" s="150" t="s">
        <v>12</v>
      </c>
      <c r="N134" s="151">
        <v>19</v>
      </c>
      <c r="O134" s="151">
        <v>0</v>
      </c>
      <c r="P134" s="152">
        <v>0</v>
      </c>
      <c r="Q134" s="153">
        <v>82.22</v>
      </c>
      <c r="R134" s="154">
        <v>0</v>
      </c>
      <c r="S134" s="38">
        <f t="shared" si="22"/>
        <v>1</v>
      </c>
      <c r="T134" s="39">
        <f t="shared" si="23"/>
        <v>13</v>
      </c>
      <c r="U134" s="40">
        <f t="shared" si="24"/>
        <v>0</v>
      </c>
      <c r="V134" s="40">
        <f t="shared" si="25"/>
        <v>0</v>
      </c>
      <c r="W134" s="40">
        <f t="shared" si="26"/>
        <v>0</v>
      </c>
      <c r="X134" s="40">
        <f t="shared" si="27"/>
        <v>0</v>
      </c>
      <c r="Y134" s="40">
        <f t="shared" si="28"/>
        <v>0</v>
      </c>
      <c r="Z134" s="40">
        <f t="shared" si="29"/>
        <v>0</v>
      </c>
      <c r="AA134" s="40">
        <f t="shared" si="30"/>
        <v>0</v>
      </c>
      <c r="AB134" s="40">
        <f t="shared" si="31"/>
        <v>0</v>
      </c>
      <c r="AC134" s="41">
        <f t="shared" si="32"/>
        <v>0</v>
      </c>
      <c r="AD134" s="49" t="s">
        <v>5</v>
      </c>
      <c r="AE134" s="50" t="s">
        <v>89</v>
      </c>
      <c r="AF134" s="49" t="s">
        <v>5</v>
      </c>
      <c r="AG134" s="50" t="s">
        <v>135</v>
      </c>
      <c r="AH134" s="49" t="s">
        <v>5</v>
      </c>
      <c r="AI134" s="50" t="s">
        <v>101</v>
      </c>
      <c r="AJ134" s="49" t="s">
        <v>5</v>
      </c>
      <c r="AK134" s="50" t="s">
        <v>74</v>
      </c>
      <c r="AL134" s="49" t="s">
        <v>5</v>
      </c>
      <c r="AM134" s="50" t="s">
        <v>122</v>
      </c>
      <c r="AN134" s="49"/>
      <c r="AO134" s="50"/>
      <c r="AP134" s="49" t="s">
        <v>5</v>
      </c>
      <c r="AQ134" s="50" t="s">
        <v>131</v>
      </c>
      <c r="AR134" s="49" t="s">
        <v>5</v>
      </c>
      <c r="AS134" s="50" t="s">
        <v>120</v>
      </c>
      <c r="AT134" s="49" t="s">
        <v>5</v>
      </c>
      <c r="AU134" s="50" t="s">
        <v>163</v>
      </c>
      <c r="AV134" s="49" t="s">
        <v>5</v>
      </c>
      <c r="AW134" s="50" t="s">
        <v>112</v>
      </c>
      <c r="AX134" s="49" t="s">
        <v>1</v>
      </c>
      <c r="AY134" s="50" t="s">
        <v>95</v>
      </c>
      <c r="AZ134" s="49"/>
      <c r="BA134" s="50"/>
      <c r="BB134" s="49" t="s">
        <v>5</v>
      </c>
      <c r="BC134" s="50" t="s">
        <v>121</v>
      </c>
      <c r="BD134" s="49" t="s">
        <v>5</v>
      </c>
      <c r="BE134" s="50" t="s">
        <v>495</v>
      </c>
      <c r="BF134" s="49" t="s">
        <v>5</v>
      </c>
      <c r="BG134" s="50" t="s">
        <v>83</v>
      </c>
      <c r="BH134" s="49" t="s">
        <v>5</v>
      </c>
      <c r="BI134" s="50" t="s">
        <v>75</v>
      </c>
    </row>
    <row r="135" spans="1:61" x14ac:dyDescent="0.25">
      <c r="A135" s="76">
        <v>152886</v>
      </c>
      <c r="B135" s="77" t="s">
        <v>1760</v>
      </c>
      <c r="C135" s="78" t="s">
        <v>1633</v>
      </c>
      <c r="D135" s="76" t="s">
        <v>70</v>
      </c>
      <c r="E135" s="79" t="s">
        <v>14</v>
      </c>
      <c r="F135" s="79" t="s">
        <v>1094</v>
      </c>
      <c r="G135" s="79" t="s">
        <v>14</v>
      </c>
      <c r="H135" s="79" t="s">
        <v>14</v>
      </c>
      <c r="I135" s="78" t="s">
        <v>14</v>
      </c>
      <c r="J135" s="79" t="s">
        <v>14</v>
      </c>
      <c r="K135" s="142" t="s">
        <v>1850</v>
      </c>
      <c r="L135" s="149" t="s">
        <v>1844</v>
      </c>
      <c r="M135" s="150" t="s">
        <v>12</v>
      </c>
      <c r="N135" s="151">
        <v>22</v>
      </c>
      <c r="O135" s="151">
        <v>0</v>
      </c>
      <c r="P135" s="152">
        <v>0</v>
      </c>
      <c r="Q135" s="153">
        <v>100</v>
      </c>
      <c r="R135" s="154">
        <v>0</v>
      </c>
      <c r="S135" s="38">
        <f t="shared" si="22"/>
        <v>2</v>
      </c>
      <c r="T135" s="39">
        <f t="shared" si="23"/>
        <v>12</v>
      </c>
      <c r="U135" s="40">
        <f t="shared" si="24"/>
        <v>0</v>
      </c>
      <c r="V135" s="40">
        <f t="shared" si="25"/>
        <v>0</v>
      </c>
      <c r="W135" s="40">
        <f t="shared" si="26"/>
        <v>0</v>
      </c>
      <c r="X135" s="40">
        <f t="shared" si="27"/>
        <v>0</v>
      </c>
      <c r="Y135" s="40">
        <f t="shared" si="28"/>
        <v>0</v>
      </c>
      <c r="Z135" s="40">
        <f t="shared" si="29"/>
        <v>0</v>
      </c>
      <c r="AA135" s="40">
        <f t="shared" si="30"/>
        <v>0</v>
      </c>
      <c r="AB135" s="40">
        <f t="shared" si="31"/>
        <v>0</v>
      </c>
      <c r="AC135" s="41">
        <f t="shared" si="32"/>
        <v>0</v>
      </c>
      <c r="AD135" s="49" t="s">
        <v>5</v>
      </c>
      <c r="AE135" s="50" t="s">
        <v>89</v>
      </c>
      <c r="AF135" s="49" t="s">
        <v>5</v>
      </c>
      <c r="AG135" s="50" t="s">
        <v>90</v>
      </c>
      <c r="AH135" s="49" t="s">
        <v>5</v>
      </c>
      <c r="AI135" s="50" t="s">
        <v>101</v>
      </c>
      <c r="AJ135" s="49" t="s">
        <v>5</v>
      </c>
      <c r="AK135" s="50" t="s">
        <v>194</v>
      </c>
      <c r="AL135" s="49" t="s">
        <v>5</v>
      </c>
      <c r="AM135" s="50" t="s">
        <v>122</v>
      </c>
      <c r="AN135" s="49"/>
      <c r="AO135" s="50"/>
      <c r="AP135" s="49" t="s">
        <v>5</v>
      </c>
      <c r="AQ135" s="50" t="s">
        <v>131</v>
      </c>
      <c r="AR135" s="49" t="s">
        <v>5</v>
      </c>
      <c r="AS135" s="50" t="s">
        <v>120</v>
      </c>
      <c r="AT135" s="49" t="s">
        <v>5</v>
      </c>
      <c r="AU135" s="50" t="s">
        <v>163</v>
      </c>
      <c r="AV135" s="49" t="s">
        <v>5</v>
      </c>
      <c r="AW135" s="50" t="s">
        <v>79</v>
      </c>
      <c r="AX135" s="49" t="s">
        <v>1</v>
      </c>
      <c r="AY135" s="50" t="s">
        <v>95</v>
      </c>
      <c r="AZ135" s="49"/>
      <c r="BA135" s="50"/>
      <c r="BB135" s="49" t="s">
        <v>5</v>
      </c>
      <c r="BC135" s="50" t="s">
        <v>121</v>
      </c>
      <c r="BD135" s="49" t="s">
        <v>1</v>
      </c>
      <c r="BE135" s="50" t="s">
        <v>495</v>
      </c>
      <c r="BF135" s="49" t="s">
        <v>5</v>
      </c>
      <c r="BG135" s="50" t="s">
        <v>170</v>
      </c>
      <c r="BH135" s="49" t="s">
        <v>5</v>
      </c>
      <c r="BI135" s="50" t="s">
        <v>75</v>
      </c>
    </row>
    <row r="136" spans="1:61" x14ac:dyDescent="0.25">
      <c r="A136" s="76">
        <v>152910</v>
      </c>
      <c r="B136" s="77" t="s">
        <v>1761</v>
      </c>
      <c r="C136" s="78" t="s">
        <v>1639</v>
      </c>
      <c r="D136" s="76" t="s">
        <v>12</v>
      </c>
      <c r="E136" s="79" t="s">
        <v>14</v>
      </c>
      <c r="F136" s="79" t="s">
        <v>71</v>
      </c>
      <c r="G136" s="79" t="s">
        <v>14</v>
      </c>
      <c r="H136" s="79" t="s">
        <v>14</v>
      </c>
      <c r="I136" s="78" t="s">
        <v>14</v>
      </c>
      <c r="J136" s="79" t="s">
        <v>14</v>
      </c>
      <c r="K136" s="142" t="s">
        <v>1850</v>
      </c>
      <c r="L136" s="149" t="s">
        <v>1841</v>
      </c>
      <c r="M136" s="150" t="s">
        <v>1853</v>
      </c>
      <c r="N136" s="151">
        <v>23</v>
      </c>
      <c r="O136" s="151">
        <v>1</v>
      </c>
      <c r="P136" s="152">
        <v>0</v>
      </c>
      <c r="Q136" s="153">
        <v>95.56</v>
      </c>
      <c r="R136" s="154">
        <v>0</v>
      </c>
      <c r="S136" s="38">
        <f t="shared" si="22"/>
        <v>3</v>
      </c>
      <c r="T136" s="39">
        <f t="shared" si="23"/>
        <v>11</v>
      </c>
      <c r="U136" s="40">
        <f t="shared" si="24"/>
        <v>0</v>
      </c>
      <c r="V136" s="40">
        <f t="shared" si="25"/>
        <v>0</v>
      </c>
      <c r="W136" s="40">
        <f t="shared" si="26"/>
        <v>0</v>
      </c>
      <c r="X136" s="40">
        <f t="shared" si="27"/>
        <v>0</v>
      </c>
      <c r="Y136" s="40">
        <f t="shared" si="28"/>
        <v>0</v>
      </c>
      <c r="Z136" s="40">
        <f t="shared" si="29"/>
        <v>0</v>
      </c>
      <c r="AA136" s="40">
        <f t="shared" si="30"/>
        <v>0</v>
      </c>
      <c r="AB136" s="40">
        <f t="shared" si="31"/>
        <v>0</v>
      </c>
      <c r="AC136" s="41">
        <f t="shared" si="32"/>
        <v>0</v>
      </c>
      <c r="AD136" s="49" t="s">
        <v>1</v>
      </c>
      <c r="AE136" s="50" t="s">
        <v>72</v>
      </c>
      <c r="AF136" s="49" t="s">
        <v>1</v>
      </c>
      <c r="AG136" s="50" t="s">
        <v>73</v>
      </c>
      <c r="AH136" s="49" t="s">
        <v>5</v>
      </c>
      <c r="AI136" s="50" t="s">
        <v>101</v>
      </c>
      <c r="AJ136" s="49" t="s">
        <v>5</v>
      </c>
      <c r="AK136" s="50" t="s">
        <v>459</v>
      </c>
      <c r="AL136" s="49" t="s">
        <v>5</v>
      </c>
      <c r="AM136" s="50" t="s">
        <v>130</v>
      </c>
      <c r="AN136" s="49" t="s">
        <v>5</v>
      </c>
      <c r="AO136" s="50" t="s">
        <v>143</v>
      </c>
      <c r="AP136" s="49" t="s">
        <v>5</v>
      </c>
      <c r="AQ136" s="50" t="s">
        <v>131</v>
      </c>
      <c r="AR136" s="49" t="s">
        <v>5</v>
      </c>
      <c r="AS136" s="50" t="s">
        <v>120</v>
      </c>
      <c r="AT136" s="49" t="s">
        <v>5</v>
      </c>
      <c r="AU136" s="50" t="s">
        <v>105</v>
      </c>
      <c r="AV136" s="49" t="s">
        <v>5</v>
      </c>
      <c r="AW136" s="50" t="s">
        <v>112</v>
      </c>
      <c r="AX136" s="49" t="s">
        <v>5</v>
      </c>
      <c r="AY136" s="50" t="s">
        <v>80</v>
      </c>
      <c r="AZ136" s="49"/>
      <c r="BA136" s="50"/>
      <c r="BB136" s="49" t="s">
        <v>1</v>
      </c>
      <c r="BC136" s="50" t="s">
        <v>96</v>
      </c>
      <c r="BD136" s="49" t="s">
        <v>5</v>
      </c>
      <c r="BE136" s="50" t="s">
        <v>82</v>
      </c>
      <c r="BF136" s="49" t="s">
        <v>5</v>
      </c>
      <c r="BG136" s="50" t="s">
        <v>164</v>
      </c>
      <c r="BH136" s="49"/>
      <c r="BI136" s="50"/>
    </row>
    <row r="137" spans="1:61" x14ac:dyDescent="0.25">
      <c r="A137" s="76">
        <v>152841</v>
      </c>
      <c r="B137" s="77" t="s">
        <v>1762</v>
      </c>
      <c r="C137" s="78" t="s">
        <v>1628</v>
      </c>
      <c r="D137" s="76" t="s">
        <v>12</v>
      </c>
      <c r="E137" s="79" t="s">
        <v>14</v>
      </c>
      <c r="F137" s="79" t="s">
        <v>71</v>
      </c>
      <c r="G137" s="79" t="s">
        <v>14</v>
      </c>
      <c r="H137" s="79" t="s">
        <v>14</v>
      </c>
      <c r="I137" s="78" t="s">
        <v>14</v>
      </c>
      <c r="J137" s="79" t="s">
        <v>14</v>
      </c>
      <c r="K137" s="142" t="s">
        <v>1850</v>
      </c>
      <c r="L137" s="149" t="s">
        <v>1845</v>
      </c>
      <c r="M137" s="150" t="s">
        <v>12</v>
      </c>
      <c r="N137" s="151">
        <v>17</v>
      </c>
      <c r="O137" s="151">
        <v>0</v>
      </c>
      <c r="P137" s="152">
        <v>0</v>
      </c>
      <c r="Q137" s="153">
        <v>95.56</v>
      </c>
      <c r="R137" s="154">
        <v>2</v>
      </c>
      <c r="S137" s="38">
        <f t="shared" si="22"/>
        <v>0</v>
      </c>
      <c r="T137" s="39">
        <f t="shared" si="23"/>
        <v>14</v>
      </c>
      <c r="U137" s="40">
        <f t="shared" si="24"/>
        <v>0</v>
      </c>
      <c r="V137" s="40">
        <f t="shared" si="25"/>
        <v>0</v>
      </c>
      <c r="W137" s="40">
        <f t="shared" si="26"/>
        <v>0</v>
      </c>
      <c r="X137" s="40">
        <f t="shared" si="27"/>
        <v>0</v>
      </c>
      <c r="Y137" s="40">
        <f t="shared" si="28"/>
        <v>0</v>
      </c>
      <c r="Z137" s="40">
        <f t="shared" si="29"/>
        <v>0</v>
      </c>
      <c r="AA137" s="40">
        <f t="shared" si="30"/>
        <v>0</v>
      </c>
      <c r="AB137" s="40">
        <f t="shared" si="31"/>
        <v>0</v>
      </c>
      <c r="AC137" s="41">
        <f t="shared" si="32"/>
        <v>0</v>
      </c>
      <c r="AD137" s="49" t="s">
        <v>5</v>
      </c>
      <c r="AE137" s="50" t="s">
        <v>116</v>
      </c>
      <c r="AF137" s="49" t="s">
        <v>5</v>
      </c>
      <c r="AG137" s="50" t="s">
        <v>117</v>
      </c>
      <c r="AH137" s="49" t="s">
        <v>5</v>
      </c>
      <c r="AI137" s="50" t="s">
        <v>101</v>
      </c>
      <c r="AJ137" s="49" t="s">
        <v>5</v>
      </c>
      <c r="AK137" s="50" t="s">
        <v>111</v>
      </c>
      <c r="AL137" s="49" t="s">
        <v>5</v>
      </c>
      <c r="AM137" s="50" t="s">
        <v>106</v>
      </c>
      <c r="AN137" s="49" t="s">
        <v>5</v>
      </c>
      <c r="AO137" s="50" t="s">
        <v>103</v>
      </c>
      <c r="AP137" s="49" t="s">
        <v>5</v>
      </c>
      <c r="AQ137" s="50" t="s">
        <v>144</v>
      </c>
      <c r="AR137" s="49" t="s">
        <v>5</v>
      </c>
      <c r="AS137" s="50" t="s">
        <v>104</v>
      </c>
      <c r="AT137" s="49" t="s">
        <v>5</v>
      </c>
      <c r="AU137" s="50" t="s">
        <v>105</v>
      </c>
      <c r="AV137" s="49" t="s">
        <v>5</v>
      </c>
      <c r="AW137" s="50" t="s">
        <v>430</v>
      </c>
      <c r="AX137" s="49" t="s">
        <v>5</v>
      </c>
      <c r="AY137" s="50" t="s">
        <v>95</v>
      </c>
      <c r="AZ137" s="49"/>
      <c r="BA137" s="50"/>
      <c r="BB137" s="49" t="s">
        <v>5</v>
      </c>
      <c r="BC137" s="50" t="s">
        <v>107</v>
      </c>
      <c r="BD137" s="49" t="s">
        <v>5</v>
      </c>
      <c r="BE137" s="50" t="s">
        <v>108</v>
      </c>
      <c r="BF137" s="49" t="s">
        <v>5</v>
      </c>
      <c r="BG137" s="50" t="s">
        <v>164</v>
      </c>
      <c r="BH137" s="49"/>
      <c r="BI137" s="50"/>
    </row>
    <row r="138" spans="1:61" x14ac:dyDescent="0.25">
      <c r="A138" s="76">
        <v>160003</v>
      </c>
      <c r="B138" s="77" t="s">
        <v>1763</v>
      </c>
      <c r="C138" s="78" t="s">
        <v>1620</v>
      </c>
      <c r="D138" s="76" t="s">
        <v>12</v>
      </c>
      <c r="E138" s="79" t="s">
        <v>14</v>
      </c>
      <c r="F138" s="79" t="s">
        <v>220</v>
      </c>
      <c r="G138" s="79" t="s">
        <v>14</v>
      </c>
      <c r="H138" s="79" t="s">
        <v>87</v>
      </c>
      <c r="I138" s="78" t="s">
        <v>87</v>
      </c>
      <c r="J138" s="79" t="s">
        <v>14</v>
      </c>
      <c r="K138" s="142" t="s">
        <v>1850</v>
      </c>
      <c r="L138" s="149" t="s">
        <v>1845</v>
      </c>
      <c r="M138" s="150" t="s">
        <v>12</v>
      </c>
      <c r="N138" s="151">
        <v>21</v>
      </c>
      <c r="O138" s="151">
        <v>0</v>
      </c>
      <c r="P138" s="152">
        <v>0</v>
      </c>
      <c r="Q138" s="153">
        <v>100</v>
      </c>
      <c r="R138" s="154">
        <v>2</v>
      </c>
      <c r="S138" s="38">
        <f t="shared" si="22"/>
        <v>0</v>
      </c>
      <c r="T138" s="39">
        <f t="shared" si="23"/>
        <v>14</v>
      </c>
      <c r="U138" s="40">
        <f t="shared" si="24"/>
        <v>0</v>
      </c>
      <c r="V138" s="40">
        <f t="shared" si="25"/>
        <v>0</v>
      </c>
      <c r="W138" s="40">
        <f t="shared" si="26"/>
        <v>0</v>
      </c>
      <c r="X138" s="40">
        <f t="shared" si="27"/>
        <v>0</v>
      </c>
      <c r="Y138" s="40">
        <f t="shared" si="28"/>
        <v>0</v>
      </c>
      <c r="Z138" s="40">
        <f t="shared" si="29"/>
        <v>0</v>
      </c>
      <c r="AA138" s="40">
        <f t="shared" si="30"/>
        <v>0</v>
      </c>
      <c r="AB138" s="40">
        <f t="shared" si="31"/>
        <v>0</v>
      </c>
      <c r="AC138" s="41">
        <f t="shared" si="32"/>
        <v>0</v>
      </c>
      <c r="AD138" s="49" t="s">
        <v>5</v>
      </c>
      <c r="AE138" s="50" t="s">
        <v>89</v>
      </c>
      <c r="AF138" s="49" t="s">
        <v>5</v>
      </c>
      <c r="AG138" s="50" t="s">
        <v>135</v>
      </c>
      <c r="AH138" s="49" t="s">
        <v>5</v>
      </c>
      <c r="AI138" s="50" t="s">
        <v>142</v>
      </c>
      <c r="AJ138" s="49" t="s">
        <v>5</v>
      </c>
      <c r="AK138" s="50" t="s">
        <v>194</v>
      </c>
      <c r="AL138" s="49" t="s">
        <v>5</v>
      </c>
      <c r="AM138" s="50" t="s">
        <v>142</v>
      </c>
      <c r="AN138" s="49"/>
      <c r="AO138" s="50"/>
      <c r="AP138" s="49" t="s">
        <v>5</v>
      </c>
      <c r="AQ138" s="50" t="s">
        <v>76</v>
      </c>
      <c r="AR138" s="49" t="s">
        <v>5</v>
      </c>
      <c r="AS138" s="50" t="s">
        <v>132</v>
      </c>
      <c r="AT138" s="49" t="s">
        <v>5</v>
      </c>
      <c r="AU138" s="50" t="s">
        <v>105</v>
      </c>
      <c r="AV138" s="49" t="s">
        <v>5</v>
      </c>
      <c r="AW138" s="50" t="s">
        <v>430</v>
      </c>
      <c r="AX138" s="49" t="s">
        <v>5</v>
      </c>
      <c r="AY138" s="50" t="s">
        <v>95</v>
      </c>
      <c r="AZ138" s="49"/>
      <c r="BA138" s="50"/>
      <c r="BB138" s="49" t="s">
        <v>5</v>
      </c>
      <c r="BC138" s="50" t="s">
        <v>741</v>
      </c>
      <c r="BD138" s="49" t="s">
        <v>5</v>
      </c>
      <c r="BE138" s="50" t="s">
        <v>97</v>
      </c>
      <c r="BF138" s="49" t="s">
        <v>5</v>
      </c>
      <c r="BG138" s="50" t="s">
        <v>83</v>
      </c>
      <c r="BH138" s="49" t="s">
        <v>5</v>
      </c>
      <c r="BI138" s="50" t="s">
        <v>130</v>
      </c>
    </row>
    <row r="139" spans="1:61" x14ac:dyDescent="0.25">
      <c r="A139" s="76">
        <v>152947</v>
      </c>
      <c r="B139" s="77" t="s">
        <v>1764</v>
      </c>
      <c r="C139" s="78" t="s">
        <v>1639</v>
      </c>
      <c r="D139" s="76" t="s">
        <v>70</v>
      </c>
      <c r="E139" s="79" t="s">
        <v>14</v>
      </c>
      <c r="F139" s="79" t="s">
        <v>115</v>
      </c>
      <c r="G139" s="79" t="s">
        <v>87</v>
      </c>
      <c r="H139" s="79" t="s">
        <v>14</v>
      </c>
      <c r="I139" s="78" t="s">
        <v>14</v>
      </c>
      <c r="J139" s="79" t="s">
        <v>14</v>
      </c>
      <c r="K139" s="142" t="s">
        <v>1850</v>
      </c>
      <c r="L139" s="149" t="s">
        <v>1848</v>
      </c>
      <c r="M139" s="150" t="s">
        <v>1852</v>
      </c>
      <c r="N139" s="151">
        <v>14</v>
      </c>
      <c r="O139" s="151">
        <v>1</v>
      </c>
      <c r="P139" s="152">
        <v>0</v>
      </c>
      <c r="Q139" s="153">
        <v>100</v>
      </c>
      <c r="R139" s="154">
        <v>0</v>
      </c>
      <c r="S139" s="38">
        <f t="shared" si="22"/>
        <v>0</v>
      </c>
      <c r="T139" s="39">
        <f t="shared" si="23"/>
        <v>13</v>
      </c>
      <c r="U139" s="40">
        <f t="shared" si="24"/>
        <v>0</v>
      </c>
      <c r="V139" s="40">
        <f t="shared" si="25"/>
        <v>1</v>
      </c>
      <c r="W139" s="40">
        <f t="shared" si="26"/>
        <v>0</v>
      </c>
      <c r="X139" s="40">
        <f t="shared" si="27"/>
        <v>1</v>
      </c>
      <c r="Y139" s="40">
        <f t="shared" si="28"/>
        <v>0</v>
      </c>
      <c r="Z139" s="40">
        <f t="shared" si="29"/>
        <v>0</v>
      </c>
      <c r="AA139" s="40">
        <f t="shared" si="30"/>
        <v>0</v>
      </c>
      <c r="AB139" s="40">
        <f t="shared" si="31"/>
        <v>0</v>
      </c>
      <c r="AC139" s="41">
        <f t="shared" si="32"/>
        <v>0</v>
      </c>
      <c r="AD139" s="49" t="s">
        <v>5</v>
      </c>
      <c r="AE139" s="50" t="s">
        <v>72</v>
      </c>
      <c r="AF139" s="49"/>
      <c r="AG139" s="50"/>
      <c r="AH139" s="49" t="s">
        <v>5</v>
      </c>
      <c r="AI139" s="50" t="s">
        <v>101</v>
      </c>
      <c r="AJ139" s="49" t="s">
        <v>5</v>
      </c>
      <c r="AK139" s="50" t="s">
        <v>111</v>
      </c>
      <c r="AL139" s="49" t="s">
        <v>31</v>
      </c>
      <c r="AM139" s="50" t="s">
        <v>130</v>
      </c>
      <c r="AN139" s="49" t="s">
        <v>5</v>
      </c>
      <c r="AO139" s="50" t="s">
        <v>143</v>
      </c>
      <c r="AP139" s="49" t="s">
        <v>5</v>
      </c>
      <c r="AQ139" s="50" t="s">
        <v>131</v>
      </c>
      <c r="AR139" s="49" t="s">
        <v>5</v>
      </c>
      <c r="AS139" s="50" t="s">
        <v>120</v>
      </c>
      <c r="AT139" s="49" t="s">
        <v>5</v>
      </c>
      <c r="AU139" s="50" t="s">
        <v>105</v>
      </c>
      <c r="AV139" s="49" t="s">
        <v>5</v>
      </c>
      <c r="AW139" s="50" t="s">
        <v>94</v>
      </c>
      <c r="AX139" s="49" t="s">
        <v>5</v>
      </c>
      <c r="AY139" s="50" t="s">
        <v>80</v>
      </c>
      <c r="AZ139" s="49" t="s">
        <v>5</v>
      </c>
      <c r="BA139" s="50" t="s">
        <v>120</v>
      </c>
      <c r="BB139" s="49" t="s">
        <v>5</v>
      </c>
      <c r="BC139" s="50" t="s">
        <v>152</v>
      </c>
      <c r="BD139" s="49" t="s">
        <v>5</v>
      </c>
      <c r="BE139" s="50" t="s">
        <v>82</v>
      </c>
      <c r="BF139" s="49" t="s">
        <v>5</v>
      </c>
      <c r="BG139" s="50" t="s">
        <v>98</v>
      </c>
      <c r="BH139" s="49"/>
      <c r="BI139" s="50"/>
    </row>
    <row r="140" spans="1:61" x14ac:dyDescent="0.25">
      <c r="A140" s="76">
        <v>152908</v>
      </c>
      <c r="B140" s="77" t="s">
        <v>1765</v>
      </c>
      <c r="C140" s="78" t="s">
        <v>1622</v>
      </c>
      <c r="D140" s="76" t="s">
        <v>12</v>
      </c>
      <c r="E140" s="79" t="s">
        <v>14</v>
      </c>
      <c r="F140" s="79" t="s">
        <v>88</v>
      </c>
      <c r="G140" s="79" t="s">
        <v>87</v>
      </c>
      <c r="H140" s="79" t="s">
        <v>14</v>
      </c>
      <c r="I140" s="78" t="s">
        <v>14</v>
      </c>
      <c r="J140" s="79" t="s">
        <v>14</v>
      </c>
      <c r="K140" s="142" t="s">
        <v>1850</v>
      </c>
      <c r="L140" s="149" t="s">
        <v>1844</v>
      </c>
      <c r="M140" s="150" t="s">
        <v>12</v>
      </c>
      <c r="N140" s="151">
        <v>9</v>
      </c>
      <c r="O140" s="151">
        <v>1</v>
      </c>
      <c r="P140" s="152">
        <v>1</v>
      </c>
      <c r="Q140" s="153">
        <v>100</v>
      </c>
      <c r="R140" s="154">
        <v>3</v>
      </c>
      <c r="S140" s="38">
        <f t="shared" si="22"/>
        <v>1</v>
      </c>
      <c r="T140" s="39">
        <f t="shared" si="23"/>
        <v>11</v>
      </c>
      <c r="U140" s="40">
        <f t="shared" si="24"/>
        <v>1</v>
      </c>
      <c r="V140" s="40">
        <f t="shared" si="25"/>
        <v>1</v>
      </c>
      <c r="W140" s="40">
        <f t="shared" si="26"/>
        <v>0</v>
      </c>
      <c r="X140" s="40">
        <f t="shared" si="27"/>
        <v>2</v>
      </c>
      <c r="Y140" s="40">
        <f t="shared" si="28"/>
        <v>0</v>
      </c>
      <c r="Z140" s="40">
        <f t="shared" si="29"/>
        <v>0</v>
      </c>
      <c r="AA140" s="40">
        <f t="shared" si="30"/>
        <v>0</v>
      </c>
      <c r="AB140" s="40">
        <f t="shared" si="31"/>
        <v>0</v>
      </c>
      <c r="AC140" s="41">
        <f t="shared" si="32"/>
        <v>0</v>
      </c>
      <c r="AD140" s="49" t="s">
        <v>5</v>
      </c>
      <c r="AE140" s="50" t="s">
        <v>89</v>
      </c>
      <c r="AF140" s="49"/>
      <c r="AG140" s="50"/>
      <c r="AH140" s="49" t="s">
        <v>5</v>
      </c>
      <c r="AI140" s="50" t="s">
        <v>142</v>
      </c>
      <c r="AJ140" s="49" t="s">
        <v>30</v>
      </c>
      <c r="AK140" s="50" t="s">
        <v>142</v>
      </c>
      <c r="AL140" s="49" t="s">
        <v>5</v>
      </c>
      <c r="AM140" s="50" t="s">
        <v>98</v>
      </c>
      <c r="AN140" s="49" t="s">
        <v>5</v>
      </c>
      <c r="AO140" s="50" t="s">
        <v>75</v>
      </c>
      <c r="AP140" s="49" t="s">
        <v>5</v>
      </c>
      <c r="AQ140" s="50" t="s">
        <v>92</v>
      </c>
      <c r="AR140" s="49" t="s">
        <v>5</v>
      </c>
      <c r="AS140" s="50" t="s">
        <v>104</v>
      </c>
      <c r="AT140" s="49" t="s">
        <v>5</v>
      </c>
      <c r="AU140" s="50" t="s">
        <v>105</v>
      </c>
      <c r="AV140" s="49" t="s">
        <v>31</v>
      </c>
      <c r="AW140" s="50" t="s">
        <v>79</v>
      </c>
      <c r="AX140" s="49" t="s">
        <v>5</v>
      </c>
      <c r="AY140" s="50" t="s">
        <v>80</v>
      </c>
      <c r="AZ140" s="49" t="s">
        <v>5</v>
      </c>
      <c r="BA140" s="50" t="s">
        <v>120</v>
      </c>
      <c r="BB140" s="49" t="s">
        <v>1</v>
      </c>
      <c r="BC140" s="50" t="s">
        <v>96</v>
      </c>
      <c r="BD140" s="49" t="s">
        <v>5</v>
      </c>
      <c r="BE140" s="50" t="s">
        <v>122</v>
      </c>
      <c r="BF140" s="49" t="s">
        <v>5</v>
      </c>
      <c r="BG140" s="50" t="s">
        <v>170</v>
      </c>
      <c r="BH140" s="49"/>
      <c r="BI140" s="50"/>
    </row>
    <row r="141" spans="1:61" x14ac:dyDescent="0.25">
      <c r="A141" s="76">
        <v>152775</v>
      </c>
      <c r="B141" s="77" t="s">
        <v>1766</v>
      </c>
      <c r="C141" s="78" t="s">
        <v>1628</v>
      </c>
      <c r="D141" s="76" t="s">
        <v>12</v>
      </c>
      <c r="E141" s="79" t="s">
        <v>14</v>
      </c>
      <c r="F141" s="79" t="s">
        <v>71</v>
      </c>
      <c r="G141" s="79" t="s">
        <v>14</v>
      </c>
      <c r="H141" s="79" t="s">
        <v>14</v>
      </c>
      <c r="I141" s="78" t="s">
        <v>14</v>
      </c>
      <c r="J141" s="79" t="s">
        <v>14</v>
      </c>
      <c r="K141" s="142" t="s">
        <v>1850</v>
      </c>
      <c r="L141" s="149" t="s">
        <v>1844</v>
      </c>
      <c r="M141" s="150" t="s">
        <v>12</v>
      </c>
      <c r="N141" s="151">
        <v>26</v>
      </c>
      <c r="O141" s="151">
        <v>3</v>
      </c>
      <c r="P141" s="152">
        <v>0</v>
      </c>
      <c r="Q141" s="153">
        <v>95.56</v>
      </c>
      <c r="R141" s="154">
        <v>2</v>
      </c>
      <c r="S141" s="38">
        <f t="shared" si="22"/>
        <v>4</v>
      </c>
      <c r="T141" s="39">
        <f t="shared" si="23"/>
        <v>9</v>
      </c>
      <c r="U141" s="40">
        <f t="shared" si="24"/>
        <v>1</v>
      </c>
      <c r="V141" s="40">
        <f t="shared" si="25"/>
        <v>0</v>
      </c>
      <c r="W141" s="40">
        <f t="shared" si="26"/>
        <v>0</v>
      </c>
      <c r="X141" s="40">
        <f t="shared" si="27"/>
        <v>1</v>
      </c>
      <c r="Y141" s="40">
        <f t="shared" si="28"/>
        <v>0</v>
      </c>
      <c r="Z141" s="40">
        <f t="shared" si="29"/>
        <v>0</v>
      </c>
      <c r="AA141" s="40">
        <f t="shared" si="30"/>
        <v>0</v>
      </c>
      <c r="AB141" s="40">
        <f t="shared" si="31"/>
        <v>0</v>
      </c>
      <c r="AC141" s="41">
        <f t="shared" si="32"/>
        <v>0</v>
      </c>
      <c r="AD141" s="49" t="s">
        <v>5</v>
      </c>
      <c r="AE141" s="50" t="s">
        <v>116</v>
      </c>
      <c r="AF141" s="49" t="s">
        <v>1</v>
      </c>
      <c r="AG141" s="50" t="s">
        <v>135</v>
      </c>
      <c r="AH141" s="49" t="s">
        <v>5</v>
      </c>
      <c r="AI141" s="50" t="s">
        <v>101</v>
      </c>
      <c r="AJ141" s="49" t="s">
        <v>30</v>
      </c>
      <c r="AK141" s="50" t="s">
        <v>142</v>
      </c>
      <c r="AL141" s="49" t="s">
        <v>1</v>
      </c>
      <c r="AM141" s="50" t="s">
        <v>106</v>
      </c>
      <c r="AN141" s="49" t="s">
        <v>5</v>
      </c>
      <c r="AO141" s="50" t="s">
        <v>103</v>
      </c>
      <c r="AP141" s="49" t="s">
        <v>5</v>
      </c>
      <c r="AQ141" s="50" t="s">
        <v>144</v>
      </c>
      <c r="AR141" s="49" t="s">
        <v>1</v>
      </c>
      <c r="AS141" s="50" t="s">
        <v>104</v>
      </c>
      <c r="AT141" s="49" t="s">
        <v>5</v>
      </c>
      <c r="AU141" s="50" t="s">
        <v>105</v>
      </c>
      <c r="AV141" s="49" t="s">
        <v>5</v>
      </c>
      <c r="AW141" s="50" t="s">
        <v>79</v>
      </c>
      <c r="AX141" s="49" t="s">
        <v>5</v>
      </c>
      <c r="AY141" s="50" t="s">
        <v>95</v>
      </c>
      <c r="AZ141" s="49"/>
      <c r="BA141" s="50"/>
      <c r="BB141" s="49" t="s">
        <v>5</v>
      </c>
      <c r="BC141" s="50" t="s">
        <v>107</v>
      </c>
      <c r="BD141" s="49" t="s">
        <v>5</v>
      </c>
      <c r="BE141" s="50" t="s">
        <v>108</v>
      </c>
      <c r="BF141" s="49" t="s">
        <v>1</v>
      </c>
      <c r="BG141" s="50" t="s">
        <v>123</v>
      </c>
      <c r="BH141" s="49"/>
      <c r="BI141" s="50"/>
    </row>
    <row r="142" spans="1:61" x14ac:dyDescent="0.25">
      <c r="A142" s="76">
        <v>160141</v>
      </c>
      <c r="B142" s="77" t="s">
        <v>1767</v>
      </c>
      <c r="C142" s="78" t="s">
        <v>1648</v>
      </c>
      <c r="D142" s="76" t="s">
        <v>12</v>
      </c>
      <c r="E142" s="79" t="s">
        <v>87</v>
      </c>
      <c r="F142" s="79" t="s">
        <v>88</v>
      </c>
      <c r="G142" s="79" t="s">
        <v>14</v>
      </c>
      <c r="H142" s="79" t="s">
        <v>87</v>
      </c>
      <c r="I142" s="78" t="s">
        <v>14</v>
      </c>
      <c r="J142" s="79" t="s">
        <v>14</v>
      </c>
      <c r="K142" s="142" t="s">
        <v>1850</v>
      </c>
      <c r="L142" s="149">
        <v>0</v>
      </c>
      <c r="M142" s="150">
        <v>0</v>
      </c>
      <c r="N142" s="151">
        <v>16</v>
      </c>
      <c r="O142" s="151">
        <v>11</v>
      </c>
      <c r="P142" s="152">
        <v>3</v>
      </c>
      <c r="Q142" s="153">
        <v>100</v>
      </c>
      <c r="R142" s="154">
        <v>6</v>
      </c>
      <c r="S142" s="38">
        <f t="shared" si="22"/>
        <v>1</v>
      </c>
      <c r="T142" s="39">
        <f t="shared" si="23"/>
        <v>7</v>
      </c>
      <c r="U142" s="40">
        <f t="shared" si="24"/>
        <v>5</v>
      </c>
      <c r="V142" s="40">
        <f t="shared" si="25"/>
        <v>1</v>
      </c>
      <c r="W142" s="40">
        <f t="shared" si="26"/>
        <v>0</v>
      </c>
      <c r="X142" s="40">
        <f t="shared" si="27"/>
        <v>6</v>
      </c>
      <c r="Y142" s="40">
        <f t="shared" si="28"/>
        <v>0</v>
      </c>
      <c r="Z142" s="40">
        <f t="shared" si="29"/>
        <v>0</v>
      </c>
      <c r="AA142" s="40">
        <f t="shared" si="30"/>
        <v>0</v>
      </c>
      <c r="AB142" s="40">
        <f t="shared" si="31"/>
        <v>0</v>
      </c>
      <c r="AC142" s="41">
        <f t="shared" si="32"/>
        <v>0</v>
      </c>
      <c r="AD142" s="49" t="s">
        <v>5</v>
      </c>
      <c r="AE142" s="50" t="s">
        <v>116</v>
      </c>
      <c r="AF142" s="49"/>
      <c r="AG142" s="50"/>
      <c r="AH142" s="49" t="s">
        <v>31</v>
      </c>
      <c r="AI142" s="50" t="s">
        <v>101</v>
      </c>
      <c r="AJ142" s="49" t="s">
        <v>30</v>
      </c>
      <c r="AK142" s="50" t="s">
        <v>459</v>
      </c>
      <c r="AL142" s="49" t="s">
        <v>5</v>
      </c>
      <c r="AM142" s="50" t="s">
        <v>714</v>
      </c>
      <c r="AN142" s="49" t="s">
        <v>30</v>
      </c>
      <c r="AO142" s="50" t="s">
        <v>124</v>
      </c>
      <c r="AP142" s="49" t="s">
        <v>30</v>
      </c>
      <c r="AQ142" s="50" t="s">
        <v>76</v>
      </c>
      <c r="AR142" s="49" t="s">
        <v>5</v>
      </c>
      <c r="AS142" s="50" t="s">
        <v>132</v>
      </c>
      <c r="AT142" s="49" t="s">
        <v>5</v>
      </c>
      <c r="AU142" s="50" t="s">
        <v>163</v>
      </c>
      <c r="AV142" s="49" t="s">
        <v>5</v>
      </c>
      <c r="AW142" s="50" t="s">
        <v>79</v>
      </c>
      <c r="AX142" s="49" t="s">
        <v>1</v>
      </c>
      <c r="AY142" s="50" t="s">
        <v>95</v>
      </c>
      <c r="AZ142" s="49" t="s">
        <v>5</v>
      </c>
      <c r="BA142" s="50" t="s">
        <v>120</v>
      </c>
      <c r="BB142" s="49" t="s">
        <v>5</v>
      </c>
      <c r="BC142" s="50" t="s">
        <v>107</v>
      </c>
      <c r="BD142" s="49" t="s">
        <v>30</v>
      </c>
      <c r="BE142" s="50" t="s">
        <v>153</v>
      </c>
      <c r="BF142" s="49" t="s">
        <v>30</v>
      </c>
      <c r="BG142" s="50" t="s">
        <v>123</v>
      </c>
      <c r="BH142" s="49"/>
      <c r="BI142" s="50"/>
    </row>
    <row r="143" spans="1:61" x14ac:dyDescent="0.25">
      <c r="A143" s="76">
        <v>152943</v>
      </c>
      <c r="B143" s="77" t="s">
        <v>1768</v>
      </c>
      <c r="C143" s="78" t="s">
        <v>1648</v>
      </c>
      <c r="D143" s="76" t="s">
        <v>12</v>
      </c>
      <c r="E143" s="79" t="s">
        <v>14</v>
      </c>
      <c r="F143" s="79" t="s">
        <v>71</v>
      </c>
      <c r="G143" s="79" t="s">
        <v>14</v>
      </c>
      <c r="H143" s="79" t="s">
        <v>14</v>
      </c>
      <c r="I143" s="78" t="s">
        <v>14</v>
      </c>
      <c r="J143" s="79" t="s">
        <v>14</v>
      </c>
      <c r="K143" s="142" t="s">
        <v>1850</v>
      </c>
      <c r="L143" s="149" t="s">
        <v>1842</v>
      </c>
      <c r="M143" s="150" t="s">
        <v>12</v>
      </c>
      <c r="N143" s="151">
        <v>9</v>
      </c>
      <c r="O143" s="151">
        <v>3</v>
      </c>
      <c r="P143" s="152">
        <v>3</v>
      </c>
      <c r="Q143" s="153">
        <v>93.33</v>
      </c>
      <c r="R143" s="154">
        <v>2</v>
      </c>
      <c r="S143" s="38">
        <f t="shared" si="22"/>
        <v>2</v>
      </c>
      <c r="T143" s="39">
        <f t="shared" si="23"/>
        <v>9</v>
      </c>
      <c r="U143" s="40">
        <f t="shared" si="24"/>
        <v>1</v>
      </c>
      <c r="V143" s="40">
        <f t="shared" si="25"/>
        <v>1</v>
      </c>
      <c r="W143" s="40">
        <f t="shared" si="26"/>
        <v>1</v>
      </c>
      <c r="X143" s="40">
        <f t="shared" si="27"/>
        <v>3</v>
      </c>
      <c r="Y143" s="40">
        <f t="shared" si="28"/>
        <v>0</v>
      </c>
      <c r="Z143" s="40">
        <f t="shared" si="29"/>
        <v>0</v>
      </c>
      <c r="AA143" s="40">
        <f t="shared" si="30"/>
        <v>0</v>
      </c>
      <c r="AB143" s="40">
        <f t="shared" si="31"/>
        <v>0</v>
      </c>
      <c r="AC143" s="41">
        <f t="shared" si="32"/>
        <v>0</v>
      </c>
      <c r="AD143" s="49" t="s">
        <v>5</v>
      </c>
      <c r="AE143" s="50" t="s">
        <v>116</v>
      </c>
      <c r="AF143" s="49" t="s">
        <v>5</v>
      </c>
      <c r="AG143" s="50" t="s">
        <v>73</v>
      </c>
      <c r="AH143" s="49" t="s">
        <v>5</v>
      </c>
      <c r="AI143" s="50" t="s">
        <v>101</v>
      </c>
      <c r="AJ143" s="49" t="s">
        <v>32</v>
      </c>
      <c r="AK143" s="50" t="s">
        <v>459</v>
      </c>
      <c r="AL143" s="49" t="s">
        <v>5</v>
      </c>
      <c r="AM143" s="50" t="s">
        <v>714</v>
      </c>
      <c r="AN143" s="49" t="s">
        <v>5</v>
      </c>
      <c r="AO143" s="50" t="s">
        <v>124</v>
      </c>
      <c r="AP143" s="49" t="s">
        <v>5</v>
      </c>
      <c r="AQ143" s="50" t="s">
        <v>76</v>
      </c>
      <c r="AR143" s="49" t="s">
        <v>5</v>
      </c>
      <c r="AS143" s="50" t="s">
        <v>132</v>
      </c>
      <c r="AT143" s="49" t="s">
        <v>31</v>
      </c>
      <c r="AU143" s="50" t="s">
        <v>163</v>
      </c>
      <c r="AV143" s="49" t="s">
        <v>5</v>
      </c>
      <c r="AW143" s="50" t="s">
        <v>79</v>
      </c>
      <c r="AX143" s="49" t="s">
        <v>5</v>
      </c>
      <c r="AY143" s="50" t="s">
        <v>95</v>
      </c>
      <c r="AZ143" s="49"/>
      <c r="BA143" s="50"/>
      <c r="BB143" s="49" t="s">
        <v>1</v>
      </c>
      <c r="BC143" s="50" t="s">
        <v>96</v>
      </c>
      <c r="BD143" s="49" t="s">
        <v>30</v>
      </c>
      <c r="BE143" s="50" t="s">
        <v>153</v>
      </c>
      <c r="BF143" s="49" t="s">
        <v>1</v>
      </c>
      <c r="BG143" s="50" t="s">
        <v>164</v>
      </c>
      <c r="BH143" s="49"/>
      <c r="BI143" s="50"/>
    </row>
    <row r="144" spans="1:61" x14ac:dyDescent="0.25">
      <c r="A144" s="76">
        <v>152795</v>
      </c>
      <c r="B144" s="77" t="s">
        <v>1769</v>
      </c>
      <c r="C144" s="78" t="s">
        <v>1665</v>
      </c>
      <c r="D144" s="76" t="s">
        <v>12</v>
      </c>
      <c r="E144" s="79" t="s">
        <v>14</v>
      </c>
      <c r="F144" s="79" t="s">
        <v>71</v>
      </c>
      <c r="G144" s="79" t="s">
        <v>14</v>
      </c>
      <c r="H144" s="79" t="s">
        <v>14</v>
      </c>
      <c r="I144" s="78" t="s">
        <v>14</v>
      </c>
      <c r="J144" s="79" t="s">
        <v>14</v>
      </c>
      <c r="K144" s="142" t="s">
        <v>1850</v>
      </c>
      <c r="L144" s="149" t="s">
        <v>1841</v>
      </c>
      <c r="M144" s="150" t="s">
        <v>1853</v>
      </c>
      <c r="N144" s="151">
        <v>24</v>
      </c>
      <c r="O144" s="151">
        <v>0</v>
      </c>
      <c r="P144" s="152">
        <v>1</v>
      </c>
      <c r="Q144" s="153">
        <v>100</v>
      </c>
      <c r="R144" s="154">
        <v>0</v>
      </c>
      <c r="S144" s="38">
        <f t="shared" si="22"/>
        <v>1</v>
      </c>
      <c r="T144" s="39">
        <f t="shared" si="23"/>
        <v>13</v>
      </c>
      <c r="U144" s="40">
        <f t="shared" si="24"/>
        <v>0</v>
      </c>
      <c r="V144" s="40">
        <f t="shared" si="25"/>
        <v>0</v>
      </c>
      <c r="W144" s="40">
        <f t="shared" si="26"/>
        <v>0</v>
      </c>
      <c r="X144" s="40">
        <f t="shared" si="27"/>
        <v>0</v>
      </c>
      <c r="Y144" s="40">
        <f t="shared" si="28"/>
        <v>0</v>
      </c>
      <c r="Z144" s="40">
        <f t="shared" si="29"/>
        <v>0</v>
      </c>
      <c r="AA144" s="40">
        <f t="shared" si="30"/>
        <v>0</v>
      </c>
      <c r="AB144" s="40">
        <f t="shared" si="31"/>
        <v>0</v>
      </c>
      <c r="AC144" s="41">
        <f t="shared" si="32"/>
        <v>0</v>
      </c>
      <c r="AD144" s="49" t="s">
        <v>5</v>
      </c>
      <c r="AE144" s="50" t="s">
        <v>116</v>
      </c>
      <c r="AF144" s="49"/>
      <c r="AG144" s="50"/>
      <c r="AH144" s="49" t="s">
        <v>5</v>
      </c>
      <c r="AI144" s="50" t="s">
        <v>101</v>
      </c>
      <c r="AJ144" s="49" t="s">
        <v>5</v>
      </c>
      <c r="AK144" s="50" t="s">
        <v>102</v>
      </c>
      <c r="AL144" s="49" t="s">
        <v>5</v>
      </c>
      <c r="AM144" s="50" t="s">
        <v>92</v>
      </c>
      <c r="AN144" s="49"/>
      <c r="AO144" s="50"/>
      <c r="AP144" s="49" t="s">
        <v>5</v>
      </c>
      <c r="AQ144" s="50" t="s">
        <v>131</v>
      </c>
      <c r="AR144" s="49" t="s">
        <v>5</v>
      </c>
      <c r="AS144" s="50" t="s">
        <v>104</v>
      </c>
      <c r="AT144" s="49" t="s">
        <v>5</v>
      </c>
      <c r="AU144" s="50" t="s">
        <v>105</v>
      </c>
      <c r="AV144" s="49" t="s">
        <v>5</v>
      </c>
      <c r="AW144" s="50" t="s">
        <v>79</v>
      </c>
      <c r="AX144" s="49" t="s">
        <v>5</v>
      </c>
      <c r="AY144" s="50" t="s">
        <v>95</v>
      </c>
      <c r="AZ144" s="49" t="s">
        <v>5</v>
      </c>
      <c r="BA144" s="50" t="s">
        <v>105</v>
      </c>
      <c r="BB144" s="49" t="s">
        <v>1</v>
      </c>
      <c r="BC144" s="50" t="s">
        <v>96</v>
      </c>
      <c r="BD144" s="49" t="s">
        <v>5</v>
      </c>
      <c r="BE144" s="50" t="s">
        <v>457</v>
      </c>
      <c r="BF144" s="49" t="s">
        <v>5</v>
      </c>
      <c r="BG144" s="50" t="s">
        <v>83</v>
      </c>
      <c r="BH144" s="49" t="s">
        <v>5</v>
      </c>
      <c r="BI144" s="50" t="s">
        <v>84</v>
      </c>
    </row>
    <row r="145" spans="1:61" x14ac:dyDescent="0.25">
      <c r="A145" s="76">
        <v>152790</v>
      </c>
      <c r="B145" s="77" t="s">
        <v>1770</v>
      </c>
      <c r="C145" s="78" t="s">
        <v>1620</v>
      </c>
      <c r="D145" s="76" t="s">
        <v>12</v>
      </c>
      <c r="E145" s="79" t="s">
        <v>87</v>
      </c>
      <c r="F145" s="79" t="s">
        <v>88</v>
      </c>
      <c r="G145" s="79" t="s">
        <v>14</v>
      </c>
      <c r="H145" s="79" t="s">
        <v>87</v>
      </c>
      <c r="I145" s="78" t="s">
        <v>14</v>
      </c>
      <c r="J145" s="79" t="s">
        <v>14</v>
      </c>
      <c r="K145" s="142" t="s">
        <v>1850</v>
      </c>
      <c r="L145" s="149" t="s">
        <v>1844</v>
      </c>
      <c r="M145" s="150" t="s">
        <v>1853</v>
      </c>
      <c r="N145" s="151">
        <v>20</v>
      </c>
      <c r="O145" s="151">
        <v>0</v>
      </c>
      <c r="P145" s="152">
        <v>0</v>
      </c>
      <c r="Q145" s="153">
        <v>100</v>
      </c>
      <c r="R145" s="154">
        <v>0</v>
      </c>
      <c r="S145" s="38">
        <f t="shared" si="22"/>
        <v>1</v>
      </c>
      <c r="T145" s="39">
        <f t="shared" si="23"/>
        <v>13</v>
      </c>
      <c r="U145" s="40">
        <f t="shared" si="24"/>
        <v>0</v>
      </c>
      <c r="V145" s="40">
        <f t="shared" si="25"/>
        <v>0</v>
      </c>
      <c r="W145" s="40">
        <f t="shared" si="26"/>
        <v>0</v>
      </c>
      <c r="X145" s="40">
        <f t="shared" si="27"/>
        <v>0</v>
      </c>
      <c r="Y145" s="40">
        <f t="shared" si="28"/>
        <v>0</v>
      </c>
      <c r="Z145" s="40">
        <f t="shared" si="29"/>
        <v>0</v>
      </c>
      <c r="AA145" s="40">
        <f t="shared" si="30"/>
        <v>0</v>
      </c>
      <c r="AB145" s="40">
        <f t="shared" si="31"/>
        <v>0</v>
      </c>
      <c r="AC145" s="41">
        <f t="shared" si="32"/>
        <v>0</v>
      </c>
      <c r="AD145" s="49" t="s">
        <v>5</v>
      </c>
      <c r="AE145" s="50" t="s">
        <v>89</v>
      </c>
      <c r="AF145" s="49" t="s">
        <v>5</v>
      </c>
      <c r="AG145" s="50" t="s">
        <v>90</v>
      </c>
      <c r="AH145" s="49" t="s">
        <v>5</v>
      </c>
      <c r="AI145" s="50" t="s">
        <v>142</v>
      </c>
      <c r="AJ145" s="49" t="s">
        <v>5</v>
      </c>
      <c r="AK145" s="50" t="s">
        <v>74</v>
      </c>
      <c r="AL145" s="49" t="s">
        <v>5</v>
      </c>
      <c r="AM145" s="50" t="s">
        <v>142</v>
      </c>
      <c r="AN145" s="49"/>
      <c r="AO145" s="50"/>
      <c r="AP145" s="49" t="s">
        <v>5</v>
      </c>
      <c r="AQ145" s="50" t="s">
        <v>76</v>
      </c>
      <c r="AR145" s="49" t="s">
        <v>5</v>
      </c>
      <c r="AS145" s="50" t="s">
        <v>132</v>
      </c>
      <c r="AT145" s="49" t="s">
        <v>5</v>
      </c>
      <c r="AU145" s="50" t="s">
        <v>105</v>
      </c>
      <c r="AV145" s="49" t="s">
        <v>5</v>
      </c>
      <c r="AW145" s="50" t="s">
        <v>94</v>
      </c>
      <c r="AX145" s="49" t="s">
        <v>5</v>
      </c>
      <c r="AY145" s="50" t="s">
        <v>95</v>
      </c>
      <c r="AZ145" s="49"/>
      <c r="BA145" s="50"/>
      <c r="BB145" s="49" t="s">
        <v>5</v>
      </c>
      <c r="BC145" s="50" t="s">
        <v>741</v>
      </c>
      <c r="BD145" s="49" t="s">
        <v>1</v>
      </c>
      <c r="BE145" s="50" t="s">
        <v>97</v>
      </c>
      <c r="BF145" s="49" t="s">
        <v>5</v>
      </c>
      <c r="BG145" s="50" t="s">
        <v>83</v>
      </c>
      <c r="BH145" s="49" t="s">
        <v>5</v>
      </c>
      <c r="BI145" s="50" t="s">
        <v>130</v>
      </c>
    </row>
    <row r="146" spans="1:61" x14ac:dyDescent="0.25">
      <c r="A146" s="76">
        <v>152776</v>
      </c>
      <c r="B146" s="77" t="s">
        <v>1771</v>
      </c>
      <c r="C146" s="78" t="s">
        <v>1628</v>
      </c>
      <c r="D146" s="76" t="s">
        <v>70</v>
      </c>
      <c r="E146" s="79" t="s">
        <v>14</v>
      </c>
      <c r="F146" s="79" t="s">
        <v>71</v>
      </c>
      <c r="G146" s="79" t="s">
        <v>14</v>
      </c>
      <c r="H146" s="79" t="s">
        <v>14</v>
      </c>
      <c r="I146" s="78" t="s">
        <v>14</v>
      </c>
      <c r="J146" s="79" t="s">
        <v>14</v>
      </c>
      <c r="K146" s="142" t="s">
        <v>1850</v>
      </c>
      <c r="L146" s="149" t="s">
        <v>1848</v>
      </c>
      <c r="M146" s="150" t="s">
        <v>12</v>
      </c>
      <c r="N146" s="151">
        <v>14</v>
      </c>
      <c r="O146" s="151">
        <v>0</v>
      </c>
      <c r="P146" s="152">
        <v>0</v>
      </c>
      <c r="Q146" s="153">
        <v>95.65</v>
      </c>
      <c r="R146" s="154">
        <v>0</v>
      </c>
      <c r="S146" s="38">
        <f t="shared" si="22"/>
        <v>1</v>
      </c>
      <c r="T146" s="39">
        <f t="shared" si="23"/>
        <v>13</v>
      </c>
      <c r="U146" s="40">
        <f t="shared" si="24"/>
        <v>0</v>
      </c>
      <c r="V146" s="40">
        <f t="shared" si="25"/>
        <v>0</v>
      </c>
      <c r="W146" s="40">
        <f t="shared" si="26"/>
        <v>0</v>
      </c>
      <c r="X146" s="40">
        <f t="shared" si="27"/>
        <v>0</v>
      </c>
      <c r="Y146" s="40">
        <f t="shared" si="28"/>
        <v>0</v>
      </c>
      <c r="Z146" s="40">
        <f t="shared" si="29"/>
        <v>0</v>
      </c>
      <c r="AA146" s="40">
        <f t="shared" si="30"/>
        <v>0</v>
      </c>
      <c r="AB146" s="40">
        <f t="shared" si="31"/>
        <v>0</v>
      </c>
      <c r="AC146" s="41">
        <f t="shared" si="32"/>
        <v>0</v>
      </c>
      <c r="AD146" s="49" t="s">
        <v>5</v>
      </c>
      <c r="AE146" s="50" t="s">
        <v>116</v>
      </c>
      <c r="AF146" s="49" t="s">
        <v>5</v>
      </c>
      <c r="AG146" s="50" t="s">
        <v>90</v>
      </c>
      <c r="AH146" s="49" t="s">
        <v>5</v>
      </c>
      <c r="AI146" s="50" t="s">
        <v>101</v>
      </c>
      <c r="AJ146" s="49" t="s">
        <v>5</v>
      </c>
      <c r="AK146" s="50" t="s">
        <v>111</v>
      </c>
      <c r="AL146" s="49" t="s">
        <v>5</v>
      </c>
      <c r="AM146" s="50" t="s">
        <v>106</v>
      </c>
      <c r="AN146" s="49" t="s">
        <v>5</v>
      </c>
      <c r="AO146" s="50" t="s">
        <v>103</v>
      </c>
      <c r="AP146" s="49" t="s">
        <v>5</v>
      </c>
      <c r="AQ146" s="50" t="s">
        <v>144</v>
      </c>
      <c r="AR146" s="49" t="s">
        <v>5</v>
      </c>
      <c r="AS146" s="50" t="s">
        <v>104</v>
      </c>
      <c r="AT146" s="49" t="s">
        <v>5</v>
      </c>
      <c r="AU146" s="50" t="s">
        <v>105</v>
      </c>
      <c r="AV146" s="49" t="s">
        <v>5</v>
      </c>
      <c r="AW146" s="50" t="s">
        <v>430</v>
      </c>
      <c r="AX146" s="49" t="s">
        <v>1</v>
      </c>
      <c r="AY146" s="50" t="s">
        <v>95</v>
      </c>
      <c r="AZ146" s="49"/>
      <c r="BA146" s="50"/>
      <c r="BB146" s="49" t="s">
        <v>5</v>
      </c>
      <c r="BC146" s="50" t="s">
        <v>81</v>
      </c>
      <c r="BD146" s="49" t="s">
        <v>5</v>
      </c>
      <c r="BE146" s="50" t="s">
        <v>108</v>
      </c>
      <c r="BF146" s="49" t="s">
        <v>5</v>
      </c>
      <c r="BG146" s="50" t="s">
        <v>154</v>
      </c>
      <c r="BH146" s="49"/>
      <c r="BI146" s="50"/>
    </row>
    <row r="147" spans="1:61" x14ac:dyDescent="0.25">
      <c r="A147" s="76">
        <v>152808</v>
      </c>
      <c r="B147" s="77" t="s">
        <v>1772</v>
      </c>
      <c r="C147" s="78" t="s">
        <v>1665</v>
      </c>
      <c r="D147" s="76" t="s">
        <v>12</v>
      </c>
      <c r="E147" s="79" t="s">
        <v>14</v>
      </c>
      <c r="F147" s="79" t="s">
        <v>71</v>
      </c>
      <c r="G147" s="79" t="s">
        <v>14</v>
      </c>
      <c r="H147" s="79" t="s">
        <v>14</v>
      </c>
      <c r="I147" s="78" t="s">
        <v>14</v>
      </c>
      <c r="J147" s="79" t="s">
        <v>14</v>
      </c>
      <c r="K147" s="142" t="s">
        <v>1850</v>
      </c>
      <c r="L147" s="149" t="s">
        <v>1842</v>
      </c>
      <c r="M147" s="150" t="s">
        <v>1853</v>
      </c>
      <c r="N147" s="151">
        <v>27</v>
      </c>
      <c r="O147" s="151">
        <v>0</v>
      </c>
      <c r="P147" s="152">
        <v>1</v>
      </c>
      <c r="Q147" s="153">
        <v>100</v>
      </c>
      <c r="R147" s="154">
        <v>0</v>
      </c>
      <c r="S147" s="38">
        <f t="shared" si="22"/>
        <v>3</v>
      </c>
      <c r="T147" s="39">
        <f t="shared" si="23"/>
        <v>11</v>
      </c>
      <c r="U147" s="40">
        <f t="shared" si="24"/>
        <v>0</v>
      </c>
      <c r="V147" s="40">
        <f t="shared" si="25"/>
        <v>0</v>
      </c>
      <c r="W147" s="40">
        <f t="shared" si="26"/>
        <v>0</v>
      </c>
      <c r="X147" s="40">
        <f t="shared" si="27"/>
        <v>0</v>
      </c>
      <c r="Y147" s="40">
        <f t="shared" si="28"/>
        <v>0</v>
      </c>
      <c r="Z147" s="40">
        <f t="shared" si="29"/>
        <v>0</v>
      </c>
      <c r="AA147" s="40">
        <f t="shared" si="30"/>
        <v>0</v>
      </c>
      <c r="AB147" s="40">
        <f t="shared" si="31"/>
        <v>0</v>
      </c>
      <c r="AC147" s="41">
        <f t="shared" si="32"/>
        <v>0</v>
      </c>
      <c r="AD147" s="49" t="s">
        <v>5</v>
      </c>
      <c r="AE147" s="50" t="s">
        <v>116</v>
      </c>
      <c r="AF147" s="49" t="s">
        <v>5</v>
      </c>
      <c r="AG147" s="50" t="s">
        <v>117</v>
      </c>
      <c r="AH147" s="49" t="s">
        <v>5</v>
      </c>
      <c r="AI147" s="50" t="s">
        <v>101</v>
      </c>
      <c r="AJ147" s="49" t="s">
        <v>5</v>
      </c>
      <c r="AK147" s="50" t="s">
        <v>102</v>
      </c>
      <c r="AL147" s="49" t="s">
        <v>5</v>
      </c>
      <c r="AM147" s="50" t="s">
        <v>92</v>
      </c>
      <c r="AN147" s="49"/>
      <c r="AO147" s="50"/>
      <c r="AP147" s="49" t="s">
        <v>5</v>
      </c>
      <c r="AQ147" s="50" t="s">
        <v>131</v>
      </c>
      <c r="AR147" s="49" t="s">
        <v>1</v>
      </c>
      <c r="AS147" s="50" t="s">
        <v>104</v>
      </c>
      <c r="AT147" s="49" t="s">
        <v>5</v>
      </c>
      <c r="AU147" s="50" t="s">
        <v>105</v>
      </c>
      <c r="AV147" s="49" t="s">
        <v>1</v>
      </c>
      <c r="AW147" s="50" t="s">
        <v>79</v>
      </c>
      <c r="AX147" s="49" t="s">
        <v>5</v>
      </c>
      <c r="AY147" s="50" t="s">
        <v>95</v>
      </c>
      <c r="AZ147" s="49"/>
      <c r="BA147" s="50"/>
      <c r="BB147" s="49" t="s">
        <v>1</v>
      </c>
      <c r="BC147" s="50" t="s">
        <v>96</v>
      </c>
      <c r="BD147" s="49" t="s">
        <v>5</v>
      </c>
      <c r="BE147" s="50" t="s">
        <v>457</v>
      </c>
      <c r="BF147" s="49" t="s">
        <v>5</v>
      </c>
      <c r="BG147" s="50" t="s">
        <v>164</v>
      </c>
      <c r="BH147" s="49" t="s">
        <v>5</v>
      </c>
      <c r="BI147" s="50" t="s">
        <v>84</v>
      </c>
    </row>
    <row r="148" spans="1:61" x14ac:dyDescent="0.25">
      <c r="A148" s="76">
        <v>152832</v>
      </c>
      <c r="B148" s="77" t="s">
        <v>1773</v>
      </c>
      <c r="C148" s="78" t="s">
        <v>1628</v>
      </c>
      <c r="D148" s="76" t="s">
        <v>70</v>
      </c>
      <c r="E148" s="79" t="s">
        <v>14</v>
      </c>
      <c r="F148" s="79" t="s">
        <v>88</v>
      </c>
      <c r="G148" s="79" t="s">
        <v>14</v>
      </c>
      <c r="H148" s="79" t="s">
        <v>14</v>
      </c>
      <c r="I148" s="78" t="s">
        <v>14</v>
      </c>
      <c r="J148" s="79" t="s">
        <v>14</v>
      </c>
      <c r="K148" s="142" t="s">
        <v>1850</v>
      </c>
      <c r="L148" s="149" t="s">
        <v>1842</v>
      </c>
      <c r="M148" s="150" t="s">
        <v>1853</v>
      </c>
      <c r="N148" s="151">
        <v>18</v>
      </c>
      <c r="O148" s="151">
        <v>0</v>
      </c>
      <c r="P148" s="152">
        <v>0</v>
      </c>
      <c r="Q148" s="153">
        <v>100</v>
      </c>
      <c r="R148" s="154">
        <v>0</v>
      </c>
      <c r="S148" s="38">
        <f t="shared" si="22"/>
        <v>3</v>
      </c>
      <c r="T148" s="39">
        <f t="shared" si="23"/>
        <v>11</v>
      </c>
      <c r="U148" s="40">
        <f t="shared" si="24"/>
        <v>0</v>
      </c>
      <c r="V148" s="40">
        <f t="shared" si="25"/>
        <v>0</v>
      </c>
      <c r="W148" s="40">
        <f t="shared" si="26"/>
        <v>0</v>
      </c>
      <c r="X148" s="40">
        <f t="shared" si="27"/>
        <v>0</v>
      </c>
      <c r="Y148" s="40">
        <f t="shared" si="28"/>
        <v>0</v>
      </c>
      <c r="Z148" s="40">
        <f t="shared" si="29"/>
        <v>0</v>
      </c>
      <c r="AA148" s="40">
        <f t="shared" si="30"/>
        <v>0</v>
      </c>
      <c r="AB148" s="40">
        <f t="shared" si="31"/>
        <v>0</v>
      </c>
      <c r="AC148" s="41">
        <f t="shared" si="32"/>
        <v>0</v>
      </c>
      <c r="AD148" s="49" t="s">
        <v>5</v>
      </c>
      <c r="AE148" s="50" t="s">
        <v>116</v>
      </c>
      <c r="AF148" s="49" t="s">
        <v>1</v>
      </c>
      <c r="AG148" s="50" t="s">
        <v>73</v>
      </c>
      <c r="AH148" s="49" t="s">
        <v>5</v>
      </c>
      <c r="AI148" s="50" t="s">
        <v>101</v>
      </c>
      <c r="AJ148" s="49" t="s">
        <v>5</v>
      </c>
      <c r="AK148" s="50" t="s">
        <v>142</v>
      </c>
      <c r="AL148" s="49" t="s">
        <v>1</v>
      </c>
      <c r="AM148" s="50" t="s">
        <v>106</v>
      </c>
      <c r="AN148" s="49" t="s">
        <v>5</v>
      </c>
      <c r="AO148" s="50" t="s">
        <v>103</v>
      </c>
      <c r="AP148" s="49" t="s">
        <v>5</v>
      </c>
      <c r="AQ148" s="50" t="s">
        <v>144</v>
      </c>
      <c r="AR148" s="49" t="s">
        <v>5</v>
      </c>
      <c r="AS148" s="50" t="s">
        <v>104</v>
      </c>
      <c r="AT148" s="49" t="s">
        <v>5</v>
      </c>
      <c r="AU148" s="50" t="s">
        <v>105</v>
      </c>
      <c r="AV148" s="49" t="s">
        <v>1</v>
      </c>
      <c r="AW148" s="50" t="s">
        <v>112</v>
      </c>
      <c r="AX148" s="49" t="s">
        <v>5</v>
      </c>
      <c r="AY148" s="50" t="s">
        <v>95</v>
      </c>
      <c r="AZ148" s="49"/>
      <c r="BA148" s="50"/>
      <c r="BB148" s="49" t="s">
        <v>5</v>
      </c>
      <c r="BC148" s="50" t="s">
        <v>81</v>
      </c>
      <c r="BD148" s="49" t="s">
        <v>5</v>
      </c>
      <c r="BE148" s="50" t="s">
        <v>108</v>
      </c>
      <c r="BF148" s="49" t="s">
        <v>5</v>
      </c>
      <c r="BG148" s="50" t="s">
        <v>123</v>
      </c>
      <c r="BH148" s="49"/>
      <c r="BI148" s="50"/>
    </row>
    <row r="149" spans="1:61" x14ac:dyDescent="0.25">
      <c r="A149" s="76">
        <v>160006</v>
      </c>
      <c r="B149" s="77" t="s">
        <v>1774</v>
      </c>
      <c r="C149" s="78" t="s">
        <v>1648</v>
      </c>
      <c r="D149" s="76" t="s">
        <v>70</v>
      </c>
      <c r="E149" s="79" t="s">
        <v>14</v>
      </c>
      <c r="F149" s="79" t="s">
        <v>71</v>
      </c>
      <c r="G149" s="79" t="s">
        <v>14</v>
      </c>
      <c r="H149" s="79" t="s">
        <v>14</v>
      </c>
      <c r="I149" s="78" t="s">
        <v>14</v>
      </c>
      <c r="J149" s="79" t="s">
        <v>14</v>
      </c>
      <c r="K149" s="142" t="s">
        <v>1850</v>
      </c>
      <c r="L149" s="149" t="s">
        <v>1842</v>
      </c>
      <c r="M149" s="150" t="s">
        <v>1853</v>
      </c>
      <c r="N149" s="151">
        <v>22</v>
      </c>
      <c r="O149" s="151">
        <v>0</v>
      </c>
      <c r="P149" s="152">
        <v>0</v>
      </c>
      <c r="Q149" s="153">
        <v>100</v>
      </c>
      <c r="R149" s="154">
        <v>0</v>
      </c>
      <c r="S149" s="38">
        <f t="shared" si="22"/>
        <v>3</v>
      </c>
      <c r="T149" s="39">
        <f t="shared" si="23"/>
        <v>11</v>
      </c>
      <c r="U149" s="40">
        <f t="shared" si="24"/>
        <v>0</v>
      </c>
      <c r="V149" s="40">
        <f t="shared" si="25"/>
        <v>0</v>
      </c>
      <c r="W149" s="40">
        <f t="shared" si="26"/>
        <v>0</v>
      </c>
      <c r="X149" s="40">
        <f t="shared" si="27"/>
        <v>0</v>
      </c>
      <c r="Y149" s="40">
        <f t="shared" si="28"/>
        <v>0</v>
      </c>
      <c r="Z149" s="40">
        <f t="shared" si="29"/>
        <v>0</v>
      </c>
      <c r="AA149" s="40">
        <f t="shared" si="30"/>
        <v>0</v>
      </c>
      <c r="AB149" s="40">
        <f t="shared" si="31"/>
        <v>0</v>
      </c>
      <c r="AC149" s="41">
        <f t="shared" si="32"/>
        <v>0</v>
      </c>
      <c r="AD149" s="49" t="s">
        <v>5</v>
      </c>
      <c r="AE149" s="50" t="s">
        <v>116</v>
      </c>
      <c r="AF149" s="49" t="s">
        <v>5</v>
      </c>
      <c r="AG149" s="50" t="s">
        <v>117</v>
      </c>
      <c r="AH149" s="49" t="s">
        <v>1</v>
      </c>
      <c r="AI149" s="50" t="s">
        <v>101</v>
      </c>
      <c r="AJ149" s="49" t="s">
        <v>5</v>
      </c>
      <c r="AK149" s="50" t="s">
        <v>722</v>
      </c>
      <c r="AL149" s="49" t="s">
        <v>5</v>
      </c>
      <c r="AM149" s="50" t="s">
        <v>714</v>
      </c>
      <c r="AN149" s="49" t="s">
        <v>5</v>
      </c>
      <c r="AO149" s="50" t="s">
        <v>124</v>
      </c>
      <c r="AP149" s="49" t="s">
        <v>5</v>
      </c>
      <c r="AQ149" s="50" t="s">
        <v>76</v>
      </c>
      <c r="AR149" s="49" t="s">
        <v>5</v>
      </c>
      <c r="AS149" s="50" t="s">
        <v>132</v>
      </c>
      <c r="AT149" s="49" t="s">
        <v>5</v>
      </c>
      <c r="AU149" s="50" t="s">
        <v>163</v>
      </c>
      <c r="AV149" s="49" t="s">
        <v>1</v>
      </c>
      <c r="AW149" s="50" t="s">
        <v>79</v>
      </c>
      <c r="AX149" s="49" t="s">
        <v>1</v>
      </c>
      <c r="AY149" s="50" t="s">
        <v>95</v>
      </c>
      <c r="AZ149" s="49"/>
      <c r="BA149" s="50"/>
      <c r="BB149" s="49" t="s">
        <v>5</v>
      </c>
      <c r="BC149" s="50" t="s">
        <v>81</v>
      </c>
      <c r="BD149" s="49" t="s">
        <v>5</v>
      </c>
      <c r="BE149" s="50" t="s">
        <v>153</v>
      </c>
      <c r="BF149" s="49" t="s">
        <v>5</v>
      </c>
      <c r="BG149" s="50" t="s">
        <v>123</v>
      </c>
      <c r="BH149" s="49"/>
      <c r="BI149" s="50"/>
    </row>
    <row r="150" spans="1:61" x14ac:dyDescent="0.25">
      <c r="A150" s="76">
        <v>152846</v>
      </c>
      <c r="B150" s="77" t="s">
        <v>1775</v>
      </c>
      <c r="C150" s="78" t="s">
        <v>1665</v>
      </c>
      <c r="D150" s="76" t="s">
        <v>12</v>
      </c>
      <c r="E150" s="79" t="s">
        <v>14</v>
      </c>
      <c r="F150" s="79" t="s">
        <v>71</v>
      </c>
      <c r="G150" s="79" t="s">
        <v>14</v>
      </c>
      <c r="H150" s="79" t="s">
        <v>14</v>
      </c>
      <c r="I150" s="78" t="s">
        <v>14</v>
      </c>
      <c r="J150" s="79" t="s">
        <v>14</v>
      </c>
      <c r="K150" s="142" t="s">
        <v>1851</v>
      </c>
      <c r="L150" s="149" t="s">
        <v>1842</v>
      </c>
      <c r="M150" s="150" t="s">
        <v>1853</v>
      </c>
      <c r="N150" s="151">
        <v>21</v>
      </c>
      <c r="O150" s="151">
        <v>1</v>
      </c>
      <c r="P150" s="152">
        <v>3</v>
      </c>
      <c r="Q150" s="153">
        <v>97.78</v>
      </c>
      <c r="R150" s="154">
        <v>3</v>
      </c>
      <c r="S150" s="38">
        <f t="shared" si="22"/>
        <v>1</v>
      </c>
      <c r="T150" s="39">
        <f t="shared" si="23"/>
        <v>12</v>
      </c>
      <c r="U150" s="40">
        <f t="shared" si="24"/>
        <v>1</v>
      </c>
      <c r="V150" s="40">
        <f t="shared" si="25"/>
        <v>0</v>
      </c>
      <c r="W150" s="40">
        <f t="shared" si="26"/>
        <v>0</v>
      </c>
      <c r="X150" s="40">
        <f t="shared" si="27"/>
        <v>1</v>
      </c>
      <c r="Y150" s="40">
        <f t="shared" si="28"/>
        <v>0</v>
      </c>
      <c r="Z150" s="40">
        <f t="shared" si="29"/>
        <v>0</v>
      </c>
      <c r="AA150" s="40">
        <f t="shared" si="30"/>
        <v>0</v>
      </c>
      <c r="AB150" s="40">
        <f t="shared" si="31"/>
        <v>0</v>
      </c>
      <c r="AC150" s="41">
        <f t="shared" si="32"/>
        <v>0</v>
      </c>
      <c r="AD150" s="49" t="s">
        <v>5</v>
      </c>
      <c r="AE150" s="50" t="s">
        <v>116</v>
      </c>
      <c r="AF150" s="49" t="s">
        <v>5</v>
      </c>
      <c r="AG150" s="50" t="s">
        <v>135</v>
      </c>
      <c r="AH150" s="49" t="s">
        <v>5</v>
      </c>
      <c r="AI150" s="50" t="s">
        <v>101</v>
      </c>
      <c r="AJ150" s="49" t="s">
        <v>5</v>
      </c>
      <c r="AK150" s="50" t="s">
        <v>102</v>
      </c>
      <c r="AL150" s="49" t="s">
        <v>5</v>
      </c>
      <c r="AM150" s="50" t="s">
        <v>92</v>
      </c>
      <c r="AN150" s="49"/>
      <c r="AO150" s="50"/>
      <c r="AP150" s="49" t="s">
        <v>5</v>
      </c>
      <c r="AQ150" s="50" t="s">
        <v>131</v>
      </c>
      <c r="AR150" s="49" t="s">
        <v>5</v>
      </c>
      <c r="AS150" s="50" t="s">
        <v>104</v>
      </c>
      <c r="AT150" s="49" t="s">
        <v>5</v>
      </c>
      <c r="AU150" s="50" t="s">
        <v>105</v>
      </c>
      <c r="AV150" s="49" t="s">
        <v>5</v>
      </c>
      <c r="AW150" s="50" t="s">
        <v>94</v>
      </c>
      <c r="AX150" s="49" t="s">
        <v>30</v>
      </c>
      <c r="AY150" s="50" t="s">
        <v>95</v>
      </c>
      <c r="AZ150" s="49"/>
      <c r="BA150" s="50"/>
      <c r="BB150" s="49" t="s">
        <v>1</v>
      </c>
      <c r="BC150" s="50" t="s">
        <v>96</v>
      </c>
      <c r="BD150" s="49" t="s">
        <v>5</v>
      </c>
      <c r="BE150" s="50" t="s">
        <v>457</v>
      </c>
      <c r="BF150" s="49" t="s">
        <v>5</v>
      </c>
      <c r="BG150" s="50" t="s">
        <v>83</v>
      </c>
      <c r="BH150" s="49" t="s">
        <v>5</v>
      </c>
      <c r="BI150" s="50" t="s">
        <v>84</v>
      </c>
    </row>
    <row r="151" spans="1:61" x14ac:dyDescent="0.25">
      <c r="A151" s="76">
        <v>152817</v>
      </c>
      <c r="B151" s="77" t="s">
        <v>1776</v>
      </c>
      <c r="C151" s="78" t="s">
        <v>1665</v>
      </c>
      <c r="D151" s="76" t="s">
        <v>70</v>
      </c>
      <c r="E151" s="79" t="s">
        <v>14</v>
      </c>
      <c r="F151" s="79" t="s">
        <v>220</v>
      </c>
      <c r="G151" s="79" t="s">
        <v>87</v>
      </c>
      <c r="H151" s="79" t="s">
        <v>14</v>
      </c>
      <c r="I151" s="78" t="s">
        <v>14</v>
      </c>
      <c r="J151" s="79" t="s">
        <v>14</v>
      </c>
      <c r="K151" s="142" t="s">
        <v>1850</v>
      </c>
      <c r="L151" s="149" t="s">
        <v>1845</v>
      </c>
      <c r="M151" s="150" t="s">
        <v>12</v>
      </c>
      <c r="N151" s="151">
        <v>28</v>
      </c>
      <c r="O151" s="151">
        <v>0</v>
      </c>
      <c r="P151" s="152">
        <v>1</v>
      </c>
      <c r="Q151" s="153">
        <v>100</v>
      </c>
      <c r="R151" s="154">
        <v>1</v>
      </c>
      <c r="S151" s="38">
        <f t="shared" si="22"/>
        <v>2</v>
      </c>
      <c r="T151" s="39">
        <f t="shared" si="23"/>
        <v>12</v>
      </c>
      <c r="U151" s="40">
        <f t="shared" si="24"/>
        <v>0</v>
      </c>
      <c r="V151" s="40">
        <f t="shared" si="25"/>
        <v>0</v>
      </c>
      <c r="W151" s="40">
        <f t="shared" si="26"/>
        <v>0</v>
      </c>
      <c r="X151" s="40">
        <f t="shared" si="27"/>
        <v>0</v>
      </c>
      <c r="Y151" s="40">
        <f t="shared" si="28"/>
        <v>0</v>
      </c>
      <c r="Z151" s="40">
        <f t="shared" si="29"/>
        <v>0</v>
      </c>
      <c r="AA151" s="40">
        <f t="shared" si="30"/>
        <v>0</v>
      </c>
      <c r="AB151" s="40">
        <f t="shared" si="31"/>
        <v>0</v>
      </c>
      <c r="AC151" s="41">
        <f t="shared" si="32"/>
        <v>0</v>
      </c>
      <c r="AD151" s="49" t="s">
        <v>5</v>
      </c>
      <c r="AE151" s="50" t="s">
        <v>116</v>
      </c>
      <c r="AF151" s="49" t="s">
        <v>5</v>
      </c>
      <c r="AG151" s="50" t="s">
        <v>90</v>
      </c>
      <c r="AH151" s="49" t="s">
        <v>5</v>
      </c>
      <c r="AI151" s="50" t="s">
        <v>101</v>
      </c>
      <c r="AJ151" s="49" t="s">
        <v>5</v>
      </c>
      <c r="AK151" s="50" t="s">
        <v>722</v>
      </c>
      <c r="AL151" s="49" t="s">
        <v>5</v>
      </c>
      <c r="AM151" s="50" t="s">
        <v>92</v>
      </c>
      <c r="AN151" s="49"/>
      <c r="AO151" s="50"/>
      <c r="AP151" s="49" t="s">
        <v>5</v>
      </c>
      <c r="AQ151" s="50" t="s">
        <v>131</v>
      </c>
      <c r="AR151" s="49" t="s">
        <v>1</v>
      </c>
      <c r="AS151" s="50" t="s">
        <v>104</v>
      </c>
      <c r="AT151" s="49" t="s">
        <v>5</v>
      </c>
      <c r="AU151" s="50" t="s">
        <v>105</v>
      </c>
      <c r="AV151" s="49" t="s">
        <v>5</v>
      </c>
      <c r="AW151" s="50" t="s">
        <v>94</v>
      </c>
      <c r="AX151" s="49" t="s">
        <v>5</v>
      </c>
      <c r="AY151" s="50" t="s">
        <v>95</v>
      </c>
      <c r="AZ151" s="49"/>
      <c r="BA151" s="50"/>
      <c r="BB151" s="49" t="s">
        <v>5</v>
      </c>
      <c r="BC151" s="50" t="s">
        <v>152</v>
      </c>
      <c r="BD151" s="49" t="s">
        <v>5</v>
      </c>
      <c r="BE151" s="50" t="s">
        <v>457</v>
      </c>
      <c r="BF151" s="49" t="s">
        <v>1</v>
      </c>
      <c r="BG151" s="50" t="s">
        <v>83</v>
      </c>
      <c r="BH151" s="49" t="s">
        <v>5</v>
      </c>
      <c r="BI151" s="50" t="s">
        <v>84</v>
      </c>
    </row>
    <row r="152" spans="1:61" x14ac:dyDescent="0.25">
      <c r="A152" s="76">
        <v>152766</v>
      </c>
      <c r="B152" s="77" t="s">
        <v>1777</v>
      </c>
      <c r="C152" s="78" t="s">
        <v>1639</v>
      </c>
      <c r="D152" s="76" t="s">
        <v>12</v>
      </c>
      <c r="E152" s="79" t="s">
        <v>87</v>
      </c>
      <c r="F152" s="79" t="s">
        <v>450</v>
      </c>
      <c r="G152" s="79" t="s">
        <v>14</v>
      </c>
      <c r="H152" s="79" t="s">
        <v>87</v>
      </c>
      <c r="I152" s="78" t="s">
        <v>14</v>
      </c>
      <c r="J152" s="79" t="s">
        <v>14</v>
      </c>
      <c r="K152" s="142" t="s">
        <v>1850</v>
      </c>
      <c r="L152" s="149" t="s">
        <v>1845</v>
      </c>
      <c r="M152" s="150" t="s">
        <v>12</v>
      </c>
      <c r="N152" s="151">
        <v>23</v>
      </c>
      <c r="O152" s="151">
        <v>3</v>
      </c>
      <c r="P152" s="152">
        <v>0</v>
      </c>
      <c r="Q152" s="153">
        <v>100</v>
      </c>
      <c r="R152" s="154">
        <v>1</v>
      </c>
      <c r="S152" s="38">
        <f t="shared" si="22"/>
        <v>1</v>
      </c>
      <c r="T152" s="39">
        <f t="shared" si="23"/>
        <v>13</v>
      </c>
      <c r="U152" s="40">
        <f t="shared" si="24"/>
        <v>0</v>
      </c>
      <c r="V152" s="40">
        <f t="shared" si="25"/>
        <v>0</v>
      </c>
      <c r="W152" s="40">
        <f t="shared" si="26"/>
        <v>0</v>
      </c>
      <c r="X152" s="40">
        <f t="shared" si="27"/>
        <v>0</v>
      </c>
      <c r="Y152" s="40">
        <f t="shared" si="28"/>
        <v>0</v>
      </c>
      <c r="Z152" s="40">
        <f t="shared" si="29"/>
        <v>0</v>
      </c>
      <c r="AA152" s="40">
        <f t="shared" si="30"/>
        <v>0</v>
      </c>
      <c r="AB152" s="40">
        <f t="shared" si="31"/>
        <v>0</v>
      </c>
      <c r="AC152" s="41">
        <f t="shared" si="32"/>
        <v>0</v>
      </c>
      <c r="AD152" s="49" t="s">
        <v>5</v>
      </c>
      <c r="AE152" s="50" t="s">
        <v>72</v>
      </c>
      <c r="AF152" s="49" t="s">
        <v>5</v>
      </c>
      <c r="AG152" s="50" t="s">
        <v>117</v>
      </c>
      <c r="AH152" s="49" t="s">
        <v>5</v>
      </c>
      <c r="AI152" s="50" t="s">
        <v>101</v>
      </c>
      <c r="AJ152" s="49" t="s">
        <v>5</v>
      </c>
      <c r="AK152" s="50" t="s">
        <v>142</v>
      </c>
      <c r="AL152" s="49" t="s">
        <v>5</v>
      </c>
      <c r="AM152" s="50" t="s">
        <v>130</v>
      </c>
      <c r="AN152" s="49" t="s">
        <v>5</v>
      </c>
      <c r="AO152" s="50" t="s">
        <v>143</v>
      </c>
      <c r="AP152" s="49" t="s">
        <v>1</v>
      </c>
      <c r="AQ152" s="50" t="s">
        <v>131</v>
      </c>
      <c r="AR152" s="49" t="s">
        <v>5</v>
      </c>
      <c r="AS152" s="50" t="s">
        <v>120</v>
      </c>
      <c r="AT152" s="49" t="s">
        <v>5</v>
      </c>
      <c r="AU152" s="50" t="s">
        <v>105</v>
      </c>
      <c r="AV152" s="49" t="s">
        <v>5</v>
      </c>
      <c r="AW152" s="50" t="s">
        <v>94</v>
      </c>
      <c r="AX152" s="49" t="s">
        <v>5</v>
      </c>
      <c r="AY152" s="50" t="s">
        <v>80</v>
      </c>
      <c r="AZ152" s="49"/>
      <c r="BA152" s="50"/>
      <c r="BB152" s="49" t="s">
        <v>5</v>
      </c>
      <c r="BC152" s="50" t="s">
        <v>96</v>
      </c>
      <c r="BD152" s="49" t="s">
        <v>5</v>
      </c>
      <c r="BE152" s="50" t="s">
        <v>82</v>
      </c>
      <c r="BF152" s="49" t="s">
        <v>5</v>
      </c>
      <c r="BG152" s="50" t="s">
        <v>164</v>
      </c>
      <c r="BH152" s="49"/>
      <c r="BI152" s="50"/>
    </row>
    <row r="153" spans="1:61" x14ac:dyDescent="0.25">
      <c r="A153" s="76">
        <v>152796</v>
      </c>
      <c r="B153" s="77" t="s">
        <v>1778</v>
      </c>
      <c r="C153" s="78" t="s">
        <v>1628</v>
      </c>
      <c r="D153" s="76" t="s">
        <v>70</v>
      </c>
      <c r="E153" s="79" t="s">
        <v>14</v>
      </c>
      <c r="F153" s="79" t="s">
        <v>71</v>
      </c>
      <c r="G153" s="79" t="s">
        <v>14</v>
      </c>
      <c r="H153" s="79" t="s">
        <v>14</v>
      </c>
      <c r="I153" s="78" t="s">
        <v>14</v>
      </c>
      <c r="J153" s="79" t="s">
        <v>14</v>
      </c>
      <c r="K153" s="142" t="s">
        <v>1850</v>
      </c>
      <c r="L153" s="149" t="s">
        <v>1844</v>
      </c>
      <c r="M153" s="150" t="s">
        <v>12</v>
      </c>
      <c r="N153" s="151">
        <v>14</v>
      </c>
      <c r="O153" s="151">
        <v>0</v>
      </c>
      <c r="P153" s="152">
        <v>1</v>
      </c>
      <c r="Q153" s="153">
        <v>100</v>
      </c>
      <c r="R153" s="154">
        <v>0</v>
      </c>
      <c r="S153" s="38">
        <f t="shared" si="22"/>
        <v>1</v>
      </c>
      <c r="T153" s="39">
        <f t="shared" si="23"/>
        <v>13</v>
      </c>
      <c r="U153" s="40">
        <f t="shared" si="24"/>
        <v>0</v>
      </c>
      <c r="V153" s="40">
        <f t="shared" si="25"/>
        <v>0</v>
      </c>
      <c r="W153" s="40">
        <f t="shared" si="26"/>
        <v>0</v>
      </c>
      <c r="X153" s="40">
        <f t="shared" si="27"/>
        <v>0</v>
      </c>
      <c r="Y153" s="40">
        <f t="shared" si="28"/>
        <v>0</v>
      </c>
      <c r="Z153" s="40">
        <f t="shared" si="29"/>
        <v>0</v>
      </c>
      <c r="AA153" s="40">
        <f t="shared" si="30"/>
        <v>0</v>
      </c>
      <c r="AB153" s="40">
        <f t="shared" si="31"/>
        <v>0</v>
      </c>
      <c r="AC153" s="41">
        <f t="shared" si="32"/>
        <v>0</v>
      </c>
      <c r="AD153" s="49" t="s">
        <v>5</v>
      </c>
      <c r="AE153" s="50" t="s">
        <v>116</v>
      </c>
      <c r="AF153" s="49"/>
      <c r="AG153" s="50"/>
      <c r="AH153" s="49" t="s">
        <v>5</v>
      </c>
      <c r="AI153" s="50" t="s">
        <v>101</v>
      </c>
      <c r="AJ153" s="49" t="s">
        <v>5</v>
      </c>
      <c r="AK153" s="50" t="s">
        <v>459</v>
      </c>
      <c r="AL153" s="49" t="s">
        <v>5</v>
      </c>
      <c r="AM153" s="50" t="s">
        <v>106</v>
      </c>
      <c r="AN153" s="49" t="s">
        <v>5</v>
      </c>
      <c r="AO153" s="50" t="s">
        <v>103</v>
      </c>
      <c r="AP153" s="49" t="s">
        <v>5</v>
      </c>
      <c r="AQ153" s="50" t="s">
        <v>144</v>
      </c>
      <c r="AR153" s="49" t="s">
        <v>5</v>
      </c>
      <c r="AS153" s="50" t="s">
        <v>104</v>
      </c>
      <c r="AT153" s="49" t="s">
        <v>5</v>
      </c>
      <c r="AU153" s="50" t="s">
        <v>105</v>
      </c>
      <c r="AV153" s="49" t="s">
        <v>5</v>
      </c>
      <c r="AW153" s="50" t="s">
        <v>94</v>
      </c>
      <c r="AX153" s="49" t="s">
        <v>1</v>
      </c>
      <c r="AY153" s="50" t="s">
        <v>95</v>
      </c>
      <c r="AZ153" s="49" t="s">
        <v>5</v>
      </c>
      <c r="BA153" s="50" t="s">
        <v>120</v>
      </c>
      <c r="BB153" s="49" t="s">
        <v>5</v>
      </c>
      <c r="BC153" s="50" t="s">
        <v>81</v>
      </c>
      <c r="BD153" s="49" t="s">
        <v>5</v>
      </c>
      <c r="BE153" s="50" t="s">
        <v>108</v>
      </c>
      <c r="BF153" s="49" t="s">
        <v>5</v>
      </c>
      <c r="BG153" s="50" t="s">
        <v>164</v>
      </c>
      <c r="BH153" s="49"/>
      <c r="BI153" s="50"/>
    </row>
    <row r="154" spans="1:61" x14ac:dyDescent="0.25">
      <c r="A154" s="76">
        <v>152743</v>
      </c>
      <c r="B154" s="77" t="s">
        <v>1779</v>
      </c>
      <c r="C154" s="78" t="s">
        <v>1628</v>
      </c>
      <c r="D154" s="76" t="s">
        <v>70</v>
      </c>
      <c r="E154" s="79" t="s">
        <v>87</v>
      </c>
      <c r="F154" s="79" t="s">
        <v>71</v>
      </c>
      <c r="G154" s="79" t="s">
        <v>14</v>
      </c>
      <c r="H154" s="79" t="s">
        <v>87</v>
      </c>
      <c r="I154" s="78" t="s">
        <v>14</v>
      </c>
      <c r="J154" s="79" t="s">
        <v>14</v>
      </c>
      <c r="K154" s="142" t="s">
        <v>1850</v>
      </c>
      <c r="L154" s="149" t="s">
        <v>1844</v>
      </c>
      <c r="M154" s="150" t="s">
        <v>12</v>
      </c>
      <c r="N154" s="151">
        <v>16</v>
      </c>
      <c r="O154" s="151">
        <v>0</v>
      </c>
      <c r="P154" s="152">
        <v>0</v>
      </c>
      <c r="Q154" s="153">
        <v>78.260000000000005</v>
      </c>
      <c r="R154" s="154">
        <v>1</v>
      </c>
      <c r="S154" s="38">
        <f t="shared" si="22"/>
        <v>0</v>
      </c>
      <c r="T154" s="39">
        <f t="shared" si="23"/>
        <v>14</v>
      </c>
      <c r="U154" s="40">
        <f t="shared" si="24"/>
        <v>0</v>
      </c>
      <c r="V154" s="40">
        <f t="shared" si="25"/>
        <v>0</v>
      </c>
      <c r="W154" s="40">
        <f t="shared" si="26"/>
        <v>0</v>
      </c>
      <c r="X154" s="40">
        <f t="shared" si="27"/>
        <v>0</v>
      </c>
      <c r="Y154" s="40">
        <f t="shared" si="28"/>
        <v>0</v>
      </c>
      <c r="Z154" s="40">
        <f t="shared" si="29"/>
        <v>0</v>
      </c>
      <c r="AA154" s="40">
        <f t="shared" si="30"/>
        <v>0</v>
      </c>
      <c r="AB154" s="40">
        <f t="shared" si="31"/>
        <v>0</v>
      </c>
      <c r="AC154" s="41">
        <f t="shared" si="32"/>
        <v>0</v>
      </c>
      <c r="AD154" s="49" t="s">
        <v>5</v>
      </c>
      <c r="AE154" s="50" t="s">
        <v>116</v>
      </c>
      <c r="AF154" s="49" t="s">
        <v>5</v>
      </c>
      <c r="AG154" s="50" t="s">
        <v>117</v>
      </c>
      <c r="AH154" s="49" t="s">
        <v>5</v>
      </c>
      <c r="AI154" s="50" t="s">
        <v>101</v>
      </c>
      <c r="AJ154" s="49" t="s">
        <v>5</v>
      </c>
      <c r="AK154" s="50" t="s">
        <v>142</v>
      </c>
      <c r="AL154" s="49" t="s">
        <v>5</v>
      </c>
      <c r="AM154" s="50" t="s">
        <v>106</v>
      </c>
      <c r="AN154" s="49" t="s">
        <v>5</v>
      </c>
      <c r="AO154" s="50" t="s">
        <v>103</v>
      </c>
      <c r="AP154" s="49" t="s">
        <v>5</v>
      </c>
      <c r="AQ154" s="50" t="s">
        <v>144</v>
      </c>
      <c r="AR154" s="49" t="s">
        <v>5</v>
      </c>
      <c r="AS154" s="50" t="s">
        <v>104</v>
      </c>
      <c r="AT154" s="49" t="s">
        <v>5</v>
      </c>
      <c r="AU154" s="50" t="s">
        <v>105</v>
      </c>
      <c r="AV154" s="49" t="s">
        <v>5</v>
      </c>
      <c r="AW154" s="50" t="s">
        <v>430</v>
      </c>
      <c r="AX154" s="49" t="s">
        <v>5</v>
      </c>
      <c r="AY154" s="50" t="s">
        <v>95</v>
      </c>
      <c r="AZ154" s="49"/>
      <c r="BA154" s="50"/>
      <c r="BB154" s="49" t="s">
        <v>5</v>
      </c>
      <c r="BC154" s="50" t="s">
        <v>152</v>
      </c>
      <c r="BD154" s="49" t="s">
        <v>5</v>
      </c>
      <c r="BE154" s="50" t="s">
        <v>108</v>
      </c>
      <c r="BF154" s="49" t="s">
        <v>5</v>
      </c>
      <c r="BG154" s="50" t="s">
        <v>170</v>
      </c>
      <c r="BH154" s="49"/>
      <c r="BI154" s="50"/>
    </row>
    <row r="155" spans="1:61" x14ac:dyDescent="0.25">
      <c r="A155" s="76">
        <v>152770</v>
      </c>
      <c r="B155" s="77" t="s">
        <v>1780</v>
      </c>
      <c r="C155" s="78" t="s">
        <v>1665</v>
      </c>
      <c r="D155" s="76" t="s">
        <v>70</v>
      </c>
      <c r="E155" s="79" t="s">
        <v>14</v>
      </c>
      <c r="F155" s="79" t="s">
        <v>71</v>
      </c>
      <c r="G155" s="79" t="s">
        <v>14</v>
      </c>
      <c r="H155" s="79" t="s">
        <v>14</v>
      </c>
      <c r="I155" s="78" t="s">
        <v>14</v>
      </c>
      <c r="J155" s="79" t="s">
        <v>14</v>
      </c>
      <c r="K155" s="142" t="s">
        <v>1850</v>
      </c>
      <c r="L155" s="149" t="s">
        <v>1841</v>
      </c>
      <c r="M155" s="150" t="s">
        <v>1853</v>
      </c>
      <c r="N155" s="151">
        <v>27</v>
      </c>
      <c r="O155" s="151">
        <v>0</v>
      </c>
      <c r="P155" s="152">
        <v>0</v>
      </c>
      <c r="Q155" s="153">
        <v>95.56</v>
      </c>
      <c r="R155" s="154">
        <v>2</v>
      </c>
      <c r="S155" s="38">
        <f t="shared" si="22"/>
        <v>2</v>
      </c>
      <c r="T155" s="39">
        <f t="shared" si="23"/>
        <v>12</v>
      </c>
      <c r="U155" s="40">
        <f t="shared" si="24"/>
        <v>0</v>
      </c>
      <c r="V155" s="40">
        <f t="shared" si="25"/>
        <v>0</v>
      </c>
      <c r="W155" s="40">
        <f t="shared" si="26"/>
        <v>0</v>
      </c>
      <c r="X155" s="40">
        <f t="shared" si="27"/>
        <v>0</v>
      </c>
      <c r="Y155" s="40">
        <f t="shared" si="28"/>
        <v>0</v>
      </c>
      <c r="Z155" s="40">
        <f t="shared" si="29"/>
        <v>0</v>
      </c>
      <c r="AA155" s="40">
        <f t="shared" si="30"/>
        <v>0</v>
      </c>
      <c r="AB155" s="40">
        <f t="shared" si="31"/>
        <v>0</v>
      </c>
      <c r="AC155" s="41">
        <f t="shared" si="32"/>
        <v>0</v>
      </c>
      <c r="AD155" s="49" t="s">
        <v>1</v>
      </c>
      <c r="AE155" s="50" t="s">
        <v>116</v>
      </c>
      <c r="AF155" s="49" t="s">
        <v>1</v>
      </c>
      <c r="AG155" s="50" t="s">
        <v>73</v>
      </c>
      <c r="AH155" s="49" t="s">
        <v>5</v>
      </c>
      <c r="AI155" s="50" t="s">
        <v>101</v>
      </c>
      <c r="AJ155" s="49" t="s">
        <v>5</v>
      </c>
      <c r="AK155" s="50" t="s">
        <v>102</v>
      </c>
      <c r="AL155" s="49" t="s">
        <v>5</v>
      </c>
      <c r="AM155" s="50" t="s">
        <v>92</v>
      </c>
      <c r="AN155" s="49"/>
      <c r="AO155" s="50"/>
      <c r="AP155" s="49" t="s">
        <v>5</v>
      </c>
      <c r="AQ155" s="50" t="s">
        <v>131</v>
      </c>
      <c r="AR155" s="49" t="s">
        <v>5</v>
      </c>
      <c r="AS155" s="50" t="s">
        <v>104</v>
      </c>
      <c r="AT155" s="49" t="s">
        <v>5</v>
      </c>
      <c r="AU155" s="50" t="s">
        <v>105</v>
      </c>
      <c r="AV155" s="49" t="s">
        <v>5</v>
      </c>
      <c r="AW155" s="50" t="s">
        <v>79</v>
      </c>
      <c r="AX155" s="49" t="s">
        <v>5</v>
      </c>
      <c r="AY155" s="50" t="s">
        <v>95</v>
      </c>
      <c r="AZ155" s="49"/>
      <c r="BA155" s="50"/>
      <c r="BB155" s="49" t="s">
        <v>5</v>
      </c>
      <c r="BC155" s="50" t="s">
        <v>152</v>
      </c>
      <c r="BD155" s="49" t="s">
        <v>5</v>
      </c>
      <c r="BE155" s="50" t="s">
        <v>457</v>
      </c>
      <c r="BF155" s="49" t="s">
        <v>5</v>
      </c>
      <c r="BG155" s="50" t="s">
        <v>123</v>
      </c>
      <c r="BH155" s="49" t="s">
        <v>5</v>
      </c>
      <c r="BI155" s="50" t="s">
        <v>84</v>
      </c>
    </row>
    <row r="156" spans="1:61" x14ac:dyDescent="0.25">
      <c r="A156" s="76">
        <v>160000</v>
      </c>
      <c r="B156" s="77" t="s">
        <v>1781</v>
      </c>
      <c r="C156" s="78" t="s">
        <v>1639</v>
      </c>
      <c r="D156" s="76" t="s">
        <v>70</v>
      </c>
      <c r="E156" s="79" t="s">
        <v>14</v>
      </c>
      <c r="F156" s="79" t="s">
        <v>71</v>
      </c>
      <c r="G156" s="79" t="s">
        <v>14</v>
      </c>
      <c r="H156" s="79" t="s">
        <v>14</v>
      </c>
      <c r="I156" s="78" t="s">
        <v>14</v>
      </c>
      <c r="J156" s="79" t="s">
        <v>14</v>
      </c>
      <c r="K156" s="142" t="s">
        <v>1850</v>
      </c>
      <c r="L156" s="149" t="s">
        <v>1842</v>
      </c>
      <c r="M156" s="150" t="s">
        <v>1853</v>
      </c>
      <c r="N156" s="151">
        <v>20</v>
      </c>
      <c r="O156" s="151">
        <v>0</v>
      </c>
      <c r="P156" s="152">
        <v>0</v>
      </c>
      <c r="Q156" s="153">
        <v>100</v>
      </c>
      <c r="R156" s="154">
        <v>0</v>
      </c>
      <c r="S156" s="38">
        <f t="shared" si="22"/>
        <v>0</v>
      </c>
      <c r="T156" s="39">
        <f t="shared" si="23"/>
        <v>14</v>
      </c>
      <c r="U156" s="40">
        <f t="shared" si="24"/>
        <v>0</v>
      </c>
      <c r="V156" s="40">
        <f t="shared" si="25"/>
        <v>0</v>
      </c>
      <c r="W156" s="40">
        <f t="shared" si="26"/>
        <v>0</v>
      </c>
      <c r="X156" s="40">
        <f t="shared" si="27"/>
        <v>0</v>
      </c>
      <c r="Y156" s="40">
        <f t="shared" si="28"/>
        <v>0</v>
      </c>
      <c r="Z156" s="40">
        <f t="shared" si="29"/>
        <v>0</v>
      </c>
      <c r="AA156" s="40">
        <f t="shared" si="30"/>
        <v>0</v>
      </c>
      <c r="AB156" s="40">
        <f t="shared" si="31"/>
        <v>0</v>
      </c>
      <c r="AC156" s="41">
        <f t="shared" si="32"/>
        <v>0</v>
      </c>
      <c r="AD156" s="49" t="s">
        <v>5</v>
      </c>
      <c r="AE156" s="50" t="s">
        <v>72</v>
      </c>
      <c r="AF156" s="49" t="s">
        <v>5</v>
      </c>
      <c r="AG156" s="50" t="s">
        <v>135</v>
      </c>
      <c r="AH156" s="49" t="s">
        <v>5</v>
      </c>
      <c r="AI156" s="50" t="s">
        <v>101</v>
      </c>
      <c r="AJ156" s="49" t="s">
        <v>5</v>
      </c>
      <c r="AK156" s="50" t="s">
        <v>459</v>
      </c>
      <c r="AL156" s="49" t="s">
        <v>5</v>
      </c>
      <c r="AM156" s="50" t="s">
        <v>130</v>
      </c>
      <c r="AN156" s="49" t="s">
        <v>5</v>
      </c>
      <c r="AO156" s="50" t="s">
        <v>143</v>
      </c>
      <c r="AP156" s="49" t="s">
        <v>5</v>
      </c>
      <c r="AQ156" s="50" t="s">
        <v>131</v>
      </c>
      <c r="AR156" s="49" t="s">
        <v>5</v>
      </c>
      <c r="AS156" s="50" t="s">
        <v>120</v>
      </c>
      <c r="AT156" s="49" t="s">
        <v>5</v>
      </c>
      <c r="AU156" s="50" t="s">
        <v>105</v>
      </c>
      <c r="AV156" s="49" t="s">
        <v>5</v>
      </c>
      <c r="AW156" s="50" t="s">
        <v>112</v>
      </c>
      <c r="AX156" s="49" t="s">
        <v>5</v>
      </c>
      <c r="AY156" s="50" t="s">
        <v>80</v>
      </c>
      <c r="AZ156" s="49"/>
      <c r="BA156" s="50"/>
      <c r="BB156" s="49" t="s">
        <v>5</v>
      </c>
      <c r="BC156" s="50" t="s">
        <v>152</v>
      </c>
      <c r="BD156" s="49" t="s">
        <v>5</v>
      </c>
      <c r="BE156" s="50" t="s">
        <v>82</v>
      </c>
      <c r="BF156" s="49" t="s">
        <v>5</v>
      </c>
      <c r="BG156" s="50" t="s">
        <v>83</v>
      </c>
      <c r="BH156" s="49"/>
      <c r="BI156" s="50"/>
    </row>
    <row r="157" spans="1:61" x14ac:dyDescent="0.25">
      <c r="A157" s="76">
        <v>152920</v>
      </c>
      <c r="B157" s="77" t="s">
        <v>1782</v>
      </c>
      <c r="C157" s="78" t="s">
        <v>1639</v>
      </c>
      <c r="D157" s="76" t="s">
        <v>70</v>
      </c>
      <c r="E157" s="79" t="s">
        <v>14</v>
      </c>
      <c r="F157" s="79" t="s">
        <v>88</v>
      </c>
      <c r="G157" s="79" t="s">
        <v>87</v>
      </c>
      <c r="H157" s="79" t="s">
        <v>14</v>
      </c>
      <c r="I157" s="78" t="s">
        <v>14</v>
      </c>
      <c r="J157" s="79" t="s">
        <v>14</v>
      </c>
      <c r="K157" s="142" t="s">
        <v>1850</v>
      </c>
      <c r="L157" s="149" t="s">
        <v>1845</v>
      </c>
      <c r="M157" s="150" t="s">
        <v>12</v>
      </c>
      <c r="N157" s="151">
        <v>14</v>
      </c>
      <c r="O157" s="151">
        <v>2</v>
      </c>
      <c r="P157" s="152">
        <v>1</v>
      </c>
      <c r="Q157" s="153">
        <v>100</v>
      </c>
      <c r="R157" s="154">
        <v>2</v>
      </c>
      <c r="S157" s="38">
        <f t="shared" si="22"/>
        <v>0</v>
      </c>
      <c r="T157" s="39">
        <f t="shared" si="23"/>
        <v>14</v>
      </c>
      <c r="U157" s="40">
        <f t="shared" si="24"/>
        <v>0</v>
      </c>
      <c r="V157" s="40">
        <f t="shared" si="25"/>
        <v>0</v>
      </c>
      <c r="W157" s="40">
        <f t="shared" si="26"/>
        <v>0</v>
      </c>
      <c r="X157" s="40">
        <f t="shared" si="27"/>
        <v>0</v>
      </c>
      <c r="Y157" s="40">
        <f t="shared" si="28"/>
        <v>0</v>
      </c>
      <c r="Z157" s="40">
        <f t="shared" si="29"/>
        <v>0</v>
      </c>
      <c r="AA157" s="40">
        <f t="shared" si="30"/>
        <v>0</v>
      </c>
      <c r="AB157" s="40">
        <f t="shared" si="31"/>
        <v>0</v>
      </c>
      <c r="AC157" s="41">
        <f t="shared" si="32"/>
        <v>0</v>
      </c>
      <c r="AD157" s="49" t="s">
        <v>5</v>
      </c>
      <c r="AE157" s="50" t="s">
        <v>72</v>
      </c>
      <c r="AF157" s="49" t="s">
        <v>5</v>
      </c>
      <c r="AG157" s="50" t="s">
        <v>90</v>
      </c>
      <c r="AH157" s="49" t="s">
        <v>5</v>
      </c>
      <c r="AI157" s="50" t="s">
        <v>101</v>
      </c>
      <c r="AJ157" s="49" t="s">
        <v>5</v>
      </c>
      <c r="AK157" s="50" t="s">
        <v>142</v>
      </c>
      <c r="AL157" s="49" t="s">
        <v>5</v>
      </c>
      <c r="AM157" s="50" t="s">
        <v>130</v>
      </c>
      <c r="AN157" s="49" t="s">
        <v>5</v>
      </c>
      <c r="AO157" s="50" t="s">
        <v>143</v>
      </c>
      <c r="AP157" s="49" t="s">
        <v>5</v>
      </c>
      <c r="AQ157" s="50" t="s">
        <v>131</v>
      </c>
      <c r="AR157" s="49" t="s">
        <v>5</v>
      </c>
      <c r="AS157" s="50" t="s">
        <v>120</v>
      </c>
      <c r="AT157" s="49" t="s">
        <v>5</v>
      </c>
      <c r="AU157" s="50" t="s">
        <v>105</v>
      </c>
      <c r="AV157" s="49" t="s">
        <v>5</v>
      </c>
      <c r="AW157" s="50" t="s">
        <v>94</v>
      </c>
      <c r="AX157" s="49" t="s">
        <v>5</v>
      </c>
      <c r="AY157" s="50" t="s">
        <v>80</v>
      </c>
      <c r="AZ157" s="49"/>
      <c r="BA157" s="50"/>
      <c r="BB157" s="49" t="s">
        <v>5</v>
      </c>
      <c r="BC157" s="50" t="s">
        <v>152</v>
      </c>
      <c r="BD157" s="49" t="s">
        <v>5</v>
      </c>
      <c r="BE157" s="50" t="s">
        <v>82</v>
      </c>
      <c r="BF157" s="49" t="s">
        <v>5</v>
      </c>
      <c r="BG157" s="50" t="s">
        <v>170</v>
      </c>
      <c r="BH157" s="49"/>
      <c r="BI157" s="50"/>
    </row>
    <row r="158" spans="1:61" x14ac:dyDescent="0.25">
      <c r="A158" s="76">
        <v>152746</v>
      </c>
      <c r="B158" s="77" t="s">
        <v>1783</v>
      </c>
      <c r="C158" s="78" t="s">
        <v>1665</v>
      </c>
      <c r="D158" s="76" t="s">
        <v>12</v>
      </c>
      <c r="E158" s="79" t="s">
        <v>14</v>
      </c>
      <c r="F158" s="79" t="s">
        <v>71</v>
      </c>
      <c r="G158" s="79" t="s">
        <v>14</v>
      </c>
      <c r="H158" s="79" t="s">
        <v>14</v>
      </c>
      <c r="I158" s="78" t="s">
        <v>14</v>
      </c>
      <c r="J158" s="79" t="s">
        <v>14</v>
      </c>
      <c r="K158" s="142" t="s">
        <v>1850</v>
      </c>
      <c r="L158" s="149" t="s">
        <v>1845</v>
      </c>
      <c r="M158" s="150" t="s">
        <v>12</v>
      </c>
      <c r="N158" s="151">
        <v>22</v>
      </c>
      <c r="O158" s="151">
        <v>0</v>
      </c>
      <c r="P158" s="152">
        <v>1</v>
      </c>
      <c r="Q158" s="153">
        <v>91.11</v>
      </c>
      <c r="R158" s="154">
        <v>0</v>
      </c>
      <c r="S158" s="38">
        <f t="shared" si="22"/>
        <v>3</v>
      </c>
      <c r="T158" s="39">
        <f t="shared" si="23"/>
        <v>11</v>
      </c>
      <c r="U158" s="40">
        <f t="shared" si="24"/>
        <v>0</v>
      </c>
      <c r="V158" s="40">
        <f t="shared" si="25"/>
        <v>0</v>
      </c>
      <c r="W158" s="40">
        <f t="shared" si="26"/>
        <v>0</v>
      </c>
      <c r="X158" s="40">
        <f t="shared" si="27"/>
        <v>0</v>
      </c>
      <c r="Y158" s="40">
        <f t="shared" si="28"/>
        <v>0</v>
      </c>
      <c r="Z158" s="40">
        <f t="shared" si="29"/>
        <v>0</v>
      </c>
      <c r="AA158" s="40">
        <f t="shared" si="30"/>
        <v>0</v>
      </c>
      <c r="AB158" s="40">
        <f t="shared" si="31"/>
        <v>0</v>
      </c>
      <c r="AC158" s="41">
        <f t="shared" si="32"/>
        <v>0</v>
      </c>
      <c r="AD158" s="49" t="s">
        <v>5</v>
      </c>
      <c r="AE158" s="50" t="s">
        <v>116</v>
      </c>
      <c r="AF158" s="49"/>
      <c r="AG158" s="50"/>
      <c r="AH158" s="49" t="s">
        <v>5</v>
      </c>
      <c r="AI158" s="50" t="s">
        <v>101</v>
      </c>
      <c r="AJ158" s="49" t="s">
        <v>5</v>
      </c>
      <c r="AK158" s="50" t="s">
        <v>102</v>
      </c>
      <c r="AL158" s="49" t="s">
        <v>1</v>
      </c>
      <c r="AM158" s="50" t="s">
        <v>92</v>
      </c>
      <c r="AN158" s="49"/>
      <c r="AO158" s="50"/>
      <c r="AP158" s="49" t="s">
        <v>5</v>
      </c>
      <c r="AQ158" s="50" t="s">
        <v>131</v>
      </c>
      <c r="AR158" s="49" t="s">
        <v>1</v>
      </c>
      <c r="AS158" s="50" t="s">
        <v>104</v>
      </c>
      <c r="AT158" s="49" t="s">
        <v>5</v>
      </c>
      <c r="AU158" s="50" t="s">
        <v>105</v>
      </c>
      <c r="AV158" s="49" t="s">
        <v>5</v>
      </c>
      <c r="AW158" s="50" t="s">
        <v>94</v>
      </c>
      <c r="AX158" s="49" t="s">
        <v>5</v>
      </c>
      <c r="AY158" s="50" t="s">
        <v>95</v>
      </c>
      <c r="AZ158" s="49" t="s">
        <v>5</v>
      </c>
      <c r="BA158" s="50" t="s">
        <v>105</v>
      </c>
      <c r="BB158" s="49" t="s">
        <v>1</v>
      </c>
      <c r="BC158" s="50" t="s">
        <v>96</v>
      </c>
      <c r="BD158" s="49" t="s">
        <v>5</v>
      </c>
      <c r="BE158" s="50" t="s">
        <v>457</v>
      </c>
      <c r="BF158" s="49" t="s">
        <v>5</v>
      </c>
      <c r="BG158" s="50" t="s">
        <v>83</v>
      </c>
      <c r="BH158" s="49" t="s">
        <v>5</v>
      </c>
      <c r="BI158" s="50" t="s">
        <v>84</v>
      </c>
    </row>
    <row r="159" spans="1:61" x14ac:dyDescent="0.25">
      <c r="A159" s="76">
        <v>100358</v>
      </c>
      <c r="B159" s="77" t="s">
        <v>1784</v>
      </c>
      <c r="C159" s="78" t="s">
        <v>1628</v>
      </c>
      <c r="D159" s="76" t="s">
        <v>70</v>
      </c>
      <c r="E159" s="79" t="s">
        <v>14</v>
      </c>
      <c r="F159" s="79" t="s">
        <v>71</v>
      </c>
      <c r="G159" s="79" t="s">
        <v>14</v>
      </c>
      <c r="H159" s="79" t="s">
        <v>14</v>
      </c>
      <c r="I159" s="78" t="s">
        <v>14</v>
      </c>
      <c r="J159" s="79" t="s">
        <v>14</v>
      </c>
      <c r="K159" s="142" t="s">
        <v>1851</v>
      </c>
      <c r="L159" s="149" t="s">
        <v>1844</v>
      </c>
      <c r="M159" s="150" t="s">
        <v>12</v>
      </c>
      <c r="N159" s="151">
        <v>22</v>
      </c>
      <c r="O159" s="151">
        <v>0</v>
      </c>
      <c r="P159" s="152">
        <v>0</v>
      </c>
      <c r="Q159" s="153">
        <v>100</v>
      </c>
      <c r="R159" s="154">
        <v>0</v>
      </c>
      <c r="S159" s="38">
        <f t="shared" si="22"/>
        <v>1</v>
      </c>
      <c r="T159" s="39">
        <f t="shared" si="23"/>
        <v>13</v>
      </c>
      <c r="U159" s="40">
        <f t="shared" si="24"/>
        <v>0</v>
      </c>
      <c r="V159" s="40">
        <f t="shared" si="25"/>
        <v>0</v>
      </c>
      <c r="W159" s="40">
        <f t="shared" si="26"/>
        <v>0</v>
      </c>
      <c r="X159" s="40">
        <f t="shared" si="27"/>
        <v>0</v>
      </c>
      <c r="Y159" s="40">
        <f t="shared" si="28"/>
        <v>0</v>
      </c>
      <c r="Z159" s="40">
        <f t="shared" si="29"/>
        <v>0</v>
      </c>
      <c r="AA159" s="40">
        <f t="shared" si="30"/>
        <v>0</v>
      </c>
      <c r="AB159" s="40">
        <f t="shared" si="31"/>
        <v>0</v>
      </c>
      <c r="AC159" s="41">
        <f t="shared" si="32"/>
        <v>0</v>
      </c>
      <c r="AD159" s="49" t="s">
        <v>5</v>
      </c>
      <c r="AE159" s="50" t="s">
        <v>116</v>
      </c>
      <c r="AF159" s="49" t="s">
        <v>5</v>
      </c>
      <c r="AG159" s="50" t="s">
        <v>135</v>
      </c>
      <c r="AH159" s="49" t="s">
        <v>5</v>
      </c>
      <c r="AI159" s="50" t="s">
        <v>101</v>
      </c>
      <c r="AJ159" s="49" t="s">
        <v>5</v>
      </c>
      <c r="AK159" s="50" t="s">
        <v>142</v>
      </c>
      <c r="AL159" s="49" t="s">
        <v>5</v>
      </c>
      <c r="AM159" s="50" t="s">
        <v>106</v>
      </c>
      <c r="AN159" s="49" t="s">
        <v>5</v>
      </c>
      <c r="AO159" s="50" t="s">
        <v>103</v>
      </c>
      <c r="AP159" s="49" t="s">
        <v>5</v>
      </c>
      <c r="AQ159" s="50" t="s">
        <v>144</v>
      </c>
      <c r="AR159" s="49" t="s">
        <v>5</v>
      </c>
      <c r="AS159" s="50" t="s">
        <v>104</v>
      </c>
      <c r="AT159" s="49" t="s">
        <v>5</v>
      </c>
      <c r="AU159" s="50" t="s">
        <v>105</v>
      </c>
      <c r="AV159" s="49" t="s">
        <v>5</v>
      </c>
      <c r="AW159" s="50" t="s">
        <v>94</v>
      </c>
      <c r="AX159" s="49" t="s">
        <v>1</v>
      </c>
      <c r="AY159" s="50" t="s">
        <v>95</v>
      </c>
      <c r="AZ159" s="49"/>
      <c r="BA159" s="50"/>
      <c r="BB159" s="49" t="s">
        <v>5</v>
      </c>
      <c r="BC159" s="50" t="s">
        <v>152</v>
      </c>
      <c r="BD159" s="49" t="s">
        <v>5</v>
      </c>
      <c r="BE159" s="50" t="s">
        <v>108</v>
      </c>
      <c r="BF159" s="49" t="s">
        <v>5</v>
      </c>
      <c r="BG159" s="50" t="s">
        <v>98</v>
      </c>
      <c r="BH159" s="49"/>
      <c r="BI159" s="50"/>
    </row>
    <row r="160" spans="1:61" x14ac:dyDescent="0.25">
      <c r="A160" s="76">
        <v>152862</v>
      </c>
      <c r="B160" s="77" t="s">
        <v>1785</v>
      </c>
      <c r="C160" s="78" t="s">
        <v>1620</v>
      </c>
      <c r="D160" s="76" t="s">
        <v>12</v>
      </c>
      <c r="E160" s="79" t="s">
        <v>87</v>
      </c>
      <c r="F160" s="79" t="s">
        <v>71</v>
      </c>
      <c r="G160" s="79" t="s">
        <v>14</v>
      </c>
      <c r="H160" s="79" t="s">
        <v>87</v>
      </c>
      <c r="I160" s="78" t="s">
        <v>14</v>
      </c>
      <c r="J160" s="79" t="s">
        <v>4</v>
      </c>
      <c r="K160" s="142" t="s">
        <v>1850</v>
      </c>
      <c r="L160" s="149" t="s">
        <v>1848</v>
      </c>
      <c r="M160" s="150" t="s">
        <v>12</v>
      </c>
      <c r="N160" s="151">
        <v>12</v>
      </c>
      <c r="O160" s="151">
        <v>2</v>
      </c>
      <c r="P160" s="152">
        <v>1</v>
      </c>
      <c r="Q160" s="153">
        <v>95.65</v>
      </c>
      <c r="R160" s="154">
        <v>0</v>
      </c>
      <c r="S160" s="38">
        <f t="shared" si="22"/>
        <v>0</v>
      </c>
      <c r="T160" s="39">
        <f t="shared" si="23"/>
        <v>12</v>
      </c>
      <c r="U160" s="40">
        <f t="shared" si="24"/>
        <v>2</v>
      </c>
      <c r="V160" s="40">
        <f t="shared" si="25"/>
        <v>0</v>
      </c>
      <c r="W160" s="40">
        <f t="shared" si="26"/>
        <v>0</v>
      </c>
      <c r="X160" s="40">
        <f t="shared" si="27"/>
        <v>2</v>
      </c>
      <c r="Y160" s="40">
        <f t="shared" si="28"/>
        <v>0</v>
      </c>
      <c r="Z160" s="40">
        <f t="shared" si="29"/>
        <v>0</v>
      </c>
      <c r="AA160" s="40">
        <f t="shared" si="30"/>
        <v>0</v>
      </c>
      <c r="AB160" s="40">
        <f t="shared" si="31"/>
        <v>0</v>
      </c>
      <c r="AC160" s="41">
        <f t="shared" si="32"/>
        <v>0</v>
      </c>
      <c r="AD160" s="49" t="s">
        <v>5</v>
      </c>
      <c r="AE160" s="50" t="s">
        <v>89</v>
      </c>
      <c r="AF160" s="49" t="s">
        <v>5</v>
      </c>
      <c r="AG160" s="50" t="s">
        <v>73</v>
      </c>
      <c r="AH160" s="49" t="s">
        <v>5</v>
      </c>
      <c r="AI160" s="50" t="s">
        <v>142</v>
      </c>
      <c r="AJ160" s="49" t="s">
        <v>30</v>
      </c>
      <c r="AK160" s="50" t="s">
        <v>722</v>
      </c>
      <c r="AL160" s="49" t="s">
        <v>30</v>
      </c>
      <c r="AM160" s="50" t="s">
        <v>142</v>
      </c>
      <c r="AN160" s="49"/>
      <c r="AO160" s="50"/>
      <c r="AP160" s="49" t="s">
        <v>5</v>
      </c>
      <c r="AQ160" s="50" t="s">
        <v>76</v>
      </c>
      <c r="AR160" s="49" t="s">
        <v>5</v>
      </c>
      <c r="AS160" s="50" t="s">
        <v>132</v>
      </c>
      <c r="AT160" s="49" t="s">
        <v>5</v>
      </c>
      <c r="AU160" s="50" t="s">
        <v>105</v>
      </c>
      <c r="AV160" s="49" t="s">
        <v>5</v>
      </c>
      <c r="AW160" s="50" t="s">
        <v>430</v>
      </c>
      <c r="AX160" s="49" t="s">
        <v>5</v>
      </c>
      <c r="AY160" s="50" t="s">
        <v>95</v>
      </c>
      <c r="AZ160" s="49"/>
      <c r="BA160" s="50"/>
      <c r="BB160" s="49" t="s">
        <v>5</v>
      </c>
      <c r="BC160" s="50" t="s">
        <v>741</v>
      </c>
      <c r="BD160" s="49" t="s">
        <v>5</v>
      </c>
      <c r="BE160" s="50" t="s">
        <v>97</v>
      </c>
      <c r="BF160" s="49" t="s">
        <v>5</v>
      </c>
      <c r="BG160" s="50" t="s">
        <v>170</v>
      </c>
      <c r="BH160" s="49" t="s">
        <v>5</v>
      </c>
      <c r="BI160" s="50" t="s">
        <v>130</v>
      </c>
    </row>
    <row r="161" spans="1:61" x14ac:dyDescent="0.25">
      <c r="A161" s="76">
        <v>152931</v>
      </c>
      <c r="B161" s="77" t="s">
        <v>1786</v>
      </c>
      <c r="C161" s="78" t="s">
        <v>1630</v>
      </c>
      <c r="D161" s="76" t="s">
        <v>12</v>
      </c>
      <c r="E161" s="79" t="s">
        <v>14</v>
      </c>
      <c r="F161" s="79" t="s">
        <v>71</v>
      </c>
      <c r="G161" s="79" t="s">
        <v>14</v>
      </c>
      <c r="H161" s="79" t="s">
        <v>14</v>
      </c>
      <c r="I161" s="78" t="s">
        <v>14</v>
      </c>
      <c r="J161" s="79" t="s">
        <v>6</v>
      </c>
      <c r="K161" s="142" t="s">
        <v>1850</v>
      </c>
      <c r="L161" s="149" t="s">
        <v>1845</v>
      </c>
      <c r="M161" s="150" t="s">
        <v>12</v>
      </c>
      <c r="N161" s="151">
        <v>19</v>
      </c>
      <c r="O161" s="151">
        <v>5</v>
      </c>
      <c r="P161" s="152">
        <v>2</v>
      </c>
      <c r="Q161" s="153">
        <v>65.22</v>
      </c>
      <c r="R161" s="154">
        <v>2</v>
      </c>
      <c r="S161" s="38">
        <f t="shared" si="22"/>
        <v>0</v>
      </c>
      <c r="T161" s="39">
        <f t="shared" si="23"/>
        <v>8</v>
      </c>
      <c r="U161" s="40">
        <f t="shared" si="24"/>
        <v>1</v>
      </c>
      <c r="V161" s="40">
        <f t="shared" si="25"/>
        <v>2</v>
      </c>
      <c r="W161" s="40">
        <f t="shared" si="26"/>
        <v>0</v>
      </c>
      <c r="X161" s="40">
        <f t="shared" si="27"/>
        <v>3</v>
      </c>
      <c r="Y161" s="40">
        <f t="shared" si="28"/>
        <v>0</v>
      </c>
      <c r="Z161" s="40">
        <f t="shared" si="29"/>
        <v>1</v>
      </c>
      <c r="AA161" s="40">
        <f t="shared" si="30"/>
        <v>0</v>
      </c>
      <c r="AB161" s="40">
        <f t="shared" si="31"/>
        <v>1</v>
      </c>
      <c r="AC161" s="41">
        <f t="shared" si="32"/>
        <v>0</v>
      </c>
      <c r="AD161" s="49" t="s">
        <v>5</v>
      </c>
      <c r="AE161" s="50" t="s">
        <v>89</v>
      </c>
      <c r="AF161" s="49" t="s">
        <v>5</v>
      </c>
      <c r="AG161" s="50" t="s">
        <v>117</v>
      </c>
      <c r="AH161" s="49" t="s">
        <v>31</v>
      </c>
      <c r="AI161" s="50" t="s">
        <v>101</v>
      </c>
      <c r="AJ161" s="49" t="s">
        <v>31</v>
      </c>
      <c r="AK161" s="50" t="s">
        <v>722</v>
      </c>
      <c r="AL161" s="49" t="s">
        <v>35</v>
      </c>
      <c r="AM161" s="50" t="s">
        <v>94</v>
      </c>
      <c r="AN161" s="49"/>
      <c r="AO161" s="50"/>
      <c r="AP161" s="49" t="s">
        <v>189</v>
      </c>
      <c r="AQ161" s="50" t="s">
        <v>131</v>
      </c>
      <c r="AR161" s="49" t="s">
        <v>5</v>
      </c>
      <c r="AS161" s="50" t="s">
        <v>120</v>
      </c>
      <c r="AT161" s="49" t="s">
        <v>5</v>
      </c>
      <c r="AU161" s="50" t="s">
        <v>78</v>
      </c>
      <c r="AV161" s="49" t="s">
        <v>5</v>
      </c>
      <c r="AW161" s="50" t="s">
        <v>430</v>
      </c>
      <c r="AX161" s="49" t="s">
        <v>30</v>
      </c>
      <c r="AY161" s="50" t="s">
        <v>95</v>
      </c>
      <c r="AZ161" s="49"/>
      <c r="BA161" s="50"/>
      <c r="BB161" s="49" t="s">
        <v>5</v>
      </c>
      <c r="BC161" s="50" t="s">
        <v>96</v>
      </c>
      <c r="BD161" s="49" t="s">
        <v>5</v>
      </c>
      <c r="BE161" s="50" t="s">
        <v>495</v>
      </c>
      <c r="BF161" s="49" t="s">
        <v>5</v>
      </c>
      <c r="BG161" s="50" t="s">
        <v>83</v>
      </c>
      <c r="BH161" s="49" t="s">
        <v>189</v>
      </c>
      <c r="BI161" s="50" t="s">
        <v>103</v>
      </c>
    </row>
    <row r="162" spans="1:61" x14ac:dyDescent="0.25">
      <c r="A162" s="76">
        <v>152938</v>
      </c>
      <c r="B162" s="77" t="s">
        <v>1787</v>
      </c>
      <c r="C162" s="78" t="s">
        <v>1620</v>
      </c>
      <c r="D162" s="76" t="s">
        <v>70</v>
      </c>
      <c r="E162" s="79" t="s">
        <v>14</v>
      </c>
      <c r="F162" s="79" t="s">
        <v>71</v>
      </c>
      <c r="G162" s="79" t="s">
        <v>14</v>
      </c>
      <c r="H162" s="79" t="s">
        <v>14</v>
      </c>
      <c r="I162" s="78" t="s">
        <v>14</v>
      </c>
      <c r="J162" s="79" t="s">
        <v>14</v>
      </c>
      <c r="K162" s="142" t="s">
        <v>1850</v>
      </c>
      <c r="L162" s="149" t="s">
        <v>1841</v>
      </c>
      <c r="M162" s="150" t="s">
        <v>1853</v>
      </c>
      <c r="N162" s="151">
        <v>15</v>
      </c>
      <c r="O162" s="151">
        <v>0</v>
      </c>
      <c r="P162" s="152">
        <v>0</v>
      </c>
      <c r="Q162" s="153">
        <v>95.65</v>
      </c>
      <c r="R162" s="154">
        <v>0</v>
      </c>
      <c r="S162" s="38">
        <f t="shared" si="22"/>
        <v>1</v>
      </c>
      <c r="T162" s="39">
        <f t="shared" si="23"/>
        <v>13</v>
      </c>
      <c r="U162" s="40">
        <f t="shared" si="24"/>
        <v>0</v>
      </c>
      <c r="V162" s="40">
        <f t="shared" si="25"/>
        <v>0</v>
      </c>
      <c r="W162" s="40">
        <f t="shared" si="26"/>
        <v>0</v>
      </c>
      <c r="X162" s="40">
        <f t="shared" si="27"/>
        <v>0</v>
      </c>
      <c r="Y162" s="40">
        <f t="shared" si="28"/>
        <v>0</v>
      </c>
      <c r="Z162" s="40">
        <f t="shared" si="29"/>
        <v>0</v>
      </c>
      <c r="AA162" s="40">
        <f t="shared" si="30"/>
        <v>0</v>
      </c>
      <c r="AB162" s="40">
        <f t="shared" si="31"/>
        <v>0</v>
      </c>
      <c r="AC162" s="41">
        <f t="shared" si="32"/>
        <v>0</v>
      </c>
      <c r="AD162" s="49" t="s">
        <v>5</v>
      </c>
      <c r="AE162" s="50" t="s">
        <v>89</v>
      </c>
      <c r="AF162" s="49"/>
      <c r="AG162" s="50"/>
      <c r="AH162" s="49" t="s">
        <v>5</v>
      </c>
      <c r="AI162" s="50" t="s">
        <v>142</v>
      </c>
      <c r="AJ162" s="49" t="s">
        <v>5</v>
      </c>
      <c r="AK162" s="50" t="s">
        <v>74</v>
      </c>
      <c r="AL162" s="49" t="s">
        <v>5</v>
      </c>
      <c r="AM162" s="50" t="s">
        <v>142</v>
      </c>
      <c r="AN162" s="49"/>
      <c r="AO162" s="50"/>
      <c r="AP162" s="49" t="s">
        <v>5</v>
      </c>
      <c r="AQ162" s="50" t="s">
        <v>76</v>
      </c>
      <c r="AR162" s="49" t="s">
        <v>5</v>
      </c>
      <c r="AS162" s="50" t="s">
        <v>132</v>
      </c>
      <c r="AT162" s="49" t="s">
        <v>5</v>
      </c>
      <c r="AU162" s="50" t="s">
        <v>105</v>
      </c>
      <c r="AV162" s="49" t="s">
        <v>5</v>
      </c>
      <c r="AW162" s="50" t="s">
        <v>112</v>
      </c>
      <c r="AX162" s="49" t="s">
        <v>1</v>
      </c>
      <c r="AY162" s="50" t="s">
        <v>95</v>
      </c>
      <c r="AZ162" s="49" t="s">
        <v>5</v>
      </c>
      <c r="BA162" s="50" t="s">
        <v>105</v>
      </c>
      <c r="BB162" s="49" t="s">
        <v>5</v>
      </c>
      <c r="BC162" s="50" t="s">
        <v>152</v>
      </c>
      <c r="BD162" s="49" t="s">
        <v>5</v>
      </c>
      <c r="BE162" s="50" t="s">
        <v>97</v>
      </c>
      <c r="BF162" s="49" t="s">
        <v>5</v>
      </c>
      <c r="BG162" s="50" t="s">
        <v>83</v>
      </c>
      <c r="BH162" s="49" t="s">
        <v>5</v>
      </c>
      <c r="BI162" s="50" t="s">
        <v>130</v>
      </c>
    </row>
    <row r="163" spans="1:61" x14ac:dyDescent="0.25">
      <c r="A163" s="76">
        <v>152935</v>
      </c>
      <c r="B163" s="77" t="s">
        <v>1788</v>
      </c>
      <c r="C163" s="78" t="s">
        <v>1648</v>
      </c>
      <c r="D163" s="76" t="s">
        <v>70</v>
      </c>
      <c r="E163" s="79" t="s">
        <v>14</v>
      </c>
      <c r="F163" s="79" t="s">
        <v>71</v>
      </c>
      <c r="G163" s="79" t="s">
        <v>14</v>
      </c>
      <c r="H163" s="79" t="s">
        <v>14</v>
      </c>
      <c r="I163" s="78" t="s">
        <v>14</v>
      </c>
      <c r="J163" s="79" t="s">
        <v>14</v>
      </c>
      <c r="K163" s="142" t="s">
        <v>1850</v>
      </c>
      <c r="L163" s="149" t="s">
        <v>1841</v>
      </c>
      <c r="M163" s="150" t="s">
        <v>1853</v>
      </c>
      <c r="N163" s="151">
        <v>21</v>
      </c>
      <c r="O163" s="151">
        <v>0</v>
      </c>
      <c r="P163" s="152">
        <v>0</v>
      </c>
      <c r="Q163" s="153">
        <v>82.61</v>
      </c>
      <c r="R163" s="154">
        <v>0</v>
      </c>
      <c r="S163" s="38">
        <f t="shared" si="22"/>
        <v>1</v>
      </c>
      <c r="T163" s="39">
        <f t="shared" si="23"/>
        <v>13</v>
      </c>
      <c r="U163" s="40">
        <f t="shared" si="24"/>
        <v>0</v>
      </c>
      <c r="V163" s="40">
        <f t="shared" si="25"/>
        <v>0</v>
      </c>
      <c r="W163" s="40">
        <f t="shared" si="26"/>
        <v>0</v>
      </c>
      <c r="X163" s="40">
        <f t="shared" si="27"/>
        <v>0</v>
      </c>
      <c r="Y163" s="40">
        <f t="shared" si="28"/>
        <v>0</v>
      </c>
      <c r="Z163" s="40">
        <f t="shared" si="29"/>
        <v>0</v>
      </c>
      <c r="AA163" s="40">
        <f t="shared" si="30"/>
        <v>0</v>
      </c>
      <c r="AB163" s="40">
        <f t="shared" si="31"/>
        <v>0</v>
      </c>
      <c r="AC163" s="41">
        <f t="shared" si="32"/>
        <v>0</v>
      </c>
      <c r="AD163" s="49" t="s">
        <v>5</v>
      </c>
      <c r="AE163" s="50" t="s">
        <v>116</v>
      </c>
      <c r="AF163" s="49" t="s">
        <v>5</v>
      </c>
      <c r="AG163" s="50" t="s">
        <v>135</v>
      </c>
      <c r="AH163" s="49" t="s">
        <v>5</v>
      </c>
      <c r="AI163" s="50" t="s">
        <v>101</v>
      </c>
      <c r="AJ163" s="49" t="s">
        <v>5</v>
      </c>
      <c r="AK163" s="50" t="s">
        <v>722</v>
      </c>
      <c r="AL163" s="49" t="s">
        <v>5</v>
      </c>
      <c r="AM163" s="50" t="s">
        <v>714</v>
      </c>
      <c r="AN163" s="49" t="s">
        <v>5</v>
      </c>
      <c r="AO163" s="50" t="s">
        <v>124</v>
      </c>
      <c r="AP163" s="49" t="s">
        <v>5</v>
      </c>
      <c r="AQ163" s="50" t="s">
        <v>76</v>
      </c>
      <c r="AR163" s="49" t="s">
        <v>5</v>
      </c>
      <c r="AS163" s="50" t="s">
        <v>132</v>
      </c>
      <c r="AT163" s="49" t="s">
        <v>5</v>
      </c>
      <c r="AU163" s="50" t="s">
        <v>163</v>
      </c>
      <c r="AV163" s="49" t="s">
        <v>5</v>
      </c>
      <c r="AW163" s="50" t="s">
        <v>112</v>
      </c>
      <c r="AX163" s="49" t="s">
        <v>1</v>
      </c>
      <c r="AY163" s="50" t="s">
        <v>95</v>
      </c>
      <c r="AZ163" s="49"/>
      <c r="BA163" s="50"/>
      <c r="BB163" s="49" t="s">
        <v>5</v>
      </c>
      <c r="BC163" s="50" t="s">
        <v>81</v>
      </c>
      <c r="BD163" s="49" t="s">
        <v>5</v>
      </c>
      <c r="BE163" s="50" t="s">
        <v>153</v>
      </c>
      <c r="BF163" s="49" t="s">
        <v>5</v>
      </c>
      <c r="BG163" s="50" t="s">
        <v>83</v>
      </c>
      <c r="BH163" s="49"/>
      <c r="BI163" s="50"/>
    </row>
    <row r="164" spans="1:61" x14ac:dyDescent="0.25">
      <c r="A164" s="76">
        <v>152793</v>
      </c>
      <c r="B164" s="77" t="s">
        <v>1789</v>
      </c>
      <c r="C164" s="78" t="s">
        <v>1628</v>
      </c>
      <c r="D164" s="76" t="s">
        <v>12</v>
      </c>
      <c r="E164" s="79" t="s">
        <v>87</v>
      </c>
      <c r="F164" s="79" t="s">
        <v>450</v>
      </c>
      <c r="G164" s="79" t="s">
        <v>14</v>
      </c>
      <c r="H164" s="79" t="s">
        <v>87</v>
      </c>
      <c r="I164" s="78" t="s">
        <v>14</v>
      </c>
      <c r="J164" s="79" t="s">
        <v>14</v>
      </c>
      <c r="K164" s="142" t="s">
        <v>1850</v>
      </c>
      <c r="L164" s="149" t="s">
        <v>1847</v>
      </c>
      <c r="M164" s="150" t="s">
        <v>1853</v>
      </c>
      <c r="N164" s="151">
        <v>20</v>
      </c>
      <c r="O164" s="151">
        <v>0</v>
      </c>
      <c r="P164" s="152">
        <v>0</v>
      </c>
      <c r="Q164" s="153">
        <v>95.65</v>
      </c>
      <c r="R164" s="154">
        <v>2</v>
      </c>
      <c r="S164" s="38">
        <f t="shared" si="22"/>
        <v>1</v>
      </c>
      <c r="T164" s="39">
        <f t="shared" si="23"/>
        <v>13</v>
      </c>
      <c r="U164" s="40">
        <f t="shared" si="24"/>
        <v>0</v>
      </c>
      <c r="V164" s="40">
        <f t="shared" si="25"/>
        <v>0</v>
      </c>
      <c r="W164" s="40">
        <f t="shared" si="26"/>
        <v>0</v>
      </c>
      <c r="X164" s="40">
        <f t="shared" si="27"/>
        <v>0</v>
      </c>
      <c r="Y164" s="40">
        <f t="shared" si="28"/>
        <v>0</v>
      </c>
      <c r="Z164" s="40">
        <f t="shared" si="29"/>
        <v>0</v>
      </c>
      <c r="AA164" s="40">
        <f t="shared" si="30"/>
        <v>0</v>
      </c>
      <c r="AB164" s="40">
        <f t="shared" si="31"/>
        <v>0</v>
      </c>
      <c r="AC164" s="41">
        <f t="shared" si="32"/>
        <v>0</v>
      </c>
      <c r="AD164" s="49" t="s">
        <v>5</v>
      </c>
      <c r="AE164" s="50" t="s">
        <v>116</v>
      </c>
      <c r="AF164" s="49" t="s">
        <v>5</v>
      </c>
      <c r="AG164" s="50" t="s">
        <v>90</v>
      </c>
      <c r="AH164" s="49" t="s">
        <v>5</v>
      </c>
      <c r="AI164" s="50" t="s">
        <v>101</v>
      </c>
      <c r="AJ164" s="49" t="s">
        <v>5</v>
      </c>
      <c r="AK164" s="50" t="s">
        <v>74</v>
      </c>
      <c r="AL164" s="49" t="s">
        <v>5</v>
      </c>
      <c r="AM164" s="50" t="s">
        <v>106</v>
      </c>
      <c r="AN164" s="49" t="s">
        <v>5</v>
      </c>
      <c r="AO164" s="50" t="s">
        <v>103</v>
      </c>
      <c r="AP164" s="49" t="s">
        <v>5</v>
      </c>
      <c r="AQ164" s="50" t="s">
        <v>144</v>
      </c>
      <c r="AR164" s="49" t="s">
        <v>5</v>
      </c>
      <c r="AS164" s="50" t="s">
        <v>104</v>
      </c>
      <c r="AT164" s="49" t="s">
        <v>5</v>
      </c>
      <c r="AU164" s="50" t="s">
        <v>105</v>
      </c>
      <c r="AV164" s="49" t="s">
        <v>5</v>
      </c>
      <c r="AW164" s="50" t="s">
        <v>430</v>
      </c>
      <c r="AX164" s="49" t="s">
        <v>5</v>
      </c>
      <c r="AY164" s="50" t="s">
        <v>95</v>
      </c>
      <c r="AZ164" s="49"/>
      <c r="BA164" s="50"/>
      <c r="BB164" s="49" t="s">
        <v>1</v>
      </c>
      <c r="BC164" s="50" t="s">
        <v>96</v>
      </c>
      <c r="BD164" s="49" t="s">
        <v>5</v>
      </c>
      <c r="BE164" s="50" t="s">
        <v>108</v>
      </c>
      <c r="BF164" s="49" t="s">
        <v>5</v>
      </c>
      <c r="BG164" s="50" t="s">
        <v>83</v>
      </c>
      <c r="BH164" s="49"/>
      <c r="BI164" s="50"/>
    </row>
    <row r="165" spans="1:61" x14ac:dyDescent="0.25">
      <c r="A165" s="76">
        <v>152897</v>
      </c>
      <c r="B165" s="77" t="s">
        <v>1790</v>
      </c>
      <c r="C165" s="78" t="s">
        <v>1639</v>
      </c>
      <c r="D165" s="76" t="s">
        <v>70</v>
      </c>
      <c r="E165" s="79" t="s">
        <v>14</v>
      </c>
      <c r="F165" s="79" t="s">
        <v>450</v>
      </c>
      <c r="G165" s="79" t="s">
        <v>87</v>
      </c>
      <c r="H165" s="79" t="s">
        <v>14</v>
      </c>
      <c r="I165" s="78" t="s">
        <v>14</v>
      </c>
      <c r="J165" s="79" t="s">
        <v>14</v>
      </c>
      <c r="K165" s="142" t="s">
        <v>1850</v>
      </c>
      <c r="L165" s="149" t="s">
        <v>1844</v>
      </c>
      <c r="M165" s="150" t="s">
        <v>12</v>
      </c>
      <c r="N165" s="151">
        <v>17</v>
      </c>
      <c r="O165" s="151">
        <v>0</v>
      </c>
      <c r="P165" s="152">
        <v>0</v>
      </c>
      <c r="Q165" s="153">
        <v>100</v>
      </c>
      <c r="R165" s="154">
        <v>2</v>
      </c>
      <c r="S165" s="38">
        <f t="shared" si="22"/>
        <v>0</v>
      </c>
      <c r="T165" s="39">
        <f t="shared" si="23"/>
        <v>14</v>
      </c>
      <c r="U165" s="40">
        <f t="shared" si="24"/>
        <v>0</v>
      </c>
      <c r="V165" s="40">
        <f t="shared" si="25"/>
        <v>0</v>
      </c>
      <c r="W165" s="40">
        <f t="shared" si="26"/>
        <v>0</v>
      </c>
      <c r="X165" s="40">
        <f t="shared" si="27"/>
        <v>0</v>
      </c>
      <c r="Y165" s="40">
        <f t="shared" si="28"/>
        <v>0</v>
      </c>
      <c r="Z165" s="40">
        <f t="shared" si="29"/>
        <v>0</v>
      </c>
      <c r="AA165" s="40">
        <f t="shared" si="30"/>
        <v>0</v>
      </c>
      <c r="AB165" s="40">
        <f t="shared" si="31"/>
        <v>0</v>
      </c>
      <c r="AC165" s="41">
        <f t="shared" si="32"/>
        <v>0</v>
      </c>
      <c r="AD165" s="49" t="s">
        <v>5</v>
      </c>
      <c r="AE165" s="50" t="s">
        <v>72</v>
      </c>
      <c r="AF165" s="49" t="s">
        <v>5</v>
      </c>
      <c r="AG165" s="50" t="s">
        <v>73</v>
      </c>
      <c r="AH165" s="49" t="s">
        <v>5</v>
      </c>
      <c r="AI165" s="50" t="s">
        <v>101</v>
      </c>
      <c r="AJ165" s="49" t="s">
        <v>5</v>
      </c>
      <c r="AK165" s="50" t="s">
        <v>459</v>
      </c>
      <c r="AL165" s="49" t="s">
        <v>5</v>
      </c>
      <c r="AM165" s="50" t="s">
        <v>130</v>
      </c>
      <c r="AN165" s="49" t="s">
        <v>5</v>
      </c>
      <c r="AO165" s="50" t="s">
        <v>143</v>
      </c>
      <c r="AP165" s="49" t="s">
        <v>5</v>
      </c>
      <c r="AQ165" s="50" t="s">
        <v>131</v>
      </c>
      <c r="AR165" s="49" t="s">
        <v>5</v>
      </c>
      <c r="AS165" s="50" t="s">
        <v>120</v>
      </c>
      <c r="AT165" s="49" t="s">
        <v>5</v>
      </c>
      <c r="AU165" s="50" t="s">
        <v>105</v>
      </c>
      <c r="AV165" s="49" t="s">
        <v>5</v>
      </c>
      <c r="AW165" s="50" t="s">
        <v>79</v>
      </c>
      <c r="AX165" s="49" t="s">
        <v>5</v>
      </c>
      <c r="AY165" s="50" t="s">
        <v>80</v>
      </c>
      <c r="AZ165" s="49"/>
      <c r="BA165" s="50"/>
      <c r="BB165" s="49" t="s">
        <v>5</v>
      </c>
      <c r="BC165" s="50" t="s">
        <v>81</v>
      </c>
      <c r="BD165" s="49" t="s">
        <v>5</v>
      </c>
      <c r="BE165" s="50" t="s">
        <v>82</v>
      </c>
      <c r="BF165" s="49" t="s">
        <v>5</v>
      </c>
      <c r="BG165" s="50" t="s">
        <v>164</v>
      </c>
      <c r="BH165" s="49"/>
      <c r="BI165" s="50"/>
    </row>
    <row r="166" spans="1:61" x14ac:dyDescent="0.25">
      <c r="A166" s="76">
        <v>152801</v>
      </c>
      <c r="B166" s="77" t="s">
        <v>1791</v>
      </c>
      <c r="C166" s="78" t="s">
        <v>1628</v>
      </c>
      <c r="D166" s="76" t="s">
        <v>12</v>
      </c>
      <c r="E166" s="79" t="s">
        <v>14</v>
      </c>
      <c r="F166" s="79" t="s">
        <v>88</v>
      </c>
      <c r="G166" s="79" t="s">
        <v>87</v>
      </c>
      <c r="H166" s="79" t="s">
        <v>14</v>
      </c>
      <c r="I166" s="78" t="s">
        <v>14</v>
      </c>
      <c r="J166" s="79" t="s">
        <v>14</v>
      </c>
      <c r="K166" s="142" t="s">
        <v>1850</v>
      </c>
      <c r="L166" s="149" t="s">
        <v>1842</v>
      </c>
      <c r="M166" s="150" t="s">
        <v>1853</v>
      </c>
      <c r="N166" s="151">
        <v>16</v>
      </c>
      <c r="O166" s="151">
        <v>0</v>
      </c>
      <c r="P166" s="152">
        <v>0</v>
      </c>
      <c r="Q166" s="153">
        <v>100</v>
      </c>
      <c r="R166" s="154">
        <v>6</v>
      </c>
      <c r="S166" s="38">
        <f t="shared" si="22"/>
        <v>1</v>
      </c>
      <c r="T166" s="39">
        <f t="shared" si="23"/>
        <v>13</v>
      </c>
      <c r="U166" s="40">
        <f t="shared" si="24"/>
        <v>0</v>
      </c>
      <c r="V166" s="40">
        <f t="shared" si="25"/>
        <v>0</v>
      </c>
      <c r="W166" s="40">
        <f t="shared" si="26"/>
        <v>0</v>
      </c>
      <c r="X166" s="40">
        <f t="shared" si="27"/>
        <v>0</v>
      </c>
      <c r="Y166" s="40">
        <f t="shared" si="28"/>
        <v>0</v>
      </c>
      <c r="Z166" s="40">
        <f t="shared" si="29"/>
        <v>0</v>
      </c>
      <c r="AA166" s="40">
        <f t="shared" si="30"/>
        <v>0</v>
      </c>
      <c r="AB166" s="40">
        <f t="shared" si="31"/>
        <v>0</v>
      </c>
      <c r="AC166" s="41">
        <f t="shared" si="32"/>
        <v>0</v>
      </c>
      <c r="AD166" s="49" t="s">
        <v>5</v>
      </c>
      <c r="AE166" s="50" t="s">
        <v>116</v>
      </c>
      <c r="AF166" s="49" t="s">
        <v>5</v>
      </c>
      <c r="AG166" s="50" t="s">
        <v>73</v>
      </c>
      <c r="AH166" s="49" t="s">
        <v>5</v>
      </c>
      <c r="AI166" s="50" t="s">
        <v>101</v>
      </c>
      <c r="AJ166" s="49" t="s">
        <v>5</v>
      </c>
      <c r="AK166" s="50" t="s">
        <v>459</v>
      </c>
      <c r="AL166" s="49" t="s">
        <v>5</v>
      </c>
      <c r="AM166" s="50" t="s">
        <v>106</v>
      </c>
      <c r="AN166" s="49" t="s">
        <v>5</v>
      </c>
      <c r="AO166" s="50" t="s">
        <v>103</v>
      </c>
      <c r="AP166" s="49" t="s">
        <v>5</v>
      </c>
      <c r="AQ166" s="50" t="s">
        <v>144</v>
      </c>
      <c r="AR166" s="49" t="s">
        <v>5</v>
      </c>
      <c r="AS166" s="50" t="s">
        <v>104</v>
      </c>
      <c r="AT166" s="49" t="s">
        <v>5</v>
      </c>
      <c r="AU166" s="50" t="s">
        <v>105</v>
      </c>
      <c r="AV166" s="49" t="s">
        <v>5</v>
      </c>
      <c r="AW166" s="50" t="s">
        <v>112</v>
      </c>
      <c r="AX166" s="49" t="s">
        <v>5</v>
      </c>
      <c r="AY166" s="50" t="s">
        <v>95</v>
      </c>
      <c r="AZ166" s="49"/>
      <c r="BA166" s="50"/>
      <c r="BB166" s="49" t="s">
        <v>1</v>
      </c>
      <c r="BC166" s="50" t="s">
        <v>96</v>
      </c>
      <c r="BD166" s="49" t="s">
        <v>5</v>
      </c>
      <c r="BE166" s="50" t="s">
        <v>108</v>
      </c>
      <c r="BF166" s="49" t="s">
        <v>5</v>
      </c>
      <c r="BG166" s="50" t="s">
        <v>164</v>
      </c>
      <c r="BH166" s="49"/>
      <c r="BI166" s="50"/>
    </row>
    <row r="167" spans="1:61" x14ac:dyDescent="0.25">
      <c r="A167" s="76">
        <v>152869</v>
      </c>
      <c r="B167" s="77" t="s">
        <v>1792</v>
      </c>
      <c r="C167" s="78" t="s">
        <v>1630</v>
      </c>
      <c r="D167" s="76" t="s">
        <v>70</v>
      </c>
      <c r="E167" s="79" t="s">
        <v>14</v>
      </c>
      <c r="F167" s="79" t="s">
        <v>71</v>
      </c>
      <c r="G167" s="79" t="s">
        <v>14</v>
      </c>
      <c r="H167" s="79" t="s">
        <v>14</v>
      </c>
      <c r="I167" s="78" t="s">
        <v>14</v>
      </c>
      <c r="J167" s="79" t="s">
        <v>14</v>
      </c>
      <c r="K167" s="142" t="s">
        <v>1850</v>
      </c>
      <c r="L167" s="149" t="s">
        <v>1848</v>
      </c>
      <c r="M167" s="150" t="s">
        <v>12</v>
      </c>
      <c r="N167" s="151">
        <v>28</v>
      </c>
      <c r="O167" s="151">
        <v>0</v>
      </c>
      <c r="P167" s="152">
        <v>1</v>
      </c>
      <c r="Q167" s="153">
        <v>84.78</v>
      </c>
      <c r="R167" s="154">
        <v>0</v>
      </c>
      <c r="S167" s="38">
        <f t="shared" si="22"/>
        <v>2</v>
      </c>
      <c r="T167" s="39">
        <f t="shared" si="23"/>
        <v>12</v>
      </c>
      <c r="U167" s="40">
        <f t="shared" si="24"/>
        <v>0</v>
      </c>
      <c r="V167" s="40">
        <f t="shared" si="25"/>
        <v>0</v>
      </c>
      <c r="W167" s="40">
        <f t="shared" si="26"/>
        <v>0</v>
      </c>
      <c r="X167" s="40">
        <f t="shared" si="27"/>
        <v>0</v>
      </c>
      <c r="Y167" s="40">
        <f t="shared" si="28"/>
        <v>0</v>
      </c>
      <c r="Z167" s="40">
        <f t="shared" si="29"/>
        <v>0</v>
      </c>
      <c r="AA167" s="40">
        <f t="shared" si="30"/>
        <v>0</v>
      </c>
      <c r="AB167" s="40">
        <f t="shared" si="31"/>
        <v>0</v>
      </c>
      <c r="AC167" s="41">
        <f t="shared" si="32"/>
        <v>0</v>
      </c>
      <c r="AD167" s="49" t="s">
        <v>5</v>
      </c>
      <c r="AE167" s="50" t="s">
        <v>89</v>
      </c>
      <c r="AF167" s="49" t="s">
        <v>5</v>
      </c>
      <c r="AG167" s="50" t="s">
        <v>135</v>
      </c>
      <c r="AH167" s="49" t="s">
        <v>1</v>
      </c>
      <c r="AI167" s="50" t="s">
        <v>101</v>
      </c>
      <c r="AJ167" s="49" t="s">
        <v>5</v>
      </c>
      <c r="AK167" s="50" t="s">
        <v>194</v>
      </c>
      <c r="AL167" s="49" t="s">
        <v>1</v>
      </c>
      <c r="AM167" s="50" t="s">
        <v>94</v>
      </c>
      <c r="AN167" s="49"/>
      <c r="AO167" s="50"/>
      <c r="AP167" s="49" t="s">
        <v>5</v>
      </c>
      <c r="AQ167" s="50" t="s">
        <v>131</v>
      </c>
      <c r="AR167" s="49" t="s">
        <v>5</v>
      </c>
      <c r="AS167" s="50" t="s">
        <v>120</v>
      </c>
      <c r="AT167" s="49" t="s">
        <v>5</v>
      </c>
      <c r="AU167" s="50" t="s">
        <v>78</v>
      </c>
      <c r="AV167" s="49" t="s">
        <v>5</v>
      </c>
      <c r="AW167" s="50" t="s">
        <v>430</v>
      </c>
      <c r="AX167" s="49" t="s">
        <v>5</v>
      </c>
      <c r="AY167" s="50" t="s">
        <v>95</v>
      </c>
      <c r="AZ167" s="49"/>
      <c r="BA167" s="50"/>
      <c r="BB167" s="49" t="s">
        <v>5</v>
      </c>
      <c r="BC167" s="50" t="s">
        <v>152</v>
      </c>
      <c r="BD167" s="49" t="s">
        <v>5</v>
      </c>
      <c r="BE167" s="50" t="s">
        <v>495</v>
      </c>
      <c r="BF167" s="49" t="s">
        <v>5</v>
      </c>
      <c r="BG167" s="50" t="s">
        <v>164</v>
      </c>
      <c r="BH167" s="49" t="s">
        <v>5</v>
      </c>
      <c r="BI167" s="50" t="s">
        <v>103</v>
      </c>
    </row>
    <row r="168" spans="1:61" x14ac:dyDescent="0.25">
      <c r="A168" s="76">
        <v>152946</v>
      </c>
      <c r="B168" s="77" t="s">
        <v>1793</v>
      </c>
      <c r="C168" s="78" t="s">
        <v>1628</v>
      </c>
      <c r="D168" s="76" t="s">
        <v>70</v>
      </c>
      <c r="E168" s="79" t="s">
        <v>14</v>
      </c>
      <c r="F168" s="79" t="s">
        <v>71</v>
      </c>
      <c r="G168" s="79" t="s">
        <v>14</v>
      </c>
      <c r="H168" s="79" t="s">
        <v>14</v>
      </c>
      <c r="I168" s="78" t="s">
        <v>14</v>
      </c>
      <c r="J168" s="79" t="s">
        <v>14</v>
      </c>
      <c r="K168" s="142" t="s">
        <v>1850</v>
      </c>
      <c r="L168" s="149" t="s">
        <v>1844</v>
      </c>
      <c r="M168" s="150" t="s">
        <v>1853</v>
      </c>
      <c r="N168" s="151">
        <v>17</v>
      </c>
      <c r="O168" s="151">
        <v>0</v>
      </c>
      <c r="P168" s="152">
        <v>0</v>
      </c>
      <c r="Q168" s="153">
        <v>97.83</v>
      </c>
      <c r="R168" s="154">
        <v>1</v>
      </c>
      <c r="S168" s="38">
        <f t="shared" si="22"/>
        <v>1</v>
      </c>
      <c r="T168" s="39">
        <f t="shared" si="23"/>
        <v>13</v>
      </c>
      <c r="U168" s="40">
        <f t="shared" si="24"/>
        <v>0</v>
      </c>
      <c r="V168" s="40">
        <f t="shared" si="25"/>
        <v>0</v>
      </c>
      <c r="W168" s="40">
        <f t="shared" si="26"/>
        <v>0</v>
      </c>
      <c r="X168" s="40">
        <f t="shared" si="27"/>
        <v>0</v>
      </c>
      <c r="Y168" s="40">
        <f t="shared" si="28"/>
        <v>0</v>
      </c>
      <c r="Z168" s="40">
        <f t="shared" si="29"/>
        <v>0</v>
      </c>
      <c r="AA168" s="40">
        <f t="shared" si="30"/>
        <v>0</v>
      </c>
      <c r="AB168" s="40">
        <f t="shared" si="31"/>
        <v>0</v>
      </c>
      <c r="AC168" s="41">
        <f t="shared" si="32"/>
        <v>0</v>
      </c>
      <c r="AD168" s="49" t="s">
        <v>5</v>
      </c>
      <c r="AE168" s="50" t="s">
        <v>116</v>
      </c>
      <c r="AF168" s="49"/>
      <c r="AG168" s="50"/>
      <c r="AH168" s="49" t="s">
        <v>5</v>
      </c>
      <c r="AI168" s="50" t="s">
        <v>101</v>
      </c>
      <c r="AJ168" s="49" t="s">
        <v>5</v>
      </c>
      <c r="AK168" s="50" t="s">
        <v>142</v>
      </c>
      <c r="AL168" s="49" t="s">
        <v>5</v>
      </c>
      <c r="AM168" s="50" t="s">
        <v>106</v>
      </c>
      <c r="AN168" s="49" t="s">
        <v>5</v>
      </c>
      <c r="AO168" s="50" t="s">
        <v>103</v>
      </c>
      <c r="AP168" s="49" t="s">
        <v>5</v>
      </c>
      <c r="AQ168" s="50" t="s">
        <v>144</v>
      </c>
      <c r="AR168" s="49" t="s">
        <v>1</v>
      </c>
      <c r="AS168" s="50" t="s">
        <v>104</v>
      </c>
      <c r="AT168" s="49" t="s">
        <v>5</v>
      </c>
      <c r="AU168" s="50" t="s">
        <v>105</v>
      </c>
      <c r="AV168" s="49" t="s">
        <v>5</v>
      </c>
      <c r="AW168" s="50" t="s">
        <v>94</v>
      </c>
      <c r="AX168" s="49" t="s">
        <v>5</v>
      </c>
      <c r="AY168" s="50" t="s">
        <v>95</v>
      </c>
      <c r="AZ168" s="49" t="s">
        <v>5</v>
      </c>
      <c r="BA168" s="50" t="s">
        <v>120</v>
      </c>
      <c r="BB168" s="49" t="s">
        <v>5</v>
      </c>
      <c r="BC168" s="50" t="s">
        <v>152</v>
      </c>
      <c r="BD168" s="49" t="s">
        <v>5</v>
      </c>
      <c r="BE168" s="50" t="s">
        <v>108</v>
      </c>
      <c r="BF168" s="49" t="s">
        <v>5</v>
      </c>
      <c r="BG168" s="50" t="s">
        <v>170</v>
      </c>
      <c r="BH168" s="49"/>
      <c r="BI168" s="50"/>
    </row>
    <row r="169" spans="1:61" x14ac:dyDescent="0.25">
      <c r="A169" s="76">
        <v>152759</v>
      </c>
      <c r="B169" s="77" t="s">
        <v>1794</v>
      </c>
      <c r="C169" s="78" t="s">
        <v>1622</v>
      </c>
      <c r="D169" s="76" t="s">
        <v>12</v>
      </c>
      <c r="E169" s="79" t="s">
        <v>14</v>
      </c>
      <c r="F169" s="79" t="s">
        <v>88</v>
      </c>
      <c r="G169" s="79" t="s">
        <v>87</v>
      </c>
      <c r="H169" s="79" t="s">
        <v>14</v>
      </c>
      <c r="I169" s="78" t="s">
        <v>14</v>
      </c>
      <c r="J169" s="79" t="s">
        <v>14</v>
      </c>
      <c r="K169" s="142" t="s">
        <v>1850</v>
      </c>
      <c r="L169" s="149" t="s">
        <v>1845</v>
      </c>
      <c r="M169" s="150" t="s">
        <v>12</v>
      </c>
      <c r="N169" s="151">
        <v>11</v>
      </c>
      <c r="O169" s="151">
        <v>0</v>
      </c>
      <c r="P169" s="152">
        <v>0</v>
      </c>
      <c r="Q169" s="153">
        <v>100</v>
      </c>
      <c r="R169" s="154">
        <v>0</v>
      </c>
      <c r="S169" s="38">
        <f t="shared" si="22"/>
        <v>2</v>
      </c>
      <c r="T169" s="39">
        <f t="shared" si="23"/>
        <v>12</v>
      </c>
      <c r="U169" s="40">
        <f t="shared" si="24"/>
        <v>0</v>
      </c>
      <c r="V169" s="40">
        <f t="shared" si="25"/>
        <v>0</v>
      </c>
      <c r="W169" s="40">
        <f t="shared" si="26"/>
        <v>0</v>
      </c>
      <c r="X169" s="40">
        <f t="shared" si="27"/>
        <v>0</v>
      </c>
      <c r="Y169" s="40">
        <f t="shared" si="28"/>
        <v>0</v>
      </c>
      <c r="Z169" s="40">
        <f t="shared" si="29"/>
        <v>0</v>
      </c>
      <c r="AA169" s="40">
        <f t="shared" si="30"/>
        <v>0</v>
      </c>
      <c r="AB169" s="40">
        <f t="shared" si="31"/>
        <v>0</v>
      </c>
      <c r="AC169" s="41">
        <f t="shared" si="32"/>
        <v>0</v>
      </c>
      <c r="AD169" s="49" t="s">
        <v>5</v>
      </c>
      <c r="AE169" s="50" t="s">
        <v>89</v>
      </c>
      <c r="AF169" s="49" t="s">
        <v>5</v>
      </c>
      <c r="AG169" s="50" t="s">
        <v>117</v>
      </c>
      <c r="AH169" s="49" t="s">
        <v>5</v>
      </c>
      <c r="AI169" s="50" t="s">
        <v>142</v>
      </c>
      <c r="AJ169" s="49" t="s">
        <v>5</v>
      </c>
      <c r="AK169" s="50" t="s">
        <v>111</v>
      </c>
      <c r="AL169" s="49" t="s">
        <v>5</v>
      </c>
      <c r="AM169" s="50" t="s">
        <v>98</v>
      </c>
      <c r="AN169" s="49" t="s">
        <v>5</v>
      </c>
      <c r="AO169" s="50" t="s">
        <v>75</v>
      </c>
      <c r="AP169" s="49" t="s">
        <v>5</v>
      </c>
      <c r="AQ169" s="50" t="s">
        <v>92</v>
      </c>
      <c r="AR169" s="49" t="s">
        <v>5</v>
      </c>
      <c r="AS169" s="50" t="s">
        <v>104</v>
      </c>
      <c r="AT169" s="49" t="s">
        <v>5</v>
      </c>
      <c r="AU169" s="50" t="s">
        <v>105</v>
      </c>
      <c r="AV169" s="49" t="s">
        <v>1</v>
      </c>
      <c r="AW169" s="50" t="s">
        <v>79</v>
      </c>
      <c r="AX169" s="49" t="s">
        <v>5</v>
      </c>
      <c r="AY169" s="50" t="s">
        <v>80</v>
      </c>
      <c r="AZ169" s="49"/>
      <c r="BA169" s="50"/>
      <c r="BB169" s="49" t="s">
        <v>1</v>
      </c>
      <c r="BC169" s="50" t="s">
        <v>107</v>
      </c>
      <c r="BD169" s="49" t="s">
        <v>5</v>
      </c>
      <c r="BE169" s="50" t="s">
        <v>122</v>
      </c>
      <c r="BF169" s="49" t="s">
        <v>5</v>
      </c>
      <c r="BG169" s="50" t="s">
        <v>164</v>
      </c>
      <c r="BH169" s="49"/>
      <c r="BI169" s="50"/>
    </row>
    <row r="170" spans="1:61" x14ac:dyDescent="0.25">
      <c r="A170" s="76">
        <v>152821</v>
      </c>
      <c r="B170" s="77" t="s">
        <v>1795</v>
      </c>
      <c r="C170" s="78" t="s">
        <v>1665</v>
      </c>
      <c r="D170" s="76" t="s">
        <v>70</v>
      </c>
      <c r="E170" s="79" t="s">
        <v>14</v>
      </c>
      <c r="F170" s="79" t="s">
        <v>115</v>
      </c>
      <c r="G170" s="79" t="s">
        <v>14</v>
      </c>
      <c r="H170" s="79" t="s">
        <v>14</v>
      </c>
      <c r="I170" s="78" t="s">
        <v>14</v>
      </c>
      <c r="J170" s="79" t="s">
        <v>14</v>
      </c>
      <c r="K170" s="142" t="s">
        <v>1850</v>
      </c>
      <c r="L170" s="149" t="s">
        <v>1843</v>
      </c>
      <c r="M170" s="150" t="s">
        <v>12</v>
      </c>
      <c r="N170" s="151">
        <v>17</v>
      </c>
      <c r="O170" s="151">
        <v>0</v>
      </c>
      <c r="P170" s="152">
        <v>1</v>
      </c>
      <c r="Q170" s="153">
        <v>91.11</v>
      </c>
      <c r="R170" s="154">
        <v>2</v>
      </c>
      <c r="S170" s="38">
        <f t="shared" si="22"/>
        <v>1</v>
      </c>
      <c r="T170" s="39">
        <f t="shared" si="23"/>
        <v>13</v>
      </c>
      <c r="U170" s="40">
        <f t="shared" si="24"/>
        <v>0</v>
      </c>
      <c r="V170" s="40">
        <f t="shared" si="25"/>
        <v>0</v>
      </c>
      <c r="W170" s="40">
        <f t="shared" si="26"/>
        <v>0</v>
      </c>
      <c r="X170" s="40">
        <f t="shared" si="27"/>
        <v>0</v>
      </c>
      <c r="Y170" s="40">
        <f t="shared" si="28"/>
        <v>0</v>
      </c>
      <c r="Z170" s="40">
        <f t="shared" si="29"/>
        <v>0</v>
      </c>
      <c r="AA170" s="40">
        <f t="shared" si="30"/>
        <v>0</v>
      </c>
      <c r="AB170" s="40">
        <f t="shared" si="31"/>
        <v>0</v>
      </c>
      <c r="AC170" s="41">
        <f t="shared" si="32"/>
        <v>0</v>
      </c>
      <c r="AD170" s="49" t="s">
        <v>5</v>
      </c>
      <c r="AE170" s="50" t="s">
        <v>116</v>
      </c>
      <c r="AF170" s="49" t="s">
        <v>5</v>
      </c>
      <c r="AG170" s="50" t="s">
        <v>117</v>
      </c>
      <c r="AH170" s="49" t="s">
        <v>5</v>
      </c>
      <c r="AI170" s="50" t="s">
        <v>101</v>
      </c>
      <c r="AJ170" s="49" t="s">
        <v>5</v>
      </c>
      <c r="AK170" s="50" t="s">
        <v>151</v>
      </c>
      <c r="AL170" s="49" t="s">
        <v>5</v>
      </c>
      <c r="AM170" s="50" t="s">
        <v>92</v>
      </c>
      <c r="AN170" s="49"/>
      <c r="AO170" s="50"/>
      <c r="AP170" s="49" t="s">
        <v>5</v>
      </c>
      <c r="AQ170" s="50" t="s">
        <v>131</v>
      </c>
      <c r="AR170" s="49" t="s">
        <v>1</v>
      </c>
      <c r="AS170" s="50" t="s">
        <v>104</v>
      </c>
      <c r="AT170" s="49" t="s">
        <v>5</v>
      </c>
      <c r="AU170" s="50" t="s">
        <v>105</v>
      </c>
      <c r="AV170" s="49" t="s">
        <v>5</v>
      </c>
      <c r="AW170" s="50" t="s">
        <v>430</v>
      </c>
      <c r="AX170" s="49" t="s">
        <v>5</v>
      </c>
      <c r="AY170" s="50" t="s">
        <v>95</v>
      </c>
      <c r="AZ170" s="49"/>
      <c r="BA170" s="50"/>
      <c r="BB170" s="49" t="s">
        <v>5</v>
      </c>
      <c r="BC170" s="50" t="s">
        <v>152</v>
      </c>
      <c r="BD170" s="49" t="s">
        <v>5</v>
      </c>
      <c r="BE170" s="50" t="s">
        <v>457</v>
      </c>
      <c r="BF170" s="49" t="s">
        <v>5</v>
      </c>
      <c r="BG170" s="50" t="s">
        <v>83</v>
      </c>
      <c r="BH170" s="49" t="s">
        <v>5</v>
      </c>
      <c r="BI170" s="50" t="s">
        <v>84</v>
      </c>
    </row>
    <row r="171" spans="1:61" x14ac:dyDescent="0.25">
      <c r="A171" s="76">
        <v>152926</v>
      </c>
      <c r="B171" s="77" t="s">
        <v>1796</v>
      </c>
      <c r="C171" s="78" t="s">
        <v>1630</v>
      </c>
      <c r="D171" s="76" t="s">
        <v>70</v>
      </c>
      <c r="E171" s="79" t="s">
        <v>87</v>
      </c>
      <c r="F171" s="79" t="s">
        <v>71</v>
      </c>
      <c r="G171" s="79" t="s">
        <v>87</v>
      </c>
      <c r="H171" s="79" t="s">
        <v>87</v>
      </c>
      <c r="I171" s="78" t="s">
        <v>14</v>
      </c>
      <c r="J171" s="79" t="s">
        <v>14</v>
      </c>
      <c r="K171" s="142" t="s">
        <v>1850</v>
      </c>
      <c r="L171" s="149" t="s">
        <v>1844</v>
      </c>
      <c r="M171" s="150" t="s">
        <v>12</v>
      </c>
      <c r="N171" s="151">
        <v>23</v>
      </c>
      <c r="O171" s="151">
        <v>0</v>
      </c>
      <c r="P171" s="152">
        <v>1</v>
      </c>
      <c r="Q171" s="153">
        <v>89.13</v>
      </c>
      <c r="R171" s="154">
        <v>5</v>
      </c>
      <c r="S171" s="38">
        <f t="shared" si="22"/>
        <v>1</v>
      </c>
      <c r="T171" s="39">
        <f t="shared" si="23"/>
        <v>12</v>
      </c>
      <c r="U171" s="40">
        <f t="shared" si="24"/>
        <v>0</v>
      </c>
      <c r="V171" s="40">
        <f t="shared" si="25"/>
        <v>0</v>
      </c>
      <c r="W171" s="40">
        <f t="shared" si="26"/>
        <v>1</v>
      </c>
      <c r="X171" s="40">
        <f t="shared" si="27"/>
        <v>1</v>
      </c>
      <c r="Y171" s="40">
        <f t="shared" si="28"/>
        <v>0</v>
      </c>
      <c r="Z171" s="40">
        <f t="shared" si="29"/>
        <v>0</v>
      </c>
      <c r="AA171" s="40">
        <f t="shared" si="30"/>
        <v>0</v>
      </c>
      <c r="AB171" s="40">
        <f t="shared" si="31"/>
        <v>0</v>
      </c>
      <c r="AC171" s="41">
        <f t="shared" si="32"/>
        <v>0</v>
      </c>
      <c r="AD171" s="49" t="s">
        <v>5</v>
      </c>
      <c r="AE171" s="50" t="s">
        <v>89</v>
      </c>
      <c r="AF171" s="49" t="s">
        <v>5</v>
      </c>
      <c r="AG171" s="50" t="s">
        <v>90</v>
      </c>
      <c r="AH171" s="49" t="s">
        <v>5</v>
      </c>
      <c r="AI171" s="50" t="s">
        <v>101</v>
      </c>
      <c r="AJ171" s="49" t="s">
        <v>5</v>
      </c>
      <c r="AK171" s="50" t="s">
        <v>102</v>
      </c>
      <c r="AL171" s="49" t="s">
        <v>1</v>
      </c>
      <c r="AM171" s="50" t="s">
        <v>94</v>
      </c>
      <c r="AN171" s="49"/>
      <c r="AO171" s="50"/>
      <c r="AP171" s="49" t="s">
        <v>5</v>
      </c>
      <c r="AQ171" s="50" t="s">
        <v>131</v>
      </c>
      <c r="AR171" s="49" t="s">
        <v>5</v>
      </c>
      <c r="AS171" s="50" t="s">
        <v>120</v>
      </c>
      <c r="AT171" s="49" t="s">
        <v>5</v>
      </c>
      <c r="AU171" s="50" t="s">
        <v>78</v>
      </c>
      <c r="AV171" s="49" t="s">
        <v>5</v>
      </c>
      <c r="AW171" s="50" t="s">
        <v>430</v>
      </c>
      <c r="AX171" s="49" t="s">
        <v>5</v>
      </c>
      <c r="AY171" s="50" t="s">
        <v>95</v>
      </c>
      <c r="AZ171" s="49"/>
      <c r="BA171" s="50"/>
      <c r="BB171" s="49" t="s">
        <v>5</v>
      </c>
      <c r="BC171" s="50" t="s">
        <v>152</v>
      </c>
      <c r="BD171" s="49" t="s">
        <v>32</v>
      </c>
      <c r="BE171" s="50" t="s">
        <v>495</v>
      </c>
      <c r="BF171" s="49" t="s">
        <v>5</v>
      </c>
      <c r="BG171" s="50" t="s">
        <v>170</v>
      </c>
      <c r="BH171" s="49" t="s">
        <v>5</v>
      </c>
      <c r="BI171" s="50" t="s">
        <v>103</v>
      </c>
    </row>
    <row r="172" spans="1:61" x14ac:dyDescent="0.25">
      <c r="A172" s="76">
        <v>152842</v>
      </c>
      <c r="B172" s="77" t="s">
        <v>1797</v>
      </c>
      <c r="C172" s="78" t="s">
        <v>1648</v>
      </c>
      <c r="D172" s="76" t="s">
        <v>70</v>
      </c>
      <c r="E172" s="79" t="s">
        <v>14</v>
      </c>
      <c r="F172" s="79" t="s">
        <v>158</v>
      </c>
      <c r="G172" s="79" t="s">
        <v>14</v>
      </c>
      <c r="H172" s="79" t="s">
        <v>14</v>
      </c>
      <c r="I172" s="78" t="s">
        <v>14</v>
      </c>
      <c r="J172" s="79" t="s">
        <v>14</v>
      </c>
      <c r="K172" s="142" t="s">
        <v>1850</v>
      </c>
      <c r="L172" s="149" t="s">
        <v>1845</v>
      </c>
      <c r="M172" s="150" t="s">
        <v>1853</v>
      </c>
      <c r="N172" s="151">
        <v>15</v>
      </c>
      <c r="O172" s="151">
        <v>0</v>
      </c>
      <c r="P172" s="152">
        <v>1</v>
      </c>
      <c r="Q172" s="153">
        <v>86.96</v>
      </c>
      <c r="R172" s="154">
        <v>2</v>
      </c>
      <c r="S172" s="38">
        <f t="shared" si="22"/>
        <v>1</v>
      </c>
      <c r="T172" s="39">
        <f t="shared" si="23"/>
        <v>13</v>
      </c>
      <c r="U172" s="40">
        <f t="shared" si="24"/>
        <v>0</v>
      </c>
      <c r="V172" s="40">
        <f t="shared" si="25"/>
        <v>0</v>
      </c>
      <c r="W172" s="40">
        <f t="shared" si="26"/>
        <v>0</v>
      </c>
      <c r="X172" s="40">
        <f t="shared" si="27"/>
        <v>0</v>
      </c>
      <c r="Y172" s="40">
        <f t="shared" si="28"/>
        <v>0</v>
      </c>
      <c r="Z172" s="40">
        <f t="shared" si="29"/>
        <v>0</v>
      </c>
      <c r="AA172" s="40">
        <f t="shared" si="30"/>
        <v>0</v>
      </c>
      <c r="AB172" s="40">
        <f t="shared" si="31"/>
        <v>0</v>
      </c>
      <c r="AC172" s="41">
        <f t="shared" si="32"/>
        <v>0</v>
      </c>
      <c r="AD172" s="49" t="s">
        <v>5</v>
      </c>
      <c r="AE172" s="50" t="s">
        <v>116</v>
      </c>
      <c r="AF172" s="49" t="s">
        <v>5</v>
      </c>
      <c r="AG172" s="50" t="s">
        <v>90</v>
      </c>
      <c r="AH172" s="49" t="s">
        <v>5</v>
      </c>
      <c r="AI172" s="50" t="s">
        <v>101</v>
      </c>
      <c r="AJ172" s="49" t="s">
        <v>5</v>
      </c>
      <c r="AK172" s="50" t="s">
        <v>142</v>
      </c>
      <c r="AL172" s="49" t="s">
        <v>5</v>
      </c>
      <c r="AM172" s="50" t="s">
        <v>714</v>
      </c>
      <c r="AN172" s="49" t="s">
        <v>5</v>
      </c>
      <c r="AO172" s="50" t="s">
        <v>124</v>
      </c>
      <c r="AP172" s="49" t="s">
        <v>5</v>
      </c>
      <c r="AQ172" s="50" t="s">
        <v>76</v>
      </c>
      <c r="AR172" s="49" t="s">
        <v>5</v>
      </c>
      <c r="AS172" s="50" t="s">
        <v>132</v>
      </c>
      <c r="AT172" s="49" t="s">
        <v>5</v>
      </c>
      <c r="AU172" s="50" t="s">
        <v>163</v>
      </c>
      <c r="AV172" s="49" t="s">
        <v>5</v>
      </c>
      <c r="AW172" s="50" t="s">
        <v>94</v>
      </c>
      <c r="AX172" s="49" t="s">
        <v>1</v>
      </c>
      <c r="AY172" s="50" t="s">
        <v>95</v>
      </c>
      <c r="AZ172" s="49"/>
      <c r="BA172" s="50"/>
      <c r="BB172" s="49" t="s">
        <v>5</v>
      </c>
      <c r="BC172" s="50" t="s">
        <v>81</v>
      </c>
      <c r="BD172" s="49" t="s">
        <v>5</v>
      </c>
      <c r="BE172" s="50" t="s">
        <v>153</v>
      </c>
      <c r="BF172" s="49" t="s">
        <v>5</v>
      </c>
      <c r="BG172" s="50" t="s">
        <v>170</v>
      </c>
      <c r="BH172" s="49"/>
      <c r="BI172" s="50"/>
    </row>
    <row r="173" spans="1:61" x14ac:dyDescent="0.25">
      <c r="A173" s="76">
        <v>152893</v>
      </c>
      <c r="B173" s="77" t="s">
        <v>1798</v>
      </c>
      <c r="C173" s="78" t="s">
        <v>1620</v>
      </c>
      <c r="D173" s="76" t="s">
        <v>70</v>
      </c>
      <c r="E173" s="79" t="s">
        <v>14</v>
      </c>
      <c r="F173" s="79" t="s">
        <v>71</v>
      </c>
      <c r="G173" s="79" t="s">
        <v>87</v>
      </c>
      <c r="H173" s="79" t="s">
        <v>14</v>
      </c>
      <c r="I173" s="78" t="s">
        <v>14</v>
      </c>
      <c r="J173" s="79" t="s">
        <v>14</v>
      </c>
      <c r="K173" s="142" t="s">
        <v>1850</v>
      </c>
      <c r="L173" s="149" t="s">
        <v>1406</v>
      </c>
      <c r="M173" s="150" t="s">
        <v>1406</v>
      </c>
      <c r="N173" s="151">
        <v>14</v>
      </c>
      <c r="O173" s="151">
        <v>0</v>
      </c>
      <c r="P173" s="152">
        <v>0</v>
      </c>
      <c r="Q173" s="153">
        <v>82.61</v>
      </c>
      <c r="R173" s="154">
        <v>0</v>
      </c>
      <c r="S173" s="38">
        <f t="shared" si="22"/>
        <v>3</v>
      </c>
      <c r="T173" s="39">
        <f t="shared" si="23"/>
        <v>11</v>
      </c>
      <c r="U173" s="40">
        <f t="shared" si="24"/>
        <v>0</v>
      </c>
      <c r="V173" s="40">
        <f t="shared" si="25"/>
        <v>0</v>
      </c>
      <c r="W173" s="40">
        <f t="shared" si="26"/>
        <v>0</v>
      </c>
      <c r="X173" s="40">
        <f t="shared" si="27"/>
        <v>0</v>
      </c>
      <c r="Y173" s="40">
        <f t="shared" si="28"/>
        <v>0</v>
      </c>
      <c r="Z173" s="40">
        <f t="shared" si="29"/>
        <v>0</v>
      </c>
      <c r="AA173" s="40">
        <f t="shared" si="30"/>
        <v>0</v>
      </c>
      <c r="AB173" s="40">
        <f t="shared" si="31"/>
        <v>0</v>
      </c>
      <c r="AC173" s="41">
        <f t="shared" si="32"/>
        <v>0</v>
      </c>
      <c r="AD173" s="49" t="s">
        <v>5</v>
      </c>
      <c r="AE173" s="50" t="s">
        <v>89</v>
      </c>
      <c r="AF173" s="49" t="s">
        <v>5</v>
      </c>
      <c r="AG173" s="50" t="s">
        <v>73</v>
      </c>
      <c r="AH173" s="49" t="s">
        <v>5</v>
      </c>
      <c r="AI173" s="50" t="s">
        <v>142</v>
      </c>
      <c r="AJ173" s="49" t="s">
        <v>5</v>
      </c>
      <c r="AK173" s="50" t="s">
        <v>74</v>
      </c>
      <c r="AL173" s="49" t="s">
        <v>5</v>
      </c>
      <c r="AM173" s="50" t="s">
        <v>142</v>
      </c>
      <c r="AN173" s="49"/>
      <c r="AO173" s="50"/>
      <c r="AP173" s="49" t="s">
        <v>5</v>
      </c>
      <c r="AQ173" s="50" t="s">
        <v>76</v>
      </c>
      <c r="AR173" s="49" t="s">
        <v>5</v>
      </c>
      <c r="AS173" s="50" t="s">
        <v>132</v>
      </c>
      <c r="AT173" s="49" t="s">
        <v>5</v>
      </c>
      <c r="AU173" s="50" t="s">
        <v>105</v>
      </c>
      <c r="AV173" s="49" t="s">
        <v>1</v>
      </c>
      <c r="AW173" s="50" t="s">
        <v>79</v>
      </c>
      <c r="AX173" s="49" t="s">
        <v>5</v>
      </c>
      <c r="AY173" s="50" t="s">
        <v>95</v>
      </c>
      <c r="AZ173" s="49"/>
      <c r="BA173" s="50"/>
      <c r="BB173" s="49" t="s">
        <v>5</v>
      </c>
      <c r="BC173" s="50" t="s">
        <v>81</v>
      </c>
      <c r="BD173" s="49" t="s">
        <v>1</v>
      </c>
      <c r="BE173" s="50" t="s">
        <v>97</v>
      </c>
      <c r="BF173" s="49" t="s">
        <v>5</v>
      </c>
      <c r="BG173" s="50" t="s">
        <v>164</v>
      </c>
      <c r="BH173" s="49" t="s">
        <v>1</v>
      </c>
      <c r="BI173" s="50" t="s">
        <v>130</v>
      </c>
    </row>
    <row r="174" spans="1:61" x14ac:dyDescent="0.25">
      <c r="A174" s="76">
        <v>152927</v>
      </c>
      <c r="B174" s="77" t="s">
        <v>1799</v>
      </c>
      <c r="C174" s="78" t="s">
        <v>1665</v>
      </c>
      <c r="D174" s="76" t="s">
        <v>70</v>
      </c>
      <c r="E174" s="79" t="s">
        <v>14</v>
      </c>
      <c r="F174" s="79" t="s">
        <v>150</v>
      </c>
      <c r="G174" s="79" t="s">
        <v>87</v>
      </c>
      <c r="H174" s="79" t="s">
        <v>14</v>
      </c>
      <c r="I174" s="78" t="s">
        <v>14</v>
      </c>
      <c r="J174" s="79" t="s">
        <v>14</v>
      </c>
      <c r="K174" s="142" t="s">
        <v>1851</v>
      </c>
      <c r="L174" s="149" t="s">
        <v>1848</v>
      </c>
      <c r="M174" s="150" t="s">
        <v>12</v>
      </c>
      <c r="N174" s="151">
        <v>25</v>
      </c>
      <c r="O174" s="151">
        <v>0</v>
      </c>
      <c r="P174" s="152">
        <v>1</v>
      </c>
      <c r="Q174" s="153">
        <v>100</v>
      </c>
      <c r="R174" s="154">
        <v>1</v>
      </c>
      <c r="S174" s="38">
        <f t="shared" si="22"/>
        <v>3</v>
      </c>
      <c r="T174" s="39">
        <f t="shared" si="23"/>
        <v>11</v>
      </c>
      <c r="U174" s="40">
        <f t="shared" si="24"/>
        <v>0</v>
      </c>
      <c r="V174" s="40">
        <f t="shared" si="25"/>
        <v>0</v>
      </c>
      <c r="W174" s="40">
        <f t="shared" si="26"/>
        <v>0</v>
      </c>
      <c r="X174" s="40">
        <f t="shared" si="27"/>
        <v>0</v>
      </c>
      <c r="Y174" s="40">
        <f t="shared" si="28"/>
        <v>0</v>
      </c>
      <c r="Z174" s="40">
        <f t="shared" si="29"/>
        <v>0</v>
      </c>
      <c r="AA174" s="40">
        <f t="shared" si="30"/>
        <v>0</v>
      </c>
      <c r="AB174" s="40">
        <f t="shared" si="31"/>
        <v>0</v>
      </c>
      <c r="AC174" s="41">
        <f t="shared" si="32"/>
        <v>0</v>
      </c>
      <c r="AD174" s="49" t="s">
        <v>1</v>
      </c>
      <c r="AE174" s="50" t="s">
        <v>116</v>
      </c>
      <c r="AF174" s="49" t="s">
        <v>5</v>
      </c>
      <c r="AG174" s="50" t="s">
        <v>135</v>
      </c>
      <c r="AH174" s="49" t="s">
        <v>5</v>
      </c>
      <c r="AI174" s="50" t="s">
        <v>101</v>
      </c>
      <c r="AJ174" s="49" t="s">
        <v>5</v>
      </c>
      <c r="AK174" s="50" t="s">
        <v>722</v>
      </c>
      <c r="AL174" s="49" t="s">
        <v>5</v>
      </c>
      <c r="AM174" s="50" t="s">
        <v>92</v>
      </c>
      <c r="AN174" s="49"/>
      <c r="AO174" s="50"/>
      <c r="AP174" s="49" t="s">
        <v>5</v>
      </c>
      <c r="AQ174" s="50" t="s">
        <v>131</v>
      </c>
      <c r="AR174" s="49" t="s">
        <v>5</v>
      </c>
      <c r="AS174" s="50" t="s">
        <v>104</v>
      </c>
      <c r="AT174" s="49" t="s">
        <v>5</v>
      </c>
      <c r="AU174" s="50" t="s">
        <v>105</v>
      </c>
      <c r="AV174" s="49" t="s">
        <v>5</v>
      </c>
      <c r="AW174" s="50" t="s">
        <v>94</v>
      </c>
      <c r="AX174" s="49" t="s">
        <v>1</v>
      </c>
      <c r="AY174" s="50" t="s">
        <v>95</v>
      </c>
      <c r="AZ174" s="49"/>
      <c r="BA174" s="50"/>
      <c r="BB174" s="49" t="s">
        <v>1</v>
      </c>
      <c r="BC174" s="50" t="s">
        <v>152</v>
      </c>
      <c r="BD174" s="49" t="s">
        <v>5</v>
      </c>
      <c r="BE174" s="50" t="s">
        <v>457</v>
      </c>
      <c r="BF174" s="49" t="s">
        <v>5</v>
      </c>
      <c r="BG174" s="50" t="s">
        <v>83</v>
      </c>
      <c r="BH174" s="49" t="s">
        <v>5</v>
      </c>
      <c r="BI174" s="50" t="s">
        <v>84</v>
      </c>
    </row>
    <row r="175" spans="1:61" x14ac:dyDescent="0.25">
      <c r="A175" s="76">
        <v>152904</v>
      </c>
      <c r="B175" s="77" t="s">
        <v>1800</v>
      </c>
      <c r="C175" s="78" t="s">
        <v>1648</v>
      </c>
      <c r="D175" s="76" t="s">
        <v>12</v>
      </c>
      <c r="E175" s="79" t="s">
        <v>14</v>
      </c>
      <c r="F175" s="79" t="s">
        <v>71</v>
      </c>
      <c r="G175" s="79" t="s">
        <v>14</v>
      </c>
      <c r="H175" s="79" t="s">
        <v>14</v>
      </c>
      <c r="I175" s="78" t="s">
        <v>14</v>
      </c>
      <c r="J175" s="79" t="s">
        <v>6</v>
      </c>
      <c r="K175" s="142" t="s">
        <v>1850</v>
      </c>
      <c r="L175" s="149" t="s">
        <v>1848</v>
      </c>
      <c r="M175" s="150" t="s">
        <v>12</v>
      </c>
      <c r="N175" s="151">
        <v>21</v>
      </c>
      <c r="O175" s="151">
        <v>0</v>
      </c>
      <c r="P175" s="152">
        <v>0</v>
      </c>
      <c r="Q175" s="153">
        <v>100</v>
      </c>
      <c r="R175" s="154">
        <v>0</v>
      </c>
      <c r="S175" s="38">
        <f t="shared" si="22"/>
        <v>1</v>
      </c>
      <c r="T175" s="39">
        <f t="shared" si="23"/>
        <v>13</v>
      </c>
      <c r="U175" s="40">
        <f t="shared" si="24"/>
        <v>0</v>
      </c>
      <c r="V175" s="40">
        <f t="shared" si="25"/>
        <v>0</v>
      </c>
      <c r="W175" s="40">
        <f t="shared" si="26"/>
        <v>0</v>
      </c>
      <c r="X175" s="40">
        <f t="shared" si="27"/>
        <v>0</v>
      </c>
      <c r="Y175" s="40">
        <f t="shared" si="28"/>
        <v>0</v>
      </c>
      <c r="Z175" s="40">
        <f t="shared" si="29"/>
        <v>0</v>
      </c>
      <c r="AA175" s="40">
        <f t="shared" si="30"/>
        <v>0</v>
      </c>
      <c r="AB175" s="40">
        <f t="shared" si="31"/>
        <v>0</v>
      </c>
      <c r="AC175" s="41">
        <f t="shared" si="32"/>
        <v>0</v>
      </c>
      <c r="AD175" s="49" t="s">
        <v>5</v>
      </c>
      <c r="AE175" s="50" t="s">
        <v>116</v>
      </c>
      <c r="AF175" s="49" t="s">
        <v>5</v>
      </c>
      <c r="AG175" s="50" t="s">
        <v>73</v>
      </c>
      <c r="AH175" s="49" t="s">
        <v>5</v>
      </c>
      <c r="AI175" s="50" t="s">
        <v>101</v>
      </c>
      <c r="AJ175" s="49" t="s">
        <v>5</v>
      </c>
      <c r="AK175" s="50" t="s">
        <v>111</v>
      </c>
      <c r="AL175" s="49" t="s">
        <v>5</v>
      </c>
      <c r="AM175" s="50" t="s">
        <v>714</v>
      </c>
      <c r="AN175" s="49" t="s">
        <v>5</v>
      </c>
      <c r="AO175" s="50" t="s">
        <v>124</v>
      </c>
      <c r="AP175" s="49" t="s">
        <v>5</v>
      </c>
      <c r="AQ175" s="50" t="s">
        <v>76</v>
      </c>
      <c r="AR175" s="49" t="s">
        <v>5</v>
      </c>
      <c r="AS175" s="50" t="s">
        <v>132</v>
      </c>
      <c r="AT175" s="49" t="s">
        <v>5</v>
      </c>
      <c r="AU175" s="50" t="s">
        <v>163</v>
      </c>
      <c r="AV175" s="49" t="s">
        <v>5</v>
      </c>
      <c r="AW175" s="50" t="s">
        <v>430</v>
      </c>
      <c r="AX175" s="49" t="s">
        <v>5</v>
      </c>
      <c r="AY175" s="50" t="s">
        <v>95</v>
      </c>
      <c r="AZ175" s="49"/>
      <c r="BA175" s="50"/>
      <c r="BB175" s="49" t="s">
        <v>1</v>
      </c>
      <c r="BC175" s="50" t="s">
        <v>96</v>
      </c>
      <c r="BD175" s="49" t="s">
        <v>5</v>
      </c>
      <c r="BE175" s="50" t="s">
        <v>153</v>
      </c>
      <c r="BF175" s="49" t="s">
        <v>5</v>
      </c>
      <c r="BG175" s="50" t="s">
        <v>164</v>
      </c>
      <c r="BH175" s="49"/>
      <c r="BI175" s="50"/>
    </row>
    <row r="176" spans="1:61" x14ac:dyDescent="0.25">
      <c r="A176" s="76">
        <v>152858</v>
      </c>
      <c r="B176" s="77" t="s">
        <v>655</v>
      </c>
      <c r="C176" s="78" t="s">
        <v>1648</v>
      </c>
      <c r="D176" s="76" t="s">
        <v>70</v>
      </c>
      <c r="E176" s="79" t="s">
        <v>14</v>
      </c>
      <c r="F176" s="79" t="s">
        <v>71</v>
      </c>
      <c r="G176" s="79" t="s">
        <v>14</v>
      </c>
      <c r="H176" s="79" t="s">
        <v>14</v>
      </c>
      <c r="I176" s="78" t="s">
        <v>14</v>
      </c>
      <c r="J176" s="79" t="s">
        <v>14</v>
      </c>
      <c r="K176" s="142" t="s">
        <v>1850</v>
      </c>
      <c r="L176" s="149" t="s">
        <v>1842</v>
      </c>
      <c r="M176" s="150" t="s">
        <v>1853</v>
      </c>
      <c r="N176" s="151">
        <v>16</v>
      </c>
      <c r="O176" s="151">
        <v>0</v>
      </c>
      <c r="P176" s="152">
        <v>1</v>
      </c>
      <c r="Q176" s="153">
        <v>78.260000000000005</v>
      </c>
      <c r="R176" s="154">
        <v>0</v>
      </c>
      <c r="S176" s="38">
        <f t="shared" si="22"/>
        <v>2</v>
      </c>
      <c r="T176" s="39">
        <f t="shared" si="23"/>
        <v>12</v>
      </c>
      <c r="U176" s="40">
        <f t="shared" si="24"/>
        <v>0</v>
      </c>
      <c r="V176" s="40">
        <f t="shared" si="25"/>
        <v>0</v>
      </c>
      <c r="W176" s="40">
        <f t="shared" si="26"/>
        <v>0</v>
      </c>
      <c r="X176" s="40">
        <f t="shared" si="27"/>
        <v>0</v>
      </c>
      <c r="Y176" s="40">
        <f t="shared" si="28"/>
        <v>0</v>
      </c>
      <c r="Z176" s="40">
        <f t="shared" si="29"/>
        <v>0</v>
      </c>
      <c r="AA176" s="40">
        <f t="shared" si="30"/>
        <v>0</v>
      </c>
      <c r="AB176" s="40">
        <f t="shared" si="31"/>
        <v>0</v>
      </c>
      <c r="AC176" s="41">
        <f t="shared" si="32"/>
        <v>0</v>
      </c>
      <c r="AD176" s="49" t="s">
        <v>5</v>
      </c>
      <c r="AE176" s="50" t="s">
        <v>116</v>
      </c>
      <c r="AF176" s="49"/>
      <c r="AG176" s="50"/>
      <c r="AH176" s="49" t="s">
        <v>1</v>
      </c>
      <c r="AI176" s="50" t="s">
        <v>101</v>
      </c>
      <c r="AJ176" s="49" t="s">
        <v>5</v>
      </c>
      <c r="AK176" s="50" t="s">
        <v>459</v>
      </c>
      <c r="AL176" s="49" t="s">
        <v>5</v>
      </c>
      <c r="AM176" s="50" t="s">
        <v>714</v>
      </c>
      <c r="AN176" s="49" t="s">
        <v>5</v>
      </c>
      <c r="AO176" s="50" t="s">
        <v>124</v>
      </c>
      <c r="AP176" s="49" t="s">
        <v>5</v>
      </c>
      <c r="AQ176" s="50" t="s">
        <v>76</v>
      </c>
      <c r="AR176" s="49" t="s">
        <v>5</v>
      </c>
      <c r="AS176" s="50" t="s">
        <v>132</v>
      </c>
      <c r="AT176" s="49" t="s">
        <v>5</v>
      </c>
      <c r="AU176" s="50" t="s">
        <v>163</v>
      </c>
      <c r="AV176" s="49" t="s">
        <v>5</v>
      </c>
      <c r="AW176" s="50" t="s">
        <v>79</v>
      </c>
      <c r="AX176" s="49" t="s">
        <v>1</v>
      </c>
      <c r="AY176" s="50" t="s">
        <v>95</v>
      </c>
      <c r="AZ176" s="49" t="s">
        <v>5</v>
      </c>
      <c r="BA176" s="50" t="s">
        <v>120</v>
      </c>
      <c r="BB176" s="49" t="s">
        <v>5</v>
      </c>
      <c r="BC176" s="50" t="s">
        <v>81</v>
      </c>
      <c r="BD176" s="49" t="s">
        <v>5</v>
      </c>
      <c r="BE176" s="50" t="s">
        <v>153</v>
      </c>
      <c r="BF176" s="49" t="s">
        <v>5</v>
      </c>
      <c r="BG176" s="50" t="s">
        <v>123</v>
      </c>
      <c r="BH176" s="49"/>
      <c r="BI176" s="50"/>
    </row>
    <row r="177" spans="1:61" x14ac:dyDescent="0.25">
      <c r="A177" s="76">
        <v>152785</v>
      </c>
      <c r="B177" s="77" t="s">
        <v>1801</v>
      </c>
      <c r="C177" s="78" t="s">
        <v>1639</v>
      </c>
      <c r="D177" s="76" t="s">
        <v>70</v>
      </c>
      <c r="E177" s="79" t="s">
        <v>14</v>
      </c>
      <c r="F177" s="79" t="s">
        <v>71</v>
      </c>
      <c r="G177" s="79" t="s">
        <v>14</v>
      </c>
      <c r="H177" s="79" t="s">
        <v>14</v>
      </c>
      <c r="I177" s="78" t="s">
        <v>14</v>
      </c>
      <c r="J177" s="79" t="s">
        <v>14</v>
      </c>
      <c r="K177" s="142" t="s">
        <v>1850</v>
      </c>
      <c r="L177" s="149" t="s">
        <v>1845</v>
      </c>
      <c r="M177" s="150" t="s">
        <v>12</v>
      </c>
      <c r="N177" s="151">
        <v>16</v>
      </c>
      <c r="O177" s="151">
        <v>1</v>
      </c>
      <c r="P177" s="152">
        <v>1</v>
      </c>
      <c r="Q177" s="153">
        <v>100</v>
      </c>
      <c r="R177" s="154">
        <v>1</v>
      </c>
      <c r="S177" s="38">
        <f t="shared" si="22"/>
        <v>1</v>
      </c>
      <c r="T177" s="39">
        <f t="shared" si="23"/>
        <v>11</v>
      </c>
      <c r="U177" s="40">
        <f t="shared" si="24"/>
        <v>0</v>
      </c>
      <c r="V177" s="40">
        <f t="shared" si="25"/>
        <v>2</v>
      </c>
      <c r="W177" s="40">
        <f t="shared" si="26"/>
        <v>0</v>
      </c>
      <c r="X177" s="40">
        <f t="shared" si="27"/>
        <v>2</v>
      </c>
      <c r="Y177" s="40">
        <f t="shared" si="28"/>
        <v>0</v>
      </c>
      <c r="Z177" s="40">
        <f t="shared" si="29"/>
        <v>0</v>
      </c>
      <c r="AA177" s="40">
        <f t="shared" si="30"/>
        <v>0</v>
      </c>
      <c r="AB177" s="40">
        <f t="shared" si="31"/>
        <v>0</v>
      </c>
      <c r="AC177" s="41">
        <f t="shared" si="32"/>
        <v>0</v>
      </c>
      <c r="AD177" s="49" t="s">
        <v>5</v>
      </c>
      <c r="AE177" s="50" t="s">
        <v>72</v>
      </c>
      <c r="AF177" s="49"/>
      <c r="AG177" s="50"/>
      <c r="AH177" s="49" t="s">
        <v>5</v>
      </c>
      <c r="AI177" s="50" t="s">
        <v>101</v>
      </c>
      <c r="AJ177" s="49" t="s">
        <v>5</v>
      </c>
      <c r="AK177" s="50" t="s">
        <v>459</v>
      </c>
      <c r="AL177" s="49" t="s">
        <v>5</v>
      </c>
      <c r="AM177" s="50" t="s">
        <v>130</v>
      </c>
      <c r="AN177" s="49" t="s">
        <v>5</v>
      </c>
      <c r="AO177" s="50" t="s">
        <v>143</v>
      </c>
      <c r="AP177" s="49" t="s">
        <v>31</v>
      </c>
      <c r="AQ177" s="50" t="s">
        <v>131</v>
      </c>
      <c r="AR177" s="49" t="s">
        <v>5</v>
      </c>
      <c r="AS177" s="50" t="s">
        <v>120</v>
      </c>
      <c r="AT177" s="49" t="s">
        <v>5</v>
      </c>
      <c r="AU177" s="50" t="s">
        <v>105</v>
      </c>
      <c r="AV177" s="49" t="s">
        <v>5</v>
      </c>
      <c r="AW177" s="50" t="s">
        <v>94</v>
      </c>
      <c r="AX177" s="49" t="s">
        <v>5</v>
      </c>
      <c r="AY177" s="50" t="s">
        <v>80</v>
      </c>
      <c r="AZ177" s="49" t="s">
        <v>5</v>
      </c>
      <c r="BA177" s="50" t="s">
        <v>120</v>
      </c>
      <c r="BB177" s="49" t="s">
        <v>31</v>
      </c>
      <c r="BC177" s="50" t="s">
        <v>152</v>
      </c>
      <c r="BD177" s="49" t="s">
        <v>5</v>
      </c>
      <c r="BE177" s="50" t="s">
        <v>82</v>
      </c>
      <c r="BF177" s="49" t="s">
        <v>1</v>
      </c>
      <c r="BG177" s="50" t="s">
        <v>83</v>
      </c>
      <c r="BH177" s="49"/>
      <c r="BI177" s="50"/>
    </row>
    <row r="178" spans="1:61" x14ac:dyDescent="0.25">
      <c r="A178" s="76">
        <v>152871</v>
      </c>
      <c r="B178" s="77" t="s">
        <v>1802</v>
      </c>
      <c r="C178" s="78" t="s">
        <v>1633</v>
      </c>
      <c r="D178" s="76" t="s">
        <v>70</v>
      </c>
      <c r="E178" s="79" t="s">
        <v>87</v>
      </c>
      <c r="F178" s="79" t="s">
        <v>71</v>
      </c>
      <c r="G178" s="79" t="s">
        <v>14</v>
      </c>
      <c r="H178" s="79" t="s">
        <v>87</v>
      </c>
      <c r="I178" s="78" t="s">
        <v>14</v>
      </c>
      <c r="J178" s="79" t="s">
        <v>14</v>
      </c>
      <c r="K178" s="142" t="s">
        <v>1850</v>
      </c>
      <c r="L178" s="149" t="s">
        <v>1842</v>
      </c>
      <c r="M178" s="150" t="s">
        <v>1853</v>
      </c>
      <c r="N178" s="151">
        <v>18</v>
      </c>
      <c r="O178" s="151">
        <v>0</v>
      </c>
      <c r="P178" s="152">
        <v>1</v>
      </c>
      <c r="Q178" s="153">
        <v>71.739999999999995</v>
      </c>
      <c r="R178" s="154">
        <v>0</v>
      </c>
      <c r="S178" s="38">
        <f t="shared" si="22"/>
        <v>3</v>
      </c>
      <c r="T178" s="39">
        <f t="shared" si="23"/>
        <v>11</v>
      </c>
      <c r="U178" s="40">
        <f t="shared" si="24"/>
        <v>0</v>
      </c>
      <c r="V178" s="40">
        <f t="shared" si="25"/>
        <v>0</v>
      </c>
      <c r="W178" s="40">
        <f t="shared" si="26"/>
        <v>0</v>
      </c>
      <c r="X178" s="40">
        <f t="shared" si="27"/>
        <v>0</v>
      </c>
      <c r="Y178" s="40">
        <f t="shared" si="28"/>
        <v>0</v>
      </c>
      <c r="Z178" s="40">
        <f t="shared" si="29"/>
        <v>0</v>
      </c>
      <c r="AA178" s="40">
        <f t="shared" si="30"/>
        <v>0</v>
      </c>
      <c r="AB178" s="40">
        <f t="shared" si="31"/>
        <v>0</v>
      </c>
      <c r="AC178" s="41">
        <f t="shared" si="32"/>
        <v>0</v>
      </c>
      <c r="AD178" s="49" t="s">
        <v>5</v>
      </c>
      <c r="AE178" s="50" t="s">
        <v>89</v>
      </c>
      <c r="AF178" s="49" t="s">
        <v>5</v>
      </c>
      <c r="AG178" s="50" t="s">
        <v>73</v>
      </c>
      <c r="AH178" s="49" t="s">
        <v>5</v>
      </c>
      <c r="AI178" s="50" t="s">
        <v>101</v>
      </c>
      <c r="AJ178" s="49" t="s">
        <v>5</v>
      </c>
      <c r="AK178" s="50" t="s">
        <v>74</v>
      </c>
      <c r="AL178" s="49" t="s">
        <v>1</v>
      </c>
      <c r="AM178" s="50" t="s">
        <v>122</v>
      </c>
      <c r="AN178" s="49"/>
      <c r="AO178" s="50"/>
      <c r="AP178" s="49" t="s">
        <v>5</v>
      </c>
      <c r="AQ178" s="50" t="s">
        <v>131</v>
      </c>
      <c r="AR178" s="49" t="s">
        <v>5</v>
      </c>
      <c r="AS178" s="50" t="s">
        <v>120</v>
      </c>
      <c r="AT178" s="49" t="s">
        <v>1</v>
      </c>
      <c r="AU178" s="50" t="s">
        <v>163</v>
      </c>
      <c r="AV178" s="49" t="s">
        <v>5</v>
      </c>
      <c r="AW178" s="50" t="s">
        <v>79</v>
      </c>
      <c r="AX178" s="49" t="s">
        <v>5</v>
      </c>
      <c r="AY178" s="50" t="s">
        <v>95</v>
      </c>
      <c r="AZ178" s="49"/>
      <c r="BA178" s="50"/>
      <c r="BB178" s="49" t="s">
        <v>5</v>
      </c>
      <c r="BC178" s="50" t="s">
        <v>121</v>
      </c>
      <c r="BD178" s="49" t="s">
        <v>5</v>
      </c>
      <c r="BE178" s="50" t="s">
        <v>495</v>
      </c>
      <c r="BF178" s="49" t="s">
        <v>1</v>
      </c>
      <c r="BG178" s="50" t="s">
        <v>123</v>
      </c>
      <c r="BH178" s="49" t="s">
        <v>5</v>
      </c>
      <c r="BI178" s="50" t="s">
        <v>75</v>
      </c>
    </row>
    <row r="179" spans="1:61" x14ac:dyDescent="0.25">
      <c r="A179" s="76">
        <v>152891</v>
      </c>
      <c r="B179" s="77" t="s">
        <v>1803</v>
      </c>
      <c r="C179" s="78" t="s">
        <v>1630</v>
      </c>
      <c r="D179" s="76" t="s">
        <v>70</v>
      </c>
      <c r="E179" s="79" t="s">
        <v>14</v>
      </c>
      <c r="F179" s="79" t="s">
        <v>71</v>
      </c>
      <c r="G179" s="79" t="s">
        <v>14</v>
      </c>
      <c r="H179" s="79" t="s">
        <v>14</v>
      </c>
      <c r="I179" s="78" t="s">
        <v>14</v>
      </c>
      <c r="J179" s="79" t="s">
        <v>6</v>
      </c>
      <c r="K179" s="142" t="s">
        <v>1850</v>
      </c>
      <c r="L179" s="149" t="s">
        <v>1406</v>
      </c>
      <c r="M179" s="150" t="s">
        <v>1406</v>
      </c>
      <c r="N179" s="151">
        <v>22</v>
      </c>
      <c r="O179" s="151">
        <v>0</v>
      </c>
      <c r="P179" s="152">
        <v>2</v>
      </c>
      <c r="Q179" s="153">
        <v>100</v>
      </c>
      <c r="R179" s="154">
        <v>4</v>
      </c>
      <c r="S179" s="38">
        <f t="shared" si="22"/>
        <v>0</v>
      </c>
      <c r="T179" s="39">
        <f t="shared" si="23"/>
        <v>13</v>
      </c>
      <c r="U179" s="40">
        <f t="shared" si="24"/>
        <v>0</v>
      </c>
      <c r="V179" s="40">
        <f t="shared" si="25"/>
        <v>0</v>
      </c>
      <c r="W179" s="40">
        <f t="shared" si="26"/>
        <v>0</v>
      </c>
      <c r="X179" s="40">
        <f t="shared" si="27"/>
        <v>0</v>
      </c>
      <c r="Y179" s="40">
        <f t="shared" si="28"/>
        <v>0</v>
      </c>
      <c r="Z179" s="40">
        <f t="shared" si="29"/>
        <v>0</v>
      </c>
      <c r="AA179" s="40">
        <f t="shared" si="30"/>
        <v>0</v>
      </c>
      <c r="AB179" s="40">
        <f t="shared" si="31"/>
        <v>0</v>
      </c>
      <c r="AC179" s="41">
        <f t="shared" si="32"/>
        <v>0</v>
      </c>
      <c r="AD179" s="49" t="s">
        <v>5</v>
      </c>
      <c r="AE179" s="50" t="s">
        <v>89</v>
      </c>
      <c r="AF179" s="49" t="s">
        <v>5</v>
      </c>
      <c r="AG179" s="50" t="s">
        <v>73</v>
      </c>
      <c r="AH179" s="49" t="s">
        <v>5</v>
      </c>
      <c r="AI179" s="50" t="s">
        <v>101</v>
      </c>
      <c r="AJ179" s="49" t="s">
        <v>5</v>
      </c>
      <c r="AK179" s="50" t="s">
        <v>151</v>
      </c>
      <c r="AL179" s="49" t="s">
        <v>5</v>
      </c>
      <c r="AM179" s="50" t="s">
        <v>94</v>
      </c>
      <c r="AN179" s="49"/>
      <c r="AO179" s="50"/>
      <c r="AP179" s="49" t="s">
        <v>5</v>
      </c>
      <c r="AQ179" s="50" t="s">
        <v>131</v>
      </c>
      <c r="AR179" s="49" t="s">
        <v>5</v>
      </c>
      <c r="AS179" s="50" t="s">
        <v>120</v>
      </c>
      <c r="AT179" s="49" t="s">
        <v>5</v>
      </c>
      <c r="AU179" s="50" t="s">
        <v>78</v>
      </c>
      <c r="AV179" s="49" t="s">
        <v>5</v>
      </c>
      <c r="AW179" s="50" t="s">
        <v>711</v>
      </c>
      <c r="AX179" s="49" t="s">
        <v>5</v>
      </c>
      <c r="AY179" s="50" t="s">
        <v>95</v>
      </c>
      <c r="AZ179" s="49"/>
      <c r="BA179" s="50"/>
      <c r="BB179" s="49" t="s">
        <v>5</v>
      </c>
      <c r="BC179" s="50" t="s">
        <v>152</v>
      </c>
      <c r="BD179" s="49" t="s">
        <v>5</v>
      </c>
      <c r="BE179" s="50" t="s">
        <v>495</v>
      </c>
      <c r="BF179" s="49" t="s">
        <v>5</v>
      </c>
      <c r="BG179" s="50" t="s">
        <v>154</v>
      </c>
      <c r="BH179" s="49"/>
      <c r="BI179" s="50" t="s">
        <v>103</v>
      </c>
    </row>
    <row r="180" spans="1:61" x14ac:dyDescent="0.25">
      <c r="A180" s="76">
        <v>152856</v>
      </c>
      <c r="B180" s="77" t="s">
        <v>1804</v>
      </c>
      <c r="C180" s="78" t="s">
        <v>1639</v>
      </c>
      <c r="D180" s="76" t="s">
        <v>70</v>
      </c>
      <c r="E180" s="79" t="s">
        <v>14</v>
      </c>
      <c r="F180" s="79" t="s">
        <v>158</v>
      </c>
      <c r="G180" s="79" t="s">
        <v>87</v>
      </c>
      <c r="H180" s="79" t="s">
        <v>14</v>
      </c>
      <c r="I180" s="78" t="s">
        <v>14</v>
      </c>
      <c r="J180" s="79" t="s">
        <v>14</v>
      </c>
      <c r="K180" s="142" t="s">
        <v>1851</v>
      </c>
      <c r="L180" s="149" t="s">
        <v>1844</v>
      </c>
      <c r="M180" s="150" t="s">
        <v>1853</v>
      </c>
      <c r="N180" s="151">
        <v>21</v>
      </c>
      <c r="O180" s="151">
        <v>0</v>
      </c>
      <c r="P180" s="152">
        <v>0</v>
      </c>
      <c r="Q180" s="153">
        <v>100</v>
      </c>
      <c r="R180" s="154">
        <v>2</v>
      </c>
      <c r="S180" s="38">
        <f t="shared" si="22"/>
        <v>2</v>
      </c>
      <c r="T180" s="39">
        <f t="shared" si="23"/>
        <v>12</v>
      </c>
      <c r="U180" s="40">
        <f t="shared" si="24"/>
        <v>0</v>
      </c>
      <c r="V180" s="40">
        <f t="shared" si="25"/>
        <v>0</v>
      </c>
      <c r="W180" s="40">
        <f t="shared" si="26"/>
        <v>0</v>
      </c>
      <c r="X180" s="40">
        <f t="shared" si="27"/>
        <v>0</v>
      </c>
      <c r="Y180" s="40">
        <f t="shared" si="28"/>
        <v>0</v>
      </c>
      <c r="Z180" s="40">
        <f t="shared" si="29"/>
        <v>0</v>
      </c>
      <c r="AA180" s="40">
        <f t="shared" si="30"/>
        <v>0</v>
      </c>
      <c r="AB180" s="40">
        <f t="shared" si="31"/>
        <v>0</v>
      </c>
      <c r="AC180" s="41">
        <f t="shared" si="32"/>
        <v>0</v>
      </c>
      <c r="AD180" s="49" t="s">
        <v>5</v>
      </c>
      <c r="AE180" s="50" t="s">
        <v>72</v>
      </c>
      <c r="AF180" s="49" t="s">
        <v>5</v>
      </c>
      <c r="AG180" s="50" t="s">
        <v>117</v>
      </c>
      <c r="AH180" s="49" t="s">
        <v>5</v>
      </c>
      <c r="AI180" s="50" t="s">
        <v>101</v>
      </c>
      <c r="AJ180" s="49" t="s">
        <v>5</v>
      </c>
      <c r="AK180" s="50" t="s">
        <v>459</v>
      </c>
      <c r="AL180" s="49" t="s">
        <v>1</v>
      </c>
      <c r="AM180" s="50" t="s">
        <v>130</v>
      </c>
      <c r="AN180" s="49" t="s">
        <v>5</v>
      </c>
      <c r="AO180" s="50" t="s">
        <v>143</v>
      </c>
      <c r="AP180" s="49" t="s">
        <v>1</v>
      </c>
      <c r="AQ180" s="50" t="s">
        <v>131</v>
      </c>
      <c r="AR180" s="49" t="s">
        <v>5</v>
      </c>
      <c r="AS180" s="50" t="s">
        <v>120</v>
      </c>
      <c r="AT180" s="49" t="s">
        <v>5</v>
      </c>
      <c r="AU180" s="50" t="s">
        <v>105</v>
      </c>
      <c r="AV180" s="49" t="s">
        <v>5</v>
      </c>
      <c r="AW180" s="50" t="s">
        <v>94</v>
      </c>
      <c r="AX180" s="49" t="s">
        <v>5</v>
      </c>
      <c r="AY180" s="50" t="s">
        <v>80</v>
      </c>
      <c r="AZ180" s="49"/>
      <c r="BA180" s="50"/>
      <c r="BB180" s="49" t="s">
        <v>5</v>
      </c>
      <c r="BC180" s="50" t="s">
        <v>152</v>
      </c>
      <c r="BD180" s="49" t="s">
        <v>5</v>
      </c>
      <c r="BE180" s="50" t="s">
        <v>82</v>
      </c>
      <c r="BF180" s="49" t="s">
        <v>5</v>
      </c>
      <c r="BG180" s="50" t="s">
        <v>123</v>
      </c>
      <c r="BH180" s="49"/>
      <c r="BI180" s="50"/>
    </row>
    <row r="181" spans="1:61" x14ac:dyDescent="0.25">
      <c r="A181" s="76">
        <v>152913</v>
      </c>
      <c r="B181" s="77" t="s">
        <v>1805</v>
      </c>
      <c r="C181" s="78" t="s">
        <v>1628</v>
      </c>
      <c r="D181" s="76" t="s">
        <v>12</v>
      </c>
      <c r="E181" s="79" t="s">
        <v>14</v>
      </c>
      <c r="F181" s="79" t="s">
        <v>150</v>
      </c>
      <c r="G181" s="79" t="s">
        <v>14</v>
      </c>
      <c r="H181" s="79" t="s">
        <v>14</v>
      </c>
      <c r="I181" s="78" t="s">
        <v>14</v>
      </c>
      <c r="J181" s="79" t="s">
        <v>14</v>
      </c>
      <c r="K181" s="142" t="s">
        <v>1850</v>
      </c>
      <c r="L181" s="149" t="s">
        <v>1841</v>
      </c>
      <c r="M181" s="150" t="s">
        <v>1853</v>
      </c>
      <c r="N181" s="151">
        <v>22</v>
      </c>
      <c r="O181" s="151">
        <v>0</v>
      </c>
      <c r="P181" s="152">
        <v>0</v>
      </c>
      <c r="Q181" s="153">
        <v>100</v>
      </c>
      <c r="R181" s="154">
        <v>1</v>
      </c>
      <c r="S181" s="38">
        <f t="shared" si="22"/>
        <v>2</v>
      </c>
      <c r="T181" s="39">
        <f t="shared" si="23"/>
        <v>12</v>
      </c>
      <c r="U181" s="40">
        <f t="shared" si="24"/>
        <v>0</v>
      </c>
      <c r="V181" s="40">
        <f t="shared" si="25"/>
        <v>0</v>
      </c>
      <c r="W181" s="40">
        <f t="shared" si="26"/>
        <v>0</v>
      </c>
      <c r="X181" s="40">
        <f t="shared" si="27"/>
        <v>0</v>
      </c>
      <c r="Y181" s="40">
        <f t="shared" si="28"/>
        <v>0</v>
      </c>
      <c r="Z181" s="40">
        <f t="shared" si="29"/>
        <v>0</v>
      </c>
      <c r="AA181" s="40">
        <f t="shared" si="30"/>
        <v>0</v>
      </c>
      <c r="AB181" s="40">
        <f t="shared" si="31"/>
        <v>0</v>
      </c>
      <c r="AC181" s="41">
        <f t="shared" si="32"/>
        <v>0</v>
      </c>
      <c r="AD181" s="49" t="s">
        <v>5</v>
      </c>
      <c r="AE181" s="50" t="s">
        <v>116</v>
      </c>
      <c r="AF181" s="49" t="s">
        <v>5</v>
      </c>
      <c r="AG181" s="50" t="s">
        <v>135</v>
      </c>
      <c r="AH181" s="49" t="s">
        <v>5</v>
      </c>
      <c r="AI181" s="50" t="s">
        <v>101</v>
      </c>
      <c r="AJ181" s="49" t="s">
        <v>5</v>
      </c>
      <c r="AK181" s="50" t="s">
        <v>459</v>
      </c>
      <c r="AL181" s="49" t="s">
        <v>5</v>
      </c>
      <c r="AM181" s="50" t="s">
        <v>106</v>
      </c>
      <c r="AN181" s="49" t="s">
        <v>5</v>
      </c>
      <c r="AO181" s="50" t="s">
        <v>103</v>
      </c>
      <c r="AP181" s="49" t="s">
        <v>5</v>
      </c>
      <c r="AQ181" s="50" t="s">
        <v>144</v>
      </c>
      <c r="AR181" s="49" t="s">
        <v>5</v>
      </c>
      <c r="AS181" s="50" t="s">
        <v>104</v>
      </c>
      <c r="AT181" s="49" t="s">
        <v>5</v>
      </c>
      <c r="AU181" s="50" t="s">
        <v>105</v>
      </c>
      <c r="AV181" s="49" t="s">
        <v>5</v>
      </c>
      <c r="AW181" s="50" t="s">
        <v>112</v>
      </c>
      <c r="AX181" s="49" t="s">
        <v>1</v>
      </c>
      <c r="AY181" s="50" t="s">
        <v>95</v>
      </c>
      <c r="AZ181" s="49"/>
      <c r="BA181" s="50"/>
      <c r="BB181" s="49" t="s">
        <v>1</v>
      </c>
      <c r="BC181" s="50" t="s">
        <v>107</v>
      </c>
      <c r="BD181" s="49" t="s">
        <v>5</v>
      </c>
      <c r="BE181" s="50" t="s">
        <v>108</v>
      </c>
      <c r="BF181" s="49" t="s">
        <v>5</v>
      </c>
      <c r="BG181" s="50" t="s">
        <v>83</v>
      </c>
      <c r="BH181" s="49"/>
      <c r="BI181" s="50"/>
    </row>
    <row r="182" spans="1:61" x14ac:dyDescent="0.25">
      <c r="A182" s="76">
        <v>152936</v>
      </c>
      <c r="B182" s="77" t="s">
        <v>1806</v>
      </c>
      <c r="C182" s="78" t="s">
        <v>1665</v>
      </c>
      <c r="D182" s="76" t="s">
        <v>70</v>
      </c>
      <c r="E182" s="79" t="s">
        <v>14</v>
      </c>
      <c r="F182" s="79" t="s">
        <v>71</v>
      </c>
      <c r="G182" s="79" t="s">
        <v>87</v>
      </c>
      <c r="H182" s="79" t="s">
        <v>14</v>
      </c>
      <c r="I182" s="78" t="s">
        <v>14</v>
      </c>
      <c r="J182" s="79" t="s">
        <v>14</v>
      </c>
      <c r="K182" s="142" t="s">
        <v>1850</v>
      </c>
      <c r="L182" s="149" t="s">
        <v>1846</v>
      </c>
      <c r="M182" s="150" t="s">
        <v>1853</v>
      </c>
      <c r="N182" s="151">
        <v>23</v>
      </c>
      <c r="O182" s="151">
        <v>0</v>
      </c>
      <c r="P182" s="152">
        <v>1</v>
      </c>
      <c r="Q182" s="153">
        <v>100</v>
      </c>
      <c r="R182" s="154">
        <v>0</v>
      </c>
      <c r="S182" s="38">
        <f t="shared" si="22"/>
        <v>3</v>
      </c>
      <c r="T182" s="39">
        <f t="shared" si="23"/>
        <v>11</v>
      </c>
      <c r="U182" s="40">
        <f t="shared" si="24"/>
        <v>0</v>
      </c>
      <c r="V182" s="40">
        <f t="shared" si="25"/>
        <v>0</v>
      </c>
      <c r="W182" s="40">
        <f t="shared" si="26"/>
        <v>0</v>
      </c>
      <c r="X182" s="40">
        <f t="shared" si="27"/>
        <v>0</v>
      </c>
      <c r="Y182" s="40">
        <f t="shared" si="28"/>
        <v>0</v>
      </c>
      <c r="Z182" s="40">
        <f t="shared" si="29"/>
        <v>0</v>
      </c>
      <c r="AA182" s="40">
        <f t="shared" si="30"/>
        <v>0</v>
      </c>
      <c r="AB182" s="40">
        <f t="shared" si="31"/>
        <v>0</v>
      </c>
      <c r="AC182" s="41">
        <f t="shared" si="32"/>
        <v>0</v>
      </c>
      <c r="AD182" s="49" t="s">
        <v>5</v>
      </c>
      <c r="AE182" s="50" t="s">
        <v>116</v>
      </c>
      <c r="AF182" s="49" t="s">
        <v>5</v>
      </c>
      <c r="AG182" s="50" t="s">
        <v>90</v>
      </c>
      <c r="AH182" s="49" t="s">
        <v>5</v>
      </c>
      <c r="AI182" s="50" t="s">
        <v>101</v>
      </c>
      <c r="AJ182" s="49" t="s">
        <v>5</v>
      </c>
      <c r="AK182" s="50" t="s">
        <v>74</v>
      </c>
      <c r="AL182" s="49" t="s">
        <v>5</v>
      </c>
      <c r="AM182" s="50" t="s">
        <v>92</v>
      </c>
      <c r="AN182" s="49"/>
      <c r="AO182" s="50"/>
      <c r="AP182" s="49" t="s">
        <v>5</v>
      </c>
      <c r="AQ182" s="50" t="s">
        <v>131</v>
      </c>
      <c r="AR182" s="49" t="s">
        <v>1</v>
      </c>
      <c r="AS182" s="50" t="s">
        <v>104</v>
      </c>
      <c r="AT182" s="49" t="s">
        <v>5</v>
      </c>
      <c r="AU182" s="50" t="s">
        <v>105</v>
      </c>
      <c r="AV182" s="49" t="s">
        <v>1</v>
      </c>
      <c r="AW182" s="50" t="s">
        <v>112</v>
      </c>
      <c r="AX182" s="49" t="s">
        <v>1</v>
      </c>
      <c r="AY182" s="50" t="s">
        <v>95</v>
      </c>
      <c r="AZ182" s="49"/>
      <c r="BA182" s="50"/>
      <c r="BB182" s="49" t="s">
        <v>5</v>
      </c>
      <c r="BC182" s="50" t="s">
        <v>121</v>
      </c>
      <c r="BD182" s="49" t="s">
        <v>5</v>
      </c>
      <c r="BE182" s="50" t="s">
        <v>457</v>
      </c>
      <c r="BF182" s="49" t="s">
        <v>5</v>
      </c>
      <c r="BG182" s="50" t="s">
        <v>123</v>
      </c>
      <c r="BH182" s="49" t="s">
        <v>5</v>
      </c>
      <c r="BI182" s="50" t="s">
        <v>84</v>
      </c>
    </row>
    <row r="183" spans="1:61" x14ac:dyDescent="0.25">
      <c r="A183" s="76">
        <v>160007</v>
      </c>
      <c r="B183" s="77" t="s">
        <v>1807</v>
      </c>
      <c r="C183" s="78" t="s">
        <v>1639</v>
      </c>
      <c r="D183" s="76" t="s">
        <v>70</v>
      </c>
      <c r="E183" s="79" t="s">
        <v>87</v>
      </c>
      <c r="F183" s="79" t="s">
        <v>312</v>
      </c>
      <c r="G183" s="79" t="s">
        <v>14</v>
      </c>
      <c r="H183" s="79" t="s">
        <v>87</v>
      </c>
      <c r="I183" s="78" t="s">
        <v>14</v>
      </c>
      <c r="J183" s="79" t="s">
        <v>14</v>
      </c>
      <c r="K183" s="142" t="s">
        <v>1850</v>
      </c>
      <c r="L183" s="149" t="s">
        <v>1842</v>
      </c>
      <c r="M183" s="150" t="s">
        <v>1853</v>
      </c>
      <c r="N183" s="151">
        <v>25</v>
      </c>
      <c r="O183" s="151">
        <v>1</v>
      </c>
      <c r="P183" s="152">
        <v>0</v>
      </c>
      <c r="Q183" s="153">
        <v>100</v>
      </c>
      <c r="R183" s="154">
        <v>1</v>
      </c>
      <c r="S183" s="38">
        <f t="shared" si="22"/>
        <v>1</v>
      </c>
      <c r="T183" s="39">
        <f t="shared" si="23"/>
        <v>13</v>
      </c>
      <c r="U183" s="40">
        <f t="shared" si="24"/>
        <v>0</v>
      </c>
      <c r="V183" s="40">
        <f t="shared" si="25"/>
        <v>0</v>
      </c>
      <c r="W183" s="40">
        <f t="shared" si="26"/>
        <v>0</v>
      </c>
      <c r="X183" s="40">
        <f t="shared" si="27"/>
        <v>0</v>
      </c>
      <c r="Y183" s="40">
        <f t="shared" si="28"/>
        <v>0</v>
      </c>
      <c r="Z183" s="40">
        <f t="shared" si="29"/>
        <v>0</v>
      </c>
      <c r="AA183" s="40">
        <f t="shared" si="30"/>
        <v>0</v>
      </c>
      <c r="AB183" s="40">
        <f t="shared" si="31"/>
        <v>0</v>
      </c>
      <c r="AC183" s="41">
        <f t="shared" si="32"/>
        <v>0</v>
      </c>
      <c r="AD183" s="49" t="s">
        <v>5</v>
      </c>
      <c r="AE183" s="50" t="s">
        <v>72</v>
      </c>
      <c r="AF183" s="49" t="s">
        <v>5</v>
      </c>
      <c r="AG183" s="50" t="s">
        <v>135</v>
      </c>
      <c r="AH183" s="49" t="s">
        <v>5</v>
      </c>
      <c r="AI183" s="50" t="s">
        <v>101</v>
      </c>
      <c r="AJ183" s="49" t="s">
        <v>5</v>
      </c>
      <c r="AK183" s="50" t="s">
        <v>722</v>
      </c>
      <c r="AL183" s="49" t="s">
        <v>5</v>
      </c>
      <c r="AM183" s="50" t="s">
        <v>130</v>
      </c>
      <c r="AN183" s="49" t="s">
        <v>5</v>
      </c>
      <c r="AO183" s="50" t="s">
        <v>143</v>
      </c>
      <c r="AP183" s="49" t="s">
        <v>5</v>
      </c>
      <c r="AQ183" s="50" t="s">
        <v>131</v>
      </c>
      <c r="AR183" s="49" t="s">
        <v>5</v>
      </c>
      <c r="AS183" s="50" t="s">
        <v>120</v>
      </c>
      <c r="AT183" s="49" t="s">
        <v>5</v>
      </c>
      <c r="AU183" s="50" t="s">
        <v>105</v>
      </c>
      <c r="AV183" s="49" t="s">
        <v>1</v>
      </c>
      <c r="AW183" s="50" t="s">
        <v>112</v>
      </c>
      <c r="AX183" s="49" t="s">
        <v>5</v>
      </c>
      <c r="AY183" s="50" t="s">
        <v>80</v>
      </c>
      <c r="AZ183" s="49"/>
      <c r="BA183" s="50"/>
      <c r="BB183" s="49" t="s">
        <v>5</v>
      </c>
      <c r="BC183" s="50" t="s">
        <v>81</v>
      </c>
      <c r="BD183" s="49" t="s">
        <v>5</v>
      </c>
      <c r="BE183" s="50" t="s">
        <v>82</v>
      </c>
      <c r="BF183" s="49" t="s">
        <v>5</v>
      </c>
      <c r="BG183" s="50" t="s">
        <v>83</v>
      </c>
      <c r="BH183" s="49"/>
      <c r="BI183" s="50"/>
    </row>
    <row r="184" spans="1:61" x14ac:dyDescent="0.25">
      <c r="A184" s="76">
        <v>152948</v>
      </c>
      <c r="B184" s="77" t="s">
        <v>1808</v>
      </c>
      <c r="C184" s="78" t="s">
        <v>1620</v>
      </c>
      <c r="D184" s="76" t="s">
        <v>12</v>
      </c>
      <c r="E184" s="79" t="s">
        <v>14</v>
      </c>
      <c r="F184" s="79" t="s">
        <v>88</v>
      </c>
      <c r="G184" s="79" t="s">
        <v>87</v>
      </c>
      <c r="H184" s="79" t="s">
        <v>14</v>
      </c>
      <c r="I184" s="78" t="s">
        <v>14</v>
      </c>
      <c r="J184" s="79" t="s">
        <v>14</v>
      </c>
      <c r="K184" s="142" t="s">
        <v>1850</v>
      </c>
      <c r="L184" s="149" t="s">
        <v>1848</v>
      </c>
      <c r="M184" s="150" t="s">
        <v>12</v>
      </c>
      <c r="N184" s="151">
        <v>17</v>
      </c>
      <c r="O184" s="151">
        <v>2</v>
      </c>
      <c r="P184" s="152">
        <v>0</v>
      </c>
      <c r="Q184" s="153">
        <v>100</v>
      </c>
      <c r="R184" s="154">
        <v>3</v>
      </c>
      <c r="S184" s="38">
        <f t="shared" si="22"/>
        <v>0</v>
      </c>
      <c r="T184" s="39">
        <f t="shared" si="23"/>
        <v>12</v>
      </c>
      <c r="U184" s="40">
        <f t="shared" si="24"/>
        <v>2</v>
      </c>
      <c r="V184" s="40">
        <f t="shared" si="25"/>
        <v>0</v>
      </c>
      <c r="W184" s="40">
        <f t="shared" si="26"/>
        <v>0</v>
      </c>
      <c r="X184" s="40">
        <f t="shared" si="27"/>
        <v>2</v>
      </c>
      <c r="Y184" s="40">
        <f t="shared" si="28"/>
        <v>0</v>
      </c>
      <c r="Z184" s="40">
        <f t="shared" si="29"/>
        <v>0</v>
      </c>
      <c r="AA184" s="40">
        <f t="shared" si="30"/>
        <v>0</v>
      </c>
      <c r="AB184" s="40">
        <f t="shared" si="31"/>
        <v>0</v>
      </c>
      <c r="AC184" s="41">
        <f t="shared" si="32"/>
        <v>0</v>
      </c>
      <c r="AD184" s="49" t="s">
        <v>5</v>
      </c>
      <c r="AE184" s="50" t="s">
        <v>89</v>
      </c>
      <c r="AF184" s="49" t="s">
        <v>5</v>
      </c>
      <c r="AG184" s="50" t="s">
        <v>117</v>
      </c>
      <c r="AH184" s="49" t="s">
        <v>5</v>
      </c>
      <c r="AI184" s="50" t="s">
        <v>142</v>
      </c>
      <c r="AJ184" s="49" t="s">
        <v>5</v>
      </c>
      <c r="AK184" s="50" t="s">
        <v>722</v>
      </c>
      <c r="AL184" s="49" t="s">
        <v>30</v>
      </c>
      <c r="AM184" s="50" t="s">
        <v>142</v>
      </c>
      <c r="AN184" s="49"/>
      <c r="AO184" s="50"/>
      <c r="AP184" s="49" t="s">
        <v>5</v>
      </c>
      <c r="AQ184" s="50" t="s">
        <v>76</v>
      </c>
      <c r="AR184" s="49" t="s">
        <v>5</v>
      </c>
      <c r="AS184" s="50" t="s">
        <v>132</v>
      </c>
      <c r="AT184" s="49" t="s">
        <v>5</v>
      </c>
      <c r="AU184" s="50" t="s">
        <v>105</v>
      </c>
      <c r="AV184" s="49" t="s">
        <v>5</v>
      </c>
      <c r="AW184" s="50" t="s">
        <v>94</v>
      </c>
      <c r="AX184" s="49" t="s">
        <v>5</v>
      </c>
      <c r="AY184" s="50" t="s">
        <v>95</v>
      </c>
      <c r="AZ184" s="49"/>
      <c r="BA184" s="50"/>
      <c r="BB184" s="49" t="s">
        <v>5</v>
      </c>
      <c r="BC184" s="50" t="s">
        <v>741</v>
      </c>
      <c r="BD184" s="49" t="s">
        <v>5</v>
      </c>
      <c r="BE184" s="50" t="s">
        <v>97</v>
      </c>
      <c r="BF184" s="49" t="s">
        <v>5</v>
      </c>
      <c r="BG184" s="50" t="s">
        <v>164</v>
      </c>
      <c r="BH184" s="49" t="s">
        <v>30</v>
      </c>
      <c r="BI184" s="50" t="s">
        <v>130</v>
      </c>
    </row>
    <row r="185" spans="1:61" x14ac:dyDescent="0.25">
      <c r="A185" s="76">
        <v>152754</v>
      </c>
      <c r="B185" s="77" t="s">
        <v>1809</v>
      </c>
      <c r="C185" s="78" t="s">
        <v>1639</v>
      </c>
      <c r="D185" s="76" t="s">
        <v>12</v>
      </c>
      <c r="E185" s="79" t="s">
        <v>14</v>
      </c>
      <c r="F185" s="79" t="s">
        <v>220</v>
      </c>
      <c r="G185" s="79" t="s">
        <v>87</v>
      </c>
      <c r="H185" s="79" t="s">
        <v>14</v>
      </c>
      <c r="I185" s="78" t="s">
        <v>14</v>
      </c>
      <c r="J185" s="79" t="s">
        <v>14</v>
      </c>
      <c r="K185" s="142" t="s">
        <v>1850</v>
      </c>
      <c r="L185" s="149" t="s">
        <v>1841</v>
      </c>
      <c r="M185" s="150" t="s">
        <v>1853</v>
      </c>
      <c r="N185" s="151">
        <v>17</v>
      </c>
      <c r="O185" s="151">
        <v>2</v>
      </c>
      <c r="P185" s="152">
        <v>1</v>
      </c>
      <c r="Q185" s="153">
        <v>95.56</v>
      </c>
      <c r="R185" s="154">
        <v>0</v>
      </c>
      <c r="S185" s="38">
        <f t="shared" si="22"/>
        <v>1</v>
      </c>
      <c r="T185" s="39">
        <f t="shared" si="23"/>
        <v>13</v>
      </c>
      <c r="U185" s="40">
        <f t="shared" si="24"/>
        <v>0</v>
      </c>
      <c r="V185" s="40">
        <f t="shared" si="25"/>
        <v>0</v>
      </c>
      <c r="W185" s="40">
        <f t="shared" si="26"/>
        <v>0</v>
      </c>
      <c r="X185" s="40">
        <f t="shared" si="27"/>
        <v>0</v>
      </c>
      <c r="Y185" s="40">
        <f t="shared" si="28"/>
        <v>0</v>
      </c>
      <c r="Z185" s="40">
        <f t="shared" si="29"/>
        <v>0</v>
      </c>
      <c r="AA185" s="40">
        <f t="shared" si="30"/>
        <v>0</v>
      </c>
      <c r="AB185" s="40">
        <f t="shared" si="31"/>
        <v>0</v>
      </c>
      <c r="AC185" s="41">
        <f t="shared" si="32"/>
        <v>0</v>
      </c>
      <c r="AD185" s="49" t="s">
        <v>5</v>
      </c>
      <c r="AE185" s="50" t="s">
        <v>72</v>
      </c>
      <c r="AF185" s="49" t="s">
        <v>5</v>
      </c>
      <c r="AG185" s="50" t="s">
        <v>90</v>
      </c>
      <c r="AH185" s="49" t="s">
        <v>5</v>
      </c>
      <c r="AI185" s="50" t="s">
        <v>101</v>
      </c>
      <c r="AJ185" s="49" t="s">
        <v>5</v>
      </c>
      <c r="AK185" s="50" t="s">
        <v>722</v>
      </c>
      <c r="AL185" s="49" t="s">
        <v>5</v>
      </c>
      <c r="AM185" s="50" t="s">
        <v>130</v>
      </c>
      <c r="AN185" s="49" t="s">
        <v>5</v>
      </c>
      <c r="AO185" s="50" t="s">
        <v>143</v>
      </c>
      <c r="AP185" s="49" t="s">
        <v>5</v>
      </c>
      <c r="AQ185" s="50" t="s">
        <v>131</v>
      </c>
      <c r="AR185" s="49" t="s">
        <v>5</v>
      </c>
      <c r="AS185" s="50" t="s">
        <v>120</v>
      </c>
      <c r="AT185" s="49" t="s">
        <v>5</v>
      </c>
      <c r="AU185" s="50" t="s">
        <v>105</v>
      </c>
      <c r="AV185" s="49" t="s">
        <v>5</v>
      </c>
      <c r="AW185" s="50" t="s">
        <v>79</v>
      </c>
      <c r="AX185" s="49" t="s">
        <v>5</v>
      </c>
      <c r="AY185" s="50" t="s">
        <v>80</v>
      </c>
      <c r="AZ185" s="49"/>
      <c r="BA185" s="50"/>
      <c r="BB185" s="49" t="s">
        <v>1</v>
      </c>
      <c r="BC185" s="50" t="s">
        <v>96</v>
      </c>
      <c r="BD185" s="49" t="s">
        <v>5</v>
      </c>
      <c r="BE185" s="50" t="s">
        <v>82</v>
      </c>
      <c r="BF185" s="49" t="s">
        <v>5</v>
      </c>
      <c r="BG185" s="50" t="s">
        <v>164</v>
      </c>
      <c r="BH185" s="49"/>
      <c r="BI185" s="50"/>
    </row>
    <row r="186" spans="1:61" x14ac:dyDescent="0.25">
      <c r="A186" s="76">
        <v>152903</v>
      </c>
      <c r="B186" s="77" t="s">
        <v>1810</v>
      </c>
      <c r="C186" s="78" t="s">
        <v>1639</v>
      </c>
      <c r="D186" s="76" t="s">
        <v>70</v>
      </c>
      <c r="E186" s="79" t="s">
        <v>87</v>
      </c>
      <c r="F186" s="79" t="s">
        <v>450</v>
      </c>
      <c r="G186" s="79" t="s">
        <v>14</v>
      </c>
      <c r="H186" s="79" t="s">
        <v>87</v>
      </c>
      <c r="I186" s="78" t="s">
        <v>14</v>
      </c>
      <c r="J186" s="79" t="s">
        <v>14</v>
      </c>
      <c r="K186" s="142" t="s">
        <v>1850</v>
      </c>
      <c r="L186" s="149" t="s">
        <v>1841</v>
      </c>
      <c r="M186" s="150" t="s">
        <v>1853</v>
      </c>
      <c r="N186" s="151">
        <v>18</v>
      </c>
      <c r="O186" s="151">
        <v>0</v>
      </c>
      <c r="P186" s="152">
        <v>0</v>
      </c>
      <c r="Q186" s="153">
        <v>100</v>
      </c>
      <c r="R186" s="154">
        <v>1</v>
      </c>
      <c r="S186" s="38">
        <f t="shared" si="22"/>
        <v>1</v>
      </c>
      <c r="T186" s="39">
        <f t="shared" si="23"/>
        <v>13</v>
      </c>
      <c r="U186" s="40">
        <f t="shared" si="24"/>
        <v>0</v>
      </c>
      <c r="V186" s="40">
        <f t="shared" si="25"/>
        <v>0</v>
      </c>
      <c r="W186" s="40">
        <f t="shared" si="26"/>
        <v>0</v>
      </c>
      <c r="X186" s="40">
        <f t="shared" si="27"/>
        <v>0</v>
      </c>
      <c r="Y186" s="40">
        <f t="shared" si="28"/>
        <v>0</v>
      </c>
      <c r="Z186" s="40">
        <f t="shared" si="29"/>
        <v>0</v>
      </c>
      <c r="AA186" s="40">
        <f t="shared" si="30"/>
        <v>0</v>
      </c>
      <c r="AB186" s="40">
        <f t="shared" si="31"/>
        <v>0</v>
      </c>
      <c r="AC186" s="41">
        <f t="shared" si="32"/>
        <v>0</v>
      </c>
      <c r="AD186" s="49" t="s">
        <v>5</v>
      </c>
      <c r="AE186" s="50" t="s">
        <v>72</v>
      </c>
      <c r="AF186" s="49" t="s">
        <v>1</v>
      </c>
      <c r="AG186" s="50" t="s">
        <v>73</v>
      </c>
      <c r="AH186" s="49" t="s">
        <v>5</v>
      </c>
      <c r="AI186" s="50" t="s">
        <v>101</v>
      </c>
      <c r="AJ186" s="49" t="s">
        <v>5</v>
      </c>
      <c r="AK186" s="50" t="s">
        <v>142</v>
      </c>
      <c r="AL186" s="49" t="s">
        <v>5</v>
      </c>
      <c r="AM186" s="50" t="s">
        <v>130</v>
      </c>
      <c r="AN186" s="49" t="s">
        <v>5</v>
      </c>
      <c r="AO186" s="50" t="s">
        <v>143</v>
      </c>
      <c r="AP186" s="49" t="s">
        <v>5</v>
      </c>
      <c r="AQ186" s="50" t="s">
        <v>131</v>
      </c>
      <c r="AR186" s="49" t="s">
        <v>5</v>
      </c>
      <c r="AS186" s="50" t="s">
        <v>120</v>
      </c>
      <c r="AT186" s="49" t="s">
        <v>5</v>
      </c>
      <c r="AU186" s="50" t="s">
        <v>105</v>
      </c>
      <c r="AV186" s="49" t="s">
        <v>5</v>
      </c>
      <c r="AW186" s="50" t="s">
        <v>112</v>
      </c>
      <c r="AX186" s="49" t="s">
        <v>5</v>
      </c>
      <c r="AY186" s="50" t="s">
        <v>80</v>
      </c>
      <c r="AZ186" s="49"/>
      <c r="BA186" s="50"/>
      <c r="BB186" s="49" t="s">
        <v>5</v>
      </c>
      <c r="BC186" s="50" t="s">
        <v>81</v>
      </c>
      <c r="BD186" s="49" t="s">
        <v>5</v>
      </c>
      <c r="BE186" s="50" t="s">
        <v>82</v>
      </c>
      <c r="BF186" s="49" t="s">
        <v>5</v>
      </c>
      <c r="BG186" s="50" t="s">
        <v>83</v>
      </c>
      <c r="BH186" s="49"/>
      <c r="BI186" s="50"/>
    </row>
    <row r="187" spans="1:61" x14ac:dyDescent="0.25">
      <c r="A187" s="76">
        <v>152836</v>
      </c>
      <c r="B187" s="77" t="s">
        <v>1811</v>
      </c>
      <c r="C187" s="78" t="s">
        <v>1648</v>
      </c>
      <c r="D187" s="76" t="s">
        <v>12</v>
      </c>
      <c r="E187" s="79" t="s">
        <v>14</v>
      </c>
      <c r="F187" s="79" t="s">
        <v>71</v>
      </c>
      <c r="G187" s="79" t="s">
        <v>87</v>
      </c>
      <c r="H187" s="79" t="s">
        <v>14</v>
      </c>
      <c r="I187" s="78" t="s">
        <v>14</v>
      </c>
      <c r="J187" s="79" t="s">
        <v>6</v>
      </c>
      <c r="K187" s="142" t="s">
        <v>1850</v>
      </c>
      <c r="L187" s="149" t="s">
        <v>1843</v>
      </c>
      <c r="M187" s="150" t="s">
        <v>12</v>
      </c>
      <c r="N187" s="151">
        <v>6</v>
      </c>
      <c r="O187" s="151">
        <v>19</v>
      </c>
      <c r="P187" s="152">
        <v>2</v>
      </c>
      <c r="Q187" s="153">
        <v>55.81</v>
      </c>
      <c r="R187" s="154">
        <v>7</v>
      </c>
      <c r="S187" s="38">
        <f t="shared" si="22"/>
        <v>0</v>
      </c>
      <c r="T187" s="39">
        <f t="shared" si="23"/>
        <v>7</v>
      </c>
      <c r="U187" s="40">
        <f t="shared" si="24"/>
        <v>2</v>
      </c>
      <c r="V187" s="40">
        <f t="shared" si="25"/>
        <v>2</v>
      </c>
      <c r="W187" s="40">
        <f t="shared" si="26"/>
        <v>0</v>
      </c>
      <c r="X187" s="40">
        <f t="shared" si="27"/>
        <v>4</v>
      </c>
      <c r="Y187" s="40">
        <f t="shared" si="28"/>
        <v>0</v>
      </c>
      <c r="Z187" s="40">
        <f t="shared" si="29"/>
        <v>3</v>
      </c>
      <c r="AA187" s="40">
        <f t="shared" si="30"/>
        <v>0</v>
      </c>
      <c r="AB187" s="40">
        <f t="shared" si="31"/>
        <v>3</v>
      </c>
      <c r="AC187" s="41">
        <f t="shared" si="32"/>
        <v>0</v>
      </c>
      <c r="AD187" s="49" t="s">
        <v>5</v>
      </c>
      <c r="AE187" s="50" t="s">
        <v>116</v>
      </c>
      <c r="AF187" s="49" t="s">
        <v>5</v>
      </c>
      <c r="AG187" s="50" t="s">
        <v>117</v>
      </c>
      <c r="AH187" s="49" t="s">
        <v>35</v>
      </c>
      <c r="AI187" s="50" t="s">
        <v>101</v>
      </c>
      <c r="AJ187" s="49" t="s">
        <v>31</v>
      </c>
      <c r="AK187" s="50" t="s">
        <v>74</v>
      </c>
      <c r="AL187" s="49" t="s">
        <v>5</v>
      </c>
      <c r="AM187" s="50" t="s">
        <v>714</v>
      </c>
      <c r="AN187" s="49" t="s">
        <v>35</v>
      </c>
      <c r="AO187" s="50" t="s">
        <v>124</v>
      </c>
      <c r="AP187" s="49" t="s">
        <v>35</v>
      </c>
      <c r="AQ187" s="50" t="s">
        <v>76</v>
      </c>
      <c r="AR187" s="49" t="s">
        <v>31</v>
      </c>
      <c r="AS187" s="50" t="s">
        <v>132</v>
      </c>
      <c r="AT187" s="49" t="s">
        <v>5</v>
      </c>
      <c r="AU187" s="50" t="s">
        <v>163</v>
      </c>
      <c r="AV187" s="49" t="s">
        <v>5</v>
      </c>
      <c r="AW187" s="50" t="s">
        <v>711</v>
      </c>
      <c r="AX187" s="49" t="s">
        <v>30</v>
      </c>
      <c r="AY187" s="50" t="s">
        <v>95</v>
      </c>
      <c r="AZ187" s="49"/>
      <c r="BA187" s="50"/>
      <c r="BB187" s="49" t="s">
        <v>5</v>
      </c>
      <c r="BC187" s="50" t="s">
        <v>96</v>
      </c>
      <c r="BD187" s="49" t="s">
        <v>30</v>
      </c>
      <c r="BE187" s="50" t="s">
        <v>153</v>
      </c>
      <c r="BF187" s="49" t="s">
        <v>5</v>
      </c>
      <c r="BG187" s="50" t="s">
        <v>154</v>
      </c>
      <c r="BH187" s="49"/>
      <c r="BI187" s="50"/>
    </row>
    <row r="188" spans="1:61" x14ac:dyDescent="0.25">
      <c r="A188" s="76">
        <v>152819</v>
      </c>
      <c r="B188" s="77" t="s">
        <v>1812</v>
      </c>
      <c r="C188" s="78" t="s">
        <v>1622</v>
      </c>
      <c r="D188" s="76" t="s">
        <v>70</v>
      </c>
      <c r="E188" s="79" t="s">
        <v>87</v>
      </c>
      <c r="F188" s="79" t="s">
        <v>198</v>
      </c>
      <c r="G188" s="79" t="s">
        <v>14</v>
      </c>
      <c r="H188" s="79" t="s">
        <v>87</v>
      </c>
      <c r="I188" s="78" t="s">
        <v>14</v>
      </c>
      <c r="J188" s="79" t="s">
        <v>14</v>
      </c>
      <c r="K188" s="142" t="s">
        <v>1850</v>
      </c>
      <c r="L188" s="149" t="s">
        <v>1848</v>
      </c>
      <c r="M188" s="150" t="s">
        <v>1853</v>
      </c>
      <c r="N188" s="151">
        <v>17</v>
      </c>
      <c r="O188" s="151">
        <v>1</v>
      </c>
      <c r="P188" s="152">
        <v>0</v>
      </c>
      <c r="Q188" s="153">
        <v>86.96</v>
      </c>
      <c r="R188" s="154">
        <v>1</v>
      </c>
      <c r="S188" s="38">
        <f t="shared" si="22"/>
        <v>0</v>
      </c>
      <c r="T188" s="39">
        <f t="shared" si="23"/>
        <v>14</v>
      </c>
      <c r="U188" s="40">
        <f t="shared" si="24"/>
        <v>0</v>
      </c>
      <c r="V188" s="40">
        <f t="shared" si="25"/>
        <v>0</v>
      </c>
      <c r="W188" s="40">
        <f t="shared" si="26"/>
        <v>0</v>
      </c>
      <c r="X188" s="40">
        <f t="shared" si="27"/>
        <v>0</v>
      </c>
      <c r="Y188" s="40">
        <f t="shared" si="28"/>
        <v>0</v>
      </c>
      <c r="Z188" s="40">
        <f t="shared" si="29"/>
        <v>0</v>
      </c>
      <c r="AA188" s="40">
        <f t="shared" si="30"/>
        <v>0</v>
      </c>
      <c r="AB188" s="40">
        <f t="shared" si="31"/>
        <v>0</v>
      </c>
      <c r="AC188" s="41">
        <f t="shared" si="32"/>
        <v>0</v>
      </c>
      <c r="AD188" s="49" t="s">
        <v>5</v>
      </c>
      <c r="AE188" s="50" t="s">
        <v>89</v>
      </c>
      <c r="AF188" s="49" t="s">
        <v>5</v>
      </c>
      <c r="AG188" s="50" t="s">
        <v>135</v>
      </c>
      <c r="AH188" s="49" t="s">
        <v>5</v>
      </c>
      <c r="AI188" s="50" t="s">
        <v>142</v>
      </c>
      <c r="AJ188" s="49" t="s">
        <v>5</v>
      </c>
      <c r="AK188" s="50" t="s">
        <v>142</v>
      </c>
      <c r="AL188" s="49" t="s">
        <v>5</v>
      </c>
      <c r="AM188" s="50" t="s">
        <v>98</v>
      </c>
      <c r="AN188" s="49" t="s">
        <v>5</v>
      </c>
      <c r="AO188" s="50" t="s">
        <v>75</v>
      </c>
      <c r="AP188" s="49" t="s">
        <v>5</v>
      </c>
      <c r="AQ188" s="50" t="s">
        <v>92</v>
      </c>
      <c r="AR188" s="49" t="s">
        <v>5</v>
      </c>
      <c r="AS188" s="50" t="s">
        <v>104</v>
      </c>
      <c r="AT188" s="49" t="s">
        <v>5</v>
      </c>
      <c r="AU188" s="50" t="s">
        <v>105</v>
      </c>
      <c r="AV188" s="49" t="s">
        <v>5</v>
      </c>
      <c r="AW188" s="50" t="s">
        <v>430</v>
      </c>
      <c r="AX188" s="49" t="s">
        <v>5</v>
      </c>
      <c r="AY188" s="50" t="s">
        <v>80</v>
      </c>
      <c r="AZ188" s="49"/>
      <c r="BA188" s="50"/>
      <c r="BB188" s="49" t="s">
        <v>5</v>
      </c>
      <c r="BC188" s="50" t="s">
        <v>152</v>
      </c>
      <c r="BD188" s="49" t="s">
        <v>5</v>
      </c>
      <c r="BE188" s="50" t="s">
        <v>122</v>
      </c>
      <c r="BF188" s="49" t="s">
        <v>5</v>
      </c>
      <c r="BG188" s="50" t="s">
        <v>154</v>
      </c>
      <c r="BH188" s="49"/>
      <c r="BI188" s="50"/>
    </row>
    <row r="189" spans="1:61" x14ac:dyDescent="0.25">
      <c r="A189" s="76">
        <v>152742</v>
      </c>
      <c r="B189" s="77" t="s">
        <v>1813</v>
      </c>
      <c r="C189" s="78" t="s">
        <v>1665</v>
      </c>
      <c r="D189" s="76" t="s">
        <v>12</v>
      </c>
      <c r="E189" s="79" t="s">
        <v>14</v>
      </c>
      <c r="F189" s="79" t="s">
        <v>220</v>
      </c>
      <c r="G189" s="79" t="s">
        <v>87</v>
      </c>
      <c r="H189" s="79" t="s">
        <v>14</v>
      </c>
      <c r="I189" s="78" t="s">
        <v>14</v>
      </c>
      <c r="J189" s="79" t="s">
        <v>14</v>
      </c>
      <c r="K189" s="142" t="s">
        <v>1850</v>
      </c>
      <c r="L189" s="149" t="s">
        <v>1844</v>
      </c>
      <c r="M189" s="150" t="s">
        <v>1853</v>
      </c>
      <c r="N189" s="151">
        <v>17</v>
      </c>
      <c r="O189" s="151">
        <v>0</v>
      </c>
      <c r="P189" s="152">
        <v>1</v>
      </c>
      <c r="Q189" s="153">
        <v>100</v>
      </c>
      <c r="R189" s="154">
        <v>1</v>
      </c>
      <c r="S189" s="38">
        <f t="shared" si="22"/>
        <v>0</v>
      </c>
      <c r="T189" s="39">
        <f t="shared" si="23"/>
        <v>13</v>
      </c>
      <c r="U189" s="40">
        <f t="shared" si="24"/>
        <v>1</v>
      </c>
      <c r="V189" s="40">
        <f t="shared" si="25"/>
        <v>0</v>
      </c>
      <c r="W189" s="40">
        <f t="shared" si="26"/>
        <v>0</v>
      </c>
      <c r="X189" s="40">
        <f t="shared" si="27"/>
        <v>1</v>
      </c>
      <c r="Y189" s="40">
        <f t="shared" si="28"/>
        <v>0</v>
      </c>
      <c r="Z189" s="40">
        <f t="shared" si="29"/>
        <v>0</v>
      </c>
      <c r="AA189" s="40">
        <f t="shared" si="30"/>
        <v>0</v>
      </c>
      <c r="AB189" s="40">
        <f t="shared" si="31"/>
        <v>0</v>
      </c>
      <c r="AC189" s="41">
        <f t="shared" si="32"/>
        <v>0</v>
      </c>
      <c r="AD189" s="49" t="s">
        <v>5</v>
      </c>
      <c r="AE189" s="50" t="s">
        <v>116</v>
      </c>
      <c r="AF189" s="49" t="s">
        <v>5</v>
      </c>
      <c r="AG189" s="50" t="s">
        <v>73</v>
      </c>
      <c r="AH189" s="49" t="s">
        <v>5</v>
      </c>
      <c r="AI189" s="50" t="s">
        <v>101</v>
      </c>
      <c r="AJ189" s="49" t="s">
        <v>5</v>
      </c>
      <c r="AK189" s="50" t="s">
        <v>194</v>
      </c>
      <c r="AL189" s="49" t="s">
        <v>5</v>
      </c>
      <c r="AM189" s="50" t="s">
        <v>92</v>
      </c>
      <c r="AN189" s="49"/>
      <c r="AO189" s="50"/>
      <c r="AP189" s="49" t="s">
        <v>5</v>
      </c>
      <c r="AQ189" s="50" t="s">
        <v>131</v>
      </c>
      <c r="AR189" s="49" t="s">
        <v>30</v>
      </c>
      <c r="AS189" s="50" t="s">
        <v>104</v>
      </c>
      <c r="AT189" s="49" t="s">
        <v>5</v>
      </c>
      <c r="AU189" s="50" t="s">
        <v>105</v>
      </c>
      <c r="AV189" s="49" t="s">
        <v>5</v>
      </c>
      <c r="AW189" s="50" t="s">
        <v>79</v>
      </c>
      <c r="AX189" s="49" t="s">
        <v>5</v>
      </c>
      <c r="AY189" s="50" t="s">
        <v>95</v>
      </c>
      <c r="AZ189" s="49"/>
      <c r="BA189" s="50"/>
      <c r="BB189" s="49" t="s">
        <v>5</v>
      </c>
      <c r="BC189" s="50" t="s">
        <v>741</v>
      </c>
      <c r="BD189" s="49" t="s">
        <v>5</v>
      </c>
      <c r="BE189" s="50" t="s">
        <v>457</v>
      </c>
      <c r="BF189" s="49" t="s">
        <v>5</v>
      </c>
      <c r="BG189" s="50" t="s">
        <v>98</v>
      </c>
      <c r="BH189" s="49" t="s">
        <v>5</v>
      </c>
      <c r="BI189" s="50" t="s">
        <v>84</v>
      </c>
    </row>
    <row r="190" spans="1:61" x14ac:dyDescent="0.25">
      <c r="A190" s="76">
        <v>152866</v>
      </c>
      <c r="B190" s="77" t="s">
        <v>1814</v>
      </c>
      <c r="C190" s="78" t="s">
        <v>1639</v>
      </c>
      <c r="D190" s="76" t="s">
        <v>12</v>
      </c>
      <c r="E190" s="79" t="s">
        <v>14</v>
      </c>
      <c r="F190" s="79" t="s">
        <v>71</v>
      </c>
      <c r="G190" s="79" t="s">
        <v>14</v>
      </c>
      <c r="H190" s="79" t="s">
        <v>14</v>
      </c>
      <c r="I190" s="78" t="s">
        <v>14</v>
      </c>
      <c r="J190" s="79" t="s">
        <v>14</v>
      </c>
      <c r="K190" s="142" t="s">
        <v>1851</v>
      </c>
      <c r="L190" s="149" t="s">
        <v>1841</v>
      </c>
      <c r="M190" s="150" t="s">
        <v>1853</v>
      </c>
      <c r="N190" s="151">
        <v>19</v>
      </c>
      <c r="O190" s="151">
        <v>0</v>
      </c>
      <c r="P190" s="152">
        <v>0</v>
      </c>
      <c r="Q190" s="153">
        <v>86.67</v>
      </c>
      <c r="R190" s="154">
        <v>1</v>
      </c>
      <c r="S190" s="38">
        <f t="shared" si="22"/>
        <v>2</v>
      </c>
      <c r="T190" s="39">
        <f t="shared" si="23"/>
        <v>12</v>
      </c>
      <c r="U190" s="40">
        <f t="shared" si="24"/>
        <v>0</v>
      </c>
      <c r="V190" s="40">
        <f t="shared" si="25"/>
        <v>0</v>
      </c>
      <c r="W190" s="40">
        <f t="shared" si="26"/>
        <v>0</v>
      </c>
      <c r="X190" s="40">
        <f t="shared" si="27"/>
        <v>0</v>
      </c>
      <c r="Y190" s="40">
        <f t="shared" si="28"/>
        <v>0</v>
      </c>
      <c r="Z190" s="40">
        <f t="shared" si="29"/>
        <v>0</v>
      </c>
      <c r="AA190" s="40">
        <f t="shared" si="30"/>
        <v>0</v>
      </c>
      <c r="AB190" s="40">
        <f t="shared" si="31"/>
        <v>0</v>
      </c>
      <c r="AC190" s="41">
        <f t="shared" si="32"/>
        <v>0</v>
      </c>
      <c r="AD190" s="49" t="s">
        <v>1</v>
      </c>
      <c r="AE190" s="50" t="s">
        <v>72</v>
      </c>
      <c r="AF190" s="49"/>
      <c r="AG190" s="50"/>
      <c r="AH190" s="49" t="s">
        <v>5</v>
      </c>
      <c r="AI190" s="50" t="s">
        <v>101</v>
      </c>
      <c r="AJ190" s="49" t="s">
        <v>5</v>
      </c>
      <c r="AK190" s="50" t="s">
        <v>722</v>
      </c>
      <c r="AL190" s="49" t="s">
        <v>5</v>
      </c>
      <c r="AM190" s="50" t="s">
        <v>130</v>
      </c>
      <c r="AN190" s="49" t="s">
        <v>5</v>
      </c>
      <c r="AO190" s="50" t="s">
        <v>143</v>
      </c>
      <c r="AP190" s="49" t="s">
        <v>5</v>
      </c>
      <c r="AQ190" s="50" t="s">
        <v>131</v>
      </c>
      <c r="AR190" s="49" t="s">
        <v>5</v>
      </c>
      <c r="AS190" s="50" t="s">
        <v>120</v>
      </c>
      <c r="AT190" s="49" t="s">
        <v>5</v>
      </c>
      <c r="AU190" s="50" t="s">
        <v>105</v>
      </c>
      <c r="AV190" s="49" t="s">
        <v>5</v>
      </c>
      <c r="AW190" s="50" t="s">
        <v>112</v>
      </c>
      <c r="AX190" s="49" t="s">
        <v>5</v>
      </c>
      <c r="AY190" s="50" t="s">
        <v>80</v>
      </c>
      <c r="AZ190" s="49" t="s">
        <v>5</v>
      </c>
      <c r="BA190" s="50" t="s">
        <v>120</v>
      </c>
      <c r="BB190" s="49" t="s">
        <v>1</v>
      </c>
      <c r="BC190" s="50" t="s">
        <v>107</v>
      </c>
      <c r="BD190" s="49" t="s">
        <v>5</v>
      </c>
      <c r="BE190" s="50" t="s">
        <v>82</v>
      </c>
      <c r="BF190" s="49" t="s">
        <v>5</v>
      </c>
      <c r="BG190" s="50" t="s">
        <v>83</v>
      </c>
      <c r="BH190" s="49"/>
      <c r="BI190" s="50"/>
    </row>
    <row r="191" spans="1:61" x14ac:dyDescent="0.25">
      <c r="A191" s="76">
        <v>152822</v>
      </c>
      <c r="B191" s="77" t="s">
        <v>1815</v>
      </c>
      <c r="C191" s="78" t="s">
        <v>1633</v>
      </c>
      <c r="D191" s="76" t="s">
        <v>70</v>
      </c>
      <c r="E191" s="79" t="s">
        <v>14</v>
      </c>
      <c r="F191" s="79" t="s">
        <v>88</v>
      </c>
      <c r="G191" s="79" t="s">
        <v>87</v>
      </c>
      <c r="H191" s="79" t="s">
        <v>14</v>
      </c>
      <c r="I191" s="78" t="s">
        <v>14</v>
      </c>
      <c r="J191" s="79" t="s">
        <v>14</v>
      </c>
      <c r="K191" s="142" t="s">
        <v>1850</v>
      </c>
      <c r="L191" s="149" t="s">
        <v>1844</v>
      </c>
      <c r="M191" s="150" t="s">
        <v>12</v>
      </c>
      <c r="N191" s="151">
        <v>25</v>
      </c>
      <c r="O191" s="151">
        <v>0</v>
      </c>
      <c r="P191" s="152">
        <v>0</v>
      </c>
      <c r="Q191" s="153">
        <v>100</v>
      </c>
      <c r="R191" s="154">
        <v>0</v>
      </c>
      <c r="S191" s="38">
        <f t="shared" si="22"/>
        <v>1</v>
      </c>
      <c r="T191" s="39">
        <f t="shared" si="23"/>
        <v>13</v>
      </c>
      <c r="U191" s="40">
        <f t="shared" si="24"/>
        <v>0</v>
      </c>
      <c r="V191" s="40">
        <f t="shared" si="25"/>
        <v>0</v>
      </c>
      <c r="W191" s="40">
        <f t="shared" si="26"/>
        <v>0</v>
      </c>
      <c r="X191" s="40">
        <f t="shared" si="27"/>
        <v>0</v>
      </c>
      <c r="Y191" s="40">
        <f t="shared" si="28"/>
        <v>0</v>
      </c>
      <c r="Z191" s="40">
        <f t="shared" si="29"/>
        <v>0</v>
      </c>
      <c r="AA191" s="40">
        <f t="shared" si="30"/>
        <v>0</v>
      </c>
      <c r="AB191" s="40">
        <f t="shared" si="31"/>
        <v>0</v>
      </c>
      <c r="AC191" s="41">
        <f t="shared" si="32"/>
        <v>0</v>
      </c>
      <c r="AD191" s="49" t="s">
        <v>5</v>
      </c>
      <c r="AE191" s="50" t="s">
        <v>89</v>
      </c>
      <c r="AF191" s="49"/>
      <c r="AG191" s="50"/>
      <c r="AH191" s="49" t="s">
        <v>5</v>
      </c>
      <c r="AI191" s="50" t="s">
        <v>101</v>
      </c>
      <c r="AJ191" s="49" t="s">
        <v>5</v>
      </c>
      <c r="AK191" s="50" t="s">
        <v>194</v>
      </c>
      <c r="AL191" s="49" t="s">
        <v>5</v>
      </c>
      <c r="AM191" s="50" t="s">
        <v>122</v>
      </c>
      <c r="AN191" s="49"/>
      <c r="AO191" s="50"/>
      <c r="AP191" s="49" t="s">
        <v>5</v>
      </c>
      <c r="AQ191" s="50" t="s">
        <v>131</v>
      </c>
      <c r="AR191" s="49" t="s">
        <v>5</v>
      </c>
      <c r="AS191" s="50" t="s">
        <v>120</v>
      </c>
      <c r="AT191" s="49" t="s">
        <v>5</v>
      </c>
      <c r="AU191" s="50" t="s">
        <v>163</v>
      </c>
      <c r="AV191" s="49" t="s">
        <v>5</v>
      </c>
      <c r="AW191" s="50" t="s">
        <v>112</v>
      </c>
      <c r="AX191" s="49" t="s">
        <v>5</v>
      </c>
      <c r="AY191" s="50" t="s">
        <v>95</v>
      </c>
      <c r="AZ191" s="49" t="s">
        <v>5</v>
      </c>
      <c r="BA191" s="50" t="s">
        <v>105</v>
      </c>
      <c r="BB191" s="49" t="s">
        <v>5</v>
      </c>
      <c r="BC191" s="50" t="s">
        <v>121</v>
      </c>
      <c r="BD191" s="49" t="s">
        <v>1</v>
      </c>
      <c r="BE191" s="50" t="s">
        <v>495</v>
      </c>
      <c r="BF191" s="49" t="s">
        <v>5</v>
      </c>
      <c r="BG191" s="50" t="s">
        <v>164</v>
      </c>
      <c r="BH191" s="49" t="s">
        <v>5</v>
      </c>
      <c r="BI191" s="50" t="s">
        <v>75</v>
      </c>
    </row>
    <row r="192" spans="1:61" x14ac:dyDescent="0.25">
      <c r="A192" s="76">
        <v>152933</v>
      </c>
      <c r="B192" s="77" t="s">
        <v>1816</v>
      </c>
      <c r="C192" s="78" t="s">
        <v>1665</v>
      </c>
      <c r="D192" s="76" t="s">
        <v>70</v>
      </c>
      <c r="E192" s="79" t="s">
        <v>14</v>
      </c>
      <c r="F192" s="79" t="s">
        <v>150</v>
      </c>
      <c r="G192" s="79" t="s">
        <v>87</v>
      </c>
      <c r="H192" s="79" t="s">
        <v>14</v>
      </c>
      <c r="I192" s="78" t="s">
        <v>14</v>
      </c>
      <c r="J192" s="79" t="s">
        <v>14</v>
      </c>
      <c r="K192" s="142" t="s">
        <v>1850</v>
      </c>
      <c r="L192" s="149" t="s">
        <v>1844</v>
      </c>
      <c r="M192" s="150" t="s">
        <v>1853</v>
      </c>
      <c r="N192" s="151">
        <v>21</v>
      </c>
      <c r="O192" s="151">
        <v>0</v>
      </c>
      <c r="P192" s="152">
        <v>1</v>
      </c>
      <c r="Q192" s="153">
        <v>97.78</v>
      </c>
      <c r="R192" s="154">
        <v>0</v>
      </c>
      <c r="S192" s="38">
        <f t="shared" si="22"/>
        <v>0</v>
      </c>
      <c r="T192" s="39">
        <f t="shared" si="23"/>
        <v>14</v>
      </c>
      <c r="U192" s="40">
        <f t="shared" si="24"/>
        <v>0</v>
      </c>
      <c r="V192" s="40">
        <f t="shared" si="25"/>
        <v>0</v>
      </c>
      <c r="W192" s="40">
        <f t="shared" si="26"/>
        <v>0</v>
      </c>
      <c r="X192" s="40">
        <f t="shared" si="27"/>
        <v>0</v>
      </c>
      <c r="Y192" s="40">
        <f t="shared" si="28"/>
        <v>0</v>
      </c>
      <c r="Z192" s="40">
        <f t="shared" si="29"/>
        <v>0</v>
      </c>
      <c r="AA192" s="40">
        <f t="shared" si="30"/>
        <v>0</v>
      </c>
      <c r="AB192" s="40">
        <f t="shared" si="31"/>
        <v>0</v>
      </c>
      <c r="AC192" s="41">
        <f t="shared" si="32"/>
        <v>0</v>
      </c>
      <c r="AD192" s="49" t="s">
        <v>5</v>
      </c>
      <c r="AE192" s="50" t="s">
        <v>116</v>
      </c>
      <c r="AF192" s="49"/>
      <c r="AG192" s="50"/>
      <c r="AH192" s="49" t="s">
        <v>5</v>
      </c>
      <c r="AI192" s="50" t="s">
        <v>101</v>
      </c>
      <c r="AJ192" s="49" t="s">
        <v>5</v>
      </c>
      <c r="AK192" s="50" t="s">
        <v>102</v>
      </c>
      <c r="AL192" s="49" t="s">
        <v>5</v>
      </c>
      <c r="AM192" s="50" t="s">
        <v>92</v>
      </c>
      <c r="AN192" s="49"/>
      <c r="AO192" s="50"/>
      <c r="AP192" s="49" t="s">
        <v>5</v>
      </c>
      <c r="AQ192" s="50" t="s">
        <v>131</v>
      </c>
      <c r="AR192" s="49" t="s">
        <v>5</v>
      </c>
      <c r="AS192" s="50" t="s">
        <v>104</v>
      </c>
      <c r="AT192" s="49" t="s">
        <v>5</v>
      </c>
      <c r="AU192" s="50" t="s">
        <v>105</v>
      </c>
      <c r="AV192" s="49" t="s">
        <v>5</v>
      </c>
      <c r="AW192" s="50" t="s">
        <v>94</v>
      </c>
      <c r="AX192" s="49" t="s">
        <v>5</v>
      </c>
      <c r="AY192" s="50" t="s">
        <v>95</v>
      </c>
      <c r="AZ192" s="49" t="s">
        <v>5</v>
      </c>
      <c r="BA192" s="50" t="s">
        <v>105</v>
      </c>
      <c r="BB192" s="49" t="s">
        <v>5</v>
      </c>
      <c r="BC192" s="50" t="s">
        <v>152</v>
      </c>
      <c r="BD192" s="49" t="s">
        <v>5</v>
      </c>
      <c r="BE192" s="50" t="s">
        <v>457</v>
      </c>
      <c r="BF192" s="49" t="s">
        <v>5</v>
      </c>
      <c r="BG192" s="50" t="s">
        <v>164</v>
      </c>
      <c r="BH192" s="49" t="s">
        <v>5</v>
      </c>
      <c r="BI192" s="50" t="s">
        <v>84</v>
      </c>
    </row>
    <row r="193" spans="1:61" ht="30" x14ac:dyDescent="0.25">
      <c r="A193" s="76">
        <v>152778</v>
      </c>
      <c r="B193" s="77" t="s">
        <v>1817</v>
      </c>
      <c r="C193" s="78" t="s">
        <v>1622</v>
      </c>
      <c r="D193" s="76" t="s">
        <v>70</v>
      </c>
      <c r="E193" s="79" t="s">
        <v>14</v>
      </c>
      <c r="F193" s="77" t="s">
        <v>503</v>
      </c>
      <c r="G193" s="79" t="s">
        <v>87</v>
      </c>
      <c r="H193" s="79" t="s">
        <v>14</v>
      </c>
      <c r="I193" s="78" t="s">
        <v>14</v>
      </c>
      <c r="J193" s="79" t="s">
        <v>14</v>
      </c>
      <c r="K193" s="142" t="s">
        <v>1850</v>
      </c>
      <c r="L193" s="149" t="s">
        <v>1842</v>
      </c>
      <c r="M193" s="150" t="s">
        <v>1853</v>
      </c>
      <c r="N193" s="151">
        <v>7</v>
      </c>
      <c r="O193" s="151">
        <v>1</v>
      </c>
      <c r="P193" s="152">
        <v>1</v>
      </c>
      <c r="Q193" s="153">
        <v>100</v>
      </c>
      <c r="R193" s="154">
        <v>0</v>
      </c>
      <c r="S193" s="38">
        <f t="shared" si="22"/>
        <v>0</v>
      </c>
      <c r="T193" s="39">
        <f t="shared" si="23"/>
        <v>14</v>
      </c>
      <c r="U193" s="40">
        <f t="shared" si="24"/>
        <v>0</v>
      </c>
      <c r="V193" s="40">
        <f t="shared" si="25"/>
        <v>0</v>
      </c>
      <c r="W193" s="40">
        <f t="shared" si="26"/>
        <v>0</v>
      </c>
      <c r="X193" s="40">
        <f t="shared" si="27"/>
        <v>0</v>
      </c>
      <c r="Y193" s="40">
        <f t="shared" si="28"/>
        <v>0</v>
      </c>
      <c r="Z193" s="40">
        <f t="shared" si="29"/>
        <v>0</v>
      </c>
      <c r="AA193" s="40">
        <f t="shared" si="30"/>
        <v>0</v>
      </c>
      <c r="AB193" s="40">
        <f t="shared" si="31"/>
        <v>0</v>
      </c>
      <c r="AC193" s="41">
        <f t="shared" si="32"/>
        <v>0</v>
      </c>
      <c r="AD193" s="49" t="s">
        <v>5</v>
      </c>
      <c r="AE193" s="50" t="s">
        <v>89</v>
      </c>
      <c r="AF193" s="49" t="s">
        <v>5</v>
      </c>
      <c r="AG193" s="50" t="s">
        <v>90</v>
      </c>
      <c r="AH193" s="49" t="s">
        <v>5</v>
      </c>
      <c r="AI193" s="50" t="s">
        <v>142</v>
      </c>
      <c r="AJ193" s="49" t="s">
        <v>5</v>
      </c>
      <c r="AK193" s="50" t="s">
        <v>722</v>
      </c>
      <c r="AL193" s="49" t="s">
        <v>5</v>
      </c>
      <c r="AM193" s="50" t="s">
        <v>98</v>
      </c>
      <c r="AN193" s="49" t="s">
        <v>5</v>
      </c>
      <c r="AO193" s="50" t="s">
        <v>75</v>
      </c>
      <c r="AP193" s="49" t="s">
        <v>5</v>
      </c>
      <c r="AQ193" s="50" t="s">
        <v>92</v>
      </c>
      <c r="AR193" s="49" t="s">
        <v>5</v>
      </c>
      <c r="AS193" s="50" t="s">
        <v>104</v>
      </c>
      <c r="AT193" s="49" t="s">
        <v>5</v>
      </c>
      <c r="AU193" s="50" t="s">
        <v>105</v>
      </c>
      <c r="AV193" s="49" t="s">
        <v>5</v>
      </c>
      <c r="AW193" s="50" t="s">
        <v>94</v>
      </c>
      <c r="AX193" s="49" t="s">
        <v>5</v>
      </c>
      <c r="AY193" s="50" t="s">
        <v>80</v>
      </c>
      <c r="AZ193" s="49"/>
      <c r="BA193" s="50"/>
      <c r="BB193" s="49" t="s">
        <v>5</v>
      </c>
      <c r="BC193" s="50" t="s">
        <v>152</v>
      </c>
      <c r="BD193" s="49" t="s">
        <v>5</v>
      </c>
      <c r="BE193" s="50" t="s">
        <v>122</v>
      </c>
      <c r="BF193" s="49" t="s">
        <v>5</v>
      </c>
      <c r="BG193" s="50" t="s">
        <v>164</v>
      </c>
      <c r="BH193" s="49"/>
      <c r="BI193" s="50"/>
    </row>
    <row r="194" spans="1:61" ht="30" x14ac:dyDescent="0.25">
      <c r="A194" s="76">
        <v>152781</v>
      </c>
      <c r="B194" s="77" t="s">
        <v>1818</v>
      </c>
      <c r="C194" s="78" t="s">
        <v>1639</v>
      </c>
      <c r="D194" s="76" t="s">
        <v>70</v>
      </c>
      <c r="E194" s="79" t="s">
        <v>14</v>
      </c>
      <c r="F194" s="77" t="s">
        <v>146</v>
      </c>
      <c r="G194" s="79" t="s">
        <v>14</v>
      </c>
      <c r="H194" s="79" t="s">
        <v>87</v>
      </c>
      <c r="I194" s="78" t="s">
        <v>14</v>
      </c>
      <c r="J194" s="79" t="s">
        <v>14</v>
      </c>
      <c r="K194" s="142" t="s">
        <v>1850</v>
      </c>
      <c r="L194" s="149" t="s">
        <v>1842</v>
      </c>
      <c r="M194" s="150" t="s">
        <v>1853</v>
      </c>
      <c r="N194" s="151">
        <v>18</v>
      </c>
      <c r="O194" s="151">
        <v>0</v>
      </c>
      <c r="P194" s="152">
        <v>0</v>
      </c>
      <c r="Q194" s="153">
        <v>97.83</v>
      </c>
      <c r="R194" s="154">
        <v>1</v>
      </c>
      <c r="S194" s="38">
        <f t="shared" ref="S194:S231" si="33">COUNTIF($AD194:$BI194,"Outstanding")</f>
        <v>2</v>
      </c>
      <c r="T194" s="39">
        <f t="shared" ref="T194:T231" si="34">COUNTIF($AD194:$BI194,"Good")</f>
        <v>12</v>
      </c>
      <c r="U194" s="40">
        <f t="shared" ref="U194:U231" si="35">COUNTIF($AD194:$BI194,"N2Improve - Engagement")</f>
        <v>0</v>
      </c>
      <c r="V194" s="40">
        <f t="shared" ref="V194:V231" si="36">COUNTIF($AD194:$BI194,"N2Improve - Community Conduct")</f>
        <v>0</v>
      </c>
      <c r="W194" s="40">
        <f t="shared" ref="W194:W231" si="37">COUNTIF($AD194:$BI194,"N2Improve - Personal Org.")</f>
        <v>0</v>
      </c>
      <c r="X194" s="40">
        <f t="shared" ref="X194:X231" si="38">SUM(U194:W194)</f>
        <v>0</v>
      </c>
      <c r="Y194" s="40">
        <f t="shared" ref="Y194:Y231" si="39">COUNTIF($AD194:$BI194,"Serious Conc - Engagement")</f>
        <v>0</v>
      </c>
      <c r="Z194" s="40">
        <f t="shared" ref="Z194:Z231" si="40">COUNTIF($AD194:$BI194,"Serious Conc - Comm. Concern")</f>
        <v>0</v>
      </c>
      <c r="AA194" s="40">
        <f t="shared" ref="AA194:AA231" si="41">COUNTIF($AD194:$BI194,"Serious Conc - Personal Org.")</f>
        <v>0</v>
      </c>
      <c r="AB194" s="40">
        <f t="shared" ref="AB194:AB231" si="42">SUM(Y194:AA194)</f>
        <v>0</v>
      </c>
      <c r="AC194" s="41">
        <f t="shared" si="32"/>
        <v>0</v>
      </c>
      <c r="AD194" s="49" t="s">
        <v>1</v>
      </c>
      <c r="AE194" s="50" t="s">
        <v>72</v>
      </c>
      <c r="AF194" s="49" t="s">
        <v>5</v>
      </c>
      <c r="AG194" s="50" t="s">
        <v>117</v>
      </c>
      <c r="AH194" s="49" t="s">
        <v>5</v>
      </c>
      <c r="AI194" s="50" t="s">
        <v>101</v>
      </c>
      <c r="AJ194" s="49" t="s">
        <v>5</v>
      </c>
      <c r="AK194" s="50" t="s">
        <v>459</v>
      </c>
      <c r="AL194" s="49" t="s">
        <v>1</v>
      </c>
      <c r="AM194" s="50" t="s">
        <v>130</v>
      </c>
      <c r="AN194" s="49" t="s">
        <v>5</v>
      </c>
      <c r="AO194" s="50" t="s">
        <v>143</v>
      </c>
      <c r="AP194" s="49" t="s">
        <v>5</v>
      </c>
      <c r="AQ194" s="50" t="s">
        <v>131</v>
      </c>
      <c r="AR194" s="49" t="s">
        <v>5</v>
      </c>
      <c r="AS194" s="50" t="s">
        <v>120</v>
      </c>
      <c r="AT194" s="49" t="s">
        <v>5</v>
      </c>
      <c r="AU194" s="50" t="s">
        <v>105</v>
      </c>
      <c r="AV194" s="49" t="s">
        <v>5</v>
      </c>
      <c r="AW194" s="50" t="s">
        <v>79</v>
      </c>
      <c r="AX194" s="49" t="s">
        <v>5</v>
      </c>
      <c r="AY194" s="50" t="s">
        <v>80</v>
      </c>
      <c r="AZ194" s="49"/>
      <c r="BA194" s="50"/>
      <c r="BB194" s="49" t="s">
        <v>5</v>
      </c>
      <c r="BC194" s="50" t="s">
        <v>81</v>
      </c>
      <c r="BD194" s="49" t="s">
        <v>5</v>
      </c>
      <c r="BE194" s="50" t="s">
        <v>82</v>
      </c>
      <c r="BF194" s="49" t="s">
        <v>5</v>
      </c>
      <c r="BG194" s="50" t="s">
        <v>164</v>
      </c>
      <c r="BH194" s="49"/>
      <c r="BI194" s="50"/>
    </row>
    <row r="195" spans="1:61" x14ac:dyDescent="0.25">
      <c r="A195" s="76">
        <v>152937</v>
      </c>
      <c r="B195" s="77" t="s">
        <v>1819</v>
      </c>
      <c r="C195" s="78" t="s">
        <v>1633</v>
      </c>
      <c r="D195" s="76" t="s">
        <v>12</v>
      </c>
      <c r="E195" s="79" t="s">
        <v>14</v>
      </c>
      <c r="F195" s="79" t="s">
        <v>71</v>
      </c>
      <c r="G195" s="79" t="s">
        <v>14</v>
      </c>
      <c r="H195" s="79" t="s">
        <v>14</v>
      </c>
      <c r="I195" s="78" t="s">
        <v>14</v>
      </c>
      <c r="J195" s="79" t="s">
        <v>14</v>
      </c>
      <c r="K195" s="142" t="s">
        <v>1850</v>
      </c>
      <c r="L195" s="149" t="s">
        <v>1845</v>
      </c>
      <c r="M195" s="150" t="s">
        <v>12</v>
      </c>
      <c r="N195" s="151">
        <v>25</v>
      </c>
      <c r="O195" s="151">
        <v>0</v>
      </c>
      <c r="P195" s="152">
        <v>0</v>
      </c>
      <c r="Q195" s="153">
        <v>100</v>
      </c>
      <c r="R195" s="154">
        <v>0</v>
      </c>
      <c r="S195" s="38">
        <f t="shared" si="33"/>
        <v>2</v>
      </c>
      <c r="T195" s="39">
        <f t="shared" si="34"/>
        <v>12</v>
      </c>
      <c r="U195" s="40">
        <f t="shared" si="35"/>
        <v>0</v>
      </c>
      <c r="V195" s="40">
        <f t="shared" si="36"/>
        <v>0</v>
      </c>
      <c r="W195" s="40">
        <f t="shared" si="37"/>
        <v>0</v>
      </c>
      <c r="X195" s="40">
        <f t="shared" si="38"/>
        <v>0</v>
      </c>
      <c r="Y195" s="40">
        <f t="shared" si="39"/>
        <v>0</v>
      </c>
      <c r="Z195" s="40">
        <f t="shared" si="40"/>
        <v>0</v>
      </c>
      <c r="AA195" s="40">
        <f t="shared" si="41"/>
        <v>0</v>
      </c>
      <c r="AB195" s="40">
        <f t="shared" si="42"/>
        <v>0</v>
      </c>
      <c r="AC195" s="41">
        <f t="shared" ref="AC195:AC231" si="43">COUNTIF(AD195:BI195,"*still*")</f>
        <v>0</v>
      </c>
      <c r="AD195" s="49" t="s">
        <v>5</v>
      </c>
      <c r="AE195" s="50" t="s">
        <v>89</v>
      </c>
      <c r="AF195" s="49" t="s">
        <v>5</v>
      </c>
      <c r="AG195" s="50" t="s">
        <v>117</v>
      </c>
      <c r="AH195" s="49" t="s">
        <v>5</v>
      </c>
      <c r="AI195" s="50" t="s">
        <v>101</v>
      </c>
      <c r="AJ195" s="49" t="s">
        <v>5</v>
      </c>
      <c r="AK195" s="50" t="s">
        <v>194</v>
      </c>
      <c r="AL195" s="49" t="s">
        <v>5</v>
      </c>
      <c r="AM195" s="50" t="s">
        <v>122</v>
      </c>
      <c r="AN195" s="49"/>
      <c r="AO195" s="50"/>
      <c r="AP195" s="49" t="s">
        <v>5</v>
      </c>
      <c r="AQ195" s="50" t="s">
        <v>131</v>
      </c>
      <c r="AR195" s="49" t="s">
        <v>5</v>
      </c>
      <c r="AS195" s="50" t="s">
        <v>120</v>
      </c>
      <c r="AT195" s="49" t="s">
        <v>5</v>
      </c>
      <c r="AU195" s="50" t="s">
        <v>163</v>
      </c>
      <c r="AV195" s="49" t="s">
        <v>5</v>
      </c>
      <c r="AW195" s="50" t="s">
        <v>94</v>
      </c>
      <c r="AX195" s="49" t="s">
        <v>5</v>
      </c>
      <c r="AY195" s="50" t="s">
        <v>95</v>
      </c>
      <c r="AZ195" s="49"/>
      <c r="BA195" s="50"/>
      <c r="BB195" s="49" t="s">
        <v>1</v>
      </c>
      <c r="BC195" s="50" t="s">
        <v>96</v>
      </c>
      <c r="BD195" s="49" t="s">
        <v>5</v>
      </c>
      <c r="BE195" s="50" t="s">
        <v>495</v>
      </c>
      <c r="BF195" s="49" t="s">
        <v>1</v>
      </c>
      <c r="BG195" s="50" t="s">
        <v>154</v>
      </c>
      <c r="BH195" s="49" t="s">
        <v>5</v>
      </c>
      <c r="BI195" s="50" t="s">
        <v>75</v>
      </c>
    </row>
    <row r="196" spans="1:61" x14ac:dyDescent="0.25">
      <c r="A196" s="76">
        <v>152877</v>
      </c>
      <c r="B196" s="77" t="s">
        <v>1820</v>
      </c>
      <c r="C196" s="78" t="s">
        <v>1665</v>
      </c>
      <c r="D196" s="76" t="s">
        <v>12</v>
      </c>
      <c r="E196" s="79" t="s">
        <v>14</v>
      </c>
      <c r="F196" s="79" t="s">
        <v>88</v>
      </c>
      <c r="G196" s="79" t="s">
        <v>14</v>
      </c>
      <c r="H196" s="79" t="s">
        <v>14</v>
      </c>
      <c r="I196" s="78" t="s">
        <v>14</v>
      </c>
      <c r="J196" s="79" t="s">
        <v>14</v>
      </c>
      <c r="K196" s="142" t="s">
        <v>1850</v>
      </c>
      <c r="L196" s="149" t="s">
        <v>1844</v>
      </c>
      <c r="M196" s="150" t="s">
        <v>1853</v>
      </c>
      <c r="N196" s="151">
        <v>14</v>
      </c>
      <c r="O196" s="151">
        <v>4</v>
      </c>
      <c r="P196" s="152">
        <v>1</v>
      </c>
      <c r="Q196" s="153">
        <v>95.56</v>
      </c>
      <c r="R196" s="154">
        <v>4</v>
      </c>
      <c r="S196" s="38">
        <f t="shared" si="33"/>
        <v>1</v>
      </c>
      <c r="T196" s="39">
        <f t="shared" si="34"/>
        <v>9</v>
      </c>
      <c r="U196" s="40">
        <f t="shared" si="35"/>
        <v>3</v>
      </c>
      <c r="V196" s="40">
        <f t="shared" si="36"/>
        <v>1</v>
      </c>
      <c r="W196" s="40">
        <f t="shared" si="37"/>
        <v>0</v>
      </c>
      <c r="X196" s="40">
        <f t="shared" si="38"/>
        <v>4</v>
      </c>
      <c r="Y196" s="40">
        <f t="shared" si="39"/>
        <v>0</v>
      </c>
      <c r="Z196" s="40">
        <f t="shared" si="40"/>
        <v>0</v>
      </c>
      <c r="AA196" s="40">
        <f t="shared" si="41"/>
        <v>0</v>
      </c>
      <c r="AB196" s="40">
        <f t="shared" si="42"/>
        <v>0</v>
      </c>
      <c r="AC196" s="41">
        <f t="shared" si="43"/>
        <v>0</v>
      </c>
      <c r="AD196" s="49" t="s">
        <v>30</v>
      </c>
      <c r="AE196" s="50" t="s">
        <v>116</v>
      </c>
      <c r="AF196" s="49" t="s">
        <v>5</v>
      </c>
      <c r="AG196" s="50" t="s">
        <v>117</v>
      </c>
      <c r="AH196" s="49" t="s">
        <v>31</v>
      </c>
      <c r="AI196" s="50" t="s">
        <v>101</v>
      </c>
      <c r="AJ196" s="49" t="s">
        <v>5</v>
      </c>
      <c r="AK196" s="50" t="s">
        <v>74</v>
      </c>
      <c r="AL196" s="49" t="s">
        <v>5</v>
      </c>
      <c r="AM196" s="50" t="s">
        <v>92</v>
      </c>
      <c r="AN196" s="49"/>
      <c r="AO196" s="50"/>
      <c r="AP196" s="49" t="s">
        <v>5</v>
      </c>
      <c r="AQ196" s="50" t="s">
        <v>131</v>
      </c>
      <c r="AR196" s="49" t="s">
        <v>30</v>
      </c>
      <c r="AS196" s="50" t="s">
        <v>104</v>
      </c>
      <c r="AT196" s="49" t="s">
        <v>5</v>
      </c>
      <c r="AU196" s="50" t="s">
        <v>105</v>
      </c>
      <c r="AV196" s="49" t="s">
        <v>5</v>
      </c>
      <c r="AW196" s="50" t="s">
        <v>94</v>
      </c>
      <c r="AX196" s="49" t="s">
        <v>30</v>
      </c>
      <c r="AY196" s="50" t="s">
        <v>95</v>
      </c>
      <c r="AZ196" s="49"/>
      <c r="BA196" s="50"/>
      <c r="BB196" s="49" t="s">
        <v>1</v>
      </c>
      <c r="BC196" s="50" t="s">
        <v>96</v>
      </c>
      <c r="BD196" s="49" t="s">
        <v>5</v>
      </c>
      <c r="BE196" s="50" t="s">
        <v>457</v>
      </c>
      <c r="BF196" s="49" t="s">
        <v>5</v>
      </c>
      <c r="BG196" s="50" t="s">
        <v>170</v>
      </c>
      <c r="BH196" s="49" t="s">
        <v>5</v>
      </c>
      <c r="BI196" s="50" t="s">
        <v>84</v>
      </c>
    </row>
    <row r="197" spans="1:61" x14ac:dyDescent="0.25">
      <c r="A197" s="76">
        <v>160004</v>
      </c>
      <c r="B197" s="77" t="s">
        <v>1821</v>
      </c>
      <c r="C197" s="78" t="s">
        <v>1620</v>
      </c>
      <c r="D197" s="76" t="s">
        <v>12</v>
      </c>
      <c r="E197" s="79" t="s">
        <v>14</v>
      </c>
      <c r="F197" s="79" t="s">
        <v>158</v>
      </c>
      <c r="G197" s="79" t="s">
        <v>14</v>
      </c>
      <c r="H197" s="79" t="s">
        <v>14</v>
      </c>
      <c r="I197" s="78" t="s">
        <v>14</v>
      </c>
      <c r="J197" s="79" t="s">
        <v>14</v>
      </c>
      <c r="K197" s="142" t="s">
        <v>1850</v>
      </c>
      <c r="L197" s="149" t="s">
        <v>1846</v>
      </c>
      <c r="M197" s="150" t="s">
        <v>1853</v>
      </c>
      <c r="N197" s="151">
        <v>20</v>
      </c>
      <c r="O197" s="151">
        <v>0</v>
      </c>
      <c r="P197" s="152">
        <v>1</v>
      </c>
      <c r="Q197" s="153">
        <v>100</v>
      </c>
      <c r="R197" s="154">
        <v>0</v>
      </c>
      <c r="S197" s="38">
        <f t="shared" si="33"/>
        <v>2</v>
      </c>
      <c r="T197" s="39">
        <f t="shared" si="34"/>
        <v>12</v>
      </c>
      <c r="U197" s="40">
        <f t="shared" si="35"/>
        <v>0</v>
      </c>
      <c r="V197" s="40">
        <f t="shared" si="36"/>
        <v>0</v>
      </c>
      <c r="W197" s="40">
        <f t="shared" si="37"/>
        <v>0</v>
      </c>
      <c r="X197" s="40">
        <f t="shared" si="38"/>
        <v>0</v>
      </c>
      <c r="Y197" s="40">
        <f t="shared" si="39"/>
        <v>0</v>
      </c>
      <c r="Z197" s="40">
        <f t="shared" si="40"/>
        <v>0</v>
      </c>
      <c r="AA197" s="40">
        <f t="shared" si="41"/>
        <v>0</v>
      </c>
      <c r="AB197" s="40">
        <f t="shared" si="42"/>
        <v>0</v>
      </c>
      <c r="AC197" s="41">
        <f t="shared" si="43"/>
        <v>0</v>
      </c>
      <c r="AD197" s="49" t="s">
        <v>5</v>
      </c>
      <c r="AE197" s="50" t="s">
        <v>89</v>
      </c>
      <c r="AF197" s="49" t="s">
        <v>5</v>
      </c>
      <c r="AG197" s="50" t="s">
        <v>135</v>
      </c>
      <c r="AH197" s="49" t="s">
        <v>5</v>
      </c>
      <c r="AI197" s="50" t="s">
        <v>142</v>
      </c>
      <c r="AJ197" s="49" t="s">
        <v>5</v>
      </c>
      <c r="AK197" s="50" t="s">
        <v>74</v>
      </c>
      <c r="AL197" s="49" t="s">
        <v>5</v>
      </c>
      <c r="AM197" s="50" t="s">
        <v>142</v>
      </c>
      <c r="AN197" s="49"/>
      <c r="AO197" s="50"/>
      <c r="AP197" s="49" t="s">
        <v>5</v>
      </c>
      <c r="AQ197" s="50" t="s">
        <v>76</v>
      </c>
      <c r="AR197" s="49" t="s">
        <v>5</v>
      </c>
      <c r="AS197" s="50" t="s">
        <v>132</v>
      </c>
      <c r="AT197" s="49" t="s">
        <v>5</v>
      </c>
      <c r="AU197" s="50" t="s">
        <v>105</v>
      </c>
      <c r="AV197" s="49" t="s">
        <v>5</v>
      </c>
      <c r="AW197" s="50" t="s">
        <v>112</v>
      </c>
      <c r="AX197" s="49" t="s">
        <v>1</v>
      </c>
      <c r="AY197" s="50" t="s">
        <v>95</v>
      </c>
      <c r="AZ197" s="49"/>
      <c r="BA197" s="50"/>
      <c r="BB197" s="49" t="s">
        <v>1</v>
      </c>
      <c r="BC197" s="50" t="s">
        <v>96</v>
      </c>
      <c r="BD197" s="49" t="s">
        <v>5</v>
      </c>
      <c r="BE197" s="50" t="s">
        <v>97</v>
      </c>
      <c r="BF197" s="49" t="s">
        <v>5</v>
      </c>
      <c r="BG197" s="50" t="s">
        <v>83</v>
      </c>
      <c r="BH197" s="49" t="s">
        <v>5</v>
      </c>
      <c r="BI197" s="50" t="s">
        <v>130</v>
      </c>
    </row>
    <row r="198" spans="1:61" x14ac:dyDescent="0.25">
      <c r="A198" s="76">
        <v>152945</v>
      </c>
      <c r="B198" s="77" t="s">
        <v>1822</v>
      </c>
      <c r="C198" s="78" t="s">
        <v>1628</v>
      </c>
      <c r="D198" s="76" t="s">
        <v>12</v>
      </c>
      <c r="E198" s="79" t="s">
        <v>14</v>
      </c>
      <c r="F198" s="79" t="s">
        <v>88</v>
      </c>
      <c r="G198" s="79" t="s">
        <v>14</v>
      </c>
      <c r="H198" s="79" t="s">
        <v>14</v>
      </c>
      <c r="I198" s="78" t="s">
        <v>14</v>
      </c>
      <c r="J198" s="79" t="s">
        <v>14</v>
      </c>
      <c r="K198" s="142" t="s">
        <v>1850</v>
      </c>
      <c r="L198" s="149" t="s">
        <v>1842</v>
      </c>
      <c r="M198" s="150" t="s">
        <v>1853</v>
      </c>
      <c r="N198" s="151">
        <v>20</v>
      </c>
      <c r="O198" s="151">
        <v>1</v>
      </c>
      <c r="P198" s="152">
        <v>0</v>
      </c>
      <c r="Q198" s="153">
        <v>100</v>
      </c>
      <c r="R198" s="154">
        <v>3</v>
      </c>
      <c r="S198" s="38">
        <f t="shared" si="33"/>
        <v>1</v>
      </c>
      <c r="T198" s="39">
        <f t="shared" si="34"/>
        <v>12</v>
      </c>
      <c r="U198" s="40">
        <f t="shared" si="35"/>
        <v>0</v>
      </c>
      <c r="V198" s="40">
        <f t="shared" si="36"/>
        <v>1</v>
      </c>
      <c r="W198" s="40">
        <f t="shared" si="37"/>
        <v>0</v>
      </c>
      <c r="X198" s="40">
        <f t="shared" si="38"/>
        <v>1</v>
      </c>
      <c r="Y198" s="40">
        <f t="shared" si="39"/>
        <v>0</v>
      </c>
      <c r="Z198" s="40">
        <f t="shared" si="40"/>
        <v>0</v>
      </c>
      <c r="AA198" s="40">
        <f t="shared" si="41"/>
        <v>0</v>
      </c>
      <c r="AB198" s="40">
        <f t="shared" si="42"/>
        <v>0</v>
      </c>
      <c r="AC198" s="41">
        <f t="shared" si="43"/>
        <v>0</v>
      </c>
      <c r="AD198" s="49" t="s">
        <v>5</v>
      </c>
      <c r="AE198" s="50" t="s">
        <v>116</v>
      </c>
      <c r="AF198" s="49" t="s">
        <v>5</v>
      </c>
      <c r="AG198" s="50" t="s">
        <v>90</v>
      </c>
      <c r="AH198" s="49" t="s">
        <v>5</v>
      </c>
      <c r="AI198" s="50" t="s">
        <v>101</v>
      </c>
      <c r="AJ198" s="49" t="s">
        <v>5</v>
      </c>
      <c r="AK198" s="50" t="s">
        <v>459</v>
      </c>
      <c r="AL198" s="49" t="s">
        <v>5</v>
      </c>
      <c r="AM198" s="50" t="s">
        <v>106</v>
      </c>
      <c r="AN198" s="49" t="s">
        <v>5</v>
      </c>
      <c r="AO198" s="50" t="s">
        <v>103</v>
      </c>
      <c r="AP198" s="49" t="s">
        <v>5</v>
      </c>
      <c r="AQ198" s="50" t="s">
        <v>144</v>
      </c>
      <c r="AR198" s="49" t="s">
        <v>5</v>
      </c>
      <c r="AS198" s="50" t="s">
        <v>104</v>
      </c>
      <c r="AT198" s="49" t="s">
        <v>5</v>
      </c>
      <c r="AU198" s="50" t="s">
        <v>105</v>
      </c>
      <c r="AV198" s="49" t="s">
        <v>31</v>
      </c>
      <c r="AW198" s="50" t="s">
        <v>79</v>
      </c>
      <c r="AX198" s="49" t="s">
        <v>5</v>
      </c>
      <c r="AY198" s="50" t="s">
        <v>95</v>
      </c>
      <c r="AZ198" s="49"/>
      <c r="BA198" s="50"/>
      <c r="BB198" s="49" t="s">
        <v>1</v>
      </c>
      <c r="BC198" s="50" t="s">
        <v>107</v>
      </c>
      <c r="BD198" s="49" t="s">
        <v>5</v>
      </c>
      <c r="BE198" s="50" t="s">
        <v>108</v>
      </c>
      <c r="BF198" s="49" t="s">
        <v>5</v>
      </c>
      <c r="BG198" s="50" t="s">
        <v>83</v>
      </c>
      <c r="BH198" s="49"/>
      <c r="BI198" s="50"/>
    </row>
    <row r="199" spans="1:61" x14ac:dyDescent="0.25">
      <c r="A199" s="76">
        <v>152765</v>
      </c>
      <c r="B199" s="77" t="s">
        <v>1823</v>
      </c>
      <c r="C199" s="78" t="s">
        <v>1665</v>
      </c>
      <c r="D199" s="76" t="s">
        <v>12</v>
      </c>
      <c r="E199" s="79" t="s">
        <v>14</v>
      </c>
      <c r="F199" s="79" t="s">
        <v>115</v>
      </c>
      <c r="G199" s="79" t="s">
        <v>87</v>
      </c>
      <c r="H199" s="79" t="s">
        <v>14</v>
      </c>
      <c r="I199" s="78" t="s">
        <v>14</v>
      </c>
      <c r="J199" s="79" t="s">
        <v>14</v>
      </c>
      <c r="K199" s="142" t="s">
        <v>1850</v>
      </c>
      <c r="L199" s="149" t="s">
        <v>1842</v>
      </c>
      <c r="M199" s="150" t="s">
        <v>1853</v>
      </c>
      <c r="N199" s="151">
        <v>16</v>
      </c>
      <c r="O199" s="151">
        <v>1</v>
      </c>
      <c r="P199" s="152">
        <v>0</v>
      </c>
      <c r="Q199" s="153">
        <v>77.78</v>
      </c>
      <c r="R199" s="154">
        <v>0</v>
      </c>
      <c r="S199" s="38">
        <f t="shared" si="33"/>
        <v>0</v>
      </c>
      <c r="T199" s="39">
        <f t="shared" si="34"/>
        <v>14</v>
      </c>
      <c r="U199" s="40">
        <f t="shared" si="35"/>
        <v>0</v>
      </c>
      <c r="V199" s="40">
        <f t="shared" si="36"/>
        <v>0</v>
      </c>
      <c r="W199" s="40">
        <f t="shared" si="37"/>
        <v>0</v>
      </c>
      <c r="X199" s="40">
        <f t="shared" si="38"/>
        <v>0</v>
      </c>
      <c r="Y199" s="40">
        <f t="shared" si="39"/>
        <v>0</v>
      </c>
      <c r="Z199" s="40">
        <f t="shared" si="40"/>
        <v>0</v>
      </c>
      <c r="AA199" s="40">
        <f t="shared" si="41"/>
        <v>0</v>
      </c>
      <c r="AB199" s="40">
        <f t="shared" si="42"/>
        <v>0</v>
      </c>
      <c r="AC199" s="41">
        <f t="shared" si="43"/>
        <v>0</v>
      </c>
      <c r="AD199" s="49" t="s">
        <v>5</v>
      </c>
      <c r="AE199" s="50" t="s">
        <v>116</v>
      </c>
      <c r="AF199" s="49" t="s">
        <v>5</v>
      </c>
      <c r="AG199" s="50" t="s">
        <v>135</v>
      </c>
      <c r="AH199" s="49" t="s">
        <v>5</v>
      </c>
      <c r="AI199" s="50" t="s">
        <v>101</v>
      </c>
      <c r="AJ199" s="49" t="s">
        <v>5</v>
      </c>
      <c r="AK199" s="50" t="s">
        <v>102</v>
      </c>
      <c r="AL199" s="49" t="s">
        <v>5</v>
      </c>
      <c r="AM199" s="50" t="s">
        <v>92</v>
      </c>
      <c r="AN199" s="49"/>
      <c r="AO199" s="50"/>
      <c r="AP199" s="49" t="s">
        <v>5</v>
      </c>
      <c r="AQ199" s="50" t="s">
        <v>131</v>
      </c>
      <c r="AR199" s="49" t="s">
        <v>5</v>
      </c>
      <c r="AS199" s="50" t="s">
        <v>104</v>
      </c>
      <c r="AT199" s="49" t="s">
        <v>5</v>
      </c>
      <c r="AU199" s="50" t="s">
        <v>105</v>
      </c>
      <c r="AV199" s="49" t="s">
        <v>5</v>
      </c>
      <c r="AW199" s="50" t="s">
        <v>94</v>
      </c>
      <c r="AX199" s="49" t="s">
        <v>5</v>
      </c>
      <c r="AY199" s="50" t="s">
        <v>95</v>
      </c>
      <c r="AZ199" s="49"/>
      <c r="BA199" s="50"/>
      <c r="BB199" s="49" t="s">
        <v>5</v>
      </c>
      <c r="BC199" s="50" t="s">
        <v>741</v>
      </c>
      <c r="BD199" s="49" t="s">
        <v>5</v>
      </c>
      <c r="BE199" s="50" t="s">
        <v>457</v>
      </c>
      <c r="BF199" s="49" t="s">
        <v>5</v>
      </c>
      <c r="BG199" s="50" t="s">
        <v>123</v>
      </c>
      <c r="BH199" s="49" t="s">
        <v>5</v>
      </c>
      <c r="BI199" s="50" t="s">
        <v>84</v>
      </c>
    </row>
    <row r="200" spans="1:61" x14ac:dyDescent="0.25">
      <c r="A200" s="76">
        <v>152899</v>
      </c>
      <c r="B200" s="77" t="s">
        <v>1824</v>
      </c>
      <c r="C200" s="78" t="s">
        <v>1639</v>
      </c>
      <c r="D200" s="76" t="s">
        <v>70</v>
      </c>
      <c r="E200" s="79" t="s">
        <v>14</v>
      </c>
      <c r="F200" s="79" t="s">
        <v>88</v>
      </c>
      <c r="G200" s="79" t="s">
        <v>87</v>
      </c>
      <c r="H200" s="79" t="s">
        <v>14</v>
      </c>
      <c r="I200" s="78" t="s">
        <v>14</v>
      </c>
      <c r="J200" s="79" t="s">
        <v>14</v>
      </c>
      <c r="K200" s="142" t="s">
        <v>1850</v>
      </c>
      <c r="L200" s="149" t="s">
        <v>1842</v>
      </c>
      <c r="M200" s="150" t="s">
        <v>1853</v>
      </c>
      <c r="N200" s="151">
        <v>17</v>
      </c>
      <c r="O200" s="151">
        <v>0</v>
      </c>
      <c r="P200" s="152">
        <v>1</v>
      </c>
      <c r="Q200" s="153">
        <v>100</v>
      </c>
      <c r="R200" s="154">
        <v>1</v>
      </c>
      <c r="S200" s="38">
        <f t="shared" si="33"/>
        <v>2</v>
      </c>
      <c r="T200" s="39">
        <f t="shared" si="34"/>
        <v>12</v>
      </c>
      <c r="U200" s="40">
        <f t="shared" si="35"/>
        <v>0</v>
      </c>
      <c r="V200" s="40">
        <f t="shared" si="36"/>
        <v>0</v>
      </c>
      <c r="W200" s="40">
        <f t="shared" si="37"/>
        <v>0</v>
      </c>
      <c r="X200" s="40">
        <f t="shared" si="38"/>
        <v>0</v>
      </c>
      <c r="Y200" s="40">
        <f t="shared" si="39"/>
        <v>0</v>
      </c>
      <c r="Z200" s="40">
        <f t="shared" si="40"/>
        <v>0</v>
      </c>
      <c r="AA200" s="40">
        <f t="shared" si="41"/>
        <v>0</v>
      </c>
      <c r="AB200" s="40">
        <f t="shared" si="42"/>
        <v>0</v>
      </c>
      <c r="AC200" s="41">
        <f t="shared" si="43"/>
        <v>0</v>
      </c>
      <c r="AD200" s="49" t="s">
        <v>1</v>
      </c>
      <c r="AE200" s="50" t="s">
        <v>72</v>
      </c>
      <c r="AF200" s="49" t="s">
        <v>1</v>
      </c>
      <c r="AG200" s="50" t="s">
        <v>135</v>
      </c>
      <c r="AH200" s="49" t="s">
        <v>5</v>
      </c>
      <c r="AI200" s="50" t="s">
        <v>101</v>
      </c>
      <c r="AJ200" s="49" t="s">
        <v>5</v>
      </c>
      <c r="AK200" s="50" t="s">
        <v>722</v>
      </c>
      <c r="AL200" s="49" t="s">
        <v>5</v>
      </c>
      <c r="AM200" s="50" t="s">
        <v>130</v>
      </c>
      <c r="AN200" s="49" t="s">
        <v>5</v>
      </c>
      <c r="AO200" s="50" t="s">
        <v>143</v>
      </c>
      <c r="AP200" s="49" t="s">
        <v>5</v>
      </c>
      <c r="AQ200" s="50" t="s">
        <v>131</v>
      </c>
      <c r="AR200" s="49" t="s">
        <v>5</v>
      </c>
      <c r="AS200" s="50" t="s">
        <v>120</v>
      </c>
      <c r="AT200" s="49" t="s">
        <v>5</v>
      </c>
      <c r="AU200" s="50" t="s">
        <v>105</v>
      </c>
      <c r="AV200" s="49" t="s">
        <v>5</v>
      </c>
      <c r="AW200" s="50" t="s">
        <v>112</v>
      </c>
      <c r="AX200" s="49" t="s">
        <v>5</v>
      </c>
      <c r="AY200" s="50" t="s">
        <v>80</v>
      </c>
      <c r="AZ200" s="49"/>
      <c r="BA200" s="50"/>
      <c r="BB200" s="49" t="s">
        <v>5</v>
      </c>
      <c r="BC200" s="50" t="s">
        <v>81</v>
      </c>
      <c r="BD200" s="49" t="s">
        <v>5</v>
      </c>
      <c r="BE200" s="50" t="s">
        <v>82</v>
      </c>
      <c r="BF200" s="49" t="s">
        <v>5</v>
      </c>
      <c r="BG200" s="50" t="s">
        <v>123</v>
      </c>
      <c r="BH200" s="49"/>
      <c r="BI200" s="50"/>
    </row>
    <row r="201" spans="1:61" x14ac:dyDescent="0.25">
      <c r="A201" s="76">
        <v>152824</v>
      </c>
      <c r="B201" s="77" t="s">
        <v>1825</v>
      </c>
      <c r="C201" s="78" t="s">
        <v>1622</v>
      </c>
      <c r="D201" s="76" t="s">
        <v>70</v>
      </c>
      <c r="E201" s="79" t="s">
        <v>14</v>
      </c>
      <c r="F201" s="79" t="s">
        <v>115</v>
      </c>
      <c r="G201" s="79" t="s">
        <v>87</v>
      </c>
      <c r="H201" s="79" t="s">
        <v>87</v>
      </c>
      <c r="I201" s="78" t="s">
        <v>14</v>
      </c>
      <c r="J201" s="79" t="s">
        <v>14</v>
      </c>
      <c r="K201" s="142" t="s">
        <v>1850</v>
      </c>
      <c r="L201" s="149" t="s">
        <v>1845</v>
      </c>
      <c r="M201" s="150" t="s">
        <v>1853</v>
      </c>
      <c r="N201" s="151">
        <v>16</v>
      </c>
      <c r="O201" s="151">
        <v>1</v>
      </c>
      <c r="P201" s="152">
        <v>0</v>
      </c>
      <c r="Q201" s="153">
        <v>89.13</v>
      </c>
      <c r="R201" s="154">
        <v>0</v>
      </c>
      <c r="S201" s="38">
        <f t="shared" si="33"/>
        <v>0</v>
      </c>
      <c r="T201" s="39">
        <f t="shared" si="34"/>
        <v>13</v>
      </c>
      <c r="U201" s="40">
        <f t="shared" si="35"/>
        <v>0</v>
      </c>
      <c r="V201" s="40">
        <f t="shared" si="36"/>
        <v>0</v>
      </c>
      <c r="W201" s="40">
        <f t="shared" si="37"/>
        <v>0</v>
      </c>
      <c r="X201" s="40">
        <f t="shared" si="38"/>
        <v>0</v>
      </c>
      <c r="Y201" s="40">
        <f t="shared" si="39"/>
        <v>0</v>
      </c>
      <c r="Z201" s="40">
        <f t="shared" si="40"/>
        <v>0</v>
      </c>
      <c r="AA201" s="40">
        <f t="shared" si="41"/>
        <v>0</v>
      </c>
      <c r="AB201" s="40">
        <f t="shared" si="42"/>
        <v>0</v>
      </c>
      <c r="AC201" s="41">
        <f t="shared" si="43"/>
        <v>0</v>
      </c>
      <c r="AD201" s="49" t="s">
        <v>5</v>
      </c>
      <c r="AE201" s="50" t="s">
        <v>89</v>
      </c>
      <c r="AF201" s="49" t="s">
        <v>5</v>
      </c>
      <c r="AG201" s="50" t="s">
        <v>73</v>
      </c>
      <c r="AH201" s="49" t="s">
        <v>5</v>
      </c>
      <c r="AI201" s="50" t="s">
        <v>142</v>
      </c>
      <c r="AJ201" s="49" t="s">
        <v>5</v>
      </c>
      <c r="AK201" s="50" t="s">
        <v>142</v>
      </c>
      <c r="AL201" s="49" t="s">
        <v>5</v>
      </c>
      <c r="AM201" s="50" t="s">
        <v>98</v>
      </c>
      <c r="AN201" s="49" t="s">
        <v>5</v>
      </c>
      <c r="AO201" s="50" t="s">
        <v>75</v>
      </c>
      <c r="AP201" s="49" t="s">
        <v>5</v>
      </c>
      <c r="AQ201" s="50" t="s">
        <v>92</v>
      </c>
      <c r="AR201" s="49" t="s">
        <v>5</v>
      </c>
      <c r="AS201" s="50" t="s">
        <v>104</v>
      </c>
      <c r="AT201" s="49" t="s">
        <v>5</v>
      </c>
      <c r="AU201" s="50" t="s">
        <v>105</v>
      </c>
      <c r="AV201" s="49" t="s">
        <v>5</v>
      </c>
      <c r="AW201" s="50" t="s">
        <v>430</v>
      </c>
      <c r="AX201" s="49"/>
      <c r="AY201" s="50" t="s">
        <v>80</v>
      </c>
      <c r="AZ201" s="49"/>
      <c r="BA201" s="50"/>
      <c r="BB201" s="49" t="s">
        <v>5</v>
      </c>
      <c r="BC201" s="50" t="s">
        <v>152</v>
      </c>
      <c r="BD201" s="49" t="s">
        <v>5</v>
      </c>
      <c r="BE201" s="50" t="s">
        <v>122</v>
      </c>
      <c r="BF201" s="49" t="s">
        <v>5</v>
      </c>
      <c r="BG201" s="50" t="s">
        <v>154</v>
      </c>
      <c r="BH201" s="49"/>
      <c r="BI201" s="50"/>
    </row>
    <row r="202" spans="1:61" x14ac:dyDescent="0.25">
      <c r="A202" s="76">
        <v>152833</v>
      </c>
      <c r="B202" s="77" t="s">
        <v>1826</v>
      </c>
      <c r="C202" s="78" t="s">
        <v>1648</v>
      </c>
      <c r="D202" s="76" t="s">
        <v>70</v>
      </c>
      <c r="E202" s="79" t="s">
        <v>14</v>
      </c>
      <c r="F202" s="79" t="s">
        <v>71</v>
      </c>
      <c r="G202" s="79" t="s">
        <v>14</v>
      </c>
      <c r="H202" s="79" t="s">
        <v>14</v>
      </c>
      <c r="I202" s="78" t="s">
        <v>14</v>
      </c>
      <c r="J202" s="79" t="s">
        <v>14</v>
      </c>
      <c r="K202" s="142" t="s">
        <v>1851</v>
      </c>
      <c r="L202" s="149" t="s">
        <v>1848</v>
      </c>
      <c r="M202" s="150" t="s">
        <v>12</v>
      </c>
      <c r="N202" s="151">
        <v>22</v>
      </c>
      <c r="O202" s="151">
        <v>0</v>
      </c>
      <c r="P202" s="152">
        <v>0</v>
      </c>
      <c r="Q202" s="153">
        <v>95.65</v>
      </c>
      <c r="R202" s="154">
        <v>3</v>
      </c>
      <c r="S202" s="38">
        <f t="shared" si="33"/>
        <v>2</v>
      </c>
      <c r="T202" s="39">
        <f t="shared" si="34"/>
        <v>12</v>
      </c>
      <c r="U202" s="40">
        <f t="shared" si="35"/>
        <v>0</v>
      </c>
      <c r="V202" s="40">
        <f t="shared" si="36"/>
        <v>0</v>
      </c>
      <c r="W202" s="40">
        <f t="shared" si="37"/>
        <v>0</v>
      </c>
      <c r="X202" s="40">
        <f t="shared" si="38"/>
        <v>0</v>
      </c>
      <c r="Y202" s="40">
        <f t="shared" si="39"/>
        <v>0</v>
      </c>
      <c r="Z202" s="40">
        <f t="shared" si="40"/>
        <v>0</v>
      </c>
      <c r="AA202" s="40">
        <f t="shared" si="41"/>
        <v>0</v>
      </c>
      <c r="AB202" s="40">
        <f t="shared" si="42"/>
        <v>0</v>
      </c>
      <c r="AC202" s="41">
        <f t="shared" si="43"/>
        <v>0</v>
      </c>
      <c r="AD202" s="49" t="s">
        <v>5</v>
      </c>
      <c r="AE202" s="50" t="s">
        <v>116</v>
      </c>
      <c r="AF202" s="49" t="s">
        <v>1</v>
      </c>
      <c r="AG202" s="50" t="s">
        <v>135</v>
      </c>
      <c r="AH202" s="49" t="s">
        <v>5</v>
      </c>
      <c r="AI202" s="50" t="s">
        <v>101</v>
      </c>
      <c r="AJ202" s="49" t="s">
        <v>5</v>
      </c>
      <c r="AK202" s="50" t="s">
        <v>111</v>
      </c>
      <c r="AL202" s="49" t="s">
        <v>5</v>
      </c>
      <c r="AM202" s="50" t="s">
        <v>714</v>
      </c>
      <c r="AN202" s="49" t="s">
        <v>5</v>
      </c>
      <c r="AO202" s="50" t="s">
        <v>124</v>
      </c>
      <c r="AP202" s="49" t="s">
        <v>5</v>
      </c>
      <c r="AQ202" s="50" t="s">
        <v>76</v>
      </c>
      <c r="AR202" s="49" t="s">
        <v>5</v>
      </c>
      <c r="AS202" s="50" t="s">
        <v>132</v>
      </c>
      <c r="AT202" s="49" t="s">
        <v>5</v>
      </c>
      <c r="AU202" s="50" t="s">
        <v>163</v>
      </c>
      <c r="AV202" s="49" t="s">
        <v>5</v>
      </c>
      <c r="AW202" s="50" t="s">
        <v>94</v>
      </c>
      <c r="AX202" s="49" t="s">
        <v>1</v>
      </c>
      <c r="AY202" s="50" t="s">
        <v>95</v>
      </c>
      <c r="AZ202" s="49"/>
      <c r="BA202" s="50"/>
      <c r="BB202" s="49" t="s">
        <v>5</v>
      </c>
      <c r="BC202" s="50" t="s">
        <v>81</v>
      </c>
      <c r="BD202" s="49" t="s">
        <v>5</v>
      </c>
      <c r="BE202" s="50" t="s">
        <v>153</v>
      </c>
      <c r="BF202" s="49" t="s">
        <v>5</v>
      </c>
      <c r="BG202" s="50" t="s">
        <v>164</v>
      </c>
      <c r="BH202" s="49"/>
      <c r="BI202" s="50"/>
    </row>
    <row r="203" spans="1:61" x14ac:dyDescent="0.25">
      <c r="A203" s="76">
        <v>152870</v>
      </c>
      <c r="B203" s="77" t="s">
        <v>1827</v>
      </c>
      <c r="C203" s="78" t="s">
        <v>1648</v>
      </c>
      <c r="D203" s="76" t="s">
        <v>12</v>
      </c>
      <c r="E203" s="79" t="s">
        <v>14</v>
      </c>
      <c r="F203" s="79" t="s">
        <v>71</v>
      </c>
      <c r="G203" s="79" t="s">
        <v>14</v>
      </c>
      <c r="H203" s="79" t="s">
        <v>14</v>
      </c>
      <c r="I203" s="78" t="s">
        <v>14</v>
      </c>
      <c r="J203" s="79" t="s">
        <v>14</v>
      </c>
      <c r="K203" s="142" t="s">
        <v>1850</v>
      </c>
      <c r="L203" s="149" t="s">
        <v>1842</v>
      </c>
      <c r="M203" s="150" t="s">
        <v>1853</v>
      </c>
      <c r="N203" s="151">
        <v>22</v>
      </c>
      <c r="O203" s="151">
        <v>0</v>
      </c>
      <c r="P203" s="152">
        <v>1</v>
      </c>
      <c r="Q203" s="153">
        <v>100</v>
      </c>
      <c r="R203" s="154">
        <v>0</v>
      </c>
      <c r="S203" s="38">
        <f t="shared" si="33"/>
        <v>0</v>
      </c>
      <c r="T203" s="39">
        <f t="shared" si="34"/>
        <v>14</v>
      </c>
      <c r="U203" s="40">
        <f t="shared" si="35"/>
        <v>0</v>
      </c>
      <c r="V203" s="40">
        <f t="shared" si="36"/>
        <v>0</v>
      </c>
      <c r="W203" s="40">
        <f t="shared" si="37"/>
        <v>0</v>
      </c>
      <c r="X203" s="40">
        <f t="shared" si="38"/>
        <v>0</v>
      </c>
      <c r="Y203" s="40">
        <f t="shared" si="39"/>
        <v>0</v>
      </c>
      <c r="Z203" s="40">
        <f t="shared" si="40"/>
        <v>0</v>
      </c>
      <c r="AA203" s="40">
        <f t="shared" si="41"/>
        <v>0</v>
      </c>
      <c r="AB203" s="40">
        <f t="shared" si="42"/>
        <v>0</v>
      </c>
      <c r="AC203" s="41">
        <f t="shared" si="43"/>
        <v>0</v>
      </c>
      <c r="AD203" s="49" t="s">
        <v>5</v>
      </c>
      <c r="AE203" s="50" t="s">
        <v>116</v>
      </c>
      <c r="AF203" s="49" t="s">
        <v>5</v>
      </c>
      <c r="AG203" s="50" t="s">
        <v>90</v>
      </c>
      <c r="AH203" s="49" t="s">
        <v>5</v>
      </c>
      <c r="AI203" s="50" t="s">
        <v>101</v>
      </c>
      <c r="AJ203" s="49" t="s">
        <v>5</v>
      </c>
      <c r="AK203" s="50" t="s">
        <v>459</v>
      </c>
      <c r="AL203" s="49" t="s">
        <v>5</v>
      </c>
      <c r="AM203" s="50" t="s">
        <v>714</v>
      </c>
      <c r="AN203" s="49" t="s">
        <v>5</v>
      </c>
      <c r="AO203" s="50" t="s">
        <v>124</v>
      </c>
      <c r="AP203" s="49" t="s">
        <v>5</v>
      </c>
      <c r="AQ203" s="50" t="s">
        <v>76</v>
      </c>
      <c r="AR203" s="49" t="s">
        <v>5</v>
      </c>
      <c r="AS203" s="50" t="s">
        <v>132</v>
      </c>
      <c r="AT203" s="49" t="s">
        <v>5</v>
      </c>
      <c r="AU203" s="50" t="s">
        <v>163</v>
      </c>
      <c r="AV203" s="49" t="s">
        <v>5</v>
      </c>
      <c r="AW203" s="50" t="s">
        <v>79</v>
      </c>
      <c r="AX203" s="49" t="s">
        <v>5</v>
      </c>
      <c r="AY203" s="50" t="s">
        <v>95</v>
      </c>
      <c r="AZ203" s="49"/>
      <c r="BA203" s="50"/>
      <c r="BB203" s="49" t="s">
        <v>5</v>
      </c>
      <c r="BC203" s="50" t="s">
        <v>107</v>
      </c>
      <c r="BD203" s="49" t="s">
        <v>5</v>
      </c>
      <c r="BE203" s="50" t="s">
        <v>153</v>
      </c>
      <c r="BF203" s="49" t="s">
        <v>5</v>
      </c>
      <c r="BG203" s="50" t="s">
        <v>83</v>
      </c>
      <c r="BH203" s="49"/>
      <c r="BI203" s="50"/>
    </row>
    <row r="204" spans="1:61" x14ac:dyDescent="0.25">
      <c r="A204" s="76">
        <v>152944</v>
      </c>
      <c r="B204" s="77" t="s">
        <v>1828</v>
      </c>
      <c r="C204" s="78" t="s">
        <v>1630</v>
      </c>
      <c r="D204" s="76" t="s">
        <v>12</v>
      </c>
      <c r="E204" s="79" t="s">
        <v>14</v>
      </c>
      <c r="F204" s="79" t="s">
        <v>71</v>
      </c>
      <c r="G204" s="79" t="s">
        <v>87</v>
      </c>
      <c r="H204" s="79" t="s">
        <v>14</v>
      </c>
      <c r="I204" s="78" t="s">
        <v>14</v>
      </c>
      <c r="J204" s="79" t="s">
        <v>14</v>
      </c>
      <c r="K204" s="142" t="s">
        <v>1851</v>
      </c>
      <c r="L204" s="149" t="s">
        <v>1843</v>
      </c>
      <c r="M204" s="150" t="s">
        <v>12</v>
      </c>
      <c r="N204" s="151">
        <v>15</v>
      </c>
      <c r="O204" s="151">
        <v>24</v>
      </c>
      <c r="P204" s="152">
        <v>4</v>
      </c>
      <c r="Q204" s="153">
        <v>86.96</v>
      </c>
      <c r="R204" s="154">
        <v>9</v>
      </c>
      <c r="S204" s="38">
        <f t="shared" si="33"/>
        <v>0</v>
      </c>
      <c r="T204" s="39">
        <f t="shared" si="34"/>
        <v>3</v>
      </c>
      <c r="U204" s="40">
        <f t="shared" si="35"/>
        <v>3</v>
      </c>
      <c r="V204" s="40">
        <f t="shared" si="36"/>
        <v>6</v>
      </c>
      <c r="W204" s="40">
        <f t="shared" si="37"/>
        <v>2</v>
      </c>
      <c r="X204" s="40">
        <f t="shared" si="38"/>
        <v>11</v>
      </c>
      <c r="Y204" s="40">
        <f t="shared" si="39"/>
        <v>0</v>
      </c>
      <c r="Z204" s="40">
        <f t="shared" si="40"/>
        <v>0</v>
      </c>
      <c r="AA204" s="40">
        <f t="shared" si="41"/>
        <v>0</v>
      </c>
      <c r="AB204" s="40">
        <f t="shared" si="42"/>
        <v>0</v>
      </c>
      <c r="AC204" s="41">
        <f t="shared" si="43"/>
        <v>0</v>
      </c>
      <c r="AD204" s="49" t="s">
        <v>5</v>
      </c>
      <c r="AE204" s="50" t="s">
        <v>89</v>
      </c>
      <c r="AF204" s="49"/>
      <c r="AG204" s="50"/>
      <c r="AH204" s="49" t="s">
        <v>31</v>
      </c>
      <c r="AI204" s="50" t="s">
        <v>101</v>
      </c>
      <c r="AJ204" s="49" t="s">
        <v>31</v>
      </c>
      <c r="AK204" s="50" t="s">
        <v>722</v>
      </c>
      <c r="AL204" s="49" t="s">
        <v>31</v>
      </c>
      <c r="AM204" s="50" t="s">
        <v>94</v>
      </c>
      <c r="AN204" s="49"/>
      <c r="AO204" s="50"/>
      <c r="AP204" s="49" t="s">
        <v>31</v>
      </c>
      <c r="AQ204" s="50" t="s">
        <v>131</v>
      </c>
      <c r="AR204" s="49" t="s">
        <v>30</v>
      </c>
      <c r="AS204" s="50" t="s">
        <v>120</v>
      </c>
      <c r="AT204" s="49" t="s">
        <v>31</v>
      </c>
      <c r="AU204" s="50" t="s">
        <v>78</v>
      </c>
      <c r="AV204" s="49" t="s">
        <v>31</v>
      </c>
      <c r="AW204" s="50" t="s">
        <v>711</v>
      </c>
      <c r="AX204" s="49" t="s">
        <v>30</v>
      </c>
      <c r="AY204" s="50" t="s">
        <v>95</v>
      </c>
      <c r="AZ204" s="49" t="s">
        <v>5</v>
      </c>
      <c r="BA204" s="50" t="s">
        <v>105</v>
      </c>
      <c r="BB204" s="49" t="s">
        <v>32</v>
      </c>
      <c r="BC204" s="50" t="s">
        <v>741</v>
      </c>
      <c r="BD204" s="49" t="s">
        <v>32</v>
      </c>
      <c r="BE204" s="50" t="s">
        <v>495</v>
      </c>
      <c r="BF204" s="49" t="s">
        <v>5</v>
      </c>
      <c r="BG204" s="50" t="s">
        <v>154</v>
      </c>
      <c r="BH204" s="49" t="s">
        <v>30</v>
      </c>
      <c r="BI204" s="50" t="s">
        <v>103</v>
      </c>
    </row>
    <row r="205" spans="1:61" s="155" customFormat="1" x14ac:dyDescent="0.25">
      <c r="A205" s="76">
        <v>152806</v>
      </c>
      <c r="B205" s="77" t="s">
        <v>1829</v>
      </c>
      <c r="C205" s="78" t="s">
        <v>1665</v>
      </c>
      <c r="D205" s="76" t="s">
        <v>70</v>
      </c>
      <c r="E205" s="79" t="s">
        <v>14</v>
      </c>
      <c r="F205" s="79" t="s">
        <v>71</v>
      </c>
      <c r="G205" s="79" t="s">
        <v>14</v>
      </c>
      <c r="H205" s="79" t="s">
        <v>87</v>
      </c>
      <c r="I205" s="78" t="s">
        <v>14</v>
      </c>
      <c r="J205" s="79" t="s">
        <v>6</v>
      </c>
      <c r="K205" s="142" t="s">
        <v>1850</v>
      </c>
      <c r="L205" s="149" t="s">
        <v>1843</v>
      </c>
      <c r="M205" s="150" t="s">
        <v>1853</v>
      </c>
      <c r="N205" s="151">
        <v>20</v>
      </c>
      <c r="O205" s="151">
        <v>3</v>
      </c>
      <c r="P205" s="152">
        <v>1</v>
      </c>
      <c r="Q205" s="153">
        <v>97.78</v>
      </c>
      <c r="R205" s="154">
        <v>2</v>
      </c>
      <c r="S205" s="38">
        <f t="shared" si="33"/>
        <v>0</v>
      </c>
      <c r="T205" s="39">
        <f t="shared" si="34"/>
        <v>14</v>
      </c>
      <c r="U205" s="40">
        <f t="shared" si="35"/>
        <v>0</v>
      </c>
      <c r="V205" s="40">
        <f t="shared" si="36"/>
        <v>0</v>
      </c>
      <c r="W205" s="40">
        <f t="shared" si="37"/>
        <v>0</v>
      </c>
      <c r="X205" s="40">
        <f t="shared" si="38"/>
        <v>0</v>
      </c>
      <c r="Y205" s="40">
        <f t="shared" si="39"/>
        <v>0</v>
      </c>
      <c r="Z205" s="40">
        <f t="shared" si="40"/>
        <v>0</v>
      </c>
      <c r="AA205" s="40">
        <f t="shared" si="41"/>
        <v>0</v>
      </c>
      <c r="AB205" s="40">
        <f t="shared" si="42"/>
        <v>0</v>
      </c>
      <c r="AC205" s="41">
        <f t="shared" si="43"/>
        <v>0</v>
      </c>
      <c r="AD205" s="49" t="s">
        <v>5</v>
      </c>
      <c r="AE205" s="50" t="s">
        <v>116</v>
      </c>
      <c r="AF205" s="49" t="s">
        <v>5</v>
      </c>
      <c r="AG205" s="50" t="s">
        <v>90</v>
      </c>
      <c r="AH205" s="49" t="s">
        <v>5</v>
      </c>
      <c r="AI205" s="50" t="s">
        <v>101</v>
      </c>
      <c r="AJ205" s="49" t="s">
        <v>5</v>
      </c>
      <c r="AK205" s="50" t="s">
        <v>722</v>
      </c>
      <c r="AL205" s="49" t="s">
        <v>5</v>
      </c>
      <c r="AM205" s="50" t="s">
        <v>92</v>
      </c>
      <c r="AN205" s="49"/>
      <c r="AO205" s="50"/>
      <c r="AP205" s="49" t="s">
        <v>5</v>
      </c>
      <c r="AQ205" s="50" t="s">
        <v>131</v>
      </c>
      <c r="AR205" s="49" t="s">
        <v>5</v>
      </c>
      <c r="AS205" s="50" t="s">
        <v>104</v>
      </c>
      <c r="AT205" s="49" t="s">
        <v>5</v>
      </c>
      <c r="AU205" s="50" t="s">
        <v>105</v>
      </c>
      <c r="AV205" s="49" t="s">
        <v>5</v>
      </c>
      <c r="AW205" s="50" t="s">
        <v>711</v>
      </c>
      <c r="AX205" s="49" t="s">
        <v>5</v>
      </c>
      <c r="AY205" s="50" t="s">
        <v>95</v>
      </c>
      <c r="AZ205" s="49"/>
      <c r="BA205" s="50"/>
      <c r="BB205" s="49" t="s">
        <v>5</v>
      </c>
      <c r="BC205" s="50" t="s">
        <v>152</v>
      </c>
      <c r="BD205" s="49" t="s">
        <v>5</v>
      </c>
      <c r="BE205" s="50" t="s">
        <v>457</v>
      </c>
      <c r="BF205" s="49" t="s">
        <v>5</v>
      </c>
      <c r="BG205" s="50" t="s">
        <v>154</v>
      </c>
      <c r="BH205" s="49" t="s">
        <v>5</v>
      </c>
      <c r="BI205" s="50" t="s">
        <v>84</v>
      </c>
    </row>
    <row r="206" spans="1:61" s="99" customFormat="1" x14ac:dyDescent="0.25">
      <c r="A206" s="76">
        <v>152942</v>
      </c>
      <c r="B206" s="77" t="s">
        <v>1830</v>
      </c>
      <c r="C206" s="78" t="s">
        <v>1665</v>
      </c>
      <c r="D206" s="76" t="s">
        <v>12</v>
      </c>
      <c r="E206" s="79" t="s">
        <v>87</v>
      </c>
      <c r="F206" s="79" t="s">
        <v>71</v>
      </c>
      <c r="G206" s="79" t="s">
        <v>14</v>
      </c>
      <c r="H206" s="79" t="s">
        <v>87</v>
      </c>
      <c r="I206" s="78" t="s">
        <v>14</v>
      </c>
      <c r="J206" s="79" t="s">
        <v>14</v>
      </c>
      <c r="K206" s="142" t="s">
        <v>1851</v>
      </c>
      <c r="L206" s="149" t="s">
        <v>1844</v>
      </c>
      <c r="M206" s="150" t="s">
        <v>1853</v>
      </c>
      <c r="N206" s="151">
        <v>22</v>
      </c>
      <c r="O206" s="151">
        <v>1</v>
      </c>
      <c r="P206" s="152">
        <v>1</v>
      </c>
      <c r="Q206" s="153">
        <v>100</v>
      </c>
      <c r="R206" s="154">
        <v>1</v>
      </c>
      <c r="S206" s="38">
        <f t="shared" si="33"/>
        <v>3</v>
      </c>
      <c r="T206" s="39">
        <f t="shared" si="34"/>
        <v>11</v>
      </c>
      <c r="U206" s="40">
        <f t="shared" si="35"/>
        <v>0</v>
      </c>
      <c r="V206" s="40">
        <f t="shared" si="36"/>
        <v>0</v>
      </c>
      <c r="W206" s="40">
        <f t="shared" si="37"/>
        <v>0</v>
      </c>
      <c r="X206" s="40">
        <f t="shared" si="38"/>
        <v>0</v>
      </c>
      <c r="Y206" s="40">
        <f t="shared" si="39"/>
        <v>0</v>
      </c>
      <c r="Z206" s="40">
        <f t="shared" si="40"/>
        <v>0</v>
      </c>
      <c r="AA206" s="40">
        <f t="shared" si="41"/>
        <v>0</v>
      </c>
      <c r="AB206" s="40">
        <f t="shared" si="42"/>
        <v>0</v>
      </c>
      <c r="AC206" s="41">
        <f t="shared" si="43"/>
        <v>0</v>
      </c>
      <c r="AD206" s="49" t="s">
        <v>5</v>
      </c>
      <c r="AE206" s="50" t="s">
        <v>116</v>
      </c>
      <c r="AF206" s="49" t="s">
        <v>5</v>
      </c>
      <c r="AG206" s="50" t="s">
        <v>73</v>
      </c>
      <c r="AH206" s="49" t="s">
        <v>1</v>
      </c>
      <c r="AI206" s="50" t="s">
        <v>101</v>
      </c>
      <c r="AJ206" s="49" t="s">
        <v>5</v>
      </c>
      <c r="AK206" s="50" t="s">
        <v>194</v>
      </c>
      <c r="AL206" s="49" t="s">
        <v>5</v>
      </c>
      <c r="AM206" s="50" t="s">
        <v>92</v>
      </c>
      <c r="AN206" s="49"/>
      <c r="AO206" s="50"/>
      <c r="AP206" s="49" t="s">
        <v>1</v>
      </c>
      <c r="AQ206" s="50" t="s">
        <v>131</v>
      </c>
      <c r="AR206" s="49" t="s">
        <v>1</v>
      </c>
      <c r="AS206" s="50" t="s">
        <v>104</v>
      </c>
      <c r="AT206" s="49" t="s">
        <v>5</v>
      </c>
      <c r="AU206" s="50" t="s">
        <v>105</v>
      </c>
      <c r="AV206" s="49" t="s">
        <v>5</v>
      </c>
      <c r="AW206" s="50" t="s">
        <v>79</v>
      </c>
      <c r="AX206" s="49" t="s">
        <v>5</v>
      </c>
      <c r="AY206" s="50" t="s">
        <v>95</v>
      </c>
      <c r="AZ206" s="49"/>
      <c r="BA206" s="50"/>
      <c r="BB206" s="49" t="s">
        <v>5</v>
      </c>
      <c r="BC206" s="50" t="s">
        <v>741</v>
      </c>
      <c r="BD206" s="49" t="s">
        <v>5</v>
      </c>
      <c r="BE206" s="50" t="s">
        <v>457</v>
      </c>
      <c r="BF206" s="49" t="s">
        <v>5</v>
      </c>
      <c r="BG206" s="50" t="s">
        <v>170</v>
      </c>
      <c r="BH206" s="49" t="s">
        <v>5</v>
      </c>
      <c r="BI206" s="50" t="s">
        <v>84</v>
      </c>
    </row>
    <row r="207" spans="1:61" s="99" customFormat="1" x14ac:dyDescent="0.25">
      <c r="A207" s="76">
        <v>152828</v>
      </c>
      <c r="B207" s="77" t="s">
        <v>1831</v>
      </c>
      <c r="C207" s="78" t="s">
        <v>1639</v>
      </c>
      <c r="D207" s="76" t="s">
        <v>12</v>
      </c>
      <c r="E207" s="79" t="s">
        <v>14</v>
      </c>
      <c r="F207" s="79" t="s">
        <v>71</v>
      </c>
      <c r="G207" s="79" t="s">
        <v>87</v>
      </c>
      <c r="H207" s="79" t="s">
        <v>87</v>
      </c>
      <c r="I207" s="78" t="s">
        <v>14</v>
      </c>
      <c r="J207" s="79" t="s">
        <v>6</v>
      </c>
      <c r="K207" s="142" t="s">
        <v>1850</v>
      </c>
      <c r="L207" s="149" t="s">
        <v>1848</v>
      </c>
      <c r="M207" s="150" t="s">
        <v>12</v>
      </c>
      <c r="N207" s="151">
        <v>8</v>
      </c>
      <c r="O207" s="151">
        <v>10</v>
      </c>
      <c r="P207" s="152">
        <v>4</v>
      </c>
      <c r="Q207" s="153">
        <v>95.56</v>
      </c>
      <c r="R207" s="154">
        <v>2</v>
      </c>
      <c r="S207" s="38">
        <f t="shared" si="33"/>
        <v>0</v>
      </c>
      <c r="T207" s="39">
        <f t="shared" si="34"/>
        <v>6</v>
      </c>
      <c r="U207" s="40">
        <f t="shared" si="35"/>
        <v>6</v>
      </c>
      <c r="V207" s="40">
        <f t="shared" si="36"/>
        <v>0</v>
      </c>
      <c r="W207" s="40">
        <f t="shared" si="37"/>
        <v>1</v>
      </c>
      <c r="X207" s="40">
        <f t="shared" si="38"/>
        <v>7</v>
      </c>
      <c r="Y207" s="40">
        <f t="shared" si="39"/>
        <v>0</v>
      </c>
      <c r="Z207" s="40">
        <f t="shared" si="40"/>
        <v>1</v>
      </c>
      <c r="AA207" s="40">
        <f t="shared" si="41"/>
        <v>0</v>
      </c>
      <c r="AB207" s="40">
        <f t="shared" si="42"/>
        <v>1</v>
      </c>
      <c r="AC207" s="41">
        <f t="shared" si="43"/>
        <v>0</v>
      </c>
      <c r="AD207" s="49" t="s">
        <v>30</v>
      </c>
      <c r="AE207" s="50" t="s">
        <v>72</v>
      </c>
      <c r="AF207" s="49" t="s">
        <v>30</v>
      </c>
      <c r="AG207" s="50" t="s">
        <v>90</v>
      </c>
      <c r="AH207" s="49" t="s">
        <v>35</v>
      </c>
      <c r="AI207" s="50" t="s">
        <v>101</v>
      </c>
      <c r="AJ207" s="49" t="s">
        <v>30</v>
      </c>
      <c r="AK207" s="50" t="s">
        <v>111</v>
      </c>
      <c r="AL207" s="49" t="s">
        <v>5</v>
      </c>
      <c r="AM207" s="50" t="s">
        <v>130</v>
      </c>
      <c r="AN207" s="49" t="s">
        <v>30</v>
      </c>
      <c r="AO207" s="50" t="s">
        <v>143</v>
      </c>
      <c r="AP207" s="49" t="s">
        <v>30</v>
      </c>
      <c r="AQ207" s="50" t="s">
        <v>131</v>
      </c>
      <c r="AR207" s="49" t="s">
        <v>30</v>
      </c>
      <c r="AS207" s="50" t="s">
        <v>120</v>
      </c>
      <c r="AT207" s="49" t="s">
        <v>5</v>
      </c>
      <c r="AU207" s="50" t="s">
        <v>105</v>
      </c>
      <c r="AV207" s="49" t="s">
        <v>5</v>
      </c>
      <c r="AW207" s="50" t="s">
        <v>430</v>
      </c>
      <c r="AX207" s="49" t="s">
        <v>5</v>
      </c>
      <c r="AY207" s="50" t="s">
        <v>80</v>
      </c>
      <c r="AZ207" s="49"/>
      <c r="BA207" s="50"/>
      <c r="BB207" s="49" t="s">
        <v>5</v>
      </c>
      <c r="BC207" s="50" t="s">
        <v>96</v>
      </c>
      <c r="BD207" s="49" t="s">
        <v>32</v>
      </c>
      <c r="BE207" s="50" t="s">
        <v>82</v>
      </c>
      <c r="BF207" s="49" t="s">
        <v>5</v>
      </c>
      <c r="BG207" s="50" t="s">
        <v>170</v>
      </c>
      <c r="BH207" s="49"/>
      <c r="BI207" s="50"/>
    </row>
    <row r="208" spans="1:61" s="99" customFormat="1" x14ac:dyDescent="0.25">
      <c r="A208" s="76">
        <v>152951</v>
      </c>
      <c r="B208" s="77" t="s">
        <v>1832</v>
      </c>
      <c r="C208" s="78" t="s">
        <v>1665</v>
      </c>
      <c r="D208" s="76" t="s">
        <v>12</v>
      </c>
      <c r="E208" s="79" t="s">
        <v>14</v>
      </c>
      <c r="F208" s="79" t="s">
        <v>71</v>
      </c>
      <c r="G208" s="79" t="s">
        <v>14</v>
      </c>
      <c r="H208" s="79" t="s">
        <v>14</v>
      </c>
      <c r="I208" s="78" t="s">
        <v>14</v>
      </c>
      <c r="J208" s="79" t="s">
        <v>14</v>
      </c>
      <c r="K208" s="142" t="s">
        <v>1850</v>
      </c>
      <c r="L208" s="149" t="s">
        <v>1841</v>
      </c>
      <c r="M208" s="150" t="s">
        <v>1853</v>
      </c>
      <c r="N208" s="151">
        <v>26</v>
      </c>
      <c r="O208" s="151">
        <v>0</v>
      </c>
      <c r="P208" s="152">
        <v>1</v>
      </c>
      <c r="Q208" s="153">
        <v>100</v>
      </c>
      <c r="R208" s="154">
        <v>0</v>
      </c>
      <c r="S208" s="38">
        <f t="shared" si="33"/>
        <v>8</v>
      </c>
      <c r="T208" s="39">
        <f t="shared" si="34"/>
        <v>6</v>
      </c>
      <c r="U208" s="40">
        <f t="shared" si="35"/>
        <v>0</v>
      </c>
      <c r="V208" s="40">
        <f t="shared" si="36"/>
        <v>0</v>
      </c>
      <c r="W208" s="40">
        <f t="shared" si="37"/>
        <v>0</v>
      </c>
      <c r="X208" s="40">
        <f t="shared" si="38"/>
        <v>0</v>
      </c>
      <c r="Y208" s="40">
        <f t="shared" si="39"/>
        <v>0</v>
      </c>
      <c r="Z208" s="40">
        <f t="shared" si="40"/>
        <v>0</v>
      </c>
      <c r="AA208" s="40">
        <f t="shared" si="41"/>
        <v>0</v>
      </c>
      <c r="AB208" s="40">
        <f t="shared" si="42"/>
        <v>0</v>
      </c>
      <c r="AC208" s="41">
        <f t="shared" si="43"/>
        <v>0</v>
      </c>
      <c r="AD208" s="49" t="s">
        <v>5</v>
      </c>
      <c r="AE208" s="50" t="s">
        <v>116</v>
      </c>
      <c r="AF208" s="49"/>
      <c r="AG208" s="50"/>
      <c r="AH208" s="49" t="s">
        <v>1</v>
      </c>
      <c r="AI208" s="50" t="s">
        <v>101</v>
      </c>
      <c r="AJ208" s="49" t="s">
        <v>5</v>
      </c>
      <c r="AK208" s="50" t="s">
        <v>74</v>
      </c>
      <c r="AL208" s="49" t="s">
        <v>1</v>
      </c>
      <c r="AM208" s="50" t="s">
        <v>92</v>
      </c>
      <c r="AN208" s="49"/>
      <c r="AO208" s="50"/>
      <c r="AP208" s="49" t="s">
        <v>1</v>
      </c>
      <c r="AQ208" s="50" t="s">
        <v>131</v>
      </c>
      <c r="AR208" s="49" t="s">
        <v>1</v>
      </c>
      <c r="AS208" s="50" t="s">
        <v>104</v>
      </c>
      <c r="AT208" s="49" t="s">
        <v>5</v>
      </c>
      <c r="AU208" s="50" t="s">
        <v>105</v>
      </c>
      <c r="AV208" s="49" t="s">
        <v>5</v>
      </c>
      <c r="AW208" s="50" t="s">
        <v>112</v>
      </c>
      <c r="AX208" s="49" t="s">
        <v>1</v>
      </c>
      <c r="AY208" s="50" t="s">
        <v>95</v>
      </c>
      <c r="AZ208" s="49" t="s">
        <v>1</v>
      </c>
      <c r="BA208" s="50" t="s">
        <v>105</v>
      </c>
      <c r="BB208" s="49" t="s">
        <v>1</v>
      </c>
      <c r="BC208" s="50" t="s">
        <v>96</v>
      </c>
      <c r="BD208" s="49" t="s">
        <v>5</v>
      </c>
      <c r="BE208" s="50" t="s">
        <v>457</v>
      </c>
      <c r="BF208" s="49" t="s">
        <v>1</v>
      </c>
      <c r="BG208" s="50" t="s">
        <v>164</v>
      </c>
      <c r="BH208" s="49" t="s">
        <v>5</v>
      </c>
      <c r="BI208" s="50" t="s">
        <v>84</v>
      </c>
    </row>
    <row r="209" spans="1:61" s="156" customFormat="1" x14ac:dyDescent="0.25">
      <c r="A209" s="76">
        <v>152752</v>
      </c>
      <c r="B209" s="77" t="s">
        <v>1833</v>
      </c>
      <c r="C209" s="78" t="s">
        <v>1630</v>
      </c>
      <c r="D209" s="76" t="s">
        <v>12</v>
      </c>
      <c r="E209" s="79" t="s">
        <v>14</v>
      </c>
      <c r="F209" s="79" t="s">
        <v>71</v>
      </c>
      <c r="G209" s="79" t="s">
        <v>87</v>
      </c>
      <c r="H209" s="79" t="s">
        <v>14</v>
      </c>
      <c r="I209" s="78" t="s">
        <v>14</v>
      </c>
      <c r="J209" s="79" t="s">
        <v>4</v>
      </c>
      <c r="K209" s="142" t="s">
        <v>1850</v>
      </c>
      <c r="L209" s="149" t="s">
        <v>1847</v>
      </c>
      <c r="M209" s="150" t="s">
        <v>12</v>
      </c>
      <c r="N209" s="151">
        <v>14</v>
      </c>
      <c r="O209" s="151">
        <v>15</v>
      </c>
      <c r="P209" s="152">
        <v>4</v>
      </c>
      <c r="Q209" s="153">
        <v>93.48</v>
      </c>
      <c r="R209" s="154">
        <v>6</v>
      </c>
      <c r="S209" s="38">
        <f t="shared" si="33"/>
        <v>0</v>
      </c>
      <c r="T209" s="39">
        <f t="shared" si="34"/>
        <v>5</v>
      </c>
      <c r="U209" s="40">
        <f t="shared" si="35"/>
        <v>2</v>
      </c>
      <c r="V209" s="40">
        <f t="shared" si="36"/>
        <v>2</v>
      </c>
      <c r="W209" s="40">
        <f t="shared" si="37"/>
        <v>2</v>
      </c>
      <c r="X209" s="40">
        <f t="shared" si="38"/>
        <v>6</v>
      </c>
      <c r="Y209" s="40">
        <f t="shared" si="39"/>
        <v>1</v>
      </c>
      <c r="Z209" s="40">
        <f t="shared" si="40"/>
        <v>0</v>
      </c>
      <c r="AA209" s="40">
        <f t="shared" si="41"/>
        <v>0</v>
      </c>
      <c r="AB209" s="40">
        <f t="shared" si="42"/>
        <v>1</v>
      </c>
      <c r="AC209" s="41">
        <f t="shared" si="43"/>
        <v>0</v>
      </c>
      <c r="AD209" s="49" t="s">
        <v>5</v>
      </c>
      <c r="AE209" s="50" t="s">
        <v>89</v>
      </c>
      <c r="AF209" s="49" t="s">
        <v>5</v>
      </c>
      <c r="AG209" s="50" t="s">
        <v>117</v>
      </c>
      <c r="AH209" s="49" t="s">
        <v>31</v>
      </c>
      <c r="AI209" s="50" t="s">
        <v>101</v>
      </c>
      <c r="AJ209" s="49" t="s">
        <v>30</v>
      </c>
      <c r="AK209" s="50" t="s">
        <v>151</v>
      </c>
      <c r="AL209" s="49" t="s">
        <v>32</v>
      </c>
      <c r="AM209" s="50" t="s">
        <v>94</v>
      </c>
      <c r="AN209" s="49"/>
      <c r="AO209" s="50"/>
      <c r="AP209" s="49" t="s">
        <v>30</v>
      </c>
      <c r="AQ209" s="50" t="s">
        <v>131</v>
      </c>
      <c r="AR209" s="49" t="s">
        <v>189</v>
      </c>
      <c r="AS209" s="50" t="s">
        <v>120</v>
      </c>
      <c r="AT209" s="49" t="s">
        <v>5</v>
      </c>
      <c r="AU209" s="50" t="s">
        <v>78</v>
      </c>
      <c r="AV209" s="49" t="s">
        <v>31</v>
      </c>
      <c r="AW209" s="50" t="s">
        <v>711</v>
      </c>
      <c r="AX209" s="49" t="s">
        <v>5</v>
      </c>
      <c r="AY209" s="50" t="s">
        <v>95</v>
      </c>
      <c r="AZ209" s="49"/>
      <c r="BA209" s="50"/>
      <c r="BB209" s="49" t="s">
        <v>5</v>
      </c>
      <c r="BC209" s="50" t="s">
        <v>741</v>
      </c>
      <c r="BD209" s="49" t="s">
        <v>32</v>
      </c>
      <c r="BE209" s="50" t="s">
        <v>495</v>
      </c>
      <c r="BF209" s="49" t="s">
        <v>34</v>
      </c>
      <c r="BG209" s="50" t="s">
        <v>83</v>
      </c>
      <c r="BH209" s="49"/>
      <c r="BI209" s="50" t="s">
        <v>103</v>
      </c>
    </row>
    <row r="210" spans="1:61" x14ac:dyDescent="0.25">
      <c r="A210" s="76">
        <v>152950</v>
      </c>
      <c r="B210" s="77" t="s">
        <v>1834</v>
      </c>
      <c r="C210" s="78" t="s">
        <v>1639</v>
      </c>
      <c r="D210" s="76" t="s">
        <v>12</v>
      </c>
      <c r="E210" s="79" t="s">
        <v>14</v>
      </c>
      <c r="F210" s="79" t="s">
        <v>218</v>
      </c>
      <c r="G210" s="79" t="s">
        <v>87</v>
      </c>
      <c r="H210" s="79" t="s">
        <v>14</v>
      </c>
      <c r="I210" s="78" t="s">
        <v>14</v>
      </c>
      <c r="J210" s="79" t="s">
        <v>14</v>
      </c>
      <c r="K210" s="142" t="s">
        <v>1850</v>
      </c>
      <c r="L210" s="149" t="s">
        <v>1842</v>
      </c>
      <c r="M210" s="150" t="s">
        <v>1853</v>
      </c>
      <c r="N210" s="151">
        <v>13</v>
      </c>
      <c r="O210" s="151">
        <v>6</v>
      </c>
      <c r="P210" s="152">
        <v>4</v>
      </c>
      <c r="Q210" s="153">
        <v>100</v>
      </c>
      <c r="R210" s="154">
        <v>2</v>
      </c>
      <c r="S210" s="38">
        <f t="shared" si="33"/>
        <v>2</v>
      </c>
      <c r="T210" s="39">
        <f t="shared" si="34"/>
        <v>9</v>
      </c>
      <c r="U210" s="40">
        <f t="shared" si="35"/>
        <v>2</v>
      </c>
      <c r="V210" s="40">
        <f t="shared" si="36"/>
        <v>0</v>
      </c>
      <c r="W210" s="40">
        <f t="shared" si="37"/>
        <v>1</v>
      </c>
      <c r="X210" s="40">
        <f t="shared" si="38"/>
        <v>3</v>
      </c>
      <c r="Y210" s="40">
        <f t="shared" si="39"/>
        <v>0</v>
      </c>
      <c r="Z210" s="40">
        <f t="shared" si="40"/>
        <v>0</v>
      </c>
      <c r="AA210" s="40">
        <f t="shared" si="41"/>
        <v>0</v>
      </c>
      <c r="AB210" s="40">
        <f t="shared" si="42"/>
        <v>0</v>
      </c>
      <c r="AC210" s="41">
        <f t="shared" si="43"/>
        <v>0</v>
      </c>
      <c r="AD210" s="49" t="s">
        <v>5</v>
      </c>
      <c r="AE210" s="50" t="s">
        <v>72</v>
      </c>
      <c r="AF210" s="49" t="s">
        <v>1</v>
      </c>
      <c r="AG210" s="50" t="s">
        <v>73</v>
      </c>
      <c r="AH210" s="49" t="s">
        <v>5</v>
      </c>
      <c r="AI210" s="50" t="s">
        <v>101</v>
      </c>
      <c r="AJ210" s="49" t="s">
        <v>32</v>
      </c>
      <c r="AK210" s="50" t="s">
        <v>459</v>
      </c>
      <c r="AL210" s="49" t="s">
        <v>30</v>
      </c>
      <c r="AM210" s="50" t="s">
        <v>130</v>
      </c>
      <c r="AN210" s="49" t="s">
        <v>5</v>
      </c>
      <c r="AO210" s="50" t="s">
        <v>143</v>
      </c>
      <c r="AP210" s="49" t="s">
        <v>5</v>
      </c>
      <c r="AQ210" s="50" t="s">
        <v>131</v>
      </c>
      <c r="AR210" s="49" t="s">
        <v>5</v>
      </c>
      <c r="AS210" s="50" t="s">
        <v>120</v>
      </c>
      <c r="AT210" s="49" t="s">
        <v>5</v>
      </c>
      <c r="AU210" s="50" t="s">
        <v>105</v>
      </c>
      <c r="AV210" s="49" t="s">
        <v>5</v>
      </c>
      <c r="AW210" s="50" t="s">
        <v>79</v>
      </c>
      <c r="AX210" s="49" t="s">
        <v>5</v>
      </c>
      <c r="AY210" s="50" t="s">
        <v>80</v>
      </c>
      <c r="AZ210" s="49"/>
      <c r="BA210" s="50"/>
      <c r="BB210" s="49" t="s">
        <v>1</v>
      </c>
      <c r="BC210" s="50" t="s">
        <v>96</v>
      </c>
      <c r="BD210" s="49" t="s">
        <v>30</v>
      </c>
      <c r="BE210" s="50" t="s">
        <v>82</v>
      </c>
      <c r="BF210" s="49" t="s">
        <v>5</v>
      </c>
      <c r="BG210" s="50" t="s">
        <v>164</v>
      </c>
      <c r="BH210" s="49"/>
      <c r="BI210" s="50"/>
    </row>
    <row r="211" spans="1:61" x14ac:dyDescent="0.25">
      <c r="A211" s="76">
        <v>152820</v>
      </c>
      <c r="B211" s="77" t="s">
        <v>1835</v>
      </c>
      <c r="C211" s="78" t="s">
        <v>1639</v>
      </c>
      <c r="D211" s="76" t="s">
        <v>12</v>
      </c>
      <c r="E211" s="79" t="s">
        <v>87</v>
      </c>
      <c r="F211" s="79" t="s">
        <v>115</v>
      </c>
      <c r="G211" s="79" t="s">
        <v>14</v>
      </c>
      <c r="H211" s="79" t="s">
        <v>87</v>
      </c>
      <c r="I211" s="78" t="s">
        <v>14</v>
      </c>
      <c r="J211" s="79" t="s">
        <v>14</v>
      </c>
      <c r="K211" s="142" t="s">
        <v>1850</v>
      </c>
      <c r="L211" s="149" t="s">
        <v>1845</v>
      </c>
      <c r="M211" s="150" t="s">
        <v>12</v>
      </c>
      <c r="N211" s="151">
        <v>13</v>
      </c>
      <c r="O211" s="151">
        <v>4</v>
      </c>
      <c r="P211" s="152">
        <v>1</v>
      </c>
      <c r="Q211" s="153">
        <v>100</v>
      </c>
      <c r="R211" s="154">
        <v>0</v>
      </c>
      <c r="S211" s="38">
        <f t="shared" si="33"/>
        <v>0</v>
      </c>
      <c r="T211" s="39">
        <f t="shared" si="34"/>
        <v>9</v>
      </c>
      <c r="U211" s="40">
        <f t="shared" si="35"/>
        <v>2</v>
      </c>
      <c r="V211" s="40">
        <f t="shared" si="36"/>
        <v>3</v>
      </c>
      <c r="W211" s="40">
        <f t="shared" si="37"/>
        <v>0</v>
      </c>
      <c r="X211" s="40">
        <f t="shared" si="38"/>
        <v>5</v>
      </c>
      <c r="Y211" s="40">
        <f t="shared" si="39"/>
        <v>0</v>
      </c>
      <c r="Z211" s="40">
        <f t="shared" si="40"/>
        <v>0</v>
      </c>
      <c r="AA211" s="40">
        <f t="shared" si="41"/>
        <v>0</v>
      </c>
      <c r="AB211" s="40">
        <f t="shared" si="42"/>
        <v>0</v>
      </c>
      <c r="AC211" s="41">
        <f t="shared" si="43"/>
        <v>0</v>
      </c>
      <c r="AD211" s="49" t="s">
        <v>31</v>
      </c>
      <c r="AE211" s="50" t="s">
        <v>72</v>
      </c>
      <c r="AF211" s="49"/>
      <c r="AG211" s="50"/>
      <c r="AH211" s="49" t="s">
        <v>5</v>
      </c>
      <c r="AI211" s="50" t="s">
        <v>101</v>
      </c>
      <c r="AJ211" s="49" t="s">
        <v>30</v>
      </c>
      <c r="AK211" s="50" t="s">
        <v>111</v>
      </c>
      <c r="AL211" s="49" t="s">
        <v>5</v>
      </c>
      <c r="AM211" s="50" t="s">
        <v>130</v>
      </c>
      <c r="AN211" s="49" t="s">
        <v>5</v>
      </c>
      <c r="AO211" s="50" t="s">
        <v>143</v>
      </c>
      <c r="AP211" s="49" t="s">
        <v>5</v>
      </c>
      <c r="AQ211" s="50" t="s">
        <v>131</v>
      </c>
      <c r="AR211" s="49" t="s">
        <v>5</v>
      </c>
      <c r="AS211" s="50" t="s">
        <v>120</v>
      </c>
      <c r="AT211" s="49" t="s">
        <v>5</v>
      </c>
      <c r="AU211" s="50" t="s">
        <v>105</v>
      </c>
      <c r="AV211" s="49" t="s">
        <v>31</v>
      </c>
      <c r="AW211" s="50" t="s">
        <v>79</v>
      </c>
      <c r="AX211" s="49" t="s">
        <v>5</v>
      </c>
      <c r="AY211" s="50" t="s">
        <v>80</v>
      </c>
      <c r="AZ211" s="49" t="s">
        <v>5</v>
      </c>
      <c r="BA211" s="50" t="s">
        <v>120</v>
      </c>
      <c r="BB211" s="49" t="s">
        <v>5</v>
      </c>
      <c r="BC211" s="50" t="s">
        <v>107</v>
      </c>
      <c r="BD211" s="49" t="s">
        <v>30</v>
      </c>
      <c r="BE211" s="50" t="s">
        <v>82</v>
      </c>
      <c r="BF211" s="49" t="s">
        <v>31</v>
      </c>
      <c r="BG211" s="50" t="s">
        <v>98</v>
      </c>
      <c r="BH211" s="49"/>
      <c r="BI211" s="50"/>
    </row>
    <row r="212" spans="1:61" x14ac:dyDescent="0.25">
      <c r="A212" s="76">
        <v>152917</v>
      </c>
      <c r="B212" s="77" t="s">
        <v>1836</v>
      </c>
      <c r="C212" s="78" t="s">
        <v>1628</v>
      </c>
      <c r="D212" s="76" t="s">
        <v>12</v>
      </c>
      <c r="E212" s="79" t="s">
        <v>14</v>
      </c>
      <c r="F212" s="79" t="s">
        <v>88</v>
      </c>
      <c r="G212" s="79" t="s">
        <v>14</v>
      </c>
      <c r="H212" s="79" t="s">
        <v>14</v>
      </c>
      <c r="I212" s="78" t="s">
        <v>14</v>
      </c>
      <c r="J212" s="79" t="s">
        <v>14</v>
      </c>
      <c r="K212" s="142" t="s">
        <v>1850</v>
      </c>
      <c r="L212" s="149" t="s">
        <v>1845</v>
      </c>
      <c r="M212" s="150" t="s">
        <v>12</v>
      </c>
      <c r="N212" s="151">
        <v>20</v>
      </c>
      <c r="O212" s="151">
        <v>0</v>
      </c>
      <c r="P212" s="152">
        <v>0</v>
      </c>
      <c r="Q212" s="153">
        <v>100</v>
      </c>
      <c r="R212" s="154">
        <v>1</v>
      </c>
      <c r="S212" s="38">
        <f t="shared" si="33"/>
        <v>2</v>
      </c>
      <c r="T212" s="39">
        <f t="shared" si="34"/>
        <v>12</v>
      </c>
      <c r="U212" s="40">
        <f t="shared" si="35"/>
        <v>0</v>
      </c>
      <c r="V212" s="40">
        <f t="shared" si="36"/>
        <v>0</v>
      </c>
      <c r="W212" s="40">
        <f t="shared" si="37"/>
        <v>0</v>
      </c>
      <c r="X212" s="40">
        <f t="shared" si="38"/>
        <v>0</v>
      </c>
      <c r="Y212" s="40">
        <f t="shared" si="39"/>
        <v>0</v>
      </c>
      <c r="Z212" s="40">
        <f t="shared" si="40"/>
        <v>0</v>
      </c>
      <c r="AA212" s="40">
        <f t="shared" si="41"/>
        <v>0</v>
      </c>
      <c r="AB212" s="40">
        <f t="shared" si="42"/>
        <v>0</v>
      </c>
      <c r="AC212" s="41">
        <f t="shared" si="43"/>
        <v>0</v>
      </c>
      <c r="AD212" s="49" t="s">
        <v>5</v>
      </c>
      <c r="AE212" s="50" t="s">
        <v>116</v>
      </c>
      <c r="AF212" s="49" t="s">
        <v>5</v>
      </c>
      <c r="AG212" s="50" t="s">
        <v>73</v>
      </c>
      <c r="AH212" s="49" t="s">
        <v>5</v>
      </c>
      <c r="AI212" s="50" t="s">
        <v>101</v>
      </c>
      <c r="AJ212" s="49" t="s">
        <v>5</v>
      </c>
      <c r="AK212" s="50" t="s">
        <v>142</v>
      </c>
      <c r="AL212" s="49" t="s">
        <v>5</v>
      </c>
      <c r="AM212" s="50" t="s">
        <v>106</v>
      </c>
      <c r="AN212" s="49" t="s">
        <v>5</v>
      </c>
      <c r="AO212" s="50" t="s">
        <v>103</v>
      </c>
      <c r="AP212" s="49" t="s">
        <v>5</v>
      </c>
      <c r="AQ212" s="50" t="s">
        <v>144</v>
      </c>
      <c r="AR212" s="49" t="s">
        <v>5</v>
      </c>
      <c r="AS212" s="50" t="s">
        <v>104</v>
      </c>
      <c r="AT212" s="49" t="s">
        <v>5</v>
      </c>
      <c r="AU212" s="50" t="s">
        <v>105</v>
      </c>
      <c r="AV212" s="49" t="s">
        <v>1</v>
      </c>
      <c r="AW212" s="50" t="s">
        <v>79</v>
      </c>
      <c r="AX212" s="49" t="s">
        <v>5</v>
      </c>
      <c r="AY212" s="50" t="s">
        <v>95</v>
      </c>
      <c r="AZ212" s="49"/>
      <c r="BA212" s="50"/>
      <c r="BB212" s="49" t="s">
        <v>1</v>
      </c>
      <c r="BC212" s="50" t="s">
        <v>107</v>
      </c>
      <c r="BD212" s="49" t="s">
        <v>5</v>
      </c>
      <c r="BE212" s="50" t="s">
        <v>108</v>
      </c>
      <c r="BF212" s="49" t="s">
        <v>5</v>
      </c>
      <c r="BG212" s="50" t="s">
        <v>164</v>
      </c>
      <c r="BH212" s="49"/>
      <c r="BI212" s="50"/>
    </row>
    <row r="213" spans="1:61" x14ac:dyDescent="0.25">
      <c r="A213" s="76">
        <v>152868</v>
      </c>
      <c r="B213" s="77" t="s">
        <v>1837</v>
      </c>
      <c r="C213" s="78" t="s">
        <v>1633</v>
      </c>
      <c r="D213" s="76" t="s">
        <v>70</v>
      </c>
      <c r="E213" s="79" t="s">
        <v>87</v>
      </c>
      <c r="F213" s="79" t="s">
        <v>88</v>
      </c>
      <c r="G213" s="79" t="s">
        <v>14</v>
      </c>
      <c r="H213" s="79" t="s">
        <v>87</v>
      </c>
      <c r="I213" s="78" t="s">
        <v>14</v>
      </c>
      <c r="J213" s="79" t="s">
        <v>14</v>
      </c>
      <c r="K213" s="142" t="s">
        <v>1850</v>
      </c>
      <c r="L213" s="149" t="s">
        <v>1841</v>
      </c>
      <c r="M213" s="150" t="s">
        <v>1853</v>
      </c>
      <c r="N213" s="151">
        <v>18</v>
      </c>
      <c r="O213" s="151">
        <v>4</v>
      </c>
      <c r="P213" s="152">
        <v>1</v>
      </c>
      <c r="Q213" s="153">
        <v>100</v>
      </c>
      <c r="R213" s="154">
        <v>5</v>
      </c>
      <c r="S213" s="38">
        <f t="shared" si="33"/>
        <v>0</v>
      </c>
      <c r="T213" s="39">
        <f t="shared" si="34"/>
        <v>10</v>
      </c>
      <c r="U213" s="40">
        <f t="shared" si="35"/>
        <v>2</v>
      </c>
      <c r="V213" s="40">
        <f t="shared" si="36"/>
        <v>2</v>
      </c>
      <c r="W213" s="40">
        <f t="shared" si="37"/>
        <v>0</v>
      </c>
      <c r="X213" s="40">
        <f t="shared" si="38"/>
        <v>4</v>
      </c>
      <c r="Y213" s="40">
        <f t="shared" si="39"/>
        <v>0</v>
      </c>
      <c r="Z213" s="40">
        <f t="shared" si="40"/>
        <v>0</v>
      </c>
      <c r="AA213" s="40">
        <f t="shared" si="41"/>
        <v>0</v>
      </c>
      <c r="AB213" s="40">
        <f t="shared" si="42"/>
        <v>0</v>
      </c>
      <c r="AC213" s="41">
        <f t="shared" si="43"/>
        <v>0</v>
      </c>
      <c r="AD213" s="49" t="s">
        <v>5</v>
      </c>
      <c r="AE213" s="50" t="s">
        <v>89</v>
      </c>
      <c r="AF213" s="49" t="s">
        <v>5</v>
      </c>
      <c r="AG213" s="50" t="s">
        <v>117</v>
      </c>
      <c r="AH213" s="49" t="s">
        <v>5</v>
      </c>
      <c r="AI213" s="50" t="s">
        <v>101</v>
      </c>
      <c r="AJ213" s="49" t="s">
        <v>5</v>
      </c>
      <c r="AK213" s="50" t="s">
        <v>102</v>
      </c>
      <c r="AL213" s="49" t="s">
        <v>31</v>
      </c>
      <c r="AM213" s="50" t="s">
        <v>122</v>
      </c>
      <c r="AN213" s="49"/>
      <c r="AO213" s="50"/>
      <c r="AP213" s="49" t="s">
        <v>31</v>
      </c>
      <c r="AQ213" s="50" t="s">
        <v>131</v>
      </c>
      <c r="AR213" s="49" t="s">
        <v>5</v>
      </c>
      <c r="AS213" s="50" t="s">
        <v>120</v>
      </c>
      <c r="AT213" s="49" t="s">
        <v>5</v>
      </c>
      <c r="AU213" s="50" t="s">
        <v>163</v>
      </c>
      <c r="AV213" s="49" t="s">
        <v>5</v>
      </c>
      <c r="AW213" s="50" t="s">
        <v>112</v>
      </c>
      <c r="AX213" s="49" t="s">
        <v>30</v>
      </c>
      <c r="AY213" s="50" t="s">
        <v>95</v>
      </c>
      <c r="AZ213" s="49"/>
      <c r="BA213" s="50"/>
      <c r="BB213" s="49" t="s">
        <v>5</v>
      </c>
      <c r="BC213" s="50" t="s">
        <v>121</v>
      </c>
      <c r="BD213" s="49" t="s">
        <v>5</v>
      </c>
      <c r="BE213" s="50" t="s">
        <v>495</v>
      </c>
      <c r="BF213" s="49" t="s">
        <v>30</v>
      </c>
      <c r="BG213" s="50" t="s">
        <v>123</v>
      </c>
      <c r="BH213" s="49" t="s">
        <v>5</v>
      </c>
      <c r="BI213" s="50" t="s">
        <v>75</v>
      </c>
    </row>
    <row r="214" spans="1:61" x14ac:dyDescent="0.25">
      <c r="A214" s="76">
        <v>152767</v>
      </c>
      <c r="B214" s="77" t="s">
        <v>1838</v>
      </c>
      <c r="C214" s="78" t="s">
        <v>1648</v>
      </c>
      <c r="D214" s="76" t="s">
        <v>70</v>
      </c>
      <c r="E214" s="79" t="s">
        <v>14</v>
      </c>
      <c r="F214" s="79" t="s">
        <v>71</v>
      </c>
      <c r="G214" s="79" t="s">
        <v>14</v>
      </c>
      <c r="H214" s="79" t="s">
        <v>14</v>
      </c>
      <c r="I214" s="78" t="s">
        <v>14</v>
      </c>
      <c r="J214" s="79" t="s">
        <v>14</v>
      </c>
      <c r="K214" s="142" t="s">
        <v>1850</v>
      </c>
      <c r="L214" s="149" t="s">
        <v>1843</v>
      </c>
      <c r="M214" s="150" t="s">
        <v>12</v>
      </c>
      <c r="N214" s="151">
        <v>24</v>
      </c>
      <c r="O214" s="151">
        <v>0</v>
      </c>
      <c r="P214" s="152">
        <v>0</v>
      </c>
      <c r="Q214" s="153">
        <v>100</v>
      </c>
      <c r="R214" s="154">
        <v>0</v>
      </c>
      <c r="S214" s="38">
        <f t="shared" si="33"/>
        <v>0</v>
      </c>
      <c r="T214" s="39">
        <f t="shared" si="34"/>
        <v>14</v>
      </c>
      <c r="U214" s="40">
        <f t="shared" si="35"/>
        <v>0</v>
      </c>
      <c r="V214" s="40">
        <f t="shared" si="36"/>
        <v>0</v>
      </c>
      <c r="W214" s="40">
        <f t="shared" si="37"/>
        <v>0</v>
      </c>
      <c r="X214" s="40">
        <f t="shared" si="38"/>
        <v>0</v>
      </c>
      <c r="Y214" s="40">
        <f t="shared" si="39"/>
        <v>0</v>
      </c>
      <c r="Z214" s="40">
        <f t="shared" si="40"/>
        <v>0</v>
      </c>
      <c r="AA214" s="40">
        <f t="shared" si="41"/>
        <v>0</v>
      </c>
      <c r="AB214" s="40">
        <f t="shared" si="42"/>
        <v>0</v>
      </c>
      <c r="AC214" s="41">
        <f t="shared" si="43"/>
        <v>0</v>
      </c>
      <c r="AD214" s="49" t="s">
        <v>5</v>
      </c>
      <c r="AE214" s="50" t="s">
        <v>116</v>
      </c>
      <c r="AF214" s="49" t="s">
        <v>5</v>
      </c>
      <c r="AG214" s="50" t="s">
        <v>73</v>
      </c>
      <c r="AH214" s="49" t="s">
        <v>5</v>
      </c>
      <c r="AI214" s="50" t="s">
        <v>101</v>
      </c>
      <c r="AJ214" s="49" t="s">
        <v>5</v>
      </c>
      <c r="AK214" s="50" t="s">
        <v>74</v>
      </c>
      <c r="AL214" s="49" t="s">
        <v>5</v>
      </c>
      <c r="AM214" s="50" t="s">
        <v>714</v>
      </c>
      <c r="AN214" s="49" t="s">
        <v>5</v>
      </c>
      <c r="AO214" s="50" t="s">
        <v>124</v>
      </c>
      <c r="AP214" s="49" t="s">
        <v>5</v>
      </c>
      <c r="AQ214" s="50" t="s">
        <v>76</v>
      </c>
      <c r="AR214" s="49" t="s">
        <v>5</v>
      </c>
      <c r="AS214" s="50" t="s">
        <v>132</v>
      </c>
      <c r="AT214" s="49" t="s">
        <v>5</v>
      </c>
      <c r="AU214" s="50" t="s">
        <v>163</v>
      </c>
      <c r="AV214" s="49" t="s">
        <v>5</v>
      </c>
      <c r="AW214" s="50" t="s">
        <v>430</v>
      </c>
      <c r="AX214" s="49" t="s">
        <v>5</v>
      </c>
      <c r="AY214" s="50" t="s">
        <v>95</v>
      </c>
      <c r="AZ214" s="49"/>
      <c r="BA214" s="50"/>
      <c r="BB214" s="49" t="s">
        <v>5</v>
      </c>
      <c r="BC214" s="50" t="s">
        <v>152</v>
      </c>
      <c r="BD214" s="49" t="s">
        <v>5</v>
      </c>
      <c r="BE214" s="50" t="s">
        <v>153</v>
      </c>
      <c r="BF214" s="49" t="s">
        <v>5</v>
      </c>
      <c r="BG214" s="50" t="s">
        <v>154</v>
      </c>
      <c r="BH214" s="49"/>
      <c r="BI214" s="50"/>
    </row>
    <row r="215" spans="1:61" x14ac:dyDescent="0.25">
      <c r="A215" s="76">
        <v>152906</v>
      </c>
      <c r="B215" s="77" t="s">
        <v>1839</v>
      </c>
      <c r="C215" s="78" t="s">
        <v>1639</v>
      </c>
      <c r="D215" s="76" t="s">
        <v>12</v>
      </c>
      <c r="E215" s="79" t="s">
        <v>14</v>
      </c>
      <c r="F215" s="79" t="s">
        <v>115</v>
      </c>
      <c r="G215" s="79" t="s">
        <v>14</v>
      </c>
      <c r="H215" s="79" t="s">
        <v>14</v>
      </c>
      <c r="I215" s="78" t="s">
        <v>14</v>
      </c>
      <c r="J215" s="79" t="s">
        <v>14</v>
      </c>
      <c r="K215" s="142" t="s">
        <v>1850</v>
      </c>
      <c r="L215" s="149" t="s">
        <v>1843</v>
      </c>
      <c r="M215" s="150" t="s">
        <v>1853</v>
      </c>
      <c r="N215" s="151">
        <v>13</v>
      </c>
      <c r="O215" s="151">
        <v>0</v>
      </c>
      <c r="P215" s="152">
        <v>1</v>
      </c>
      <c r="Q215" s="153">
        <v>91.11</v>
      </c>
      <c r="R215" s="154">
        <v>0</v>
      </c>
      <c r="S215" s="38">
        <f t="shared" si="33"/>
        <v>1</v>
      </c>
      <c r="T215" s="39">
        <f t="shared" si="34"/>
        <v>13</v>
      </c>
      <c r="U215" s="40">
        <f t="shared" si="35"/>
        <v>0</v>
      </c>
      <c r="V215" s="40">
        <f t="shared" si="36"/>
        <v>0</v>
      </c>
      <c r="W215" s="40">
        <f t="shared" si="37"/>
        <v>0</v>
      </c>
      <c r="X215" s="40">
        <f t="shared" si="38"/>
        <v>0</v>
      </c>
      <c r="Y215" s="40">
        <f t="shared" si="39"/>
        <v>0</v>
      </c>
      <c r="Z215" s="40">
        <f t="shared" si="40"/>
        <v>0</v>
      </c>
      <c r="AA215" s="40">
        <f t="shared" si="41"/>
        <v>0</v>
      </c>
      <c r="AB215" s="40">
        <f t="shared" si="42"/>
        <v>0</v>
      </c>
      <c r="AC215" s="41">
        <f t="shared" si="43"/>
        <v>0</v>
      </c>
      <c r="AD215" s="49" t="s">
        <v>5</v>
      </c>
      <c r="AE215" s="50" t="s">
        <v>72</v>
      </c>
      <c r="AF215" s="49" t="s">
        <v>5</v>
      </c>
      <c r="AG215" s="50" t="s">
        <v>117</v>
      </c>
      <c r="AH215" s="49" t="s">
        <v>5</v>
      </c>
      <c r="AI215" s="50" t="s">
        <v>101</v>
      </c>
      <c r="AJ215" s="49" t="s">
        <v>5</v>
      </c>
      <c r="AK215" s="50" t="s">
        <v>111</v>
      </c>
      <c r="AL215" s="49" t="s">
        <v>5</v>
      </c>
      <c r="AM215" s="50" t="s">
        <v>130</v>
      </c>
      <c r="AN215" s="49" t="s">
        <v>5</v>
      </c>
      <c r="AO215" s="50" t="s">
        <v>143</v>
      </c>
      <c r="AP215" s="49" t="s">
        <v>5</v>
      </c>
      <c r="AQ215" s="50" t="s">
        <v>131</v>
      </c>
      <c r="AR215" s="49" t="s">
        <v>5</v>
      </c>
      <c r="AS215" s="50" t="s">
        <v>120</v>
      </c>
      <c r="AT215" s="49" t="s">
        <v>5</v>
      </c>
      <c r="AU215" s="50" t="s">
        <v>105</v>
      </c>
      <c r="AV215" s="49" t="s">
        <v>5</v>
      </c>
      <c r="AW215" s="50" t="s">
        <v>430</v>
      </c>
      <c r="AX215" s="49" t="s">
        <v>5</v>
      </c>
      <c r="AY215" s="50" t="s">
        <v>80</v>
      </c>
      <c r="AZ215" s="49"/>
      <c r="BA215" s="50"/>
      <c r="BB215" s="49" t="s">
        <v>1</v>
      </c>
      <c r="BC215" s="50" t="s">
        <v>96</v>
      </c>
      <c r="BD215" s="49" t="s">
        <v>5</v>
      </c>
      <c r="BE215" s="50" t="s">
        <v>82</v>
      </c>
      <c r="BF215" s="49" t="s">
        <v>5</v>
      </c>
      <c r="BG215" s="50" t="s">
        <v>164</v>
      </c>
      <c r="BH215" s="49"/>
      <c r="BI215" s="50"/>
    </row>
    <row r="216" spans="1:61" x14ac:dyDescent="0.25">
      <c r="A216" s="76">
        <v>152844</v>
      </c>
      <c r="B216" s="77" t="s">
        <v>1840</v>
      </c>
      <c r="C216" s="78" t="s">
        <v>1620</v>
      </c>
      <c r="D216" s="76" t="s">
        <v>12</v>
      </c>
      <c r="E216" s="79" t="s">
        <v>14</v>
      </c>
      <c r="F216" s="79" t="s">
        <v>450</v>
      </c>
      <c r="G216" s="79" t="s">
        <v>14</v>
      </c>
      <c r="H216" s="79" t="s">
        <v>14</v>
      </c>
      <c r="I216" s="78" t="s">
        <v>14</v>
      </c>
      <c r="J216" s="79" t="s">
        <v>14</v>
      </c>
      <c r="K216" s="142" t="s">
        <v>1850</v>
      </c>
      <c r="L216" s="149" t="s">
        <v>1844</v>
      </c>
      <c r="M216" s="150" t="s">
        <v>1853</v>
      </c>
      <c r="N216" s="151">
        <v>8</v>
      </c>
      <c r="O216" s="151">
        <v>2</v>
      </c>
      <c r="P216" s="152">
        <v>0</v>
      </c>
      <c r="Q216" s="153">
        <v>73.91</v>
      </c>
      <c r="R216" s="154">
        <v>5</v>
      </c>
      <c r="S216" s="38">
        <f t="shared" si="33"/>
        <v>0</v>
      </c>
      <c r="T216" s="39">
        <f t="shared" si="34"/>
        <v>11</v>
      </c>
      <c r="U216" s="40">
        <f t="shared" si="35"/>
        <v>3</v>
      </c>
      <c r="V216" s="40">
        <f t="shared" si="36"/>
        <v>0</v>
      </c>
      <c r="W216" s="40">
        <f t="shared" si="37"/>
        <v>0</v>
      </c>
      <c r="X216" s="40">
        <f t="shared" si="38"/>
        <v>3</v>
      </c>
      <c r="Y216" s="40">
        <f t="shared" si="39"/>
        <v>0</v>
      </c>
      <c r="Z216" s="40">
        <f t="shared" si="40"/>
        <v>0</v>
      </c>
      <c r="AA216" s="40">
        <f t="shared" si="41"/>
        <v>0</v>
      </c>
      <c r="AB216" s="40">
        <f t="shared" si="42"/>
        <v>0</v>
      </c>
      <c r="AC216" s="41">
        <f t="shared" si="43"/>
        <v>0</v>
      </c>
      <c r="AD216" s="59" t="s">
        <v>5</v>
      </c>
      <c r="AE216" s="58" t="s">
        <v>89</v>
      </c>
      <c r="AF216" s="59" t="s">
        <v>5</v>
      </c>
      <c r="AG216" s="58" t="s">
        <v>90</v>
      </c>
      <c r="AH216" s="59" t="s">
        <v>5</v>
      </c>
      <c r="AI216" s="58" t="s">
        <v>142</v>
      </c>
      <c r="AJ216" s="59" t="s">
        <v>5</v>
      </c>
      <c r="AK216" s="58" t="s">
        <v>194</v>
      </c>
      <c r="AL216" s="59" t="s">
        <v>5</v>
      </c>
      <c r="AM216" s="58" t="s">
        <v>142</v>
      </c>
      <c r="AP216" s="59" t="s">
        <v>30</v>
      </c>
      <c r="AQ216" s="58" t="s">
        <v>76</v>
      </c>
      <c r="AR216" s="59" t="s">
        <v>5</v>
      </c>
      <c r="AS216" s="58" t="s">
        <v>132</v>
      </c>
      <c r="AT216" s="59" t="s">
        <v>5</v>
      </c>
      <c r="AU216" s="58" t="s">
        <v>105</v>
      </c>
      <c r="AV216" s="59" t="s">
        <v>30</v>
      </c>
      <c r="AW216" s="58" t="s">
        <v>79</v>
      </c>
      <c r="AX216" s="59" t="s">
        <v>5</v>
      </c>
      <c r="AY216" s="58" t="s">
        <v>95</v>
      </c>
      <c r="BB216" s="59" t="s">
        <v>5</v>
      </c>
      <c r="BC216" s="58" t="s">
        <v>741</v>
      </c>
      <c r="BD216" s="59" t="s">
        <v>5</v>
      </c>
      <c r="BE216" s="58" t="s">
        <v>97</v>
      </c>
      <c r="BF216" s="59" t="s">
        <v>5</v>
      </c>
      <c r="BG216" s="58" t="s">
        <v>123</v>
      </c>
      <c r="BH216" s="59" t="s">
        <v>30</v>
      </c>
      <c r="BI216" s="58" t="s">
        <v>130</v>
      </c>
    </row>
    <row r="217" spans="1:61" x14ac:dyDescent="0.25">
      <c r="A217" s="157"/>
      <c r="B217" s="158"/>
      <c r="C217" s="159"/>
      <c r="D217" s="157"/>
      <c r="E217" s="160"/>
      <c r="F217" s="160"/>
      <c r="G217" s="160"/>
      <c r="H217" s="160"/>
      <c r="I217" s="159"/>
      <c r="J217" s="160"/>
      <c r="K217" s="142" t="s">
        <v>1406</v>
      </c>
      <c r="L217" s="149" t="s">
        <v>1406</v>
      </c>
      <c r="M217" s="150" t="s">
        <v>1406</v>
      </c>
      <c r="N217" s="151" t="s">
        <v>1406</v>
      </c>
      <c r="O217" s="151" t="s">
        <v>1406</v>
      </c>
      <c r="P217" s="152" t="s">
        <v>1406</v>
      </c>
      <c r="Q217" s="153"/>
      <c r="R217" s="154"/>
      <c r="S217" s="38">
        <f t="shared" si="33"/>
        <v>0</v>
      </c>
      <c r="T217" s="39">
        <f t="shared" si="34"/>
        <v>0</v>
      </c>
      <c r="U217" s="40">
        <f t="shared" si="35"/>
        <v>0</v>
      </c>
      <c r="V217" s="40">
        <f t="shared" si="36"/>
        <v>0</v>
      </c>
      <c r="W217" s="40">
        <f t="shared" si="37"/>
        <v>0</v>
      </c>
      <c r="X217" s="40">
        <f t="shared" si="38"/>
        <v>0</v>
      </c>
      <c r="Y217" s="40">
        <f t="shared" si="39"/>
        <v>0</v>
      </c>
      <c r="Z217" s="40">
        <f t="shared" si="40"/>
        <v>0</v>
      </c>
      <c r="AA217" s="40">
        <f t="shared" si="41"/>
        <v>0</v>
      </c>
      <c r="AB217" s="40">
        <f t="shared" si="42"/>
        <v>0</v>
      </c>
      <c r="AC217" s="41">
        <f t="shared" si="43"/>
        <v>0</v>
      </c>
    </row>
    <row r="218" spans="1:61" x14ac:dyDescent="0.25">
      <c r="A218" s="157"/>
      <c r="B218" s="158"/>
      <c r="C218" s="159"/>
      <c r="D218" s="157"/>
      <c r="E218" s="160"/>
      <c r="F218" s="160"/>
      <c r="G218" s="160"/>
      <c r="H218" s="160"/>
      <c r="I218" s="159"/>
      <c r="J218" s="160"/>
      <c r="K218" s="142" t="s">
        <v>1406</v>
      </c>
      <c r="L218" s="149" t="s">
        <v>1406</v>
      </c>
      <c r="M218" s="150" t="s">
        <v>1406</v>
      </c>
      <c r="N218" s="151" t="s">
        <v>1406</v>
      </c>
      <c r="O218" s="151" t="s">
        <v>1406</v>
      </c>
      <c r="P218" s="152" t="s">
        <v>1406</v>
      </c>
      <c r="Q218" s="153"/>
      <c r="R218" s="154"/>
      <c r="S218" s="38">
        <f t="shared" si="33"/>
        <v>0</v>
      </c>
      <c r="T218" s="39">
        <f t="shared" si="34"/>
        <v>0</v>
      </c>
      <c r="U218" s="40">
        <f t="shared" si="35"/>
        <v>0</v>
      </c>
      <c r="V218" s="40">
        <f t="shared" si="36"/>
        <v>0</v>
      </c>
      <c r="W218" s="40">
        <f t="shared" si="37"/>
        <v>0</v>
      </c>
      <c r="X218" s="40">
        <f t="shared" si="38"/>
        <v>0</v>
      </c>
      <c r="Y218" s="40">
        <f t="shared" si="39"/>
        <v>0</v>
      </c>
      <c r="Z218" s="40">
        <f t="shared" si="40"/>
        <v>0</v>
      </c>
      <c r="AA218" s="40">
        <f t="shared" si="41"/>
        <v>0</v>
      </c>
      <c r="AB218" s="40">
        <f t="shared" si="42"/>
        <v>0</v>
      </c>
      <c r="AC218" s="41">
        <f t="shared" si="43"/>
        <v>0</v>
      </c>
    </row>
    <row r="219" spans="1:61" x14ac:dyDescent="0.25">
      <c r="A219" s="157"/>
      <c r="B219" s="158"/>
      <c r="C219" s="159"/>
      <c r="D219" s="157"/>
      <c r="E219" s="160"/>
      <c r="F219" s="160"/>
      <c r="G219" s="160"/>
      <c r="H219" s="160"/>
      <c r="I219" s="159"/>
      <c r="J219" s="160"/>
      <c r="K219" s="142" t="s">
        <v>1406</v>
      </c>
      <c r="L219" s="149" t="s">
        <v>1406</v>
      </c>
      <c r="M219" s="150" t="s">
        <v>1406</v>
      </c>
      <c r="N219" s="151" t="s">
        <v>1406</v>
      </c>
      <c r="O219" s="151" t="s">
        <v>1406</v>
      </c>
      <c r="P219" s="152" t="s">
        <v>1406</v>
      </c>
      <c r="Q219" s="153"/>
      <c r="R219" s="154"/>
      <c r="S219" s="38">
        <f t="shared" si="33"/>
        <v>0</v>
      </c>
      <c r="T219" s="39">
        <f t="shared" si="34"/>
        <v>0</v>
      </c>
      <c r="U219" s="40">
        <f t="shared" si="35"/>
        <v>0</v>
      </c>
      <c r="V219" s="40">
        <f t="shared" si="36"/>
        <v>0</v>
      </c>
      <c r="W219" s="40">
        <f t="shared" si="37"/>
        <v>0</v>
      </c>
      <c r="X219" s="40">
        <f t="shared" si="38"/>
        <v>0</v>
      </c>
      <c r="Y219" s="40">
        <f t="shared" si="39"/>
        <v>0</v>
      </c>
      <c r="Z219" s="40">
        <f t="shared" si="40"/>
        <v>0</v>
      </c>
      <c r="AA219" s="40">
        <f t="shared" si="41"/>
        <v>0</v>
      </c>
      <c r="AB219" s="40">
        <f t="shared" si="42"/>
        <v>0</v>
      </c>
      <c r="AC219" s="41">
        <f t="shared" si="43"/>
        <v>0</v>
      </c>
    </row>
    <row r="220" spans="1:61" x14ac:dyDescent="0.25">
      <c r="A220" s="157"/>
      <c r="B220" s="158"/>
      <c r="C220" s="159"/>
      <c r="D220" s="157"/>
      <c r="E220" s="160"/>
      <c r="F220" s="160"/>
      <c r="G220" s="160"/>
      <c r="H220" s="160"/>
      <c r="I220" s="159"/>
      <c r="J220" s="160"/>
      <c r="K220" s="142" t="s">
        <v>1406</v>
      </c>
      <c r="L220" s="149" t="s">
        <v>1406</v>
      </c>
      <c r="M220" s="150" t="s">
        <v>1406</v>
      </c>
      <c r="N220" s="151" t="s">
        <v>1406</v>
      </c>
      <c r="O220" s="151" t="s">
        <v>1406</v>
      </c>
      <c r="P220" s="152" t="s">
        <v>1406</v>
      </c>
      <c r="Q220" s="153"/>
      <c r="R220" s="154"/>
      <c r="S220" s="38">
        <f t="shared" si="33"/>
        <v>0</v>
      </c>
      <c r="T220" s="39">
        <f t="shared" si="34"/>
        <v>0</v>
      </c>
      <c r="U220" s="40">
        <f t="shared" si="35"/>
        <v>0</v>
      </c>
      <c r="V220" s="40">
        <f t="shared" si="36"/>
        <v>0</v>
      </c>
      <c r="W220" s="40">
        <f t="shared" si="37"/>
        <v>0</v>
      </c>
      <c r="X220" s="40">
        <f t="shared" si="38"/>
        <v>0</v>
      </c>
      <c r="Y220" s="40">
        <f t="shared" si="39"/>
        <v>0</v>
      </c>
      <c r="Z220" s="40">
        <f t="shared" si="40"/>
        <v>0</v>
      </c>
      <c r="AA220" s="40">
        <f t="shared" si="41"/>
        <v>0</v>
      </c>
      <c r="AB220" s="40">
        <f t="shared" si="42"/>
        <v>0</v>
      </c>
      <c r="AC220" s="41">
        <f t="shared" si="43"/>
        <v>0</v>
      </c>
    </row>
    <row r="221" spans="1:61" x14ac:dyDescent="0.25">
      <c r="A221" s="157"/>
      <c r="B221" s="158"/>
      <c r="C221" s="159"/>
      <c r="D221" s="157"/>
      <c r="E221" s="160"/>
      <c r="F221" s="160"/>
      <c r="G221" s="160"/>
      <c r="H221" s="160"/>
      <c r="I221" s="159"/>
      <c r="J221" s="160"/>
      <c r="K221" s="142" t="s">
        <v>1406</v>
      </c>
      <c r="L221" s="149" t="s">
        <v>1406</v>
      </c>
      <c r="M221" s="150" t="s">
        <v>1406</v>
      </c>
      <c r="N221" s="151" t="s">
        <v>1406</v>
      </c>
      <c r="O221" s="151" t="s">
        <v>1406</v>
      </c>
      <c r="P221" s="152" t="s">
        <v>1406</v>
      </c>
      <c r="Q221" s="153"/>
      <c r="R221" s="154"/>
      <c r="S221" s="38">
        <f t="shared" si="33"/>
        <v>0</v>
      </c>
      <c r="T221" s="39">
        <f t="shared" si="34"/>
        <v>0</v>
      </c>
      <c r="U221" s="40">
        <f t="shared" si="35"/>
        <v>0</v>
      </c>
      <c r="V221" s="40">
        <f t="shared" si="36"/>
        <v>0</v>
      </c>
      <c r="W221" s="40">
        <f t="shared" si="37"/>
        <v>0</v>
      </c>
      <c r="X221" s="40">
        <f t="shared" si="38"/>
        <v>0</v>
      </c>
      <c r="Y221" s="40">
        <f t="shared" si="39"/>
        <v>0</v>
      </c>
      <c r="Z221" s="40">
        <f t="shared" si="40"/>
        <v>0</v>
      </c>
      <c r="AA221" s="40">
        <f t="shared" si="41"/>
        <v>0</v>
      </c>
      <c r="AB221" s="40">
        <f t="shared" si="42"/>
        <v>0</v>
      </c>
      <c r="AC221" s="41">
        <f t="shared" si="43"/>
        <v>0</v>
      </c>
    </row>
    <row r="222" spans="1:61" x14ac:dyDescent="0.25">
      <c r="A222" s="157"/>
      <c r="B222" s="158"/>
      <c r="C222" s="159"/>
      <c r="D222" s="157"/>
      <c r="E222" s="160"/>
      <c r="F222" s="160"/>
      <c r="G222" s="160"/>
      <c r="H222" s="160"/>
      <c r="I222" s="159"/>
      <c r="J222" s="160"/>
      <c r="K222" s="142" t="s">
        <v>1406</v>
      </c>
      <c r="L222" s="149" t="s">
        <v>1406</v>
      </c>
      <c r="M222" s="150" t="s">
        <v>1406</v>
      </c>
      <c r="N222" s="151" t="s">
        <v>1406</v>
      </c>
      <c r="O222" s="151" t="s">
        <v>1406</v>
      </c>
      <c r="P222" s="152" t="s">
        <v>1406</v>
      </c>
      <c r="Q222" s="153"/>
      <c r="R222" s="154"/>
      <c r="S222" s="38">
        <f t="shared" si="33"/>
        <v>0</v>
      </c>
      <c r="T222" s="39">
        <f t="shared" si="34"/>
        <v>0</v>
      </c>
      <c r="U222" s="40">
        <f t="shared" si="35"/>
        <v>0</v>
      </c>
      <c r="V222" s="40">
        <f t="shared" si="36"/>
        <v>0</v>
      </c>
      <c r="W222" s="40">
        <f t="shared" si="37"/>
        <v>0</v>
      </c>
      <c r="X222" s="40">
        <f t="shared" si="38"/>
        <v>0</v>
      </c>
      <c r="Y222" s="40">
        <f t="shared" si="39"/>
        <v>0</v>
      </c>
      <c r="Z222" s="40">
        <f t="shared" si="40"/>
        <v>0</v>
      </c>
      <c r="AA222" s="40">
        <f t="shared" si="41"/>
        <v>0</v>
      </c>
      <c r="AB222" s="40">
        <f t="shared" si="42"/>
        <v>0</v>
      </c>
      <c r="AC222" s="41">
        <f t="shared" si="43"/>
        <v>0</v>
      </c>
    </row>
    <row r="223" spans="1:61" x14ac:dyDescent="0.25">
      <c r="A223" s="157"/>
      <c r="B223" s="158"/>
      <c r="C223" s="159"/>
      <c r="D223" s="157"/>
      <c r="E223" s="160"/>
      <c r="F223" s="160"/>
      <c r="G223" s="160"/>
      <c r="H223" s="160"/>
      <c r="I223" s="159"/>
      <c r="J223" s="160"/>
      <c r="K223" s="142" t="s">
        <v>1406</v>
      </c>
      <c r="L223" s="149" t="s">
        <v>1406</v>
      </c>
      <c r="M223" s="150" t="s">
        <v>1406</v>
      </c>
      <c r="N223" s="151" t="s">
        <v>1406</v>
      </c>
      <c r="O223" s="151" t="s">
        <v>1406</v>
      </c>
      <c r="P223" s="152" t="s">
        <v>1406</v>
      </c>
      <c r="Q223" s="153"/>
      <c r="R223" s="154"/>
      <c r="S223" s="38">
        <f t="shared" si="33"/>
        <v>0</v>
      </c>
      <c r="T223" s="39">
        <f t="shared" si="34"/>
        <v>0</v>
      </c>
      <c r="U223" s="40">
        <f t="shared" si="35"/>
        <v>0</v>
      </c>
      <c r="V223" s="40">
        <f t="shared" si="36"/>
        <v>0</v>
      </c>
      <c r="W223" s="40">
        <f t="shared" si="37"/>
        <v>0</v>
      </c>
      <c r="X223" s="40">
        <f t="shared" si="38"/>
        <v>0</v>
      </c>
      <c r="Y223" s="40">
        <f t="shared" si="39"/>
        <v>0</v>
      </c>
      <c r="Z223" s="40">
        <f t="shared" si="40"/>
        <v>0</v>
      </c>
      <c r="AA223" s="40">
        <f t="shared" si="41"/>
        <v>0</v>
      </c>
      <c r="AB223" s="40">
        <f t="shared" si="42"/>
        <v>0</v>
      </c>
      <c r="AC223" s="41">
        <f t="shared" si="43"/>
        <v>0</v>
      </c>
    </row>
    <row r="224" spans="1:61" x14ac:dyDescent="0.25">
      <c r="A224" s="157"/>
      <c r="B224" s="158"/>
      <c r="C224" s="159"/>
      <c r="D224" s="157"/>
      <c r="E224" s="160"/>
      <c r="F224" s="160"/>
      <c r="G224" s="160"/>
      <c r="H224" s="160"/>
      <c r="I224" s="159"/>
      <c r="J224" s="160"/>
      <c r="K224" s="142" t="s">
        <v>1406</v>
      </c>
      <c r="L224" s="149" t="s">
        <v>1406</v>
      </c>
      <c r="M224" s="150" t="s">
        <v>1406</v>
      </c>
      <c r="N224" s="151" t="s">
        <v>1406</v>
      </c>
      <c r="O224" s="151" t="s">
        <v>1406</v>
      </c>
      <c r="P224" s="152" t="s">
        <v>1406</v>
      </c>
      <c r="Q224" s="153"/>
      <c r="R224" s="154"/>
      <c r="S224" s="38">
        <f t="shared" si="33"/>
        <v>0</v>
      </c>
      <c r="T224" s="39">
        <f t="shared" si="34"/>
        <v>0</v>
      </c>
      <c r="U224" s="40">
        <f t="shared" si="35"/>
        <v>0</v>
      </c>
      <c r="V224" s="40">
        <f t="shared" si="36"/>
        <v>0</v>
      </c>
      <c r="W224" s="40">
        <f t="shared" si="37"/>
        <v>0</v>
      </c>
      <c r="X224" s="40">
        <f t="shared" si="38"/>
        <v>0</v>
      </c>
      <c r="Y224" s="40">
        <f t="shared" si="39"/>
        <v>0</v>
      </c>
      <c r="Z224" s="40">
        <f t="shared" si="40"/>
        <v>0</v>
      </c>
      <c r="AA224" s="40">
        <f t="shared" si="41"/>
        <v>0</v>
      </c>
      <c r="AB224" s="40">
        <f t="shared" si="42"/>
        <v>0</v>
      </c>
      <c r="AC224" s="41">
        <f t="shared" si="43"/>
        <v>0</v>
      </c>
    </row>
    <row r="225" spans="1:29" x14ac:dyDescent="0.25">
      <c r="A225" s="157"/>
      <c r="B225" s="158"/>
      <c r="C225" s="159"/>
      <c r="D225" s="157"/>
      <c r="E225" s="160"/>
      <c r="F225" s="160"/>
      <c r="G225" s="160"/>
      <c r="H225" s="160"/>
      <c r="I225" s="159"/>
      <c r="J225" s="160"/>
      <c r="K225" s="142" t="s">
        <v>1406</v>
      </c>
      <c r="L225" s="149" t="s">
        <v>1406</v>
      </c>
      <c r="M225" s="150" t="s">
        <v>1406</v>
      </c>
      <c r="N225" s="151" t="s">
        <v>1406</v>
      </c>
      <c r="O225" s="151" t="s">
        <v>1406</v>
      </c>
      <c r="P225" s="152" t="s">
        <v>1406</v>
      </c>
      <c r="Q225" s="153"/>
      <c r="R225" s="154"/>
      <c r="S225" s="38">
        <f t="shared" si="33"/>
        <v>0</v>
      </c>
      <c r="T225" s="39">
        <f t="shared" si="34"/>
        <v>0</v>
      </c>
      <c r="U225" s="40">
        <f t="shared" si="35"/>
        <v>0</v>
      </c>
      <c r="V225" s="40">
        <f t="shared" si="36"/>
        <v>0</v>
      </c>
      <c r="W225" s="40">
        <f t="shared" si="37"/>
        <v>0</v>
      </c>
      <c r="X225" s="40">
        <f t="shared" si="38"/>
        <v>0</v>
      </c>
      <c r="Y225" s="40">
        <f t="shared" si="39"/>
        <v>0</v>
      </c>
      <c r="Z225" s="40">
        <f t="shared" si="40"/>
        <v>0</v>
      </c>
      <c r="AA225" s="40">
        <f t="shared" si="41"/>
        <v>0</v>
      </c>
      <c r="AB225" s="40">
        <f t="shared" si="42"/>
        <v>0</v>
      </c>
      <c r="AC225" s="41">
        <f t="shared" si="43"/>
        <v>0</v>
      </c>
    </row>
    <row r="226" spans="1:29" x14ac:dyDescent="0.25">
      <c r="A226" s="157"/>
      <c r="B226" s="158"/>
      <c r="C226" s="159"/>
      <c r="D226" s="157"/>
      <c r="E226" s="160"/>
      <c r="F226" s="160"/>
      <c r="G226" s="160"/>
      <c r="H226" s="160"/>
      <c r="I226" s="159"/>
      <c r="J226" s="160"/>
      <c r="K226" s="142" t="s">
        <v>1406</v>
      </c>
      <c r="L226" s="149" t="s">
        <v>1406</v>
      </c>
      <c r="M226" s="150" t="s">
        <v>1406</v>
      </c>
      <c r="N226" s="151" t="s">
        <v>1406</v>
      </c>
      <c r="O226" s="151" t="s">
        <v>1406</v>
      </c>
      <c r="P226" s="152" t="s">
        <v>1406</v>
      </c>
      <c r="Q226" s="153"/>
      <c r="R226" s="154"/>
      <c r="S226" s="38">
        <f t="shared" si="33"/>
        <v>0</v>
      </c>
      <c r="T226" s="39">
        <f t="shared" si="34"/>
        <v>0</v>
      </c>
      <c r="U226" s="40">
        <f t="shared" si="35"/>
        <v>0</v>
      </c>
      <c r="V226" s="40">
        <f t="shared" si="36"/>
        <v>0</v>
      </c>
      <c r="W226" s="40">
        <f t="shared" si="37"/>
        <v>0</v>
      </c>
      <c r="X226" s="40">
        <f t="shared" si="38"/>
        <v>0</v>
      </c>
      <c r="Y226" s="40">
        <f t="shared" si="39"/>
        <v>0</v>
      </c>
      <c r="Z226" s="40">
        <f t="shared" si="40"/>
        <v>0</v>
      </c>
      <c r="AA226" s="40">
        <f t="shared" si="41"/>
        <v>0</v>
      </c>
      <c r="AB226" s="40">
        <f t="shared" si="42"/>
        <v>0</v>
      </c>
      <c r="AC226" s="41">
        <f t="shared" si="43"/>
        <v>0</v>
      </c>
    </row>
    <row r="227" spans="1:29" x14ac:dyDescent="0.25">
      <c r="A227" s="157"/>
      <c r="B227" s="158"/>
      <c r="C227" s="159"/>
      <c r="D227" s="157"/>
      <c r="E227" s="160"/>
      <c r="F227" s="160"/>
      <c r="G227" s="160"/>
      <c r="H227" s="160"/>
      <c r="I227" s="159"/>
      <c r="J227" s="160"/>
      <c r="K227" s="142" t="s">
        <v>1406</v>
      </c>
      <c r="L227" s="149" t="s">
        <v>1406</v>
      </c>
      <c r="M227" s="150" t="s">
        <v>1406</v>
      </c>
      <c r="N227" s="151" t="s">
        <v>1406</v>
      </c>
      <c r="O227" s="151" t="s">
        <v>1406</v>
      </c>
      <c r="P227" s="152" t="s">
        <v>1406</v>
      </c>
      <c r="Q227" s="153"/>
      <c r="R227" s="154"/>
      <c r="S227" s="38">
        <f t="shared" si="33"/>
        <v>0</v>
      </c>
      <c r="T227" s="39">
        <f t="shared" si="34"/>
        <v>0</v>
      </c>
      <c r="U227" s="40">
        <f t="shared" si="35"/>
        <v>0</v>
      </c>
      <c r="V227" s="40">
        <f t="shared" si="36"/>
        <v>0</v>
      </c>
      <c r="W227" s="40">
        <f t="shared" si="37"/>
        <v>0</v>
      </c>
      <c r="X227" s="40">
        <f t="shared" si="38"/>
        <v>0</v>
      </c>
      <c r="Y227" s="40">
        <f t="shared" si="39"/>
        <v>0</v>
      </c>
      <c r="Z227" s="40">
        <f t="shared" si="40"/>
        <v>0</v>
      </c>
      <c r="AA227" s="40">
        <f t="shared" si="41"/>
        <v>0</v>
      </c>
      <c r="AB227" s="40">
        <f t="shared" si="42"/>
        <v>0</v>
      </c>
      <c r="AC227" s="41">
        <f t="shared" si="43"/>
        <v>0</v>
      </c>
    </row>
    <row r="228" spans="1:29" x14ac:dyDescent="0.25">
      <c r="A228" s="157"/>
      <c r="B228" s="158"/>
      <c r="C228" s="159"/>
      <c r="D228" s="157"/>
      <c r="E228" s="160"/>
      <c r="F228" s="160"/>
      <c r="G228" s="160"/>
      <c r="H228" s="160"/>
      <c r="I228" s="159"/>
      <c r="J228" s="160"/>
      <c r="K228" s="142" t="s">
        <v>1406</v>
      </c>
      <c r="L228" s="149" t="s">
        <v>1406</v>
      </c>
      <c r="M228" s="150" t="s">
        <v>1406</v>
      </c>
      <c r="N228" s="151" t="s">
        <v>1406</v>
      </c>
      <c r="O228" s="151" t="s">
        <v>1406</v>
      </c>
      <c r="P228" s="152" t="s">
        <v>1406</v>
      </c>
      <c r="Q228" s="153"/>
      <c r="R228" s="154"/>
      <c r="S228" s="38">
        <f t="shared" si="33"/>
        <v>0</v>
      </c>
      <c r="T228" s="39">
        <f t="shared" si="34"/>
        <v>0</v>
      </c>
      <c r="U228" s="40">
        <f t="shared" si="35"/>
        <v>0</v>
      </c>
      <c r="V228" s="40">
        <f t="shared" si="36"/>
        <v>0</v>
      </c>
      <c r="W228" s="40">
        <f t="shared" si="37"/>
        <v>0</v>
      </c>
      <c r="X228" s="40">
        <f t="shared" si="38"/>
        <v>0</v>
      </c>
      <c r="Y228" s="40">
        <f t="shared" si="39"/>
        <v>0</v>
      </c>
      <c r="Z228" s="40">
        <f t="shared" si="40"/>
        <v>0</v>
      </c>
      <c r="AA228" s="40">
        <f t="shared" si="41"/>
        <v>0</v>
      </c>
      <c r="AB228" s="40">
        <f t="shared" si="42"/>
        <v>0</v>
      </c>
      <c r="AC228" s="41">
        <f t="shared" si="43"/>
        <v>0</v>
      </c>
    </row>
    <row r="229" spans="1:29" x14ac:dyDescent="0.25">
      <c r="A229" s="157"/>
      <c r="B229" s="158"/>
      <c r="C229" s="159"/>
      <c r="D229" s="157"/>
      <c r="E229" s="160"/>
      <c r="F229" s="160"/>
      <c r="G229" s="160"/>
      <c r="H229" s="160"/>
      <c r="I229" s="159"/>
      <c r="J229" s="160"/>
      <c r="K229" s="142" t="s">
        <v>1406</v>
      </c>
      <c r="L229" s="149" t="s">
        <v>1406</v>
      </c>
      <c r="M229" s="150" t="s">
        <v>1406</v>
      </c>
      <c r="N229" s="151" t="s">
        <v>1406</v>
      </c>
      <c r="O229" s="151" t="s">
        <v>1406</v>
      </c>
      <c r="P229" s="152" t="s">
        <v>1406</v>
      </c>
      <c r="Q229" s="153"/>
      <c r="R229" s="154"/>
      <c r="S229" s="38">
        <f t="shared" si="33"/>
        <v>0</v>
      </c>
      <c r="T229" s="39">
        <f t="shared" si="34"/>
        <v>0</v>
      </c>
      <c r="U229" s="40">
        <f t="shared" si="35"/>
        <v>0</v>
      </c>
      <c r="V229" s="40">
        <f t="shared" si="36"/>
        <v>0</v>
      </c>
      <c r="W229" s="40">
        <f t="shared" si="37"/>
        <v>0</v>
      </c>
      <c r="X229" s="40">
        <f t="shared" si="38"/>
        <v>0</v>
      </c>
      <c r="Y229" s="40">
        <f t="shared" si="39"/>
        <v>0</v>
      </c>
      <c r="Z229" s="40">
        <f t="shared" si="40"/>
        <v>0</v>
      </c>
      <c r="AA229" s="40">
        <f t="shared" si="41"/>
        <v>0</v>
      </c>
      <c r="AB229" s="40">
        <f t="shared" si="42"/>
        <v>0</v>
      </c>
      <c r="AC229" s="41">
        <f t="shared" si="43"/>
        <v>0</v>
      </c>
    </row>
    <row r="230" spans="1:29" x14ac:dyDescent="0.25">
      <c r="A230" s="157"/>
      <c r="B230" s="158"/>
      <c r="C230" s="159"/>
      <c r="D230" s="157"/>
      <c r="E230" s="160"/>
      <c r="F230" s="160"/>
      <c r="G230" s="160"/>
      <c r="H230" s="160"/>
      <c r="I230" s="159"/>
      <c r="J230" s="160"/>
      <c r="K230" s="142" t="s">
        <v>1406</v>
      </c>
      <c r="L230" s="149" t="s">
        <v>1406</v>
      </c>
      <c r="M230" s="150" t="s">
        <v>1406</v>
      </c>
      <c r="N230" s="151" t="s">
        <v>1406</v>
      </c>
      <c r="O230" s="151" t="s">
        <v>1406</v>
      </c>
      <c r="P230" s="152" t="s">
        <v>1406</v>
      </c>
      <c r="Q230" s="153"/>
      <c r="R230" s="154"/>
      <c r="S230" s="38">
        <f t="shared" si="33"/>
        <v>0</v>
      </c>
      <c r="T230" s="39">
        <f t="shared" si="34"/>
        <v>0</v>
      </c>
      <c r="U230" s="40">
        <f t="shared" si="35"/>
        <v>0</v>
      </c>
      <c r="V230" s="40">
        <f t="shared" si="36"/>
        <v>0</v>
      </c>
      <c r="W230" s="40">
        <f t="shared" si="37"/>
        <v>0</v>
      </c>
      <c r="X230" s="40">
        <f t="shared" si="38"/>
        <v>0</v>
      </c>
      <c r="Y230" s="40">
        <f t="shared" si="39"/>
        <v>0</v>
      </c>
      <c r="Z230" s="40">
        <f t="shared" si="40"/>
        <v>0</v>
      </c>
      <c r="AA230" s="40">
        <f t="shared" si="41"/>
        <v>0</v>
      </c>
      <c r="AB230" s="40">
        <f t="shared" si="42"/>
        <v>0</v>
      </c>
      <c r="AC230" s="41">
        <f t="shared" si="43"/>
        <v>0</v>
      </c>
    </row>
    <row r="231" spans="1:29" x14ac:dyDescent="0.25">
      <c r="A231" s="157"/>
      <c r="B231" s="158"/>
      <c r="C231" s="159"/>
      <c r="D231" s="157"/>
      <c r="E231" s="160"/>
      <c r="F231" s="160"/>
      <c r="G231" s="160"/>
      <c r="H231" s="160"/>
      <c r="I231" s="159"/>
      <c r="J231" s="160"/>
      <c r="K231" s="142" t="s">
        <v>1406</v>
      </c>
      <c r="L231" s="149" t="s">
        <v>1406</v>
      </c>
      <c r="M231" s="150" t="s">
        <v>1406</v>
      </c>
      <c r="N231" s="151" t="s">
        <v>1406</v>
      </c>
      <c r="O231" s="151" t="s">
        <v>1406</v>
      </c>
      <c r="P231" s="152" t="s">
        <v>1406</v>
      </c>
      <c r="Q231" s="153"/>
      <c r="R231" s="154"/>
      <c r="S231" s="38">
        <f t="shared" si="33"/>
        <v>0</v>
      </c>
      <c r="T231" s="39">
        <f t="shared" si="34"/>
        <v>0</v>
      </c>
      <c r="U231" s="40">
        <f t="shared" si="35"/>
        <v>0</v>
      </c>
      <c r="V231" s="40">
        <f t="shared" si="36"/>
        <v>0</v>
      </c>
      <c r="W231" s="40">
        <f t="shared" si="37"/>
        <v>0</v>
      </c>
      <c r="X231" s="40">
        <f t="shared" si="38"/>
        <v>0</v>
      </c>
      <c r="Y231" s="40">
        <f t="shared" si="39"/>
        <v>0</v>
      </c>
      <c r="Z231" s="40">
        <f t="shared" si="40"/>
        <v>0</v>
      </c>
      <c r="AA231" s="40">
        <f t="shared" si="41"/>
        <v>0</v>
      </c>
      <c r="AB231" s="40">
        <f t="shared" si="42"/>
        <v>0</v>
      </c>
      <c r="AC231" s="41">
        <f t="shared" si="43"/>
        <v>0</v>
      </c>
    </row>
  </sheetData>
  <autoFilter ref="A1:BI231" xr:uid="{00000000-0009-0000-0000-000002000000}"/>
  <conditionalFormatting sqref="O2:O212">
    <cfRule type="top10" dxfId="247" priority="83" stopIfTrue="1" percent="1" rank="10"/>
  </conditionalFormatting>
  <conditionalFormatting sqref="P2:P212">
    <cfRule type="top10" dxfId="246" priority="82" stopIfTrue="1" percent="1" rank="10"/>
  </conditionalFormatting>
  <conditionalFormatting sqref="N1:N212 N232:N1048576">
    <cfRule type="top10" dxfId="245" priority="81" percent="1" rank="10"/>
  </conditionalFormatting>
  <conditionalFormatting sqref="L2:L212">
    <cfRule type="cellIs" dxfId="244" priority="77" stopIfTrue="1" operator="equal">
      <formula>"B"</formula>
    </cfRule>
    <cfRule type="cellIs" dxfId="243" priority="78" stopIfTrue="1" operator="equal">
      <formula>"S"</formula>
    </cfRule>
    <cfRule type="cellIs" dxfId="242" priority="79" stopIfTrue="1" operator="equal">
      <formula>"G"</formula>
    </cfRule>
    <cfRule type="cellIs" dxfId="241" priority="80" stopIfTrue="1" operator="equal">
      <formula>"M"</formula>
    </cfRule>
  </conditionalFormatting>
  <conditionalFormatting sqref="Q1:Q212 Q232:Q1048576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12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52">
    <cfRule type="top10" dxfId="240" priority="68" percent="1" rank="10"/>
  </conditionalFormatting>
  <conditionalFormatting sqref="U2:U252">
    <cfRule type="top10" dxfId="239" priority="67" rank="10"/>
  </conditionalFormatting>
  <conditionalFormatting sqref="O213:O231">
    <cfRule type="top10" dxfId="238" priority="62" stopIfTrue="1" percent="1" rank="10"/>
  </conditionalFormatting>
  <conditionalFormatting sqref="P213:P231">
    <cfRule type="top10" dxfId="237" priority="61" stopIfTrue="1" percent="1" rank="10"/>
  </conditionalFormatting>
  <conditionalFormatting sqref="N213:N231">
    <cfRule type="top10" dxfId="236" priority="60" percent="1" rank="10"/>
  </conditionalFormatting>
  <conditionalFormatting sqref="L213:L231">
    <cfRule type="cellIs" dxfId="235" priority="56" stopIfTrue="1" operator="equal">
      <formula>"B"</formula>
    </cfRule>
    <cfRule type="cellIs" dxfId="234" priority="57" stopIfTrue="1" operator="equal">
      <formula>"S"</formula>
    </cfRule>
    <cfRule type="cellIs" dxfId="233" priority="58" stopIfTrue="1" operator="equal">
      <formula>"G"</formula>
    </cfRule>
    <cfRule type="cellIs" dxfId="232" priority="59" stopIfTrue="1" operator="equal">
      <formula>"M"</formula>
    </cfRule>
  </conditionalFormatting>
  <conditionalFormatting sqref="Q213:Q23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3:R23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2:AC252 V2:W231 Y2:AA231">
    <cfRule type="top10" dxfId="231" priority="88" rank="10"/>
  </conditionalFormatting>
  <conditionalFormatting sqref="X2:X231">
    <cfRule type="top10" dxfId="230" priority="51" rank="10"/>
  </conditionalFormatting>
  <conditionalFormatting sqref="AB2:AC231">
    <cfRule type="top10" dxfId="229" priority="50" rank="10"/>
  </conditionalFormatting>
  <conditionalFormatting sqref="BJ1:XFD1048576 A1:AB1 A2:AC1048576">
    <cfRule type="containsText" dxfId="224" priority="10" operator="containsText" text="Serious Concern still">
      <formula>NOT(ISERROR(SEARCH("Serious Concern still",A1)))</formula>
    </cfRule>
    <cfRule type="containsText" dxfId="223" priority="11" operator="containsText" text="N2Improve still">
      <formula>NOT(ISERROR(SEARCH("N2Improve still",A1)))</formula>
    </cfRule>
  </conditionalFormatting>
  <conditionalFormatting sqref="AD2:AD1048576 AF2:AF1048576 AH2:AH1048576 AJ2:AJ1048576 AL2:AL1048576 AN2:AN1048576 AP2:AP1048576 AR2:AR1048576 AT2:AT1048576 AV2:AV1048576 AX2:AX1048576 AZ2:AZ1048576 BB2:BB1048576 BD2:BD1048576 BF2:BF1048576 BH2:BH1048576">
    <cfRule type="containsText" dxfId="93" priority="8" operator="containsText" text="Serious">
      <formula>NOT(ISERROR(SEARCH("Serious",AD2)))</formula>
    </cfRule>
    <cfRule type="containsText" dxfId="92" priority="9" operator="containsText" text="2">
      <formula>NOT(ISERROR(SEARCH("2",AD2)))</formula>
    </cfRule>
  </conditionalFormatting>
  <conditionalFormatting sqref="AD1:BI1048576">
    <cfRule type="containsText" dxfId="89" priority="3" operator="containsText" text="fixed">
      <formula>NOT(ISERROR(SEARCH("fixed",AD1)))</formula>
    </cfRule>
    <cfRule type="cellIs" dxfId="91" priority="6" operator="equal">
      <formula>"Serious Concern still"</formula>
    </cfRule>
    <cfRule type="cellIs" dxfId="90" priority="7" operator="equal">
      <formula>"N2Improve still"</formula>
    </cfRule>
  </conditionalFormatting>
  <conditionalFormatting sqref="AD1:BI1048576">
    <cfRule type="containsText" dxfId="88" priority="4" operator="containsText" text="Serious Concern still">
      <formula>NOT(ISERROR(SEARCH("Serious Concern still",AD1)))</formula>
    </cfRule>
    <cfRule type="containsText" dxfId="87" priority="5" operator="containsText" text="N2Improve still">
      <formula>NOT(ISERROR(SEARCH("N2Improve still",AD1)))</formula>
    </cfRule>
  </conditionalFormatting>
  <conditionalFormatting sqref="AC1">
    <cfRule type="cellIs" dxfId="51" priority="1" operator="equal">
      <formula>"Serious Concern still"</formula>
    </cfRule>
    <cfRule type="cellIs" dxfId="50" priority="2" operator="equal">
      <formula>"N2Improve still"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E88135-B11B-4189-935C-C4FEA7985C98}">
          <x14:formula1>
            <xm:f>Lookups!$A$1:$A$8</xm:f>
          </x14:formula1>
          <xm:sqref>AD1:AD1048576 AF1:AF1048576 AH1:AH1048576 AJ1:AJ1048576 AL1:AL1048576 AN1:AN1048576 AP1:AP1048576 AR1:AR1048576 AT1:AT1048576 AV1:AV1048576 AX1:AX1048576 AZ1:AZ1048576 BB1:BB1048576 BD1:BD1048576 BF1:BF1048576 BH1:BH1048576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347AF-A053-4829-9DC3-75DF800C3769}">
  <sheetPr codeName="Sheet5"/>
  <dimension ref="A1:BY231"/>
  <sheetViews>
    <sheetView zoomScale="70" zoomScaleNormal="70" workbookViewId="0">
      <pane xSplit="29" ySplit="1" topLeftCell="AS2" activePane="bottomRight" state="frozen"/>
      <selection activeCell="B27" sqref="B27"/>
      <selection pane="topRight" activeCell="B27" sqref="B27"/>
      <selection pane="bottomLeft" activeCell="B27" sqref="B27"/>
      <selection pane="bottomRight" activeCell="AC2" sqref="AC2"/>
    </sheetView>
  </sheetViews>
  <sheetFormatPr defaultRowHeight="15" x14ac:dyDescent="0.25"/>
  <cols>
    <col min="1" max="1" width="10.7109375" style="100" customWidth="1"/>
    <col min="2" max="2" width="25.42578125" customWidth="1"/>
    <col min="3" max="3" width="7" bestFit="1" customWidth="1"/>
    <col min="4" max="4" width="5.28515625" style="55" hidden="1" customWidth="1"/>
    <col min="5" max="5" width="5.42578125" style="55" hidden="1" customWidth="1"/>
    <col min="6" max="6" width="26" hidden="1" customWidth="1"/>
    <col min="7" max="8" width="5.42578125" style="95" hidden="1" customWidth="1"/>
    <col min="9" max="9" width="5.140625" style="95" hidden="1" customWidth="1"/>
    <col min="10" max="10" width="5.7109375" style="55" hidden="1" customWidth="1"/>
    <col min="11" max="11" width="5.140625" style="161" hidden="1" customWidth="1"/>
    <col min="12" max="12" width="9.140625" hidden="1" customWidth="1"/>
    <col min="13" max="13" width="7" style="57" hidden="1" customWidth="1"/>
    <col min="14" max="16" width="7" hidden="1" customWidth="1"/>
    <col min="17" max="17" width="8" style="55" hidden="1" customWidth="1"/>
    <col min="18" max="18" width="5" style="55" hidden="1" customWidth="1"/>
    <col min="19" max="28" width="7" hidden="1" customWidth="1"/>
    <col min="29" max="29" width="7" customWidth="1"/>
    <col min="30" max="30" width="13.28515625" style="59" customWidth="1"/>
    <col min="31" max="31" width="6.42578125" style="58" customWidth="1"/>
    <col min="32" max="32" width="13.28515625" style="59" customWidth="1"/>
    <col min="33" max="33" width="6.42578125" style="58" customWidth="1"/>
    <col min="34" max="34" width="13.28515625" style="59" customWidth="1"/>
    <col min="35" max="35" width="6.42578125" style="58" customWidth="1"/>
    <col min="36" max="36" width="13.28515625" style="59" customWidth="1"/>
    <col min="37" max="37" width="6.42578125" style="58" customWidth="1"/>
    <col min="38" max="38" width="13.28515625" style="59" customWidth="1"/>
    <col min="39" max="39" width="6.42578125" style="58" customWidth="1"/>
    <col min="40" max="40" width="13.28515625" style="59" customWidth="1"/>
    <col min="41" max="41" width="6.42578125" style="58" customWidth="1"/>
    <col min="42" max="42" width="13.28515625" style="59" customWidth="1"/>
    <col min="43" max="43" width="6.42578125" style="58" customWidth="1"/>
    <col min="44" max="44" width="13.28515625" style="59" customWidth="1"/>
    <col min="45" max="45" width="6.42578125" style="58" customWidth="1"/>
    <col min="46" max="46" width="13.28515625" style="59" customWidth="1"/>
    <col min="47" max="47" width="6.42578125" style="58" customWidth="1"/>
    <col min="48" max="48" width="13.28515625" style="59" customWidth="1"/>
    <col min="49" max="49" width="6.42578125" style="58" customWidth="1"/>
    <col min="50" max="50" width="13.28515625" style="59" customWidth="1"/>
    <col min="51" max="51" width="6.42578125" style="58" customWidth="1"/>
    <col min="52" max="52" width="13.28515625" style="59" customWidth="1"/>
    <col min="53" max="53" width="6.42578125" style="58" customWidth="1"/>
    <col min="54" max="54" width="13.28515625" style="59" customWidth="1"/>
    <col min="55" max="55" width="6.42578125" style="58" customWidth="1"/>
    <col min="56" max="56" width="13.28515625" style="59" customWidth="1"/>
    <col min="57" max="57" width="6.42578125" style="58" customWidth="1"/>
    <col min="58" max="58" width="13.28515625" style="59" customWidth="1"/>
    <col min="59" max="59" width="6.42578125" style="58" customWidth="1"/>
    <col min="60" max="60" width="13.28515625" style="59" customWidth="1"/>
    <col min="61" max="61" width="6.42578125" style="58" customWidth="1"/>
    <col min="62" max="62" width="13.28515625" style="59" customWidth="1"/>
    <col min="63" max="63" width="6.42578125" style="58" customWidth="1"/>
    <col min="64" max="64" width="13.28515625" style="59" customWidth="1"/>
    <col min="65" max="65" width="6.42578125" style="58" customWidth="1"/>
    <col min="66" max="66" width="13.28515625" style="59" customWidth="1"/>
    <col min="67" max="67" width="6.42578125" style="58" customWidth="1"/>
    <col min="68" max="68" width="13.28515625" style="59" customWidth="1"/>
    <col min="69" max="69" width="6.42578125" style="58" customWidth="1"/>
    <col min="70" max="70" width="13.28515625" style="59" customWidth="1"/>
    <col min="71" max="71" width="6.42578125" style="58" customWidth="1"/>
    <col min="72" max="72" width="13.28515625" style="59" customWidth="1"/>
    <col min="73" max="73" width="6.42578125" style="58" customWidth="1"/>
    <col min="74" max="74" width="13.28515625" style="59" customWidth="1"/>
    <col min="75" max="75" width="6.42578125" style="58" customWidth="1"/>
    <col min="76" max="76" width="13.28515625" style="59" customWidth="1"/>
    <col min="77" max="77" width="6.42578125" style="58" customWidth="1"/>
    <col min="78" max="78" width="4.5703125" bestFit="1" customWidth="1"/>
    <col min="79" max="79" width="10.42578125" bestFit="1" customWidth="1"/>
    <col min="80" max="80" width="6.5703125" bestFit="1" customWidth="1"/>
    <col min="81" max="81" width="12.42578125" bestFit="1" customWidth="1"/>
  </cols>
  <sheetData>
    <row r="1" spans="1:77" s="141" customFormat="1" ht="145.5" customHeight="1" thickBot="1" x14ac:dyDescent="0.3">
      <c r="A1" s="127" t="s">
        <v>2</v>
      </c>
      <c r="B1" s="128" t="s">
        <v>3</v>
      </c>
      <c r="C1" s="129" t="s">
        <v>15</v>
      </c>
      <c r="D1" s="130" t="s">
        <v>16</v>
      </c>
      <c r="E1" s="128" t="s">
        <v>690</v>
      </c>
      <c r="F1" s="131" t="s">
        <v>18</v>
      </c>
      <c r="G1" s="131" t="s">
        <v>19</v>
      </c>
      <c r="H1" s="131" t="s">
        <v>20</v>
      </c>
      <c r="I1" s="132" t="s">
        <v>21</v>
      </c>
      <c r="J1" s="131" t="s">
        <v>0</v>
      </c>
      <c r="K1" s="133" t="s">
        <v>691</v>
      </c>
      <c r="L1" s="134" t="s">
        <v>23</v>
      </c>
      <c r="M1" s="135" t="s">
        <v>24</v>
      </c>
      <c r="N1" s="136" t="s">
        <v>25</v>
      </c>
      <c r="O1" s="137" t="s">
        <v>26</v>
      </c>
      <c r="P1" s="138" t="s">
        <v>27</v>
      </c>
      <c r="Q1" s="139" t="s">
        <v>28</v>
      </c>
      <c r="R1" s="140" t="s">
        <v>29</v>
      </c>
      <c r="S1" s="70" t="s">
        <v>1</v>
      </c>
      <c r="T1" s="71" t="s">
        <v>5</v>
      </c>
      <c r="U1" s="72" t="s">
        <v>30</v>
      </c>
      <c r="V1" s="72" t="s">
        <v>31</v>
      </c>
      <c r="W1" s="72" t="s">
        <v>32</v>
      </c>
      <c r="X1" s="73" t="s">
        <v>33</v>
      </c>
      <c r="Y1" s="74" t="s">
        <v>34</v>
      </c>
      <c r="Z1" s="75" t="s">
        <v>35</v>
      </c>
      <c r="AA1" s="75" t="s">
        <v>36</v>
      </c>
      <c r="AB1" s="75" t="s">
        <v>37</v>
      </c>
      <c r="AC1" s="162" t="s">
        <v>1854</v>
      </c>
      <c r="AD1" s="20" t="s">
        <v>38</v>
      </c>
      <c r="AE1" s="21" t="s">
        <v>39</v>
      </c>
      <c r="AF1" s="20" t="s">
        <v>384</v>
      </c>
      <c r="AG1" s="21" t="s">
        <v>385</v>
      </c>
      <c r="AH1" s="20" t="s">
        <v>386</v>
      </c>
      <c r="AI1" s="21" t="s">
        <v>387</v>
      </c>
      <c r="AJ1" s="20" t="s">
        <v>388</v>
      </c>
      <c r="AK1" s="21" t="s">
        <v>389</v>
      </c>
      <c r="AL1" s="20" t="s">
        <v>1174</v>
      </c>
      <c r="AM1" s="21" t="s">
        <v>1175</v>
      </c>
      <c r="AN1" s="20" t="s">
        <v>40</v>
      </c>
      <c r="AO1" s="21" t="s">
        <v>41</v>
      </c>
      <c r="AP1" s="20" t="s">
        <v>42</v>
      </c>
      <c r="AQ1" s="21" t="s">
        <v>43</v>
      </c>
      <c r="AR1" s="20" t="s">
        <v>44</v>
      </c>
      <c r="AS1" s="21" t="s">
        <v>45</v>
      </c>
      <c r="AT1" s="20" t="s">
        <v>699</v>
      </c>
      <c r="AU1" s="21" t="s">
        <v>700</v>
      </c>
      <c r="AV1" s="20" t="s">
        <v>46</v>
      </c>
      <c r="AW1" s="21" t="s">
        <v>47</v>
      </c>
      <c r="AX1" s="20" t="s">
        <v>48</v>
      </c>
      <c r="AY1" s="21" t="s">
        <v>49</v>
      </c>
      <c r="AZ1" s="20" t="s">
        <v>50</v>
      </c>
      <c r="BA1" s="21" t="s">
        <v>51</v>
      </c>
      <c r="BB1" s="20" t="s">
        <v>403</v>
      </c>
      <c r="BC1" s="21" t="s">
        <v>404</v>
      </c>
      <c r="BD1" s="20" t="s">
        <v>52</v>
      </c>
      <c r="BE1" s="21" t="s">
        <v>53</v>
      </c>
      <c r="BF1" s="20" t="s">
        <v>941</v>
      </c>
      <c r="BG1" s="21" t="s">
        <v>942</v>
      </c>
      <c r="BH1" s="20" t="s">
        <v>1176</v>
      </c>
      <c r="BI1" s="21" t="s">
        <v>1177</v>
      </c>
      <c r="BJ1" s="20" t="s">
        <v>56</v>
      </c>
      <c r="BK1" s="21" t="s">
        <v>57</v>
      </c>
      <c r="BL1" s="20" t="s">
        <v>703</v>
      </c>
      <c r="BM1" s="21" t="s">
        <v>704</v>
      </c>
      <c r="BN1" s="20" t="s">
        <v>60</v>
      </c>
      <c r="BO1" s="21" t="s">
        <v>61</v>
      </c>
      <c r="BP1" s="20" t="s">
        <v>1178</v>
      </c>
      <c r="BQ1" s="21" t="s">
        <v>1179</v>
      </c>
      <c r="BR1" s="20" t="s">
        <v>409</v>
      </c>
      <c r="BS1" s="21" t="s">
        <v>410</v>
      </c>
      <c r="BT1" s="20" t="s">
        <v>62</v>
      </c>
      <c r="BU1" s="21" t="s">
        <v>63</v>
      </c>
      <c r="BV1" s="20" t="s">
        <v>64</v>
      </c>
      <c r="BW1" s="21" t="s">
        <v>65</v>
      </c>
      <c r="BX1" s="20" t="s">
        <v>66</v>
      </c>
      <c r="BY1" s="21" t="s">
        <v>67</v>
      </c>
    </row>
    <row r="2" spans="1:77" x14ac:dyDescent="0.25">
      <c r="A2" s="76">
        <v>152657</v>
      </c>
      <c r="B2" s="77" t="s">
        <v>1180</v>
      </c>
      <c r="C2" s="78" t="s">
        <v>1181</v>
      </c>
      <c r="D2" s="76" t="s">
        <v>12</v>
      </c>
      <c r="E2" s="79" t="s">
        <v>14</v>
      </c>
      <c r="F2" s="79" t="s">
        <v>88</v>
      </c>
      <c r="G2" s="79" t="s">
        <v>14</v>
      </c>
      <c r="H2" s="79" t="s">
        <v>14</v>
      </c>
      <c r="I2" s="78" t="s">
        <v>14</v>
      </c>
      <c r="J2" s="79" t="s">
        <v>14</v>
      </c>
      <c r="K2" s="142" t="s">
        <v>1850</v>
      </c>
      <c r="L2" s="143" t="s">
        <v>1848</v>
      </c>
      <c r="M2" s="144" t="s">
        <v>12</v>
      </c>
      <c r="N2" s="145">
        <v>49</v>
      </c>
      <c r="O2" s="145">
        <v>1</v>
      </c>
      <c r="P2" s="146">
        <v>0</v>
      </c>
      <c r="Q2" s="147">
        <v>97.83</v>
      </c>
      <c r="R2" s="148">
        <v>4</v>
      </c>
      <c r="S2" s="38">
        <f t="shared" ref="S2:S65" si="0">COUNTIF($AD2:$BY2,"Outstanding")</f>
        <v>2</v>
      </c>
      <c r="T2" s="39">
        <f t="shared" ref="T2:T65" si="1">COUNTIF($AD2:$BY2,"Good")</f>
        <v>8</v>
      </c>
      <c r="U2" s="40">
        <f t="shared" ref="U2:U65" si="2">COUNTIF($AD2:$BY2,"N2Improve - Engagement")</f>
        <v>0</v>
      </c>
      <c r="V2" s="40">
        <f t="shared" ref="V2:V65" si="3">COUNTIF($AD2:$BY2,"N2Improve - Community Conduct")</f>
        <v>0</v>
      </c>
      <c r="W2" s="40">
        <f t="shared" ref="W2:W65" si="4">COUNTIF($AD2:$BY2,"N2Improve - Personal Org.")</f>
        <v>0</v>
      </c>
      <c r="X2" s="40">
        <f t="shared" ref="X2:X65" si="5">SUM(U2:W2)</f>
        <v>0</v>
      </c>
      <c r="Y2" s="40">
        <f t="shared" ref="Y2:Y65" si="6">COUNTIF($AD2:$BY2,"Serious Conc - Engagement")</f>
        <v>0</v>
      </c>
      <c r="Z2" s="40">
        <f t="shared" ref="Z2:Z65" si="7">COUNTIF($AD2:$BY2,"Serious Conc - Comm. Concern")</f>
        <v>0</v>
      </c>
      <c r="AA2" s="40">
        <f t="shared" ref="AA2:AA65" si="8">COUNTIF($AD2:$BY2,"Serious Conc - Personal Org.")</f>
        <v>0</v>
      </c>
      <c r="AB2" s="40">
        <f t="shared" ref="AB2" si="9">SUM(Y2:AA2)</f>
        <v>0</v>
      </c>
      <c r="AC2" s="41">
        <f>COUNTIF(AD2:BY2,"*still*")</f>
        <v>0</v>
      </c>
      <c r="AD2" s="42"/>
      <c r="AE2" s="43"/>
      <c r="AF2" s="42"/>
      <c r="AG2" s="43"/>
      <c r="AH2" s="42" t="s">
        <v>5</v>
      </c>
      <c r="AI2" s="43" t="s">
        <v>78</v>
      </c>
      <c r="AJ2" s="42"/>
      <c r="AK2" s="43"/>
      <c r="AL2" s="42"/>
      <c r="AM2" s="43"/>
      <c r="AN2" s="42"/>
      <c r="AO2" s="43"/>
      <c r="AP2" s="42"/>
      <c r="AQ2" s="43"/>
      <c r="AR2" s="42" t="s">
        <v>5</v>
      </c>
      <c r="AS2" s="43" t="s">
        <v>142</v>
      </c>
      <c r="AT2" s="42" t="s">
        <v>5</v>
      </c>
      <c r="AU2" s="43" t="s">
        <v>135</v>
      </c>
      <c r="AV2" s="42" t="s">
        <v>1</v>
      </c>
      <c r="AW2" s="43" t="s">
        <v>104</v>
      </c>
      <c r="AX2" s="42" t="s">
        <v>5</v>
      </c>
      <c r="AY2" s="43" t="s">
        <v>84</v>
      </c>
      <c r="AZ2" s="42"/>
      <c r="BA2" s="43"/>
      <c r="BB2" s="42"/>
      <c r="BC2" s="43"/>
      <c r="BD2" s="42"/>
      <c r="BE2" s="43"/>
      <c r="BF2" s="42"/>
      <c r="BG2" s="43"/>
      <c r="BH2" s="42" t="s">
        <v>5</v>
      </c>
      <c r="BI2" s="43" t="s">
        <v>78</v>
      </c>
      <c r="BJ2" s="42" t="s">
        <v>5</v>
      </c>
      <c r="BK2" s="43" t="s">
        <v>711</v>
      </c>
      <c r="BL2" s="42"/>
      <c r="BM2" s="43"/>
      <c r="BN2" s="42" t="s">
        <v>5</v>
      </c>
      <c r="BO2" s="43" t="s">
        <v>741</v>
      </c>
      <c r="BP2" s="42"/>
      <c r="BQ2" s="43"/>
      <c r="BR2" s="42"/>
      <c r="BS2" s="43"/>
      <c r="BT2" s="42" t="s">
        <v>5</v>
      </c>
      <c r="BU2" s="43" t="s">
        <v>122</v>
      </c>
      <c r="BV2" s="42" t="s">
        <v>1</v>
      </c>
      <c r="BW2" s="43" t="s">
        <v>109</v>
      </c>
      <c r="BX2" s="42"/>
      <c r="BY2" s="43"/>
    </row>
    <row r="3" spans="1:77" x14ac:dyDescent="0.25">
      <c r="A3" s="76">
        <v>152603</v>
      </c>
      <c r="B3" s="77" t="s">
        <v>1182</v>
      </c>
      <c r="C3" s="78" t="s">
        <v>1183</v>
      </c>
      <c r="D3" s="76" t="s">
        <v>12</v>
      </c>
      <c r="E3" s="79" t="s">
        <v>87</v>
      </c>
      <c r="F3" s="79" t="s">
        <v>88</v>
      </c>
      <c r="G3" s="79" t="s">
        <v>14</v>
      </c>
      <c r="H3" s="79" t="s">
        <v>87</v>
      </c>
      <c r="I3" s="78" t="s">
        <v>14</v>
      </c>
      <c r="J3" s="79" t="s">
        <v>14</v>
      </c>
      <c r="K3" s="142" t="s">
        <v>1850</v>
      </c>
      <c r="L3" s="149" t="s">
        <v>1848</v>
      </c>
      <c r="M3" s="150" t="s">
        <v>1852</v>
      </c>
      <c r="N3" s="151">
        <v>12</v>
      </c>
      <c r="O3" s="151">
        <v>15</v>
      </c>
      <c r="P3" s="152">
        <v>0</v>
      </c>
      <c r="Q3" s="153">
        <v>100</v>
      </c>
      <c r="R3" s="154">
        <v>10</v>
      </c>
      <c r="S3" s="38">
        <f t="shared" si="0"/>
        <v>0</v>
      </c>
      <c r="T3" s="39">
        <f t="shared" si="1"/>
        <v>3</v>
      </c>
      <c r="U3" s="40">
        <f t="shared" si="2"/>
        <v>6</v>
      </c>
      <c r="V3" s="40">
        <f t="shared" si="3"/>
        <v>2</v>
      </c>
      <c r="W3" s="40">
        <f t="shared" si="4"/>
        <v>0</v>
      </c>
      <c r="X3" s="40">
        <f t="shared" si="5"/>
        <v>8</v>
      </c>
      <c r="Y3" s="40">
        <f t="shared" si="6"/>
        <v>0</v>
      </c>
      <c r="Z3" s="40">
        <f t="shared" si="7"/>
        <v>0</v>
      </c>
      <c r="AA3" s="40">
        <f t="shared" si="8"/>
        <v>0</v>
      </c>
      <c r="AB3" s="40">
        <f t="shared" ref="AB3:AB66" si="10">SUM(Y3:AA3)</f>
        <v>0</v>
      </c>
      <c r="AC3" s="41">
        <f t="shared" ref="AC3:AC66" si="11">COUNTIF(AD3:BY3,"*still*")</f>
        <v>0</v>
      </c>
      <c r="AD3" s="49"/>
      <c r="AE3" s="50"/>
      <c r="AF3" s="49" t="s">
        <v>30</v>
      </c>
      <c r="AG3" s="50" t="s">
        <v>164</v>
      </c>
      <c r="AH3" s="49" t="s">
        <v>5</v>
      </c>
      <c r="AI3" s="50" t="s">
        <v>78</v>
      </c>
      <c r="AJ3" s="49" t="s">
        <v>31</v>
      </c>
      <c r="AK3" s="50" t="s">
        <v>419</v>
      </c>
      <c r="AL3" s="49"/>
      <c r="AM3" s="50"/>
      <c r="AN3" s="49"/>
      <c r="AO3" s="50"/>
      <c r="AP3" s="49"/>
      <c r="AQ3" s="50"/>
      <c r="AR3" s="49" t="s">
        <v>30</v>
      </c>
      <c r="AS3" s="50" t="s">
        <v>169</v>
      </c>
      <c r="AT3" s="49"/>
      <c r="AU3" s="50"/>
      <c r="AV3" s="49" t="s">
        <v>30</v>
      </c>
      <c r="AW3" s="50" t="s">
        <v>436</v>
      </c>
      <c r="AX3" s="49"/>
      <c r="AY3" s="50"/>
      <c r="AZ3" s="49"/>
      <c r="BA3" s="50"/>
      <c r="BB3" s="49"/>
      <c r="BC3" s="50"/>
      <c r="BD3" s="49"/>
      <c r="BE3" s="50"/>
      <c r="BF3" s="49"/>
      <c r="BG3" s="50"/>
      <c r="BH3" s="49" t="s">
        <v>5</v>
      </c>
      <c r="BI3" s="50" t="s">
        <v>1184</v>
      </c>
      <c r="BJ3" s="49" t="s">
        <v>31</v>
      </c>
      <c r="BK3" s="50" t="s">
        <v>112</v>
      </c>
      <c r="BL3" s="49"/>
      <c r="BM3" s="50"/>
      <c r="BN3" s="49" t="s">
        <v>5</v>
      </c>
      <c r="BO3" s="50" t="s">
        <v>107</v>
      </c>
      <c r="BP3" s="49"/>
      <c r="BQ3" s="50"/>
      <c r="BR3" s="49" t="s">
        <v>30</v>
      </c>
      <c r="BS3" s="50" t="s">
        <v>170</v>
      </c>
      <c r="BT3" s="49" t="s">
        <v>30</v>
      </c>
      <c r="BU3" s="50" t="s">
        <v>457</v>
      </c>
      <c r="BV3" s="49"/>
      <c r="BW3" s="50"/>
      <c r="BX3" s="49" t="s">
        <v>30</v>
      </c>
      <c r="BY3" s="50" t="s">
        <v>103</v>
      </c>
    </row>
    <row r="4" spans="1:77" x14ac:dyDescent="0.25">
      <c r="A4" s="76">
        <v>152659</v>
      </c>
      <c r="B4" s="77" t="s">
        <v>1185</v>
      </c>
      <c r="C4" s="78" t="s">
        <v>1186</v>
      </c>
      <c r="D4" s="76" t="s">
        <v>12</v>
      </c>
      <c r="E4" s="79" t="s">
        <v>14</v>
      </c>
      <c r="F4" s="79" t="s">
        <v>71</v>
      </c>
      <c r="G4" s="79" t="s">
        <v>14</v>
      </c>
      <c r="H4" s="79" t="s">
        <v>14</v>
      </c>
      <c r="I4" s="78" t="s">
        <v>14</v>
      </c>
      <c r="J4" s="79" t="s">
        <v>14</v>
      </c>
      <c r="K4" s="142" t="s">
        <v>1850</v>
      </c>
      <c r="L4" s="149" t="s">
        <v>1842</v>
      </c>
      <c r="M4" s="150" t="s">
        <v>12</v>
      </c>
      <c r="N4" s="151">
        <v>21</v>
      </c>
      <c r="O4" s="151">
        <v>0</v>
      </c>
      <c r="P4" s="152">
        <v>1</v>
      </c>
      <c r="Q4" s="153">
        <v>95.65</v>
      </c>
      <c r="R4" s="154">
        <v>0</v>
      </c>
      <c r="S4" s="38">
        <f t="shared" si="0"/>
        <v>2</v>
      </c>
      <c r="T4" s="39">
        <f t="shared" si="1"/>
        <v>8</v>
      </c>
      <c r="U4" s="40">
        <f t="shared" si="2"/>
        <v>0</v>
      </c>
      <c r="V4" s="40">
        <f t="shared" si="3"/>
        <v>0</v>
      </c>
      <c r="W4" s="40">
        <f t="shared" si="4"/>
        <v>0</v>
      </c>
      <c r="X4" s="40">
        <f t="shared" si="5"/>
        <v>0</v>
      </c>
      <c r="Y4" s="40">
        <f t="shared" si="6"/>
        <v>0</v>
      </c>
      <c r="Z4" s="40">
        <f t="shared" si="7"/>
        <v>0</v>
      </c>
      <c r="AA4" s="40">
        <f t="shared" si="8"/>
        <v>0</v>
      </c>
      <c r="AB4" s="40">
        <f t="shared" si="10"/>
        <v>0</v>
      </c>
      <c r="AC4" s="41">
        <f t="shared" si="11"/>
        <v>0</v>
      </c>
      <c r="AD4" s="49" t="s">
        <v>5</v>
      </c>
      <c r="AE4" s="50" t="s">
        <v>72</v>
      </c>
      <c r="AF4" s="49"/>
      <c r="AG4" s="50"/>
      <c r="AH4" s="49"/>
      <c r="AI4" s="50"/>
      <c r="AJ4" s="49"/>
      <c r="AK4" s="50"/>
      <c r="AL4" s="49"/>
      <c r="AM4" s="50"/>
      <c r="AN4" s="49"/>
      <c r="AO4" s="50"/>
      <c r="AP4" s="49" t="s">
        <v>5</v>
      </c>
      <c r="AQ4" s="50" t="s">
        <v>142</v>
      </c>
      <c r="AR4" s="49" t="s">
        <v>5</v>
      </c>
      <c r="AS4" s="50" t="s">
        <v>448</v>
      </c>
      <c r="AT4" s="49"/>
      <c r="AU4" s="50"/>
      <c r="AV4" s="49" t="s">
        <v>5</v>
      </c>
      <c r="AW4" s="50" t="s">
        <v>83</v>
      </c>
      <c r="AX4" s="49"/>
      <c r="AY4" s="50"/>
      <c r="AZ4" s="49"/>
      <c r="BA4" s="50"/>
      <c r="BB4" s="49"/>
      <c r="BC4" s="50"/>
      <c r="BD4" s="49"/>
      <c r="BE4" s="50"/>
      <c r="BF4" s="49"/>
      <c r="BG4" s="50"/>
      <c r="BH4" s="49" t="s">
        <v>5</v>
      </c>
      <c r="BI4" s="50" t="s">
        <v>105</v>
      </c>
      <c r="BJ4" s="49" t="s">
        <v>1</v>
      </c>
      <c r="BK4" s="50" t="s">
        <v>94</v>
      </c>
      <c r="BL4" s="49"/>
      <c r="BM4" s="50"/>
      <c r="BN4" s="49" t="s">
        <v>5</v>
      </c>
      <c r="BO4" s="50" t="s">
        <v>96</v>
      </c>
      <c r="BP4" s="49"/>
      <c r="BQ4" s="50"/>
      <c r="BR4" s="49"/>
      <c r="BS4" s="50"/>
      <c r="BT4" s="49" t="s">
        <v>1</v>
      </c>
      <c r="BU4" s="50" t="s">
        <v>457</v>
      </c>
      <c r="BV4" s="49" t="s">
        <v>5</v>
      </c>
      <c r="BW4" s="50" t="s">
        <v>98</v>
      </c>
      <c r="BX4" s="49" t="s">
        <v>5</v>
      </c>
      <c r="BY4" s="50" t="s">
        <v>421</v>
      </c>
    </row>
    <row r="5" spans="1:77" x14ac:dyDescent="0.25">
      <c r="A5" s="76">
        <v>152517</v>
      </c>
      <c r="B5" s="77" t="s">
        <v>1187</v>
      </c>
      <c r="C5" s="78" t="s">
        <v>1188</v>
      </c>
      <c r="D5" s="76" t="s">
        <v>70</v>
      </c>
      <c r="E5" s="79" t="s">
        <v>14</v>
      </c>
      <c r="F5" s="79" t="s">
        <v>88</v>
      </c>
      <c r="G5" s="79" t="s">
        <v>14</v>
      </c>
      <c r="H5" s="79" t="s">
        <v>14</v>
      </c>
      <c r="I5" s="78" t="s">
        <v>14</v>
      </c>
      <c r="J5" s="79" t="s">
        <v>14</v>
      </c>
      <c r="K5" s="142" t="s">
        <v>1850</v>
      </c>
      <c r="L5" s="149" t="s">
        <v>1844</v>
      </c>
      <c r="M5" s="150" t="s">
        <v>12</v>
      </c>
      <c r="N5" s="151">
        <v>18</v>
      </c>
      <c r="O5" s="151">
        <v>0</v>
      </c>
      <c r="P5" s="152">
        <v>0</v>
      </c>
      <c r="Q5" s="153">
        <v>100</v>
      </c>
      <c r="R5" s="154">
        <v>0</v>
      </c>
      <c r="S5" s="38">
        <f t="shared" si="0"/>
        <v>3</v>
      </c>
      <c r="T5" s="39">
        <f t="shared" si="1"/>
        <v>8</v>
      </c>
      <c r="U5" s="40">
        <f t="shared" si="2"/>
        <v>0</v>
      </c>
      <c r="V5" s="40">
        <f t="shared" si="3"/>
        <v>0</v>
      </c>
      <c r="W5" s="40">
        <f t="shared" si="4"/>
        <v>0</v>
      </c>
      <c r="X5" s="40">
        <f t="shared" si="5"/>
        <v>0</v>
      </c>
      <c r="Y5" s="40">
        <f t="shared" si="6"/>
        <v>0</v>
      </c>
      <c r="Z5" s="40">
        <f t="shared" si="7"/>
        <v>0</v>
      </c>
      <c r="AA5" s="40">
        <f t="shared" si="8"/>
        <v>0</v>
      </c>
      <c r="AB5" s="40">
        <f t="shared" si="10"/>
        <v>0</v>
      </c>
      <c r="AC5" s="41">
        <f t="shared" si="11"/>
        <v>0</v>
      </c>
      <c r="AD5" s="49"/>
      <c r="AE5" s="50"/>
      <c r="AF5" s="49" t="s">
        <v>5</v>
      </c>
      <c r="AG5" s="50" t="s">
        <v>164</v>
      </c>
      <c r="AH5" s="49"/>
      <c r="AI5" s="50"/>
      <c r="AJ5" s="49" t="s">
        <v>1</v>
      </c>
      <c r="AK5" s="50" t="s">
        <v>419</v>
      </c>
      <c r="AL5" s="49"/>
      <c r="AM5" s="50"/>
      <c r="AN5" s="49"/>
      <c r="AO5" s="50"/>
      <c r="AP5" s="49"/>
      <c r="AQ5" s="50"/>
      <c r="AR5" s="49" t="s">
        <v>5</v>
      </c>
      <c r="AS5" s="50" t="s">
        <v>102</v>
      </c>
      <c r="AT5" s="49"/>
      <c r="AU5" s="50"/>
      <c r="AV5" s="49" t="s">
        <v>5</v>
      </c>
      <c r="AW5" s="50" t="s">
        <v>430</v>
      </c>
      <c r="AX5" s="49" t="s">
        <v>5</v>
      </c>
      <c r="AY5" s="50" t="s">
        <v>84</v>
      </c>
      <c r="AZ5" s="49"/>
      <c r="BA5" s="50"/>
      <c r="BB5" s="49"/>
      <c r="BC5" s="50"/>
      <c r="BD5" s="49"/>
      <c r="BE5" s="50"/>
      <c r="BF5" s="49" t="s">
        <v>5</v>
      </c>
      <c r="BG5" s="50" t="s">
        <v>105</v>
      </c>
      <c r="BH5" s="49" t="s">
        <v>5</v>
      </c>
      <c r="BI5" s="50" t="s">
        <v>163</v>
      </c>
      <c r="BJ5" s="49" t="s">
        <v>1</v>
      </c>
      <c r="BK5" s="50" t="s">
        <v>94</v>
      </c>
      <c r="BL5" s="49"/>
      <c r="BM5" s="50"/>
      <c r="BN5" s="49" t="s">
        <v>5</v>
      </c>
      <c r="BO5" s="50" t="s">
        <v>152</v>
      </c>
      <c r="BP5" s="49"/>
      <c r="BQ5" s="50"/>
      <c r="BR5" s="49" t="s">
        <v>1</v>
      </c>
      <c r="BS5" s="50" t="s">
        <v>170</v>
      </c>
      <c r="BT5" s="49" t="s">
        <v>5</v>
      </c>
      <c r="BU5" s="50" t="s">
        <v>108</v>
      </c>
      <c r="BV5" s="49"/>
      <c r="BW5" s="50"/>
      <c r="BX5" s="49"/>
      <c r="BY5" s="50"/>
    </row>
    <row r="6" spans="1:77" x14ac:dyDescent="0.25">
      <c r="A6" s="76">
        <v>152549</v>
      </c>
      <c r="B6" s="77" t="s">
        <v>1189</v>
      </c>
      <c r="C6" s="78" t="s">
        <v>1188</v>
      </c>
      <c r="D6" s="76" t="s">
        <v>70</v>
      </c>
      <c r="E6" s="79" t="s">
        <v>87</v>
      </c>
      <c r="F6" s="79" t="s">
        <v>88</v>
      </c>
      <c r="G6" s="79" t="s">
        <v>87</v>
      </c>
      <c r="H6" s="79" t="s">
        <v>87</v>
      </c>
      <c r="I6" s="78" t="s">
        <v>14</v>
      </c>
      <c r="J6" s="79" t="s">
        <v>14</v>
      </c>
      <c r="K6" s="142" t="s">
        <v>1850</v>
      </c>
      <c r="L6" s="149" t="s">
        <v>1845</v>
      </c>
      <c r="M6" s="150" t="s">
        <v>12</v>
      </c>
      <c r="N6" s="151">
        <v>29</v>
      </c>
      <c r="O6" s="151">
        <v>0</v>
      </c>
      <c r="P6" s="152">
        <v>0</v>
      </c>
      <c r="Q6" s="153">
        <v>97.83</v>
      </c>
      <c r="R6" s="154">
        <v>0</v>
      </c>
      <c r="S6" s="38">
        <f t="shared" si="0"/>
        <v>1</v>
      </c>
      <c r="T6" s="39">
        <f t="shared" si="1"/>
        <v>9</v>
      </c>
      <c r="U6" s="40">
        <f t="shared" si="2"/>
        <v>0</v>
      </c>
      <c r="V6" s="40">
        <f t="shared" si="3"/>
        <v>0</v>
      </c>
      <c r="W6" s="40">
        <f t="shared" si="4"/>
        <v>0</v>
      </c>
      <c r="X6" s="40">
        <f t="shared" si="5"/>
        <v>0</v>
      </c>
      <c r="Y6" s="40">
        <f t="shared" si="6"/>
        <v>0</v>
      </c>
      <c r="Z6" s="40">
        <f t="shared" si="7"/>
        <v>0</v>
      </c>
      <c r="AA6" s="40">
        <f t="shared" si="8"/>
        <v>0</v>
      </c>
      <c r="AB6" s="40">
        <f t="shared" si="10"/>
        <v>0</v>
      </c>
      <c r="AC6" s="41">
        <f t="shared" si="11"/>
        <v>0</v>
      </c>
      <c r="AD6" s="49" t="s">
        <v>5</v>
      </c>
      <c r="AE6" s="50" t="s">
        <v>89</v>
      </c>
      <c r="AF6" s="49"/>
      <c r="AG6" s="50"/>
      <c r="AH6" s="49" t="s">
        <v>5</v>
      </c>
      <c r="AI6" s="50" t="s">
        <v>78</v>
      </c>
      <c r="AJ6" s="49"/>
      <c r="AK6" s="50"/>
      <c r="AL6" s="49"/>
      <c r="AM6" s="50"/>
      <c r="AN6" s="49"/>
      <c r="AO6" s="50"/>
      <c r="AP6" s="49"/>
      <c r="AQ6" s="50"/>
      <c r="AR6" s="49" t="s">
        <v>5</v>
      </c>
      <c r="AS6" s="50" t="s">
        <v>102</v>
      </c>
      <c r="AT6" s="49"/>
      <c r="AU6" s="50"/>
      <c r="AV6" s="49" t="s">
        <v>1</v>
      </c>
      <c r="AW6" s="50" t="s">
        <v>430</v>
      </c>
      <c r="AX6" s="49" t="s">
        <v>5</v>
      </c>
      <c r="AY6" s="50" t="s">
        <v>84</v>
      </c>
      <c r="AZ6" s="49"/>
      <c r="BA6" s="50"/>
      <c r="BB6" s="49"/>
      <c r="BC6" s="50"/>
      <c r="BD6" s="49"/>
      <c r="BE6" s="50"/>
      <c r="BF6" s="49"/>
      <c r="BG6" s="50"/>
      <c r="BH6" s="49" t="s">
        <v>5</v>
      </c>
      <c r="BI6" s="50" t="s">
        <v>1184</v>
      </c>
      <c r="BJ6" s="49" t="s">
        <v>5</v>
      </c>
      <c r="BK6" s="50" t="s">
        <v>422</v>
      </c>
      <c r="BL6" s="49"/>
      <c r="BM6" s="50"/>
      <c r="BN6" s="49" t="s">
        <v>5</v>
      </c>
      <c r="BO6" s="50" t="s">
        <v>152</v>
      </c>
      <c r="BP6" s="49"/>
      <c r="BQ6" s="50"/>
      <c r="BR6" s="49"/>
      <c r="BS6" s="50"/>
      <c r="BT6" s="49" t="s">
        <v>5</v>
      </c>
      <c r="BU6" s="50" t="s">
        <v>122</v>
      </c>
      <c r="BV6" s="49" t="s">
        <v>5</v>
      </c>
      <c r="BW6" s="50" t="s">
        <v>98</v>
      </c>
      <c r="BX6" s="49"/>
      <c r="BY6" s="50"/>
    </row>
    <row r="7" spans="1:77" x14ac:dyDescent="0.25">
      <c r="A7" s="76">
        <v>152678</v>
      </c>
      <c r="B7" s="77" t="s">
        <v>1190</v>
      </c>
      <c r="C7" s="78" t="s">
        <v>1191</v>
      </c>
      <c r="D7" s="76" t="s">
        <v>12</v>
      </c>
      <c r="E7" s="79" t="s">
        <v>14</v>
      </c>
      <c r="F7" s="79" t="s">
        <v>115</v>
      </c>
      <c r="G7" s="79" t="s">
        <v>87</v>
      </c>
      <c r="H7" s="79" t="s">
        <v>14</v>
      </c>
      <c r="I7" s="78" t="s">
        <v>14</v>
      </c>
      <c r="J7" s="79" t="s">
        <v>14</v>
      </c>
      <c r="K7" s="142" t="s">
        <v>1850</v>
      </c>
      <c r="L7" s="149" t="s">
        <v>1844</v>
      </c>
      <c r="M7" s="150" t="s">
        <v>12</v>
      </c>
      <c r="N7" s="151">
        <v>22</v>
      </c>
      <c r="O7" s="151">
        <v>1</v>
      </c>
      <c r="P7" s="152">
        <v>0</v>
      </c>
      <c r="Q7" s="153">
        <v>100</v>
      </c>
      <c r="R7" s="154">
        <v>1</v>
      </c>
      <c r="S7" s="38">
        <f t="shared" si="0"/>
        <v>0</v>
      </c>
      <c r="T7" s="39">
        <f t="shared" si="1"/>
        <v>11</v>
      </c>
      <c r="U7" s="40">
        <f t="shared" si="2"/>
        <v>0</v>
      </c>
      <c r="V7" s="40">
        <f t="shared" si="3"/>
        <v>0</v>
      </c>
      <c r="W7" s="40">
        <f t="shared" si="4"/>
        <v>0</v>
      </c>
      <c r="X7" s="40">
        <f t="shared" si="5"/>
        <v>0</v>
      </c>
      <c r="Y7" s="40">
        <f t="shared" si="6"/>
        <v>0</v>
      </c>
      <c r="Z7" s="40">
        <f t="shared" si="7"/>
        <v>0</v>
      </c>
      <c r="AA7" s="40">
        <f t="shared" si="8"/>
        <v>0</v>
      </c>
      <c r="AB7" s="40">
        <f t="shared" si="10"/>
        <v>0</v>
      </c>
      <c r="AC7" s="41">
        <f t="shared" si="11"/>
        <v>0</v>
      </c>
      <c r="AD7" s="49"/>
      <c r="AE7" s="50"/>
      <c r="AF7" s="49" t="s">
        <v>5</v>
      </c>
      <c r="AG7" s="50" t="s">
        <v>154</v>
      </c>
      <c r="AH7" s="49"/>
      <c r="AI7" s="50"/>
      <c r="AJ7" s="49" t="s">
        <v>5</v>
      </c>
      <c r="AK7" s="50" t="s">
        <v>206</v>
      </c>
      <c r="AL7" s="49"/>
      <c r="AM7" s="50"/>
      <c r="AN7" s="49"/>
      <c r="AO7" s="50"/>
      <c r="AP7" s="49"/>
      <c r="AQ7" s="50"/>
      <c r="AR7" s="49" t="s">
        <v>5</v>
      </c>
      <c r="AS7" s="50" t="s">
        <v>151</v>
      </c>
      <c r="AT7" s="49"/>
      <c r="AU7" s="50"/>
      <c r="AV7" s="49" t="s">
        <v>5</v>
      </c>
      <c r="AW7" s="50" t="s">
        <v>154</v>
      </c>
      <c r="AX7" s="49"/>
      <c r="AY7" s="50"/>
      <c r="AZ7" s="49" t="s">
        <v>5</v>
      </c>
      <c r="BA7" s="50" t="s">
        <v>144</v>
      </c>
      <c r="BB7" s="49"/>
      <c r="BC7" s="50"/>
      <c r="BD7" s="49"/>
      <c r="BE7" s="50"/>
      <c r="BF7" s="49"/>
      <c r="BG7" s="50"/>
      <c r="BH7" s="49" t="s">
        <v>5</v>
      </c>
      <c r="BI7" s="50" t="s">
        <v>78</v>
      </c>
      <c r="BJ7" s="49" t="s">
        <v>5</v>
      </c>
      <c r="BK7" s="50" t="s">
        <v>422</v>
      </c>
      <c r="BL7" s="49"/>
      <c r="BM7" s="50"/>
      <c r="BN7" s="49" t="s">
        <v>5</v>
      </c>
      <c r="BO7" s="50" t="s">
        <v>107</v>
      </c>
      <c r="BP7" s="49"/>
      <c r="BQ7" s="50"/>
      <c r="BR7" s="49" t="s">
        <v>5</v>
      </c>
      <c r="BS7" s="50" t="s">
        <v>140</v>
      </c>
      <c r="BT7" s="49" t="s">
        <v>5</v>
      </c>
      <c r="BU7" s="50" t="s">
        <v>108</v>
      </c>
      <c r="BV7" s="49"/>
      <c r="BW7" s="50"/>
      <c r="BX7" s="49" t="s">
        <v>5</v>
      </c>
      <c r="BY7" s="50" t="s">
        <v>75</v>
      </c>
    </row>
    <row r="8" spans="1:77" x14ac:dyDescent="0.25">
      <c r="A8" s="76">
        <v>152515</v>
      </c>
      <c r="B8" s="77" t="s">
        <v>1192</v>
      </c>
      <c r="C8" s="78" t="s">
        <v>1193</v>
      </c>
      <c r="D8" s="76" t="s">
        <v>12</v>
      </c>
      <c r="E8" s="79" t="s">
        <v>14</v>
      </c>
      <c r="F8" s="79" t="s">
        <v>126</v>
      </c>
      <c r="G8" s="79" t="s">
        <v>87</v>
      </c>
      <c r="H8" s="79" t="s">
        <v>14</v>
      </c>
      <c r="I8" s="78" t="s">
        <v>14</v>
      </c>
      <c r="J8" s="79" t="s">
        <v>14</v>
      </c>
      <c r="K8" s="142" t="s">
        <v>1850</v>
      </c>
      <c r="L8" s="149" t="s">
        <v>1842</v>
      </c>
      <c r="M8" s="150" t="s">
        <v>12</v>
      </c>
      <c r="N8" s="151">
        <v>34</v>
      </c>
      <c r="O8" s="151">
        <v>0</v>
      </c>
      <c r="P8" s="152">
        <v>0</v>
      </c>
      <c r="Q8" s="153">
        <v>100</v>
      </c>
      <c r="R8" s="154">
        <v>0</v>
      </c>
      <c r="S8" s="38">
        <f t="shared" si="0"/>
        <v>2</v>
      </c>
      <c r="T8" s="39">
        <f t="shared" si="1"/>
        <v>9</v>
      </c>
      <c r="U8" s="40">
        <f t="shared" si="2"/>
        <v>0</v>
      </c>
      <c r="V8" s="40">
        <f t="shared" si="3"/>
        <v>0</v>
      </c>
      <c r="W8" s="40">
        <f t="shared" si="4"/>
        <v>0</v>
      </c>
      <c r="X8" s="40">
        <f t="shared" si="5"/>
        <v>0</v>
      </c>
      <c r="Y8" s="40">
        <f t="shared" si="6"/>
        <v>0</v>
      </c>
      <c r="Z8" s="40">
        <f t="shared" si="7"/>
        <v>0</v>
      </c>
      <c r="AA8" s="40">
        <f t="shared" si="8"/>
        <v>0</v>
      </c>
      <c r="AB8" s="40">
        <f t="shared" si="10"/>
        <v>0</v>
      </c>
      <c r="AC8" s="41">
        <f t="shared" si="11"/>
        <v>0</v>
      </c>
      <c r="AD8" s="49"/>
      <c r="AE8" s="50"/>
      <c r="AF8" s="49" t="s">
        <v>5</v>
      </c>
      <c r="AG8" s="50" t="s">
        <v>164</v>
      </c>
      <c r="AH8" s="49"/>
      <c r="AI8" s="50"/>
      <c r="AJ8" s="49" t="s">
        <v>5</v>
      </c>
      <c r="AK8" s="50" t="s">
        <v>206</v>
      </c>
      <c r="AL8" s="49"/>
      <c r="AM8" s="50"/>
      <c r="AN8" s="49"/>
      <c r="AO8" s="50"/>
      <c r="AP8" s="49"/>
      <c r="AQ8" s="50"/>
      <c r="AR8" s="49" t="s">
        <v>5</v>
      </c>
      <c r="AS8" s="50" t="s">
        <v>448</v>
      </c>
      <c r="AT8" s="49"/>
      <c r="AU8" s="50"/>
      <c r="AV8" s="49" t="s">
        <v>5</v>
      </c>
      <c r="AW8" s="50" t="s">
        <v>82</v>
      </c>
      <c r="AX8" s="49" t="s">
        <v>5</v>
      </c>
      <c r="AY8" s="50" t="s">
        <v>84</v>
      </c>
      <c r="AZ8" s="49" t="s">
        <v>1</v>
      </c>
      <c r="BA8" s="50" t="s">
        <v>144</v>
      </c>
      <c r="BB8" s="49"/>
      <c r="BC8" s="50"/>
      <c r="BD8" s="49"/>
      <c r="BE8" s="50"/>
      <c r="BF8" s="49"/>
      <c r="BG8" s="50"/>
      <c r="BH8" s="49" t="s">
        <v>5</v>
      </c>
      <c r="BI8" s="50" t="s">
        <v>105</v>
      </c>
      <c r="BJ8" s="49" t="s">
        <v>5</v>
      </c>
      <c r="BK8" s="50" t="s">
        <v>505</v>
      </c>
      <c r="BL8" s="49"/>
      <c r="BM8" s="50"/>
      <c r="BN8" s="49" t="s">
        <v>1</v>
      </c>
      <c r="BO8" s="50" t="s">
        <v>741</v>
      </c>
      <c r="BP8" s="49"/>
      <c r="BQ8" s="50"/>
      <c r="BR8" s="49" t="s">
        <v>5</v>
      </c>
      <c r="BS8" s="50" t="s">
        <v>123</v>
      </c>
      <c r="BT8" s="49" t="s">
        <v>5</v>
      </c>
      <c r="BU8" s="50" t="s">
        <v>97</v>
      </c>
      <c r="BV8" s="49"/>
      <c r="BW8" s="50"/>
      <c r="BX8" s="49"/>
      <c r="BY8" s="50"/>
    </row>
    <row r="9" spans="1:77" x14ac:dyDescent="0.25">
      <c r="A9" s="76">
        <v>152531</v>
      </c>
      <c r="B9" s="77" t="s">
        <v>1194</v>
      </c>
      <c r="C9" s="78" t="s">
        <v>1193</v>
      </c>
      <c r="D9" s="76" t="s">
        <v>70</v>
      </c>
      <c r="E9" s="79" t="s">
        <v>14</v>
      </c>
      <c r="F9" s="79" t="s">
        <v>71</v>
      </c>
      <c r="G9" s="79" t="s">
        <v>14</v>
      </c>
      <c r="H9" s="79" t="s">
        <v>14</v>
      </c>
      <c r="I9" s="78" t="s">
        <v>14</v>
      </c>
      <c r="J9" s="79" t="s">
        <v>14</v>
      </c>
      <c r="K9" s="142" t="s">
        <v>1850</v>
      </c>
      <c r="L9" s="149" t="s">
        <v>1842</v>
      </c>
      <c r="M9" s="150" t="s">
        <v>12</v>
      </c>
      <c r="N9" s="151">
        <v>20</v>
      </c>
      <c r="O9" s="151">
        <v>1</v>
      </c>
      <c r="P9" s="152">
        <v>1</v>
      </c>
      <c r="Q9" s="153">
        <v>95.65</v>
      </c>
      <c r="R9" s="154">
        <v>1</v>
      </c>
      <c r="S9" s="38">
        <f t="shared" si="0"/>
        <v>0</v>
      </c>
      <c r="T9" s="39">
        <f t="shared" si="1"/>
        <v>10</v>
      </c>
      <c r="U9" s="40">
        <f t="shared" si="2"/>
        <v>0</v>
      </c>
      <c r="V9" s="40">
        <f t="shared" si="3"/>
        <v>0</v>
      </c>
      <c r="W9" s="40">
        <f t="shared" si="4"/>
        <v>0</v>
      </c>
      <c r="X9" s="40">
        <f t="shared" si="5"/>
        <v>0</v>
      </c>
      <c r="Y9" s="40">
        <f t="shared" si="6"/>
        <v>0</v>
      </c>
      <c r="Z9" s="40">
        <f t="shared" si="7"/>
        <v>0</v>
      </c>
      <c r="AA9" s="40">
        <f t="shared" si="8"/>
        <v>0</v>
      </c>
      <c r="AB9" s="40">
        <f t="shared" si="10"/>
        <v>0</v>
      </c>
      <c r="AC9" s="41">
        <f t="shared" si="11"/>
        <v>0</v>
      </c>
      <c r="AD9" s="49"/>
      <c r="AE9" s="50"/>
      <c r="AF9" s="49"/>
      <c r="AG9" s="50"/>
      <c r="AH9" s="49"/>
      <c r="AI9" s="50"/>
      <c r="AJ9" s="49"/>
      <c r="AK9" s="50"/>
      <c r="AL9" s="49"/>
      <c r="AM9" s="50"/>
      <c r="AN9" s="49"/>
      <c r="AO9" s="50"/>
      <c r="AP9" s="49"/>
      <c r="AQ9" s="50"/>
      <c r="AR9" s="49" t="s">
        <v>5</v>
      </c>
      <c r="AS9" s="50" t="s">
        <v>722</v>
      </c>
      <c r="AT9" s="49"/>
      <c r="AU9" s="50"/>
      <c r="AV9" s="49" t="s">
        <v>5</v>
      </c>
      <c r="AW9" s="50" t="s">
        <v>82</v>
      </c>
      <c r="AX9" s="49" t="s">
        <v>5</v>
      </c>
      <c r="AY9" s="50" t="s">
        <v>130</v>
      </c>
      <c r="AZ9" s="49"/>
      <c r="BA9" s="50"/>
      <c r="BB9" s="49" t="s">
        <v>5</v>
      </c>
      <c r="BC9" s="50" t="s">
        <v>436</v>
      </c>
      <c r="BD9" s="49"/>
      <c r="BE9" s="50"/>
      <c r="BF9" s="49"/>
      <c r="BG9" s="50"/>
      <c r="BH9" s="49" t="s">
        <v>5</v>
      </c>
      <c r="BI9" s="50" t="s">
        <v>105</v>
      </c>
      <c r="BJ9" s="49" t="s">
        <v>5</v>
      </c>
      <c r="BK9" s="50" t="s">
        <v>995</v>
      </c>
      <c r="BL9" s="49" t="s">
        <v>5</v>
      </c>
      <c r="BM9" s="50" t="s">
        <v>116</v>
      </c>
      <c r="BN9" s="49" t="s">
        <v>5</v>
      </c>
      <c r="BO9" s="50" t="s">
        <v>152</v>
      </c>
      <c r="BP9" s="49"/>
      <c r="BQ9" s="50"/>
      <c r="BR9" s="49"/>
      <c r="BS9" s="50"/>
      <c r="BT9" s="49" t="s">
        <v>5</v>
      </c>
      <c r="BU9" s="50" t="s">
        <v>108</v>
      </c>
      <c r="BV9" s="49" t="s">
        <v>5</v>
      </c>
      <c r="BW9" s="50" t="s">
        <v>98</v>
      </c>
      <c r="BX9" s="49"/>
      <c r="BY9" s="50"/>
    </row>
    <row r="10" spans="1:77" x14ac:dyDescent="0.25">
      <c r="A10" s="76">
        <v>152506</v>
      </c>
      <c r="B10" s="77" t="s">
        <v>1195</v>
      </c>
      <c r="C10" s="78" t="s">
        <v>1193</v>
      </c>
      <c r="D10" s="76" t="s">
        <v>12</v>
      </c>
      <c r="E10" s="79" t="s">
        <v>87</v>
      </c>
      <c r="F10" s="79" t="s">
        <v>88</v>
      </c>
      <c r="G10" s="79" t="s">
        <v>14</v>
      </c>
      <c r="H10" s="79" t="s">
        <v>87</v>
      </c>
      <c r="I10" s="78" t="s">
        <v>14</v>
      </c>
      <c r="J10" s="79" t="s">
        <v>14</v>
      </c>
      <c r="K10" s="142" t="s">
        <v>1850</v>
      </c>
      <c r="L10" s="149" t="s">
        <v>1844</v>
      </c>
      <c r="M10" s="150" t="s">
        <v>12</v>
      </c>
      <c r="N10" s="151">
        <v>33</v>
      </c>
      <c r="O10" s="151">
        <v>0</v>
      </c>
      <c r="P10" s="152">
        <v>2</v>
      </c>
      <c r="Q10" s="153">
        <v>97.83</v>
      </c>
      <c r="R10" s="154">
        <v>2</v>
      </c>
      <c r="S10" s="38">
        <f t="shared" si="0"/>
        <v>1</v>
      </c>
      <c r="T10" s="39">
        <f t="shared" si="1"/>
        <v>9</v>
      </c>
      <c r="U10" s="40">
        <f t="shared" si="2"/>
        <v>0</v>
      </c>
      <c r="V10" s="40">
        <f t="shared" si="3"/>
        <v>0</v>
      </c>
      <c r="W10" s="40">
        <f t="shared" si="4"/>
        <v>1</v>
      </c>
      <c r="X10" s="40">
        <f t="shared" si="5"/>
        <v>1</v>
      </c>
      <c r="Y10" s="40">
        <f t="shared" si="6"/>
        <v>0</v>
      </c>
      <c r="Z10" s="40">
        <f t="shared" si="7"/>
        <v>0</v>
      </c>
      <c r="AA10" s="40">
        <f t="shared" si="8"/>
        <v>0</v>
      </c>
      <c r="AB10" s="40">
        <f t="shared" si="10"/>
        <v>0</v>
      </c>
      <c r="AC10" s="41">
        <f t="shared" si="11"/>
        <v>0</v>
      </c>
      <c r="AD10" s="49"/>
      <c r="AE10" s="50"/>
      <c r="AF10" s="49" t="s">
        <v>1</v>
      </c>
      <c r="AG10" s="50" t="s">
        <v>154</v>
      </c>
      <c r="AH10" s="49" t="s">
        <v>5</v>
      </c>
      <c r="AI10" s="50" t="s">
        <v>78</v>
      </c>
      <c r="AJ10" s="49" t="s">
        <v>32</v>
      </c>
      <c r="AK10" s="50" t="s">
        <v>206</v>
      </c>
      <c r="AL10" s="49"/>
      <c r="AM10" s="50"/>
      <c r="AN10" s="49"/>
      <c r="AO10" s="50"/>
      <c r="AP10" s="49"/>
      <c r="AQ10" s="50"/>
      <c r="AR10" s="49" t="s">
        <v>5</v>
      </c>
      <c r="AS10" s="50" t="s">
        <v>102</v>
      </c>
      <c r="AT10" s="49"/>
      <c r="AU10" s="50"/>
      <c r="AV10" s="49" t="s">
        <v>5</v>
      </c>
      <c r="AW10" s="50" t="s">
        <v>82</v>
      </c>
      <c r="AX10" s="49" t="s">
        <v>5</v>
      </c>
      <c r="AY10" s="50" t="s">
        <v>130</v>
      </c>
      <c r="AZ10" s="49"/>
      <c r="BA10" s="50"/>
      <c r="BB10" s="49"/>
      <c r="BC10" s="50"/>
      <c r="BD10" s="49"/>
      <c r="BE10" s="50"/>
      <c r="BF10" s="49"/>
      <c r="BG10" s="50"/>
      <c r="BH10" s="49" t="s">
        <v>5</v>
      </c>
      <c r="BI10" s="50" t="s">
        <v>105</v>
      </c>
      <c r="BJ10" s="49" t="s">
        <v>5</v>
      </c>
      <c r="BK10" s="50" t="s">
        <v>106</v>
      </c>
      <c r="BL10" s="49"/>
      <c r="BM10" s="50"/>
      <c r="BN10" s="49" t="s">
        <v>5</v>
      </c>
      <c r="BO10" s="50" t="s">
        <v>107</v>
      </c>
      <c r="BP10" s="49"/>
      <c r="BQ10" s="50"/>
      <c r="BR10" s="49" t="s">
        <v>5</v>
      </c>
      <c r="BS10" s="50" t="s">
        <v>140</v>
      </c>
      <c r="BT10" s="49" t="s">
        <v>5</v>
      </c>
      <c r="BU10" s="50" t="s">
        <v>108</v>
      </c>
      <c r="BV10" s="49"/>
      <c r="BW10" s="50"/>
      <c r="BX10" s="49"/>
      <c r="BY10" s="50"/>
    </row>
    <row r="11" spans="1:77" x14ac:dyDescent="0.25">
      <c r="A11" s="76">
        <v>152581</v>
      </c>
      <c r="B11" s="77" t="s">
        <v>1196</v>
      </c>
      <c r="C11" s="78" t="s">
        <v>1193</v>
      </c>
      <c r="D11" s="76" t="s">
        <v>70</v>
      </c>
      <c r="E11" s="79" t="s">
        <v>14</v>
      </c>
      <c r="F11" s="79" t="s">
        <v>71</v>
      </c>
      <c r="G11" s="79" t="s">
        <v>14</v>
      </c>
      <c r="H11" s="79" t="s">
        <v>14</v>
      </c>
      <c r="I11" s="78" t="s">
        <v>14</v>
      </c>
      <c r="J11" s="79" t="s">
        <v>14</v>
      </c>
      <c r="K11" s="142" t="s">
        <v>1850</v>
      </c>
      <c r="L11" s="149" t="s">
        <v>1844</v>
      </c>
      <c r="M11" s="150" t="s">
        <v>12</v>
      </c>
      <c r="N11" s="151">
        <v>32</v>
      </c>
      <c r="O11" s="151">
        <v>0</v>
      </c>
      <c r="P11" s="152">
        <v>0</v>
      </c>
      <c r="Q11" s="153">
        <v>89.13</v>
      </c>
      <c r="R11" s="154">
        <v>0</v>
      </c>
      <c r="S11" s="38">
        <f t="shared" si="0"/>
        <v>1</v>
      </c>
      <c r="T11" s="39">
        <f t="shared" si="1"/>
        <v>10</v>
      </c>
      <c r="U11" s="40">
        <f t="shared" si="2"/>
        <v>0</v>
      </c>
      <c r="V11" s="40">
        <f t="shared" si="3"/>
        <v>0</v>
      </c>
      <c r="W11" s="40">
        <f t="shared" si="4"/>
        <v>0</v>
      </c>
      <c r="X11" s="40">
        <f t="shared" si="5"/>
        <v>0</v>
      </c>
      <c r="Y11" s="40">
        <f t="shared" si="6"/>
        <v>0</v>
      </c>
      <c r="Z11" s="40">
        <f t="shared" si="7"/>
        <v>0</v>
      </c>
      <c r="AA11" s="40">
        <f t="shared" si="8"/>
        <v>0</v>
      </c>
      <c r="AB11" s="40">
        <f t="shared" si="10"/>
        <v>0</v>
      </c>
      <c r="AC11" s="41">
        <f t="shared" si="11"/>
        <v>0</v>
      </c>
      <c r="AD11" s="49"/>
      <c r="AE11" s="50"/>
      <c r="AF11" s="49" t="s">
        <v>5</v>
      </c>
      <c r="AG11" s="50" t="s">
        <v>154</v>
      </c>
      <c r="AH11" s="49"/>
      <c r="AI11" s="50"/>
      <c r="AJ11" s="49" t="s">
        <v>5</v>
      </c>
      <c r="AK11" s="50" t="s">
        <v>137</v>
      </c>
      <c r="AL11" s="49"/>
      <c r="AM11" s="50"/>
      <c r="AN11" s="49"/>
      <c r="AO11" s="50"/>
      <c r="AP11" s="49"/>
      <c r="AQ11" s="50"/>
      <c r="AR11" s="49" t="s">
        <v>5</v>
      </c>
      <c r="AS11" s="50" t="s">
        <v>448</v>
      </c>
      <c r="AT11" s="49"/>
      <c r="AU11" s="50"/>
      <c r="AV11" s="49" t="s">
        <v>5</v>
      </c>
      <c r="AW11" s="50" t="s">
        <v>82</v>
      </c>
      <c r="AX11" s="49" t="s">
        <v>5</v>
      </c>
      <c r="AY11" s="50" t="s">
        <v>84</v>
      </c>
      <c r="AZ11" s="49" t="s">
        <v>5</v>
      </c>
      <c r="BA11" s="50" t="s">
        <v>144</v>
      </c>
      <c r="BB11" s="49"/>
      <c r="BC11" s="50"/>
      <c r="BD11" s="49"/>
      <c r="BE11" s="50"/>
      <c r="BF11" s="49"/>
      <c r="BG11" s="50"/>
      <c r="BH11" s="49" t="s">
        <v>1</v>
      </c>
      <c r="BI11" s="50" t="s">
        <v>105</v>
      </c>
      <c r="BJ11" s="49" t="s">
        <v>5</v>
      </c>
      <c r="BK11" s="50" t="s">
        <v>995</v>
      </c>
      <c r="BL11" s="49"/>
      <c r="BM11" s="50"/>
      <c r="BN11" s="49" t="s">
        <v>5</v>
      </c>
      <c r="BO11" s="50" t="s">
        <v>121</v>
      </c>
      <c r="BP11" s="49"/>
      <c r="BQ11" s="50"/>
      <c r="BR11" s="49" t="s">
        <v>5</v>
      </c>
      <c r="BS11" s="50" t="s">
        <v>98</v>
      </c>
      <c r="BT11" s="49" t="s">
        <v>5</v>
      </c>
      <c r="BU11" s="50" t="s">
        <v>108</v>
      </c>
      <c r="BV11" s="49"/>
      <c r="BW11" s="50"/>
      <c r="BX11" s="49"/>
      <c r="BY11" s="50"/>
    </row>
    <row r="12" spans="1:77" x14ac:dyDescent="0.25">
      <c r="A12" s="76">
        <v>152667</v>
      </c>
      <c r="B12" s="77" t="s">
        <v>1197</v>
      </c>
      <c r="C12" s="78" t="s">
        <v>1193</v>
      </c>
      <c r="D12" s="76" t="s">
        <v>12</v>
      </c>
      <c r="E12" s="79" t="s">
        <v>87</v>
      </c>
      <c r="F12" s="79" t="s">
        <v>88</v>
      </c>
      <c r="G12" s="79" t="s">
        <v>14</v>
      </c>
      <c r="H12" s="79" t="s">
        <v>87</v>
      </c>
      <c r="I12" s="78" t="s">
        <v>14</v>
      </c>
      <c r="J12" s="79" t="s">
        <v>14</v>
      </c>
      <c r="K12" s="142" t="s">
        <v>1850</v>
      </c>
      <c r="L12" s="149" t="s">
        <v>1842</v>
      </c>
      <c r="M12" s="150" t="s">
        <v>12</v>
      </c>
      <c r="N12" s="151">
        <v>38</v>
      </c>
      <c r="O12" s="151">
        <v>0</v>
      </c>
      <c r="P12" s="152">
        <v>0</v>
      </c>
      <c r="Q12" s="153">
        <v>100</v>
      </c>
      <c r="R12" s="154">
        <v>0</v>
      </c>
      <c r="S12" s="38">
        <f t="shared" si="0"/>
        <v>1</v>
      </c>
      <c r="T12" s="39">
        <f t="shared" si="1"/>
        <v>10</v>
      </c>
      <c r="U12" s="40">
        <f t="shared" si="2"/>
        <v>0</v>
      </c>
      <c r="V12" s="40">
        <f t="shared" si="3"/>
        <v>0</v>
      </c>
      <c r="W12" s="40">
        <f t="shared" si="4"/>
        <v>0</v>
      </c>
      <c r="X12" s="40">
        <f t="shared" si="5"/>
        <v>0</v>
      </c>
      <c r="Y12" s="40">
        <f t="shared" si="6"/>
        <v>0</v>
      </c>
      <c r="Z12" s="40">
        <f t="shared" si="7"/>
        <v>0</v>
      </c>
      <c r="AA12" s="40">
        <f t="shared" si="8"/>
        <v>0</v>
      </c>
      <c r="AB12" s="40">
        <f t="shared" si="10"/>
        <v>0</v>
      </c>
      <c r="AC12" s="41">
        <f t="shared" si="11"/>
        <v>0</v>
      </c>
      <c r="AD12" s="49"/>
      <c r="AE12" s="50"/>
      <c r="AF12" s="49" t="s">
        <v>5</v>
      </c>
      <c r="AG12" s="50" t="s">
        <v>154</v>
      </c>
      <c r="AH12" s="49" t="s">
        <v>5</v>
      </c>
      <c r="AI12" s="50" t="s">
        <v>78</v>
      </c>
      <c r="AJ12" s="49" t="s">
        <v>5</v>
      </c>
      <c r="AK12" s="50" t="s">
        <v>137</v>
      </c>
      <c r="AL12" s="49"/>
      <c r="AM12" s="50"/>
      <c r="AN12" s="49"/>
      <c r="AO12" s="50"/>
      <c r="AP12" s="49"/>
      <c r="AQ12" s="50"/>
      <c r="AR12" s="49" t="s">
        <v>5</v>
      </c>
      <c r="AS12" s="50" t="s">
        <v>722</v>
      </c>
      <c r="AT12" s="49"/>
      <c r="AU12" s="50"/>
      <c r="AV12" s="49" t="s">
        <v>5</v>
      </c>
      <c r="AW12" s="50" t="s">
        <v>82</v>
      </c>
      <c r="AX12" s="49" t="s">
        <v>5</v>
      </c>
      <c r="AY12" s="50" t="s">
        <v>84</v>
      </c>
      <c r="AZ12" s="49"/>
      <c r="BA12" s="50"/>
      <c r="BB12" s="49"/>
      <c r="BC12" s="50"/>
      <c r="BD12" s="49"/>
      <c r="BE12" s="50"/>
      <c r="BF12" s="49"/>
      <c r="BG12" s="50"/>
      <c r="BH12" s="49" t="s">
        <v>5</v>
      </c>
      <c r="BI12" s="50" t="s">
        <v>105</v>
      </c>
      <c r="BJ12" s="49" t="s">
        <v>5</v>
      </c>
      <c r="BK12" s="50" t="s">
        <v>505</v>
      </c>
      <c r="BL12" s="49"/>
      <c r="BM12" s="50"/>
      <c r="BN12" s="49" t="s">
        <v>1</v>
      </c>
      <c r="BO12" s="50" t="s">
        <v>741</v>
      </c>
      <c r="BP12" s="49"/>
      <c r="BQ12" s="50"/>
      <c r="BR12" s="49" t="s">
        <v>5</v>
      </c>
      <c r="BS12" s="50" t="s">
        <v>98</v>
      </c>
      <c r="BT12" s="49" t="s">
        <v>5</v>
      </c>
      <c r="BU12" s="50" t="s">
        <v>108</v>
      </c>
      <c r="BV12" s="49"/>
      <c r="BW12" s="50"/>
      <c r="BX12" s="49"/>
      <c r="BY12" s="50"/>
    </row>
    <row r="13" spans="1:77" x14ac:dyDescent="0.25">
      <c r="A13" s="76">
        <v>152688</v>
      </c>
      <c r="B13" s="77" t="s">
        <v>1198</v>
      </c>
      <c r="C13" s="78" t="s">
        <v>1188</v>
      </c>
      <c r="D13" s="76" t="s">
        <v>12</v>
      </c>
      <c r="E13" s="79" t="s">
        <v>14</v>
      </c>
      <c r="F13" s="79" t="s">
        <v>71</v>
      </c>
      <c r="G13" s="79" t="s">
        <v>14</v>
      </c>
      <c r="H13" s="79" t="s">
        <v>14</v>
      </c>
      <c r="I13" s="78" t="s">
        <v>14</v>
      </c>
      <c r="J13" s="79" t="s">
        <v>14</v>
      </c>
      <c r="K13" s="142" t="s">
        <v>1850</v>
      </c>
      <c r="L13" s="149" t="s">
        <v>1842</v>
      </c>
      <c r="M13" s="150" t="s">
        <v>12</v>
      </c>
      <c r="N13" s="151">
        <v>41</v>
      </c>
      <c r="O13" s="151">
        <v>0</v>
      </c>
      <c r="P13" s="152">
        <v>0</v>
      </c>
      <c r="Q13" s="153">
        <v>100</v>
      </c>
      <c r="R13" s="154">
        <v>0</v>
      </c>
      <c r="S13" s="38">
        <f t="shared" si="0"/>
        <v>6</v>
      </c>
      <c r="T13" s="39">
        <f t="shared" si="1"/>
        <v>4</v>
      </c>
      <c r="U13" s="40">
        <f t="shared" si="2"/>
        <v>0</v>
      </c>
      <c r="V13" s="40">
        <f t="shared" si="3"/>
        <v>0</v>
      </c>
      <c r="W13" s="40">
        <f t="shared" si="4"/>
        <v>0</v>
      </c>
      <c r="X13" s="40">
        <f t="shared" si="5"/>
        <v>0</v>
      </c>
      <c r="Y13" s="40">
        <f t="shared" si="6"/>
        <v>0</v>
      </c>
      <c r="Z13" s="40">
        <f t="shared" si="7"/>
        <v>0</v>
      </c>
      <c r="AA13" s="40">
        <f t="shared" si="8"/>
        <v>0</v>
      </c>
      <c r="AB13" s="40">
        <f t="shared" si="10"/>
        <v>0</v>
      </c>
      <c r="AC13" s="41">
        <f t="shared" si="11"/>
        <v>0</v>
      </c>
      <c r="AD13" s="49" t="s">
        <v>5</v>
      </c>
      <c r="AE13" s="50" t="s">
        <v>89</v>
      </c>
      <c r="AF13" s="49"/>
      <c r="AG13" s="50"/>
      <c r="AH13" s="49"/>
      <c r="AI13" s="50"/>
      <c r="AJ13" s="49"/>
      <c r="AK13" s="50"/>
      <c r="AL13" s="49"/>
      <c r="AM13" s="50"/>
      <c r="AN13" s="49"/>
      <c r="AO13" s="50"/>
      <c r="AP13" s="49"/>
      <c r="AQ13" s="50"/>
      <c r="AR13" s="49" t="s">
        <v>5</v>
      </c>
      <c r="AS13" s="50" t="s">
        <v>722</v>
      </c>
      <c r="AT13" s="49"/>
      <c r="AU13" s="50"/>
      <c r="AV13" s="49" t="s">
        <v>1</v>
      </c>
      <c r="AW13" s="50" t="s">
        <v>430</v>
      </c>
      <c r="AX13" s="49" t="s">
        <v>5</v>
      </c>
      <c r="AY13" s="50" t="s">
        <v>84</v>
      </c>
      <c r="AZ13" s="49" t="s">
        <v>1</v>
      </c>
      <c r="BA13" s="50" t="s">
        <v>144</v>
      </c>
      <c r="BB13" s="49"/>
      <c r="BC13" s="50"/>
      <c r="BD13" s="49"/>
      <c r="BE13" s="50"/>
      <c r="BF13" s="49"/>
      <c r="BG13" s="50"/>
      <c r="BH13" s="49" t="s">
        <v>5</v>
      </c>
      <c r="BI13" s="50" t="s">
        <v>1184</v>
      </c>
      <c r="BJ13" s="49" t="s">
        <v>1</v>
      </c>
      <c r="BK13" s="50" t="s">
        <v>106</v>
      </c>
      <c r="BL13" s="49"/>
      <c r="BM13" s="50"/>
      <c r="BN13" s="49" t="s">
        <v>1</v>
      </c>
      <c r="BO13" s="50" t="s">
        <v>96</v>
      </c>
      <c r="BP13" s="49"/>
      <c r="BQ13" s="50"/>
      <c r="BR13" s="49"/>
      <c r="BS13" s="50"/>
      <c r="BT13" s="49" t="s">
        <v>1</v>
      </c>
      <c r="BU13" s="50" t="s">
        <v>457</v>
      </c>
      <c r="BV13" s="49" t="s">
        <v>1</v>
      </c>
      <c r="BW13" s="50" t="s">
        <v>98</v>
      </c>
      <c r="BX13" s="49"/>
      <c r="BY13" s="50"/>
    </row>
    <row r="14" spans="1:77" x14ac:dyDescent="0.25">
      <c r="A14" s="76">
        <v>152544</v>
      </c>
      <c r="B14" s="77" t="s">
        <v>1199</v>
      </c>
      <c r="C14" s="78" t="s">
        <v>1193</v>
      </c>
      <c r="D14" s="76" t="s">
        <v>12</v>
      </c>
      <c r="E14" s="79" t="s">
        <v>14</v>
      </c>
      <c r="F14" s="79" t="s">
        <v>275</v>
      </c>
      <c r="G14" s="79" t="s">
        <v>14</v>
      </c>
      <c r="H14" s="79" t="s">
        <v>14</v>
      </c>
      <c r="I14" s="78" t="s">
        <v>14</v>
      </c>
      <c r="J14" s="79" t="s">
        <v>14</v>
      </c>
      <c r="K14" s="142" t="s">
        <v>1850</v>
      </c>
      <c r="L14" s="149" t="s">
        <v>1846</v>
      </c>
      <c r="M14" s="150" t="s">
        <v>1853</v>
      </c>
      <c r="N14" s="151">
        <v>40</v>
      </c>
      <c r="O14" s="151">
        <v>0</v>
      </c>
      <c r="P14" s="152">
        <v>1</v>
      </c>
      <c r="Q14" s="153">
        <v>100</v>
      </c>
      <c r="R14" s="154">
        <v>3</v>
      </c>
      <c r="S14" s="38">
        <f t="shared" si="0"/>
        <v>4</v>
      </c>
      <c r="T14" s="39">
        <f t="shared" si="1"/>
        <v>7</v>
      </c>
      <c r="U14" s="40">
        <f t="shared" si="2"/>
        <v>0</v>
      </c>
      <c r="V14" s="40">
        <f t="shared" si="3"/>
        <v>0</v>
      </c>
      <c r="W14" s="40">
        <f t="shared" si="4"/>
        <v>0</v>
      </c>
      <c r="X14" s="40">
        <f t="shared" si="5"/>
        <v>0</v>
      </c>
      <c r="Y14" s="40">
        <f t="shared" si="6"/>
        <v>0</v>
      </c>
      <c r="Z14" s="40">
        <f t="shared" si="7"/>
        <v>0</v>
      </c>
      <c r="AA14" s="40">
        <f t="shared" si="8"/>
        <v>0</v>
      </c>
      <c r="AB14" s="40">
        <f t="shared" si="10"/>
        <v>0</v>
      </c>
      <c r="AC14" s="41">
        <f t="shared" si="11"/>
        <v>0</v>
      </c>
      <c r="AD14" s="49"/>
      <c r="AE14" s="50"/>
      <c r="AF14" s="49" t="s">
        <v>5</v>
      </c>
      <c r="AG14" s="50" t="s">
        <v>164</v>
      </c>
      <c r="AH14" s="49" t="s">
        <v>1</v>
      </c>
      <c r="AI14" s="50" t="s">
        <v>78</v>
      </c>
      <c r="AJ14" s="49" t="s">
        <v>5</v>
      </c>
      <c r="AK14" s="50" t="s">
        <v>206</v>
      </c>
      <c r="AL14" s="49"/>
      <c r="AM14" s="50"/>
      <c r="AN14" s="49"/>
      <c r="AO14" s="50"/>
      <c r="AP14" s="49"/>
      <c r="AQ14" s="50"/>
      <c r="AR14" s="49" t="s">
        <v>5</v>
      </c>
      <c r="AS14" s="50" t="s">
        <v>91</v>
      </c>
      <c r="AT14" s="49"/>
      <c r="AU14" s="50"/>
      <c r="AV14" s="49" t="s">
        <v>5</v>
      </c>
      <c r="AW14" s="50" t="s">
        <v>82</v>
      </c>
      <c r="AX14" s="49" t="s">
        <v>5</v>
      </c>
      <c r="AY14" s="50" t="s">
        <v>84</v>
      </c>
      <c r="AZ14" s="49"/>
      <c r="BA14" s="50"/>
      <c r="BB14" s="49"/>
      <c r="BC14" s="50"/>
      <c r="BD14" s="49"/>
      <c r="BE14" s="50"/>
      <c r="BF14" s="49"/>
      <c r="BG14" s="50"/>
      <c r="BH14" s="49" t="s">
        <v>5</v>
      </c>
      <c r="BI14" s="50" t="s">
        <v>105</v>
      </c>
      <c r="BJ14" s="49" t="s">
        <v>1</v>
      </c>
      <c r="BK14" s="50" t="s">
        <v>106</v>
      </c>
      <c r="BL14" s="49"/>
      <c r="BM14" s="50"/>
      <c r="BN14" s="49" t="s">
        <v>1</v>
      </c>
      <c r="BO14" s="50" t="s">
        <v>107</v>
      </c>
      <c r="BP14" s="49"/>
      <c r="BQ14" s="50"/>
      <c r="BR14" s="49" t="s">
        <v>5</v>
      </c>
      <c r="BS14" s="50" t="s">
        <v>123</v>
      </c>
      <c r="BT14" s="49" t="s">
        <v>1</v>
      </c>
      <c r="BU14" s="50" t="s">
        <v>97</v>
      </c>
      <c r="BV14" s="49"/>
      <c r="BW14" s="50"/>
      <c r="BX14" s="49"/>
      <c r="BY14" s="50"/>
    </row>
    <row r="15" spans="1:77" x14ac:dyDescent="0.25">
      <c r="A15" s="76">
        <v>152527</v>
      </c>
      <c r="B15" s="77" t="s">
        <v>1200</v>
      </c>
      <c r="C15" s="78" t="s">
        <v>1193</v>
      </c>
      <c r="D15" s="76" t="s">
        <v>70</v>
      </c>
      <c r="E15" s="79" t="s">
        <v>14</v>
      </c>
      <c r="F15" s="77" t="s">
        <v>184</v>
      </c>
      <c r="G15" s="79" t="s">
        <v>14</v>
      </c>
      <c r="H15" s="79" t="s">
        <v>14</v>
      </c>
      <c r="I15" s="78" t="s">
        <v>14</v>
      </c>
      <c r="J15" s="79" t="s">
        <v>14</v>
      </c>
      <c r="K15" s="142" t="s">
        <v>1850</v>
      </c>
      <c r="L15" s="149" t="s">
        <v>1845</v>
      </c>
      <c r="M15" s="150" t="s">
        <v>12</v>
      </c>
      <c r="N15" s="151">
        <v>24</v>
      </c>
      <c r="O15" s="151">
        <v>0</v>
      </c>
      <c r="P15" s="152">
        <v>0</v>
      </c>
      <c r="Q15" s="153">
        <v>89.13</v>
      </c>
      <c r="R15" s="154">
        <v>0</v>
      </c>
      <c r="S15" s="38">
        <f t="shared" si="0"/>
        <v>0</v>
      </c>
      <c r="T15" s="39">
        <f t="shared" si="1"/>
        <v>10</v>
      </c>
      <c r="U15" s="40">
        <f t="shared" si="2"/>
        <v>0</v>
      </c>
      <c r="V15" s="40">
        <f t="shared" si="3"/>
        <v>0</v>
      </c>
      <c r="W15" s="40">
        <f t="shared" si="4"/>
        <v>0</v>
      </c>
      <c r="X15" s="40">
        <f t="shared" si="5"/>
        <v>0</v>
      </c>
      <c r="Y15" s="40">
        <f t="shared" si="6"/>
        <v>0</v>
      </c>
      <c r="Z15" s="40">
        <f t="shared" si="7"/>
        <v>0</v>
      </c>
      <c r="AA15" s="40">
        <f t="shared" si="8"/>
        <v>0</v>
      </c>
      <c r="AB15" s="40">
        <f t="shared" si="10"/>
        <v>0</v>
      </c>
      <c r="AC15" s="41">
        <f t="shared" si="11"/>
        <v>0</v>
      </c>
      <c r="AD15" s="49"/>
      <c r="AE15" s="50"/>
      <c r="AF15" s="49"/>
      <c r="AG15" s="50"/>
      <c r="AH15" s="49"/>
      <c r="AI15" s="50"/>
      <c r="AJ15" s="49"/>
      <c r="AK15" s="50"/>
      <c r="AL15" s="49"/>
      <c r="AM15" s="50"/>
      <c r="AN15" s="49"/>
      <c r="AO15" s="50"/>
      <c r="AP15" s="49" t="s">
        <v>5</v>
      </c>
      <c r="AQ15" s="50" t="s">
        <v>101</v>
      </c>
      <c r="AR15" s="49" t="s">
        <v>5</v>
      </c>
      <c r="AS15" s="50" t="s">
        <v>722</v>
      </c>
      <c r="AT15" s="49"/>
      <c r="AU15" s="50"/>
      <c r="AV15" s="49" t="s">
        <v>5</v>
      </c>
      <c r="AW15" s="50" t="s">
        <v>82</v>
      </c>
      <c r="AX15" s="49" t="s">
        <v>5</v>
      </c>
      <c r="AY15" s="50" t="s">
        <v>84</v>
      </c>
      <c r="AZ15" s="49"/>
      <c r="BA15" s="50"/>
      <c r="BB15" s="49"/>
      <c r="BC15" s="50"/>
      <c r="BD15" s="49" t="s">
        <v>5</v>
      </c>
      <c r="BE15" s="50" t="s">
        <v>104</v>
      </c>
      <c r="BF15" s="49"/>
      <c r="BG15" s="50"/>
      <c r="BH15" s="49" t="s">
        <v>5</v>
      </c>
      <c r="BI15" s="50" t="s">
        <v>105</v>
      </c>
      <c r="BJ15" s="49" t="s">
        <v>5</v>
      </c>
      <c r="BK15" s="50" t="s">
        <v>711</v>
      </c>
      <c r="BL15" s="49"/>
      <c r="BM15" s="50"/>
      <c r="BN15" s="49" t="s">
        <v>5</v>
      </c>
      <c r="BO15" s="50" t="s">
        <v>121</v>
      </c>
      <c r="BP15" s="49"/>
      <c r="BQ15" s="50"/>
      <c r="BR15" s="49"/>
      <c r="BS15" s="50"/>
      <c r="BT15" s="49" t="s">
        <v>5</v>
      </c>
      <c r="BU15" s="50" t="s">
        <v>82</v>
      </c>
      <c r="BV15" s="49" t="s">
        <v>5</v>
      </c>
      <c r="BW15" s="50" t="s">
        <v>98</v>
      </c>
      <c r="BX15" s="49"/>
      <c r="BY15" s="50"/>
    </row>
    <row r="16" spans="1:77" x14ac:dyDescent="0.25">
      <c r="A16" s="76">
        <v>152632</v>
      </c>
      <c r="B16" s="77" t="s">
        <v>1201</v>
      </c>
      <c r="C16" s="78" t="s">
        <v>1193</v>
      </c>
      <c r="D16" s="76" t="s">
        <v>70</v>
      </c>
      <c r="E16" s="79" t="s">
        <v>14</v>
      </c>
      <c r="F16" s="79" t="s">
        <v>115</v>
      </c>
      <c r="G16" s="79" t="s">
        <v>87</v>
      </c>
      <c r="H16" s="79" t="s">
        <v>14</v>
      </c>
      <c r="I16" s="78" t="s">
        <v>14</v>
      </c>
      <c r="J16" s="79" t="s">
        <v>14</v>
      </c>
      <c r="K16" s="142" t="s">
        <v>1850</v>
      </c>
      <c r="L16" s="149" t="s">
        <v>1845</v>
      </c>
      <c r="M16" s="150" t="s">
        <v>12</v>
      </c>
      <c r="N16" s="151">
        <v>29</v>
      </c>
      <c r="O16" s="151">
        <v>1</v>
      </c>
      <c r="P16" s="152">
        <v>3</v>
      </c>
      <c r="Q16" s="153">
        <v>100</v>
      </c>
      <c r="R16" s="154">
        <v>1</v>
      </c>
      <c r="S16" s="38">
        <f t="shared" si="0"/>
        <v>1</v>
      </c>
      <c r="T16" s="39">
        <f t="shared" si="1"/>
        <v>8</v>
      </c>
      <c r="U16" s="40">
        <f t="shared" si="2"/>
        <v>0</v>
      </c>
      <c r="V16" s="40">
        <f t="shared" si="3"/>
        <v>1</v>
      </c>
      <c r="W16" s="40">
        <f t="shared" si="4"/>
        <v>0</v>
      </c>
      <c r="X16" s="40">
        <f t="shared" si="5"/>
        <v>1</v>
      </c>
      <c r="Y16" s="40">
        <f t="shared" si="6"/>
        <v>0</v>
      </c>
      <c r="Z16" s="40">
        <f t="shared" si="7"/>
        <v>0</v>
      </c>
      <c r="AA16" s="40">
        <f t="shared" si="8"/>
        <v>0</v>
      </c>
      <c r="AB16" s="40">
        <f t="shared" si="10"/>
        <v>0</v>
      </c>
      <c r="AC16" s="41">
        <f t="shared" si="11"/>
        <v>0</v>
      </c>
      <c r="AD16" s="49"/>
      <c r="AE16" s="50"/>
      <c r="AF16" s="49"/>
      <c r="AG16" s="50"/>
      <c r="AH16" s="49"/>
      <c r="AI16" s="50"/>
      <c r="AJ16" s="49"/>
      <c r="AK16" s="50"/>
      <c r="AL16" s="49"/>
      <c r="AM16" s="50"/>
      <c r="AN16" s="49"/>
      <c r="AO16" s="50"/>
      <c r="AP16" s="49"/>
      <c r="AQ16" s="50"/>
      <c r="AR16" s="49" t="s">
        <v>5</v>
      </c>
      <c r="AS16" s="50" t="s">
        <v>151</v>
      </c>
      <c r="AT16" s="49" t="s">
        <v>5</v>
      </c>
      <c r="AU16" s="50" t="s">
        <v>135</v>
      </c>
      <c r="AV16" s="49" t="s">
        <v>5</v>
      </c>
      <c r="AW16" s="50" t="s">
        <v>82</v>
      </c>
      <c r="AX16" s="49" t="s">
        <v>5</v>
      </c>
      <c r="AY16" s="50" t="s">
        <v>84</v>
      </c>
      <c r="AZ16" s="49"/>
      <c r="BA16" s="50"/>
      <c r="BB16" s="49" t="s">
        <v>5</v>
      </c>
      <c r="BC16" s="50" t="s">
        <v>436</v>
      </c>
      <c r="BD16" s="49"/>
      <c r="BE16" s="50"/>
      <c r="BF16" s="49"/>
      <c r="BG16" s="50"/>
      <c r="BH16" s="49" t="s">
        <v>5</v>
      </c>
      <c r="BI16" s="50" t="s">
        <v>105</v>
      </c>
      <c r="BJ16" s="49" t="s">
        <v>1</v>
      </c>
      <c r="BK16" s="50" t="s">
        <v>995</v>
      </c>
      <c r="BL16" s="49"/>
      <c r="BM16" s="50"/>
      <c r="BN16" s="49" t="s">
        <v>5</v>
      </c>
      <c r="BO16" s="50" t="s">
        <v>121</v>
      </c>
      <c r="BP16" s="49"/>
      <c r="BQ16" s="50"/>
      <c r="BR16" s="49"/>
      <c r="BS16" s="50"/>
      <c r="BT16" s="49" t="s">
        <v>31</v>
      </c>
      <c r="BU16" s="50" t="s">
        <v>122</v>
      </c>
      <c r="BV16" s="49" t="s">
        <v>5</v>
      </c>
      <c r="BW16" s="50" t="s">
        <v>98</v>
      </c>
      <c r="BX16" s="49"/>
      <c r="BY16" s="50"/>
    </row>
    <row r="17" spans="1:77" x14ac:dyDescent="0.25">
      <c r="A17" s="76">
        <v>152588</v>
      </c>
      <c r="B17" s="77" t="s">
        <v>1202</v>
      </c>
      <c r="C17" s="78" t="s">
        <v>1191</v>
      </c>
      <c r="D17" s="76" t="s">
        <v>12</v>
      </c>
      <c r="E17" s="79" t="s">
        <v>14</v>
      </c>
      <c r="F17" s="79" t="s">
        <v>71</v>
      </c>
      <c r="G17" s="79" t="s">
        <v>14</v>
      </c>
      <c r="H17" s="79" t="s">
        <v>14</v>
      </c>
      <c r="I17" s="78" t="s">
        <v>14</v>
      </c>
      <c r="J17" s="79" t="s">
        <v>14</v>
      </c>
      <c r="K17" s="142" t="s">
        <v>1850</v>
      </c>
      <c r="L17" s="149" t="s">
        <v>1848</v>
      </c>
      <c r="M17" s="150" t="s">
        <v>1852</v>
      </c>
      <c r="N17" s="151">
        <v>15</v>
      </c>
      <c r="O17" s="151">
        <v>0</v>
      </c>
      <c r="P17" s="152">
        <v>1</v>
      </c>
      <c r="Q17" s="153">
        <v>100</v>
      </c>
      <c r="R17" s="154">
        <v>0</v>
      </c>
      <c r="S17" s="38">
        <f t="shared" si="0"/>
        <v>0</v>
      </c>
      <c r="T17" s="39">
        <f t="shared" si="1"/>
        <v>11</v>
      </c>
      <c r="U17" s="40">
        <f t="shared" si="2"/>
        <v>0</v>
      </c>
      <c r="V17" s="40">
        <f t="shared" si="3"/>
        <v>0</v>
      </c>
      <c r="W17" s="40">
        <f t="shared" si="4"/>
        <v>0</v>
      </c>
      <c r="X17" s="40">
        <f t="shared" si="5"/>
        <v>0</v>
      </c>
      <c r="Y17" s="40">
        <f t="shared" si="6"/>
        <v>0</v>
      </c>
      <c r="Z17" s="40">
        <f t="shared" si="7"/>
        <v>0</v>
      </c>
      <c r="AA17" s="40">
        <f t="shared" si="8"/>
        <v>0</v>
      </c>
      <c r="AB17" s="40">
        <f t="shared" si="10"/>
        <v>0</v>
      </c>
      <c r="AC17" s="41">
        <f t="shared" si="11"/>
        <v>0</v>
      </c>
      <c r="AD17" s="49"/>
      <c r="AE17" s="50"/>
      <c r="AF17" s="49" t="s">
        <v>5</v>
      </c>
      <c r="AG17" s="50" t="s">
        <v>164</v>
      </c>
      <c r="AH17" s="49"/>
      <c r="AI17" s="50"/>
      <c r="AJ17" s="49" t="s">
        <v>5</v>
      </c>
      <c r="AK17" s="50" t="s">
        <v>419</v>
      </c>
      <c r="AL17" s="49"/>
      <c r="AM17" s="50"/>
      <c r="AN17" s="49"/>
      <c r="AO17" s="50"/>
      <c r="AP17" s="49"/>
      <c r="AQ17" s="50"/>
      <c r="AR17" s="49" t="s">
        <v>5</v>
      </c>
      <c r="AS17" s="50" t="s">
        <v>74</v>
      </c>
      <c r="AT17" s="49"/>
      <c r="AU17" s="50"/>
      <c r="AV17" s="49" t="s">
        <v>5</v>
      </c>
      <c r="AW17" s="50" t="s">
        <v>154</v>
      </c>
      <c r="AX17" s="49"/>
      <c r="AY17" s="50"/>
      <c r="AZ17" s="49" t="s">
        <v>5</v>
      </c>
      <c r="BA17" s="50" t="s">
        <v>144</v>
      </c>
      <c r="BB17" s="49"/>
      <c r="BC17" s="50"/>
      <c r="BD17" s="49"/>
      <c r="BE17" s="50"/>
      <c r="BF17" s="49"/>
      <c r="BG17" s="50"/>
      <c r="BH17" s="49" t="s">
        <v>5</v>
      </c>
      <c r="BI17" s="50" t="s">
        <v>78</v>
      </c>
      <c r="BJ17" s="49" t="s">
        <v>5</v>
      </c>
      <c r="BK17" s="50" t="s">
        <v>79</v>
      </c>
      <c r="BL17" s="49"/>
      <c r="BM17" s="50"/>
      <c r="BN17" s="49" t="s">
        <v>5</v>
      </c>
      <c r="BO17" s="50" t="s">
        <v>741</v>
      </c>
      <c r="BP17" s="49"/>
      <c r="BQ17" s="50"/>
      <c r="BR17" s="49" t="s">
        <v>5</v>
      </c>
      <c r="BS17" s="50" t="s">
        <v>170</v>
      </c>
      <c r="BT17" s="49" t="s">
        <v>5</v>
      </c>
      <c r="BU17" s="50" t="s">
        <v>82</v>
      </c>
      <c r="BV17" s="49"/>
      <c r="BW17" s="50"/>
      <c r="BX17" s="49" t="s">
        <v>5</v>
      </c>
      <c r="BY17" s="50" t="s">
        <v>75</v>
      </c>
    </row>
    <row r="18" spans="1:77" x14ac:dyDescent="0.25">
      <c r="A18" s="76">
        <v>152619</v>
      </c>
      <c r="B18" s="77" t="s">
        <v>1203</v>
      </c>
      <c r="C18" s="78" t="s">
        <v>1193</v>
      </c>
      <c r="D18" s="76" t="s">
        <v>70</v>
      </c>
      <c r="E18" s="79" t="s">
        <v>14</v>
      </c>
      <c r="F18" s="79" t="s">
        <v>150</v>
      </c>
      <c r="G18" s="79" t="s">
        <v>87</v>
      </c>
      <c r="H18" s="79" t="s">
        <v>14</v>
      </c>
      <c r="I18" s="78" t="s">
        <v>14</v>
      </c>
      <c r="J18" s="79" t="s">
        <v>14</v>
      </c>
      <c r="K18" s="142" t="s">
        <v>1850</v>
      </c>
      <c r="L18" s="149" t="s">
        <v>1842</v>
      </c>
      <c r="M18" s="150" t="s">
        <v>1853</v>
      </c>
      <c r="N18" s="151">
        <v>21</v>
      </c>
      <c r="O18" s="151">
        <v>6</v>
      </c>
      <c r="P18" s="152">
        <v>1</v>
      </c>
      <c r="Q18" s="153">
        <v>93.48</v>
      </c>
      <c r="R18" s="154">
        <v>12</v>
      </c>
      <c r="S18" s="38">
        <f t="shared" si="0"/>
        <v>0</v>
      </c>
      <c r="T18" s="39">
        <f t="shared" si="1"/>
        <v>9</v>
      </c>
      <c r="U18" s="40">
        <f t="shared" si="2"/>
        <v>0</v>
      </c>
      <c r="V18" s="40">
        <f t="shared" si="3"/>
        <v>0</v>
      </c>
      <c r="W18" s="40">
        <f t="shared" si="4"/>
        <v>1</v>
      </c>
      <c r="X18" s="40">
        <f t="shared" si="5"/>
        <v>1</v>
      </c>
      <c r="Y18" s="40">
        <f t="shared" si="6"/>
        <v>0</v>
      </c>
      <c r="Z18" s="40">
        <f t="shared" si="7"/>
        <v>0</v>
      </c>
      <c r="AA18" s="40">
        <f t="shared" si="8"/>
        <v>0</v>
      </c>
      <c r="AB18" s="40">
        <f t="shared" si="10"/>
        <v>0</v>
      </c>
      <c r="AC18" s="41">
        <f t="shared" si="11"/>
        <v>0</v>
      </c>
      <c r="AD18" s="49" t="s">
        <v>5</v>
      </c>
      <c r="AE18" s="50" t="s">
        <v>72</v>
      </c>
      <c r="AF18" s="49"/>
      <c r="AG18" s="50"/>
      <c r="AH18" s="49"/>
      <c r="AI18" s="50"/>
      <c r="AJ18" s="49"/>
      <c r="AK18" s="50"/>
      <c r="AL18" s="49"/>
      <c r="AM18" s="50"/>
      <c r="AN18" s="49"/>
      <c r="AO18" s="50"/>
      <c r="AP18" s="49" t="s">
        <v>5</v>
      </c>
      <c r="AQ18" s="50" t="s">
        <v>101</v>
      </c>
      <c r="AR18" s="49" t="s">
        <v>5</v>
      </c>
      <c r="AS18" s="50" t="s">
        <v>448</v>
      </c>
      <c r="AT18" s="49"/>
      <c r="AU18" s="50"/>
      <c r="AV18" s="49" t="s">
        <v>32</v>
      </c>
      <c r="AW18" s="50" t="s">
        <v>82</v>
      </c>
      <c r="AX18" s="49" t="s">
        <v>5</v>
      </c>
      <c r="AY18" s="50" t="s">
        <v>84</v>
      </c>
      <c r="AZ18" s="49"/>
      <c r="BA18" s="50"/>
      <c r="BB18" s="49"/>
      <c r="BC18" s="50"/>
      <c r="BD18" s="49"/>
      <c r="BE18" s="50"/>
      <c r="BF18" s="49"/>
      <c r="BG18" s="50"/>
      <c r="BH18" s="49" t="s">
        <v>5</v>
      </c>
      <c r="BI18" s="50" t="s">
        <v>105</v>
      </c>
      <c r="BJ18" s="49" t="s">
        <v>5</v>
      </c>
      <c r="BK18" s="50" t="s">
        <v>106</v>
      </c>
      <c r="BL18" s="49"/>
      <c r="BM18" s="50"/>
      <c r="BN18" s="49" t="s">
        <v>5</v>
      </c>
      <c r="BO18" s="50" t="s">
        <v>152</v>
      </c>
      <c r="BP18" s="49"/>
      <c r="BQ18" s="50"/>
      <c r="BR18" s="49"/>
      <c r="BS18" s="50"/>
      <c r="BT18" s="49" t="s">
        <v>5</v>
      </c>
      <c r="BU18" s="50" t="s">
        <v>108</v>
      </c>
      <c r="BV18" s="49" t="s">
        <v>5</v>
      </c>
      <c r="BW18" s="50" t="s">
        <v>98</v>
      </c>
      <c r="BX18" s="49"/>
      <c r="BY18" s="50"/>
    </row>
    <row r="19" spans="1:77" x14ac:dyDescent="0.25">
      <c r="A19" s="76">
        <v>152503</v>
      </c>
      <c r="B19" s="77" t="s">
        <v>1204</v>
      </c>
      <c r="C19" s="78" t="s">
        <v>1205</v>
      </c>
      <c r="D19" s="76" t="s">
        <v>70</v>
      </c>
      <c r="E19" s="79" t="s">
        <v>14</v>
      </c>
      <c r="F19" s="77" t="s">
        <v>71</v>
      </c>
      <c r="G19" s="79" t="s">
        <v>14</v>
      </c>
      <c r="H19" s="79" t="s">
        <v>14</v>
      </c>
      <c r="I19" s="78" t="s">
        <v>14</v>
      </c>
      <c r="J19" s="79" t="s">
        <v>14</v>
      </c>
      <c r="K19" s="142" t="s">
        <v>1850</v>
      </c>
      <c r="L19" s="149" t="s">
        <v>1842</v>
      </c>
      <c r="M19" s="150" t="s">
        <v>12</v>
      </c>
      <c r="N19" s="151">
        <v>27</v>
      </c>
      <c r="O19" s="151">
        <v>0</v>
      </c>
      <c r="P19" s="152">
        <v>0</v>
      </c>
      <c r="Q19" s="153">
        <v>100</v>
      </c>
      <c r="R19" s="154">
        <v>0</v>
      </c>
      <c r="S19" s="38">
        <f t="shared" si="0"/>
        <v>0</v>
      </c>
      <c r="T19" s="39">
        <f t="shared" si="1"/>
        <v>11</v>
      </c>
      <c r="U19" s="40">
        <f t="shared" si="2"/>
        <v>0</v>
      </c>
      <c r="V19" s="40">
        <f t="shared" si="3"/>
        <v>0</v>
      </c>
      <c r="W19" s="40">
        <f t="shared" si="4"/>
        <v>0</v>
      </c>
      <c r="X19" s="40">
        <f t="shared" si="5"/>
        <v>0</v>
      </c>
      <c r="Y19" s="40">
        <f t="shared" si="6"/>
        <v>0</v>
      </c>
      <c r="Z19" s="40">
        <f t="shared" si="7"/>
        <v>0</v>
      </c>
      <c r="AA19" s="40">
        <f t="shared" si="8"/>
        <v>0</v>
      </c>
      <c r="AB19" s="40">
        <f t="shared" si="10"/>
        <v>0</v>
      </c>
      <c r="AC19" s="41">
        <f t="shared" si="11"/>
        <v>0</v>
      </c>
      <c r="AD19" s="49"/>
      <c r="AE19" s="50"/>
      <c r="AF19" s="49" t="s">
        <v>5</v>
      </c>
      <c r="AG19" s="50" t="s">
        <v>154</v>
      </c>
      <c r="AH19" s="49"/>
      <c r="AI19" s="50"/>
      <c r="AJ19" s="49" t="s">
        <v>5</v>
      </c>
      <c r="AK19" s="50" t="s">
        <v>137</v>
      </c>
      <c r="AL19" s="49"/>
      <c r="AM19" s="50"/>
      <c r="AN19" s="49"/>
      <c r="AO19" s="50"/>
      <c r="AP19" s="49"/>
      <c r="AQ19" s="50"/>
      <c r="AR19" s="49" t="s">
        <v>5</v>
      </c>
      <c r="AS19" s="50" t="s">
        <v>194</v>
      </c>
      <c r="AT19" s="49"/>
      <c r="AU19" s="50"/>
      <c r="AV19" s="49" t="s">
        <v>5</v>
      </c>
      <c r="AW19" s="50" t="s">
        <v>152</v>
      </c>
      <c r="AX19" s="49" t="s">
        <v>5</v>
      </c>
      <c r="AY19" s="50" t="s">
        <v>130</v>
      </c>
      <c r="AZ19" s="49" t="s">
        <v>5</v>
      </c>
      <c r="BA19" s="50" t="s">
        <v>144</v>
      </c>
      <c r="BB19" s="49"/>
      <c r="BC19" s="50"/>
      <c r="BD19" s="49"/>
      <c r="BE19" s="50"/>
      <c r="BF19" s="49"/>
      <c r="BG19" s="50"/>
      <c r="BH19" s="49" t="s">
        <v>5</v>
      </c>
      <c r="BI19" s="50" t="s">
        <v>105</v>
      </c>
      <c r="BJ19" s="49" t="s">
        <v>5</v>
      </c>
      <c r="BK19" s="50" t="s">
        <v>422</v>
      </c>
      <c r="BL19" s="49"/>
      <c r="BM19" s="50"/>
      <c r="BN19" s="49" t="s">
        <v>5</v>
      </c>
      <c r="BO19" s="50" t="s">
        <v>121</v>
      </c>
      <c r="BP19" s="49"/>
      <c r="BQ19" s="50"/>
      <c r="BR19" s="49" t="s">
        <v>5</v>
      </c>
      <c r="BS19" s="50" t="s">
        <v>98</v>
      </c>
      <c r="BT19" s="49" t="s">
        <v>5</v>
      </c>
      <c r="BU19" s="50" t="s">
        <v>97</v>
      </c>
      <c r="BV19" s="49"/>
      <c r="BW19" s="50"/>
      <c r="BX19" s="49"/>
      <c r="BY19" s="50"/>
    </row>
    <row r="20" spans="1:77" x14ac:dyDescent="0.25">
      <c r="A20" s="76">
        <v>152682</v>
      </c>
      <c r="B20" s="77" t="s">
        <v>1206</v>
      </c>
      <c r="C20" s="78" t="s">
        <v>1186</v>
      </c>
      <c r="D20" s="76" t="s">
        <v>70</v>
      </c>
      <c r="E20" s="79" t="s">
        <v>14</v>
      </c>
      <c r="F20" s="79" t="s">
        <v>71</v>
      </c>
      <c r="G20" s="79" t="s">
        <v>14</v>
      </c>
      <c r="H20" s="79" t="s">
        <v>14</v>
      </c>
      <c r="I20" s="78" t="s">
        <v>14</v>
      </c>
      <c r="J20" s="79" t="s">
        <v>14</v>
      </c>
      <c r="K20" s="142" t="s">
        <v>1850</v>
      </c>
      <c r="L20" s="149" t="s">
        <v>1845</v>
      </c>
      <c r="M20" s="150" t="s">
        <v>1853</v>
      </c>
      <c r="N20" s="151">
        <v>17</v>
      </c>
      <c r="O20" s="151">
        <v>0</v>
      </c>
      <c r="P20" s="152">
        <v>0</v>
      </c>
      <c r="Q20" s="153">
        <v>95.65</v>
      </c>
      <c r="R20" s="154">
        <v>1</v>
      </c>
      <c r="S20" s="38">
        <f t="shared" si="0"/>
        <v>1</v>
      </c>
      <c r="T20" s="39">
        <f t="shared" si="1"/>
        <v>9</v>
      </c>
      <c r="U20" s="40">
        <f t="shared" si="2"/>
        <v>0</v>
      </c>
      <c r="V20" s="40">
        <f t="shared" si="3"/>
        <v>1</v>
      </c>
      <c r="W20" s="40">
        <f t="shared" si="4"/>
        <v>0</v>
      </c>
      <c r="X20" s="40">
        <f t="shared" si="5"/>
        <v>1</v>
      </c>
      <c r="Y20" s="40">
        <f t="shared" si="6"/>
        <v>0</v>
      </c>
      <c r="Z20" s="40">
        <f t="shared" si="7"/>
        <v>0</v>
      </c>
      <c r="AA20" s="40">
        <f t="shared" si="8"/>
        <v>0</v>
      </c>
      <c r="AB20" s="40">
        <f t="shared" si="10"/>
        <v>0</v>
      </c>
      <c r="AC20" s="41">
        <f t="shared" si="11"/>
        <v>0</v>
      </c>
      <c r="AD20" s="49"/>
      <c r="AE20" s="50"/>
      <c r="AF20" s="49" t="s">
        <v>5</v>
      </c>
      <c r="AG20" s="50" t="s">
        <v>433</v>
      </c>
      <c r="AH20" s="49"/>
      <c r="AI20" s="50"/>
      <c r="AJ20" s="49" t="s">
        <v>5</v>
      </c>
      <c r="AK20" s="50" t="s">
        <v>137</v>
      </c>
      <c r="AL20" s="49"/>
      <c r="AM20" s="50"/>
      <c r="AN20" s="49"/>
      <c r="AO20" s="50"/>
      <c r="AP20" s="49"/>
      <c r="AQ20" s="50"/>
      <c r="AR20" s="49" t="s">
        <v>5</v>
      </c>
      <c r="AS20" s="50" t="s">
        <v>102</v>
      </c>
      <c r="AT20" s="49"/>
      <c r="AU20" s="50"/>
      <c r="AV20" s="49" t="s">
        <v>5</v>
      </c>
      <c r="AW20" s="50" t="s">
        <v>83</v>
      </c>
      <c r="AX20" s="49"/>
      <c r="AY20" s="50"/>
      <c r="AZ20" s="49"/>
      <c r="BA20" s="50"/>
      <c r="BB20" s="49"/>
      <c r="BC20" s="50"/>
      <c r="BD20" s="49"/>
      <c r="BE20" s="50"/>
      <c r="BF20" s="49"/>
      <c r="BG20" s="50"/>
      <c r="BH20" s="49" t="s">
        <v>5</v>
      </c>
      <c r="BI20" s="50" t="s">
        <v>105</v>
      </c>
      <c r="BJ20" s="49" t="s">
        <v>1</v>
      </c>
      <c r="BK20" s="50" t="s">
        <v>94</v>
      </c>
      <c r="BL20" s="49"/>
      <c r="BM20" s="50"/>
      <c r="BN20" s="49" t="s">
        <v>5</v>
      </c>
      <c r="BO20" s="50" t="s">
        <v>121</v>
      </c>
      <c r="BP20" s="49" t="s">
        <v>5</v>
      </c>
      <c r="BQ20" s="50" t="s">
        <v>81</v>
      </c>
      <c r="BR20" s="49" t="s">
        <v>5</v>
      </c>
      <c r="BS20" s="50" t="s">
        <v>170</v>
      </c>
      <c r="BT20" s="49" t="s">
        <v>31</v>
      </c>
      <c r="BU20" s="50" t="s">
        <v>122</v>
      </c>
      <c r="BV20" s="49"/>
      <c r="BW20" s="50"/>
      <c r="BX20" s="49" t="s">
        <v>5</v>
      </c>
      <c r="BY20" s="50" t="s">
        <v>421</v>
      </c>
    </row>
    <row r="21" spans="1:77" x14ac:dyDescent="0.25">
      <c r="A21" s="76">
        <v>152582</v>
      </c>
      <c r="B21" s="77" t="s">
        <v>1207</v>
      </c>
      <c r="C21" s="78" t="s">
        <v>1193</v>
      </c>
      <c r="D21" s="76" t="s">
        <v>70</v>
      </c>
      <c r="E21" s="79" t="s">
        <v>14</v>
      </c>
      <c r="F21" s="79" t="s">
        <v>71</v>
      </c>
      <c r="G21" s="79" t="s">
        <v>14</v>
      </c>
      <c r="H21" s="79" t="s">
        <v>14</v>
      </c>
      <c r="I21" s="78" t="s">
        <v>14</v>
      </c>
      <c r="J21" s="79" t="s">
        <v>14</v>
      </c>
      <c r="K21" s="142" t="s">
        <v>1850</v>
      </c>
      <c r="L21" s="149" t="s">
        <v>1841</v>
      </c>
      <c r="M21" s="150" t="s">
        <v>1853</v>
      </c>
      <c r="N21" s="151">
        <v>38</v>
      </c>
      <c r="O21" s="151">
        <v>0</v>
      </c>
      <c r="P21" s="152">
        <v>0</v>
      </c>
      <c r="Q21" s="153">
        <v>100</v>
      </c>
      <c r="R21" s="154">
        <v>0</v>
      </c>
      <c r="S21" s="38">
        <f t="shared" si="0"/>
        <v>1</v>
      </c>
      <c r="T21" s="39">
        <f t="shared" si="1"/>
        <v>9</v>
      </c>
      <c r="U21" s="40">
        <f t="shared" si="2"/>
        <v>0</v>
      </c>
      <c r="V21" s="40">
        <f t="shared" si="3"/>
        <v>0</v>
      </c>
      <c r="W21" s="40">
        <f t="shared" si="4"/>
        <v>0</v>
      </c>
      <c r="X21" s="40">
        <f t="shared" si="5"/>
        <v>0</v>
      </c>
      <c r="Y21" s="40">
        <f t="shared" si="6"/>
        <v>0</v>
      </c>
      <c r="Z21" s="40">
        <f t="shared" si="7"/>
        <v>0</v>
      </c>
      <c r="AA21" s="40">
        <f t="shared" si="8"/>
        <v>0</v>
      </c>
      <c r="AB21" s="40">
        <f t="shared" si="10"/>
        <v>0</v>
      </c>
      <c r="AC21" s="41">
        <f t="shared" si="11"/>
        <v>0</v>
      </c>
      <c r="AD21" s="49"/>
      <c r="AE21" s="50"/>
      <c r="AF21" s="49"/>
      <c r="AG21" s="50"/>
      <c r="AH21" s="49" t="s">
        <v>5</v>
      </c>
      <c r="AI21" s="50" t="s">
        <v>78</v>
      </c>
      <c r="AJ21" s="49"/>
      <c r="AK21" s="50"/>
      <c r="AL21" s="49"/>
      <c r="AM21" s="50"/>
      <c r="AN21" s="49"/>
      <c r="AO21" s="50"/>
      <c r="AP21" s="49" t="s">
        <v>5</v>
      </c>
      <c r="AQ21" s="50" t="s">
        <v>101</v>
      </c>
      <c r="AR21" s="49" t="s">
        <v>5</v>
      </c>
      <c r="AS21" s="50" t="s">
        <v>194</v>
      </c>
      <c r="AT21" s="49"/>
      <c r="AU21" s="50"/>
      <c r="AV21" s="49" t="s">
        <v>5</v>
      </c>
      <c r="AW21" s="50" t="s">
        <v>82</v>
      </c>
      <c r="AX21" s="49" t="s">
        <v>5</v>
      </c>
      <c r="AY21" s="50" t="s">
        <v>84</v>
      </c>
      <c r="AZ21" s="49"/>
      <c r="BA21" s="50"/>
      <c r="BB21" s="49"/>
      <c r="BC21" s="50"/>
      <c r="BD21" s="49"/>
      <c r="BE21" s="50"/>
      <c r="BF21" s="49"/>
      <c r="BG21" s="50"/>
      <c r="BH21" s="49" t="s">
        <v>5</v>
      </c>
      <c r="BI21" s="50" t="s">
        <v>105</v>
      </c>
      <c r="BJ21" s="49" t="s">
        <v>5</v>
      </c>
      <c r="BK21" s="50" t="s">
        <v>505</v>
      </c>
      <c r="BL21" s="49"/>
      <c r="BM21" s="50"/>
      <c r="BN21" s="49" t="s">
        <v>1</v>
      </c>
      <c r="BO21" s="50" t="s">
        <v>121</v>
      </c>
      <c r="BP21" s="49"/>
      <c r="BQ21" s="50"/>
      <c r="BR21" s="49"/>
      <c r="BS21" s="50"/>
      <c r="BT21" s="49" t="s">
        <v>5</v>
      </c>
      <c r="BU21" s="50" t="s">
        <v>97</v>
      </c>
      <c r="BV21" s="49" t="s">
        <v>5</v>
      </c>
      <c r="BW21" s="50" t="s">
        <v>98</v>
      </c>
      <c r="BX21" s="49"/>
      <c r="BY21" s="50"/>
    </row>
    <row r="22" spans="1:77" x14ac:dyDescent="0.25">
      <c r="A22" s="76">
        <v>152604</v>
      </c>
      <c r="B22" s="77" t="s">
        <v>1208</v>
      </c>
      <c r="C22" s="78" t="s">
        <v>1193</v>
      </c>
      <c r="D22" s="76" t="s">
        <v>70</v>
      </c>
      <c r="E22" s="79" t="s">
        <v>87</v>
      </c>
      <c r="F22" s="79" t="s">
        <v>88</v>
      </c>
      <c r="G22" s="79" t="s">
        <v>14</v>
      </c>
      <c r="H22" s="79" t="s">
        <v>87</v>
      </c>
      <c r="I22" s="78" t="s">
        <v>14</v>
      </c>
      <c r="J22" s="79" t="s">
        <v>14</v>
      </c>
      <c r="K22" s="142" t="s">
        <v>1850</v>
      </c>
      <c r="L22" s="149" t="s">
        <v>1845</v>
      </c>
      <c r="M22" s="150" t="s">
        <v>12</v>
      </c>
      <c r="N22" s="151">
        <v>33</v>
      </c>
      <c r="O22" s="151">
        <v>5</v>
      </c>
      <c r="P22" s="152">
        <v>2</v>
      </c>
      <c r="Q22" s="153">
        <v>97.83</v>
      </c>
      <c r="R22" s="154">
        <v>7</v>
      </c>
      <c r="S22" s="38">
        <f t="shared" si="0"/>
        <v>0</v>
      </c>
      <c r="T22" s="39">
        <f t="shared" si="1"/>
        <v>7</v>
      </c>
      <c r="U22" s="40">
        <f t="shared" si="2"/>
        <v>2</v>
      </c>
      <c r="V22" s="40">
        <f t="shared" si="3"/>
        <v>2</v>
      </c>
      <c r="W22" s="40">
        <f t="shared" si="4"/>
        <v>0</v>
      </c>
      <c r="X22" s="40">
        <f t="shared" si="5"/>
        <v>4</v>
      </c>
      <c r="Y22" s="40">
        <f t="shared" si="6"/>
        <v>0</v>
      </c>
      <c r="Z22" s="40">
        <f t="shared" si="7"/>
        <v>0</v>
      </c>
      <c r="AA22" s="40">
        <f t="shared" si="8"/>
        <v>0</v>
      </c>
      <c r="AB22" s="40">
        <f t="shared" si="10"/>
        <v>0</v>
      </c>
      <c r="AC22" s="41">
        <f t="shared" si="11"/>
        <v>0</v>
      </c>
      <c r="AD22" s="49"/>
      <c r="AE22" s="50"/>
      <c r="AF22" s="49" t="s">
        <v>5</v>
      </c>
      <c r="AG22" s="50" t="s">
        <v>154</v>
      </c>
      <c r="AH22" s="49" t="s">
        <v>5</v>
      </c>
      <c r="AI22" s="50" t="s">
        <v>78</v>
      </c>
      <c r="AJ22" s="49" t="s">
        <v>31</v>
      </c>
      <c r="AK22" s="50" t="s">
        <v>206</v>
      </c>
      <c r="AL22" s="49"/>
      <c r="AM22" s="50"/>
      <c r="AN22" s="49"/>
      <c r="AO22" s="50"/>
      <c r="AP22" s="49"/>
      <c r="AQ22" s="50"/>
      <c r="AR22" s="49" t="s">
        <v>30</v>
      </c>
      <c r="AS22" s="50" t="s">
        <v>142</v>
      </c>
      <c r="AT22" s="49"/>
      <c r="AU22" s="50"/>
      <c r="AV22" s="49" t="s">
        <v>5</v>
      </c>
      <c r="AW22" s="50" t="s">
        <v>82</v>
      </c>
      <c r="AX22" s="49" t="s">
        <v>5</v>
      </c>
      <c r="AY22" s="50" t="s">
        <v>84</v>
      </c>
      <c r="AZ22" s="49"/>
      <c r="BA22" s="50"/>
      <c r="BB22" s="49"/>
      <c r="BC22" s="50"/>
      <c r="BD22" s="49"/>
      <c r="BE22" s="50"/>
      <c r="BF22" s="49"/>
      <c r="BG22" s="50"/>
      <c r="BH22" s="49" t="s">
        <v>5</v>
      </c>
      <c r="BI22" s="50" t="s">
        <v>105</v>
      </c>
      <c r="BJ22" s="49" t="s">
        <v>5</v>
      </c>
      <c r="BK22" s="50" t="s">
        <v>139</v>
      </c>
      <c r="BL22" s="49"/>
      <c r="BM22" s="50"/>
      <c r="BN22" s="49" t="s">
        <v>30</v>
      </c>
      <c r="BO22" s="50" t="s">
        <v>152</v>
      </c>
      <c r="BP22" s="49"/>
      <c r="BQ22" s="50"/>
      <c r="BR22" s="49" t="s">
        <v>5</v>
      </c>
      <c r="BS22" s="50" t="s">
        <v>140</v>
      </c>
      <c r="BT22" s="49" t="s">
        <v>31</v>
      </c>
      <c r="BU22" s="50" t="s">
        <v>122</v>
      </c>
      <c r="BV22" s="49"/>
      <c r="BW22" s="50"/>
      <c r="BX22" s="49"/>
      <c r="BY22" s="50"/>
    </row>
    <row r="23" spans="1:77" x14ac:dyDescent="0.25">
      <c r="A23" s="76">
        <v>152695</v>
      </c>
      <c r="B23" s="77" t="s">
        <v>1209</v>
      </c>
      <c r="C23" s="78" t="s">
        <v>1205</v>
      </c>
      <c r="D23" s="76" t="s">
        <v>70</v>
      </c>
      <c r="E23" s="79" t="s">
        <v>87</v>
      </c>
      <c r="F23" s="77" t="s">
        <v>71</v>
      </c>
      <c r="G23" s="79" t="s">
        <v>14</v>
      </c>
      <c r="H23" s="79" t="s">
        <v>87</v>
      </c>
      <c r="I23" s="78" t="s">
        <v>14</v>
      </c>
      <c r="J23" s="79" t="s">
        <v>14</v>
      </c>
      <c r="K23" s="142" t="s">
        <v>1850</v>
      </c>
      <c r="L23" s="149" t="s">
        <v>1841</v>
      </c>
      <c r="M23" s="150" t="s">
        <v>1853</v>
      </c>
      <c r="N23" s="151">
        <v>25</v>
      </c>
      <c r="O23" s="151">
        <v>0</v>
      </c>
      <c r="P23" s="152">
        <v>2</v>
      </c>
      <c r="Q23" s="153">
        <v>95.65</v>
      </c>
      <c r="R23" s="154">
        <v>0</v>
      </c>
      <c r="S23" s="38">
        <f t="shared" si="0"/>
        <v>1</v>
      </c>
      <c r="T23" s="39">
        <f t="shared" si="1"/>
        <v>9</v>
      </c>
      <c r="U23" s="40">
        <f t="shared" si="2"/>
        <v>0</v>
      </c>
      <c r="V23" s="40">
        <f t="shared" si="3"/>
        <v>0</v>
      </c>
      <c r="W23" s="40">
        <f t="shared" si="4"/>
        <v>0</v>
      </c>
      <c r="X23" s="40">
        <f t="shared" si="5"/>
        <v>0</v>
      </c>
      <c r="Y23" s="40">
        <f t="shared" si="6"/>
        <v>0</v>
      </c>
      <c r="Z23" s="40">
        <f t="shared" si="7"/>
        <v>0</v>
      </c>
      <c r="AA23" s="40">
        <f t="shared" si="8"/>
        <v>0</v>
      </c>
      <c r="AB23" s="40">
        <f t="shared" si="10"/>
        <v>0</v>
      </c>
      <c r="AC23" s="41">
        <f t="shared" si="11"/>
        <v>0</v>
      </c>
      <c r="AD23" s="49"/>
      <c r="AE23" s="50"/>
      <c r="AF23" s="49"/>
      <c r="AG23" s="50"/>
      <c r="AH23" s="49"/>
      <c r="AI23" s="50"/>
      <c r="AJ23" s="49"/>
      <c r="AK23" s="50"/>
      <c r="AL23" s="49" t="s">
        <v>5</v>
      </c>
      <c r="AM23" s="50" t="s">
        <v>153</v>
      </c>
      <c r="AN23" s="49"/>
      <c r="AO23" s="50"/>
      <c r="AP23" s="49" t="s">
        <v>5</v>
      </c>
      <c r="AQ23" s="50" t="s">
        <v>101</v>
      </c>
      <c r="AR23" s="49" t="s">
        <v>5</v>
      </c>
      <c r="AS23" s="50" t="s">
        <v>91</v>
      </c>
      <c r="AT23" s="49"/>
      <c r="AU23" s="50"/>
      <c r="AV23" s="49" t="s">
        <v>5</v>
      </c>
      <c r="AW23" s="50" t="s">
        <v>152</v>
      </c>
      <c r="AX23" s="49" t="s">
        <v>5</v>
      </c>
      <c r="AY23" s="50" t="s">
        <v>130</v>
      </c>
      <c r="AZ23" s="49"/>
      <c r="BA23" s="50"/>
      <c r="BB23" s="49"/>
      <c r="BC23" s="50"/>
      <c r="BD23" s="49"/>
      <c r="BE23" s="50"/>
      <c r="BF23" s="49"/>
      <c r="BG23" s="50"/>
      <c r="BH23" s="49" t="s">
        <v>5</v>
      </c>
      <c r="BI23" s="50" t="s">
        <v>105</v>
      </c>
      <c r="BJ23" s="49" t="s">
        <v>1</v>
      </c>
      <c r="BK23" s="50" t="s">
        <v>106</v>
      </c>
      <c r="BL23" s="49"/>
      <c r="BM23" s="50"/>
      <c r="BN23" s="49" t="s">
        <v>5</v>
      </c>
      <c r="BO23" s="50" t="s">
        <v>152</v>
      </c>
      <c r="BP23" s="49"/>
      <c r="BQ23" s="50"/>
      <c r="BR23" s="49"/>
      <c r="BS23" s="50"/>
      <c r="BT23" s="49" t="s">
        <v>5</v>
      </c>
      <c r="BU23" s="50" t="s">
        <v>97</v>
      </c>
      <c r="BV23" s="49" t="s">
        <v>5</v>
      </c>
      <c r="BW23" s="50" t="s">
        <v>98</v>
      </c>
      <c r="BX23" s="49"/>
      <c r="BY23" s="50"/>
    </row>
    <row r="24" spans="1:77" x14ac:dyDescent="0.25">
      <c r="A24" s="76">
        <v>152587</v>
      </c>
      <c r="B24" s="77" t="s">
        <v>1210</v>
      </c>
      <c r="C24" s="78" t="s">
        <v>1211</v>
      </c>
      <c r="D24" s="76" t="s">
        <v>12</v>
      </c>
      <c r="E24" s="79" t="s">
        <v>14</v>
      </c>
      <c r="F24" s="79" t="s">
        <v>71</v>
      </c>
      <c r="G24" s="79" t="s">
        <v>14</v>
      </c>
      <c r="H24" s="79" t="s">
        <v>14</v>
      </c>
      <c r="I24" s="78" t="s">
        <v>14</v>
      </c>
      <c r="J24" s="79" t="s">
        <v>14</v>
      </c>
      <c r="K24" s="142" t="s">
        <v>1850</v>
      </c>
      <c r="L24" s="149" t="s">
        <v>1845</v>
      </c>
      <c r="M24" s="150" t="s">
        <v>12</v>
      </c>
      <c r="N24" s="151">
        <v>6</v>
      </c>
      <c r="O24" s="151">
        <v>11</v>
      </c>
      <c r="P24" s="152">
        <v>4</v>
      </c>
      <c r="Q24" s="153">
        <v>93.48</v>
      </c>
      <c r="R24" s="154">
        <v>7</v>
      </c>
      <c r="S24" s="38">
        <f t="shared" si="0"/>
        <v>0</v>
      </c>
      <c r="T24" s="39">
        <f t="shared" si="1"/>
        <v>3</v>
      </c>
      <c r="U24" s="40">
        <f t="shared" si="2"/>
        <v>7</v>
      </c>
      <c r="V24" s="40">
        <f t="shared" si="3"/>
        <v>0</v>
      </c>
      <c r="W24" s="40">
        <f t="shared" si="4"/>
        <v>0</v>
      </c>
      <c r="X24" s="40">
        <f t="shared" si="5"/>
        <v>7</v>
      </c>
      <c r="Y24" s="40">
        <f t="shared" si="6"/>
        <v>0</v>
      </c>
      <c r="Z24" s="40">
        <f t="shared" si="7"/>
        <v>0</v>
      </c>
      <c r="AA24" s="40">
        <f t="shared" si="8"/>
        <v>0</v>
      </c>
      <c r="AB24" s="40">
        <f t="shared" si="10"/>
        <v>0</v>
      </c>
      <c r="AC24" s="41">
        <f t="shared" si="11"/>
        <v>0</v>
      </c>
      <c r="AD24" s="49"/>
      <c r="AE24" s="50"/>
      <c r="AF24" s="49"/>
      <c r="AG24" s="50"/>
      <c r="AH24" s="49"/>
      <c r="AI24" s="50"/>
      <c r="AJ24" s="49"/>
      <c r="AK24" s="50"/>
      <c r="AL24" s="49"/>
      <c r="AM24" s="50"/>
      <c r="AN24" s="49" t="s">
        <v>5</v>
      </c>
      <c r="AO24" s="50" t="s">
        <v>117</v>
      </c>
      <c r="AP24" s="49"/>
      <c r="AQ24" s="50"/>
      <c r="AR24" s="49" t="s">
        <v>30</v>
      </c>
      <c r="AS24" s="50" t="s">
        <v>142</v>
      </c>
      <c r="AT24" s="49"/>
      <c r="AU24" s="50"/>
      <c r="AV24" s="49" t="s">
        <v>30</v>
      </c>
      <c r="AW24" s="50" t="s">
        <v>105</v>
      </c>
      <c r="AX24" s="49"/>
      <c r="AY24" s="50"/>
      <c r="AZ24" s="49"/>
      <c r="BA24" s="50"/>
      <c r="BB24" s="49"/>
      <c r="BC24" s="50"/>
      <c r="BD24" s="49"/>
      <c r="BE24" s="50"/>
      <c r="BF24" s="49"/>
      <c r="BG24" s="50"/>
      <c r="BH24" s="49" t="s">
        <v>30</v>
      </c>
      <c r="BI24" s="50" t="s">
        <v>1184</v>
      </c>
      <c r="BJ24" s="49" t="s">
        <v>30</v>
      </c>
      <c r="BK24" s="50" t="s">
        <v>711</v>
      </c>
      <c r="BL24" s="49"/>
      <c r="BM24" s="50"/>
      <c r="BN24" s="49" t="s">
        <v>30</v>
      </c>
      <c r="BO24" s="50" t="s">
        <v>107</v>
      </c>
      <c r="BP24" s="49" t="s">
        <v>5</v>
      </c>
      <c r="BQ24" s="50" t="s">
        <v>81</v>
      </c>
      <c r="BR24" s="49"/>
      <c r="BS24" s="50"/>
      <c r="BT24" s="49" t="s">
        <v>5</v>
      </c>
      <c r="BU24" s="50" t="s">
        <v>108</v>
      </c>
      <c r="BV24" s="49" t="s">
        <v>30</v>
      </c>
      <c r="BW24" s="50" t="s">
        <v>109</v>
      </c>
      <c r="BX24" s="49" t="s">
        <v>30</v>
      </c>
      <c r="BY24" s="50" t="s">
        <v>103</v>
      </c>
    </row>
    <row r="25" spans="1:77" ht="30" x14ac:dyDescent="0.25">
      <c r="A25" s="76">
        <v>152534</v>
      </c>
      <c r="B25" s="77" t="s">
        <v>1212</v>
      </c>
      <c r="C25" s="78" t="s">
        <v>1211</v>
      </c>
      <c r="D25" s="76" t="s">
        <v>70</v>
      </c>
      <c r="E25" s="79" t="s">
        <v>14</v>
      </c>
      <c r="F25" s="79" t="s">
        <v>71</v>
      </c>
      <c r="G25" s="79" t="s">
        <v>14</v>
      </c>
      <c r="H25" s="79" t="s">
        <v>14</v>
      </c>
      <c r="I25" s="78" t="s">
        <v>14</v>
      </c>
      <c r="J25" s="79" t="s">
        <v>14</v>
      </c>
      <c r="K25" s="142" t="s">
        <v>1850</v>
      </c>
      <c r="L25" s="149" t="s">
        <v>1846</v>
      </c>
      <c r="M25" s="150" t="s">
        <v>1853</v>
      </c>
      <c r="N25" s="151">
        <v>22</v>
      </c>
      <c r="O25" s="151">
        <v>0</v>
      </c>
      <c r="P25" s="152">
        <v>0</v>
      </c>
      <c r="Q25" s="153">
        <v>100</v>
      </c>
      <c r="R25" s="154">
        <v>2</v>
      </c>
      <c r="S25" s="38">
        <f t="shared" si="0"/>
        <v>2</v>
      </c>
      <c r="T25" s="39">
        <f t="shared" si="1"/>
        <v>9</v>
      </c>
      <c r="U25" s="40">
        <f t="shared" si="2"/>
        <v>0</v>
      </c>
      <c r="V25" s="40">
        <f t="shared" si="3"/>
        <v>0</v>
      </c>
      <c r="W25" s="40">
        <f t="shared" si="4"/>
        <v>0</v>
      </c>
      <c r="X25" s="40">
        <f t="shared" si="5"/>
        <v>0</v>
      </c>
      <c r="Y25" s="40">
        <f t="shared" si="6"/>
        <v>0</v>
      </c>
      <c r="Z25" s="40">
        <f t="shared" si="7"/>
        <v>0</v>
      </c>
      <c r="AA25" s="40">
        <f t="shared" si="8"/>
        <v>0</v>
      </c>
      <c r="AB25" s="40">
        <f t="shared" si="10"/>
        <v>0</v>
      </c>
      <c r="AC25" s="41">
        <f t="shared" si="11"/>
        <v>0</v>
      </c>
      <c r="AD25" s="49"/>
      <c r="AE25" s="50"/>
      <c r="AF25" s="49" t="s">
        <v>5</v>
      </c>
      <c r="AG25" s="50" t="s">
        <v>164</v>
      </c>
      <c r="AH25" s="49"/>
      <c r="AI25" s="50"/>
      <c r="AJ25" s="49" t="s">
        <v>5</v>
      </c>
      <c r="AK25" s="50" t="s">
        <v>206</v>
      </c>
      <c r="AL25" s="49" t="s">
        <v>5</v>
      </c>
      <c r="AM25" s="50" t="s">
        <v>153</v>
      </c>
      <c r="AN25" s="49"/>
      <c r="AO25" s="50"/>
      <c r="AP25" s="49"/>
      <c r="AQ25" s="50"/>
      <c r="AR25" s="49" t="s">
        <v>5</v>
      </c>
      <c r="AS25" s="50" t="s">
        <v>91</v>
      </c>
      <c r="AT25" s="49"/>
      <c r="AU25" s="50"/>
      <c r="AV25" s="49" t="s">
        <v>1</v>
      </c>
      <c r="AW25" s="50" t="s">
        <v>105</v>
      </c>
      <c r="AX25" s="49"/>
      <c r="AY25" s="50"/>
      <c r="AZ25" s="49"/>
      <c r="BA25" s="50"/>
      <c r="BB25" s="49"/>
      <c r="BC25" s="50"/>
      <c r="BD25" s="49"/>
      <c r="BE25" s="50"/>
      <c r="BF25" s="49"/>
      <c r="BG25" s="50"/>
      <c r="BH25" s="49" t="s">
        <v>5</v>
      </c>
      <c r="BI25" s="50" t="s">
        <v>1184</v>
      </c>
      <c r="BJ25" s="49" t="s">
        <v>1</v>
      </c>
      <c r="BK25" s="50" t="s">
        <v>106</v>
      </c>
      <c r="BL25" s="49"/>
      <c r="BM25" s="50"/>
      <c r="BN25" s="49" t="s">
        <v>5</v>
      </c>
      <c r="BO25" s="50" t="s">
        <v>121</v>
      </c>
      <c r="BP25" s="49"/>
      <c r="BQ25" s="50"/>
      <c r="BR25" s="49" t="s">
        <v>5</v>
      </c>
      <c r="BS25" s="50" t="s">
        <v>123</v>
      </c>
      <c r="BT25" s="49" t="s">
        <v>5</v>
      </c>
      <c r="BU25" s="50" t="s">
        <v>82</v>
      </c>
      <c r="BV25" s="49"/>
      <c r="BW25" s="50"/>
      <c r="BX25" s="49" t="s">
        <v>5</v>
      </c>
      <c r="BY25" s="50" t="s">
        <v>130</v>
      </c>
    </row>
    <row r="26" spans="1:77" x14ac:dyDescent="0.25">
      <c r="A26" s="76">
        <v>152616</v>
      </c>
      <c r="B26" s="77" t="s">
        <v>1213</v>
      </c>
      <c r="C26" s="78" t="s">
        <v>1193</v>
      </c>
      <c r="D26" s="76" t="s">
        <v>12</v>
      </c>
      <c r="E26" s="79" t="s">
        <v>14</v>
      </c>
      <c r="F26" s="79" t="s">
        <v>71</v>
      </c>
      <c r="G26" s="79" t="s">
        <v>14</v>
      </c>
      <c r="H26" s="79" t="s">
        <v>14</v>
      </c>
      <c r="I26" s="78" t="s">
        <v>14</v>
      </c>
      <c r="J26" s="79" t="s">
        <v>14</v>
      </c>
      <c r="K26" s="142" t="s">
        <v>1850</v>
      </c>
      <c r="L26" s="149" t="s">
        <v>1842</v>
      </c>
      <c r="M26" s="150" t="s">
        <v>1853</v>
      </c>
      <c r="N26" s="151">
        <v>34</v>
      </c>
      <c r="O26" s="151">
        <v>2</v>
      </c>
      <c r="P26" s="152">
        <v>0</v>
      </c>
      <c r="Q26" s="153">
        <v>100</v>
      </c>
      <c r="R26" s="154">
        <v>0</v>
      </c>
      <c r="S26" s="38">
        <f t="shared" si="0"/>
        <v>1</v>
      </c>
      <c r="T26" s="39">
        <f t="shared" si="1"/>
        <v>10</v>
      </c>
      <c r="U26" s="40">
        <f t="shared" si="2"/>
        <v>0</v>
      </c>
      <c r="V26" s="40">
        <f t="shared" si="3"/>
        <v>0</v>
      </c>
      <c r="W26" s="40">
        <f t="shared" si="4"/>
        <v>0</v>
      </c>
      <c r="X26" s="40">
        <f t="shared" si="5"/>
        <v>0</v>
      </c>
      <c r="Y26" s="40">
        <f t="shared" si="6"/>
        <v>0</v>
      </c>
      <c r="Z26" s="40">
        <f t="shared" si="7"/>
        <v>0</v>
      </c>
      <c r="AA26" s="40">
        <f t="shared" si="8"/>
        <v>0</v>
      </c>
      <c r="AB26" s="40">
        <f t="shared" si="10"/>
        <v>0</v>
      </c>
      <c r="AC26" s="41">
        <f t="shared" si="11"/>
        <v>0</v>
      </c>
      <c r="AD26" s="49"/>
      <c r="AE26" s="50"/>
      <c r="AF26" s="49" t="s">
        <v>5</v>
      </c>
      <c r="AG26" s="50" t="s">
        <v>433</v>
      </c>
      <c r="AH26" s="49"/>
      <c r="AI26" s="50"/>
      <c r="AJ26" s="49" t="s">
        <v>5</v>
      </c>
      <c r="AK26" s="50" t="s">
        <v>137</v>
      </c>
      <c r="AL26" s="49"/>
      <c r="AM26" s="50"/>
      <c r="AN26" s="49"/>
      <c r="AO26" s="50"/>
      <c r="AP26" s="49"/>
      <c r="AQ26" s="50"/>
      <c r="AR26" s="49" t="s">
        <v>5</v>
      </c>
      <c r="AS26" s="50" t="s">
        <v>91</v>
      </c>
      <c r="AT26" s="49"/>
      <c r="AU26" s="50"/>
      <c r="AV26" s="49" t="s">
        <v>5</v>
      </c>
      <c r="AW26" s="50" t="s">
        <v>82</v>
      </c>
      <c r="AX26" s="49" t="s">
        <v>5</v>
      </c>
      <c r="AY26" s="50" t="s">
        <v>84</v>
      </c>
      <c r="AZ26" s="49" t="s">
        <v>5</v>
      </c>
      <c r="BA26" s="50" t="s">
        <v>144</v>
      </c>
      <c r="BB26" s="49"/>
      <c r="BC26" s="50"/>
      <c r="BD26" s="49"/>
      <c r="BE26" s="50"/>
      <c r="BF26" s="49"/>
      <c r="BG26" s="50"/>
      <c r="BH26" s="49" t="s">
        <v>5</v>
      </c>
      <c r="BI26" s="50" t="s">
        <v>105</v>
      </c>
      <c r="BJ26" s="49" t="s">
        <v>5</v>
      </c>
      <c r="BK26" s="50" t="s">
        <v>505</v>
      </c>
      <c r="BL26" s="49"/>
      <c r="BM26" s="50"/>
      <c r="BN26" s="49" t="s">
        <v>1</v>
      </c>
      <c r="BO26" s="50" t="s">
        <v>107</v>
      </c>
      <c r="BP26" s="49"/>
      <c r="BQ26" s="50"/>
      <c r="BR26" s="49" t="s">
        <v>5</v>
      </c>
      <c r="BS26" s="50" t="s">
        <v>170</v>
      </c>
      <c r="BT26" s="49" t="s">
        <v>5</v>
      </c>
      <c r="BU26" s="50" t="s">
        <v>97</v>
      </c>
      <c r="BV26" s="49"/>
      <c r="BW26" s="50"/>
      <c r="BX26" s="49"/>
      <c r="BY26" s="50"/>
    </row>
    <row r="27" spans="1:77" x14ac:dyDescent="0.25">
      <c r="A27" s="76">
        <v>152687</v>
      </c>
      <c r="B27" s="77" t="s">
        <v>1214</v>
      </c>
      <c r="C27" s="78" t="s">
        <v>1205</v>
      </c>
      <c r="D27" s="76" t="s">
        <v>70</v>
      </c>
      <c r="E27" s="79" t="s">
        <v>87</v>
      </c>
      <c r="F27" s="79" t="s">
        <v>88</v>
      </c>
      <c r="G27" s="79" t="s">
        <v>14</v>
      </c>
      <c r="H27" s="79" t="s">
        <v>87</v>
      </c>
      <c r="I27" s="78" t="s">
        <v>14</v>
      </c>
      <c r="J27" s="79" t="s">
        <v>14</v>
      </c>
      <c r="K27" s="142" t="s">
        <v>1850</v>
      </c>
      <c r="L27" s="149" t="s">
        <v>1842</v>
      </c>
      <c r="M27" s="150" t="s">
        <v>1853</v>
      </c>
      <c r="N27" s="151">
        <v>24</v>
      </c>
      <c r="O27" s="151">
        <v>4</v>
      </c>
      <c r="P27" s="152">
        <v>4</v>
      </c>
      <c r="Q27" s="153">
        <v>97.83</v>
      </c>
      <c r="R27" s="154">
        <v>3</v>
      </c>
      <c r="S27" s="38">
        <f t="shared" si="0"/>
        <v>1</v>
      </c>
      <c r="T27" s="39">
        <f t="shared" si="1"/>
        <v>5</v>
      </c>
      <c r="U27" s="40">
        <f t="shared" si="2"/>
        <v>3</v>
      </c>
      <c r="V27" s="40">
        <f t="shared" si="3"/>
        <v>2</v>
      </c>
      <c r="W27" s="40">
        <f t="shared" si="4"/>
        <v>0</v>
      </c>
      <c r="X27" s="40">
        <f t="shared" si="5"/>
        <v>5</v>
      </c>
      <c r="Y27" s="40">
        <f t="shared" si="6"/>
        <v>0</v>
      </c>
      <c r="Z27" s="40">
        <f t="shared" si="7"/>
        <v>0</v>
      </c>
      <c r="AA27" s="40">
        <f t="shared" si="8"/>
        <v>0</v>
      </c>
      <c r="AB27" s="40">
        <f t="shared" si="10"/>
        <v>0</v>
      </c>
      <c r="AC27" s="41">
        <f t="shared" si="11"/>
        <v>0</v>
      </c>
      <c r="AD27" s="49"/>
      <c r="AE27" s="50"/>
      <c r="AF27" s="49" t="s">
        <v>31</v>
      </c>
      <c r="AG27" s="50" t="s">
        <v>154</v>
      </c>
      <c r="AH27" s="49"/>
      <c r="AI27" s="50"/>
      <c r="AJ27" s="49" t="s">
        <v>31</v>
      </c>
      <c r="AK27" s="50" t="s">
        <v>206</v>
      </c>
      <c r="AL27" s="49"/>
      <c r="AM27" s="50"/>
      <c r="AN27" s="49"/>
      <c r="AO27" s="50"/>
      <c r="AP27" s="49"/>
      <c r="AQ27" s="50"/>
      <c r="AR27" s="49" t="s">
        <v>30</v>
      </c>
      <c r="AS27" s="50" t="s">
        <v>102</v>
      </c>
      <c r="AT27" s="49"/>
      <c r="AU27" s="50"/>
      <c r="AV27" s="49" t="s">
        <v>5</v>
      </c>
      <c r="AW27" s="50" t="s">
        <v>152</v>
      </c>
      <c r="AX27" s="49" t="s">
        <v>30</v>
      </c>
      <c r="AY27" s="50" t="s">
        <v>130</v>
      </c>
      <c r="AZ27" s="49" t="s">
        <v>5</v>
      </c>
      <c r="BA27" s="50" t="s">
        <v>144</v>
      </c>
      <c r="BB27" s="49"/>
      <c r="BC27" s="50"/>
      <c r="BD27" s="49"/>
      <c r="BE27" s="50"/>
      <c r="BF27" s="49"/>
      <c r="BG27" s="50"/>
      <c r="BH27" s="49" t="s">
        <v>5</v>
      </c>
      <c r="BI27" s="50" t="s">
        <v>105</v>
      </c>
      <c r="BJ27" s="49" t="s">
        <v>5</v>
      </c>
      <c r="BK27" s="50" t="s">
        <v>505</v>
      </c>
      <c r="BL27" s="49"/>
      <c r="BM27" s="50"/>
      <c r="BN27" s="49" t="s">
        <v>1</v>
      </c>
      <c r="BO27" s="50" t="s">
        <v>121</v>
      </c>
      <c r="BP27" s="49"/>
      <c r="BQ27" s="50"/>
      <c r="BR27" s="49" t="s">
        <v>5</v>
      </c>
      <c r="BS27" s="50" t="s">
        <v>140</v>
      </c>
      <c r="BT27" s="49" t="s">
        <v>30</v>
      </c>
      <c r="BU27" s="50" t="s">
        <v>97</v>
      </c>
      <c r="BV27" s="49"/>
      <c r="BW27" s="50"/>
      <c r="BX27" s="49"/>
      <c r="BY27" s="50"/>
    </row>
    <row r="28" spans="1:77" x14ac:dyDescent="0.25">
      <c r="A28" s="76">
        <v>152637</v>
      </c>
      <c r="B28" s="77" t="s">
        <v>1215</v>
      </c>
      <c r="C28" s="78" t="s">
        <v>1205</v>
      </c>
      <c r="D28" s="76" t="s">
        <v>70</v>
      </c>
      <c r="E28" s="79" t="s">
        <v>14</v>
      </c>
      <c r="F28" s="79" t="s">
        <v>220</v>
      </c>
      <c r="G28" s="79" t="s">
        <v>87</v>
      </c>
      <c r="H28" s="79" t="s">
        <v>14</v>
      </c>
      <c r="I28" s="78" t="s">
        <v>14</v>
      </c>
      <c r="J28" s="79" t="s">
        <v>14</v>
      </c>
      <c r="K28" s="142" t="s">
        <v>1850</v>
      </c>
      <c r="L28" s="149" t="s">
        <v>1841</v>
      </c>
      <c r="M28" s="150" t="s">
        <v>1853</v>
      </c>
      <c r="N28" s="151">
        <v>22</v>
      </c>
      <c r="O28" s="151">
        <v>0</v>
      </c>
      <c r="P28" s="152">
        <v>0</v>
      </c>
      <c r="Q28" s="153">
        <v>95.65</v>
      </c>
      <c r="R28" s="154">
        <v>3</v>
      </c>
      <c r="S28" s="38">
        <f t="shared" si="0"/>
        <v>1</v>
      </c>
      <c r="T28" s="39">
        <f t="shared" si="1"/>
        <v>9</v>
      </c>
      <c r="U28" s="40">
        <f t="shared" si="2"/>
        <v>1</v>
      </c>
      <c r="V28" s="40">
        <f t="shared" si="3"/>
        <v>0</v>
      </c>
      <c r="W28" s="40">
        <f t="shared" si="4"/>
        <v>0</v>
      </c>
      <c r="X28" s="40">
        <f t="shared" si="5"/>
        <v>1</v>
      </c>
      <c r="Y28" s="40">
        <f t="shared" si="6"/>
        <v>0</v>
      </c>
      <c r="Z28" s="40">
        <f t="shared" si="7"/>
        <v>0</v>
      </c>
      <c r="AA28" s="40">
        <f t="shared" si="8"/>
        <v>0</v>
      </c>
      <c r="AB28" s="40">
        <f t="shared" si="10"/>
        <v>0</v>
      </c>
      <c r="AC28" s="41">
        <f t="shared" si="11"/>
        <v>0</v>
      </c>
      <c r="AD28" s="49"/>
      <c r="AE28" s="50"/>
      <c r="AF28" s="49" t="s">
        <v>5</v>
      </c>
      <c r="AG28" s="50" t="s">
        <v>164</v>
      </c>
      <c r="AH28" s="49"/>
      <c r="AI28" s="50"/>
      <c r="AJ28" s="49" t="s">
        <v>5</v>
      </c>
      <c r="AK28" s="50" t="s">
        <v>206</v>
      </c>
      <c r="AL28" s="49"/>
      <c r="AM28" s="50"/>
      <c r="AN28" s="49"/>
      <c r="AO28" s="50"/>
      <c r="AP28" s="49"/>
      <c r="AQ28" s="50"/>
      <c r="AR28" s="49" t="s">
        <v>5</v>
      </c>
      <c r="AS28" s="50" t="s">
        <v>722</v>
      </c>
      <c r="AT28" s="49"/>
      <c r="AU28" s="50"/>
      <c r="AV28" s="49" t="s">
        <v>5</v>
      </c>
      <c r="AW28" s="50" t="s">
        <v>152</v>
      </c>
      <c r="AX28" s="49" t="s">
        <v>30</v>
      </c>
      <c r="AY28" s="50" t="s">
        <v>130</v>
      </c>
      <c r="AZ28" s="49" t="s">
        <v>5</v>
      </c>
      <c r="BA28" s="50" t="s">
        <v>144</v>
      </c>
      <c r="BB28" s="49"/>
      <c r="BC28" s="50"/>
      <c r="BD28" s="49"/>
      <c r="BE28" s="50"/>
      <c r="BF28" s="49"/>
      <c r="BG28" s="50"/>
      <c r="BH28" s="49" t="s">
        <v>1</v>
      </c>
      <c r="BI28" s="50" t="s">
        <v>105</v>
      </c>
      <c r="BJ28" s="49" t="s">
        <v>5</v>
      </c>
      <c r="BK28" s="50" t="s">
        <v>106</v>
      </c>
      <c r="BL28" s="49"/>
      <c r="BM28" s="50"/>
      <c r="BN28" s="49" t="s">
        <v>5</v>
      </c>
      <c r="BO28" s="50" t="s">
        <v>152</v>
      </c>
      <c r="BP28" s="49"/>
      <c r="BQ28" s="50"/>
      <c r="BR28" s="49" t="s">
        <v>5</v>
      </c>
      <c r="BS28" s="50" t="s">
        <v>123</v>
      </c>
      <c r="BT28" s="49" t="s">
        <v>5</v>
      </c>
      <c r="BU28" s="50" t="s">
        <v>97</v>
      </c>
      <c r="BV28" s="49"/>
      <c r="BW28" s="50"/>
      <c r="BX28" s="49"/>
      <c r="BY28" s="50"/>
    </row>
    <row r="29" spans="1:77" x14ac:dyDescent="0.25">
      <c r="A29" s="76">
        <v>152535</v>
      </c>
      <c r="B29" s="77" t="s">
        <v>1216</v>
      </c>
      <c r="C29" s="78" t="s">
        <v>1186</v>
      </c>
      <c r="D29" s="76" t="s">
        <v>12</v>
      </c>
      <c r="E29" s="79" t="s">
        <v>14</v>
      </c>
      <c r="F29" s="79" t="s">
        <v>71</v>
      </c>
      <c r="G29" s="79" t="s">
        <v>14</v>
      </c>
      <c r="H29" s="79" t="s">
        <v>14</v>
      </c>
      <c r="I29" s="78" t="s">
        <v>14</v>
      </c>
      <c r="J29" s="79" t="s">
        <v>6</v>
      </c>
      <c r="K29" s="142" t="s">
        <v>1850</v>
      </c>
      <c r="L29" s="149" t="s">
        <v>1845</v>
      </c>
      <c r="M29" s="150" t="s">
        <v>12</v>
      </c>
      <c r="N29" s="151">
        <v>20</v>
      </c>
      <c r="O29" s="151">
        <v>4</v>
      </c>
      <c r="P29" s="152">
        <v>1</v>
      </c>
      <c r="Q29" s="153">
        <v>100</v>
      </c>
      <c r="R29" s="154">
        <v>0</v>
      </c>
      <c r="S29" s="38">
        <f t="shared" si="0"/>
        <v>1</v>
      </c>
      <c r="T29" s="39">
        <f t="shared" si="1"/>
        <v>9</v>
      </c>
      <c r="U29" s="40">
        <f t="shared" si="2"/>
        <v>1</v>
      </c>
      <c r="V29" s="40">
        <f t="shared" si="3"/>
        <v>0</v>
      </c>
      <c r="W29" s="40">
        <f t="shared" si="4"/>
        <v>0</v>
      </c>
      <c r="X29" s="40">
        <f t="shared" si="5"/>
        <v>1</v>
      </c>
      <c r="Y29" s="40">
        <f t="shared" si="6"/>
        <v>0</v>
      </c>
      <c r="Z29" s="40">
        <f t="shared" si="7"/>
        <v>0</v>
      </c>
      <c r="AA29" s="40">
        <f t="shared" si="8"/>
        <v>0</v>
      </c>
      <c r="AB29" s="40">
        <f t="shared" si="10"/>
        <v>0</v>
      </c>
      <c r="AC29" s="41">
        <f t="shared" si="11"/>
        <v>0</v>
      </c>
      <c r="AD29" s="49"/>
      <c r="AE29" s="50"/>
      <c r="AF29" s="49" t="s">
        <v>5</v>
      </c>
      <c r="AG29" s="50" t="s">
        <v>433</v>
      </c>
      <c r="AH29" s="49" t="s">
        <v>5</v>
      </c>
      <c r="AI29" s="50" t="s">
        <v>78</v>
      </c>
      <c r="AJ29" s="49" t="s">
        <v>5</v>
      </c>
      <c r="AK29" s="50" t="s">
        <v>137</v>
      </c>
      <c r="AL29" s="49"/>
      <c r="AM29" s="50"/>
      <c r="AN29" s="49"/>
      <c r="AO29" s="50"/>
      <c r="AP29" s="49"/>
      <c r="AQ29" s="50"/>
      <c r="AR29" s="49" t="s">
        <v>30</v>
      </c>
      <c r="AS29" s="50" t="s">
        <v>448</v>
      </c>
      <c r="AT29" s="49"/>
      <c r="AU29" s="50"/>
      <c r="AV29" s="49" t="s">
        <v>5</v>
      </c>
      <c r="AW29" s="50" t="s">
        <v>83</v>
      </c>
      <c r="AX29" s="49"/>
      <c r="AY29" s="50"/>
      <c r="AZ29" s="49"/>
      <c r="BA29" s="50"/>
      <c r="BB29" s="49"/>
      <c r="BC29" s="50"/>
      <c r="BD29" s="49"/>
      <c r="BE29" s="50"/>
      <c r="BF29" s="49"/>
      <c r="BG29" s="50"/>
      <c r="BH29" s="49" t="s">
        <v>5</v>
      </c>
      <c r="BI29" s="50" t="s">
        <v>78</v>
      </c>
      <c r="BJ29" s="49" t="s">
        <v>1</v>
      </c>
      <c r="BK29" s="50" t="s">
        <v>94</v>
      </c>
      <c r="BL29" s="49"/>
      <c r="BM29" s="50"/>
      <c r="BN29" s="49" t="s">
        <v>5</v>
      </c>
      <c r="BO29" s="50" t="s">
        <v>741</v>
      </c>
      <c r="BP29" s="49"/>
      <c r="BQ29" s="50"/>
      <c r="BR29" s="49" t="s">
        <v>5</v>
      </c>
      <c r="BS29" s="50" t="s">
        <v>170</v>
      </c>
      <c r="BT29" s="49" t="s">
        <v>5</v>
      </c>
      <c r="BU29" s="50" t="s">
        <v>82</v>
      </c>
      <c r="BV29" s="49"/>
      <c r="BW29" s="50"/>
      <c r="BX29" s="49" t="s">
        <v>5</v>
      </c>
      <c r="BY29" s="50" t="s">
        <v>75</v>
      </c>
    </row>
    <row r="30" spans="1:77" x14ac:dyDescent="0.25">
      <c r="A30" s="76">
        <v>152558</v>
      </c>
      <c r="B30" s="77" t="s">
        <v>1217</v>
      </c>
      <c r="C30" s="78" t="s">
        <v>1188</v>
      </c>
      <c r="D30" s="76" t="s">
        <v>12</v>
      </c>
      <c r="E30" s="79" t="s">
        <v>87</v>
      </c>
      <c r="F30" s="79" t="s">
        <v>198</v>
      </c>
      <c r="G30" s="79" t="s">
        <v>14</v>
      </c>
      <c r="H30" s="79" t="s">
        <v>87</v>
      </c>
      <c r="I30" s="78" t="s">
        <v>87</v>
      </c>
      <c r="J30" s="79" t="s">
        <v>14</v>
      </c>
      <c r="K30" s="142" t="s">
        <v>1851</v>
      </c>
      <c r="L30" s="149" t="s">
        <v>1842</v>
      </c>
      <c r="M30" s="150" t="s">
        <v>1853</v>
      </c>
      <c r="N30" s="151">
        <v>20</v>
      </c>
      <c r="O30" s="151">
        <v>2</v>
      </c>
      <c r="P30" s="152">
        <v>1</v>
      </c>
      <c r="Q30" s="153">
        <v>97.83</v>
      </c>
      <c r="R30" s="154">
        <v>6</v>
      </c>
      <c r="S30" s="38">
        <f t="shared" si="0"/>
        <v>0</v>
      </c>
      <c r="T30" s="39">
        <f t="shared" si="1"/>
        <v>9</v>
      </c>
      <c r="U30" s="40">
        <f t="shared" si="2"/>
        <v>1</v>
      </c>
      <c r="V30" s="40">
        <f t="shared" si="3"/>
        <v>1</v>
      </c>
      <c r="W30" s="40">
        <f t="shared" si="4"/>
        <v>0</v>
      </c>
      <c r="X30" s="40">
        <f t="shared" si="5"/>
        <v>2</v>
      </c>
      <c r="Y30" s="40">
        <f t="shared" si="6"/>
        <v>0</v>
      </c>
      <c r="Z30" s="40">
        <f t="shared" si="7"/>
        <v>0</v>
      </c>
      <c r="AA30" s="40">
        <f t="shared" si="8"/>
        <v>0</v>
      </c>
      <c r="AB30" s="40">
        <f t="shared" si="10"/>
        <v>0</v>
      </c>
      <c r="AC30" s="41">
        <f t="shared" si="11"/>
        <v>0</v>
      </c>
      <c r="AD30" s="49"/>
      <c r="AE30" s="50"/>
      <c r="AF30" s="49" t="s">
        <v>5</v>
      </c>
      <c r="AG30" s="50" t="s">
        <v>154</v>
      </c>
      <c r="AH30" s="49"/>
      <c r="AI30" s="50"/>
      <c r="AJ30" s="49" t="s">
        <v>5</v>
      </c>
      <c r="AK30" s="50" t="s">
        <v>137</v>
      </c>
      <c r="AL30" s="49"/>
      <c r="AM30" s="50"/>
      <c r="AN30" s="49"/>
      <c r="AO30" s="50"/>
      <c r="AP30" s="49"/>
      <c r="AQ30" s="50"/>
      <c r="AR30" s="49" t="s">
        <v>31</v>
      </c>
      <c r="AS30" s="50" t="s">
        <v>448</v>
      </c>
      <c r="AT30" s="49"/>
      <c r="AU30" s="50"/>
      <c r="AV30" s="49" t="s">
        <v>5</v>
      </c>
      <c r="AW30" s="50" t="s">
        <v>430</v>
      </c>
      <c r="AX30" s="49" t="s">
        <v>30</v>
      </c>
      <c r="AY30" s="50" t="s">
        <v>130</v>
      </c>
      <c r="AZ30" s="49"/>
      <c r="BA30" s="50"/>
      <c r="BB30" s="49"/>
      <c r="BC30" s="50"/>
      <c r="BD30" s="49"/>
      <c r="BE30" s="50"/>
      <c r="BF30" s="49" t="s">
        <v>5</v>
      </c>
      <c r="BG30" s="50" t="s">
        <v>105</v>
      </c>
      <c r="BH30" s="49" t="s">
        <v>5</v>
      </c>
      <c r="BI30" s="50" t="s">
        <v>163</v>
      </c>
      <c r="BJ30" s="49" t="s">
        <v>5</v>
      </c>
      <c r="BK30" s="50" t="s">
        <v>106</v>
      </c>
      <c r="BL30" s="49"/>
      <c r="BM30" s="50"/>
      <c r="BN30" s="49" t="s">
        <v>5</v>
      </c>
      <c r="BO30" s="50" t="s">
        <v>107</v>
      </c>
      <c r="BP30" s="49"/>
      <c r="BQ30" s="50"/>
      <c r="BR30" s="49" t="s">
        <v>5</v>
      </c>
      <c r="BS30" s="50" t="s">
        <v>98</v>
      </c>
      <c r="BT30" s="49" t="s">
        <v>5</v>
      </c>
      <c r="BU30" s="50" t="s">
        <v>82</v>
      </c>
      <c r="BV30" s="49"/>
      <c r="BW30" s="50"/>
      <c r="BX30" s="49"/>
      <c r="BY30" s="50"/>
    </row>
    <row r="31" spans="1:77" x14ac:dyDescent="0.25">
      <c r="A31" s="76">
        <v>152526</v>
      </c>
      <c r="B31" s="77" t="s">
        <v>1218</v>
      </c>
      <c r="C31" s="78" t="s">
        <v>1205</v>
      </c>
      <c r="D31" s="76" t="s">
        <v>70</v>
      </c>
      <c r="E31" s="79" t="s">
        <v>14</v>
      </c>
      <c r="F31" s="79" t="s">
        <v>71</v>
      </c>
      <c r="G31" s="79" t="s">
        <v>14</v>
      </c>
      <c r="H31" s="79" t="s">
        <v>14</v>
      </c>
      <c r="I31" s="78" t="s">
        <v>14</v>
      </c>
      <c r="J31" s="79" t="s">
        <v>14</v>
      </c>
      <c r="K31" s="142" t="s">
        <v>1850</v>
      </c>
      <c r="L31" s="149" t="s">
        <v>1841</v>
      </c>
      <c r="M31" s="150" t="s">
        <v>1853</v>
      </c>
      <c r="N31" s="151">
        <v>21</v>
      </c>
      <c r="O31" s="151">
        <v>0</v>
      </c>
      <c r="P31" s="152">
        <v>0</v>
      </c>
      <c r="Q31" s="153">
        <v>89.13</v>
      </c>
      <c r="R31" s="154">
        <v>0</v>
      </c>
      <c r="S31" s="38">
        <f t="shared" si="0"/>
        <v>1</v>
      </c>
      <c r="T31" s="39">
        <f t="shared" si="1"/>
        <v>9</v>
      </c>
      <c r="U31" s="40">
        <f t="shared" si="2"/>
        <v>0</v>
      </c>
      <c r="V31" s="40">
        <f t="shared" si="3"/>
        <v>0</v>
      </c>
      <c r="W31" s="40">
        <f t="shared" si="4"/>
        <v>0</v>
      </c>
      <c r="X31" s="40">
        <f t="shared" si="5"/>
        <v>0</v>
      </c>
      <c r="Y31" s="40">
        <f t="shared" si="6"/>
        <v>0</v>
      </c>
      <c r="Z31" s="40">
        <f t="shared" si="7"/>
        <v>0</v>
      </c>
      <c r="AA31" s="40">
        <f t="shared" si="8"/>
        <v>0</v>
      </c>
      <c r="AB31" s="40">
        <f t="shared" si="10"/>
        <v>0</v>
      </c>
      <c r="AC31" s="41">
        <f t="shared" si="11"/>
        <v>0</v>
      </c>
      <c r="AD31" s="49" t="s">
        <v>5</v>
      </c>
      <c r="AE31" s="50" t="s">
        <v>89</v>
      </c>
      <c r="AF31" s="49"/>
      <c r="AG31" s="50"/>
      <c r="AH31" s="49"/>
      <c r="AI31" s="50"/>
      <c r="AJ31" s="49"/>
      <c r="AK31" s="50"/>
      <c r="AL31" s="49"/>
      <c r="AM31" s="50"/>
      <c r="AN31" s="49"/>
      <c r="AO31" s="50"/>
      <c r="AP31" s="49"/>
      <c r="AQ31" s="50"/>
      <c r="AR31" s="49" t="s">
        <v>5</v>
      </c>
      <c r="AS31" s="50" t="s">
        <v>91</v>
      </c>
      <c r="AT31" s="49"/>
      <c r="AU31" s="50"/>
      <c r="AV31" s="49" t="s">
        <v>5</v>
      </c>
      <c r="AW31" s="50" t="s">
        <v>152</v>
      </c>
      <c r="AX31" s="49" t="s">
        <v>5</v>
      </c>
      <c r="AY31" s="50" t="s">
        <v>84</v>
      </c>
      <c r="AZ31" s="49"/>
      <c r="BA31" s="50"/>
      <c r="BB31" s="49"/>
      <c r="BC31" s="50"/>
      <c r="BD31" s="49" t="s">
        <v>5</v>
      </c>
      <c r="BE31" s="50" t="s">
        <v>104</v>
      </c>
      <c r="BF31" s="49"/>
      <c r="BG31" s="50"/>
      <c r="BH31" s="49" t="s">
        <v>5</v>
      </c>
      <c r="BI31" s="50" t="s">
        <v>105</v>
      </c>
      <c r="BJ31" s="49" t="s">
        <v>5</v>
      </c>
      <c r="BK31" s="50" t="s">
        <v>505</v>
      </c>
      <c r="BL31" s="49"/>
      <c r="BM31" s="50"/>
      <c r="BN31" s="49" t="s">
        <v>5</v>
      </c>
      <c r="BO31" s="50" t="s">
        <v>152</v>
      </c>
      <c r="BP31" s="49"/>
      <c r="BQ31" s="50"/>
      <c r="BR31" s="49"/>
      <c r="BS31" s="50"/>
      <c r="BT31" s="49" t="s">
        <v>1</v>
      </c>
      <c r="BU31" s="50" t="s">
        <v>97</v>
      </c>
      <c r="BV31" s="49" t="s">
        <v>5</v>
      </c>
      <c r="BW31" s="50" t="s">
        <v>98</v>
      </c>
      <c r="BX31" s="49"/>
      <c r="BY31" s="50"/>
    </row>
    <row r="32" spans="1:77" x14ac:dyDescent="0.25">
      <c r="A32" s="76">
        <v>152680</v>
      </c>
      <c r="B32" s="77" t="s">
        <v>1219</v>
      </c>
      <c r="C32" s="78" t="s">
        <v>1211</v>
      </c>
      <c r="D32" s="76" t="s">
        <v>70</v>
      </c>
      <c r="E32" s="79" t="s">
        <v>14</v>
      </c>
      <c r="F32" s="79" t="s">
        <v>71</v>
      </c>
      <c r="G32" s="79" t="s">
        <v>14</v>
      </c>
      <c r="H32" s="79" t="s">
        <v>14</v>
      </c>
      <c r="I32" s="78" t="s">
        <v>14</v>
      </c>
      <c r="J32" s="79" t="s">
        <v>14</v>
      </c>
      <c r="K32" s="142" t="s">
        <v>1850</v>
      </c>
      <c r="L32" s="149" t="s">
        <v>1842</v>
      </c>
      <c r="M32" s="150" t="s">
        <v>12</v>
      </c>
      <c r="N32" s="151">
        <v>13</v>
      </c>
      <c r="O32" s="151">
        <v>1</v>
      </c>
      <c r="P32" s="152">
        <v>0</v>
      </c>
      <c r="Q32" s="153">
        <v>91.3</v>
      </c>
      <c r="R32" s="154">
        <v>2</v>
      </c>
      <c r="S32" s="38">
        <f t="shared" si="0"/>
        <v>1</v>
      </c>
      <c r="T32" s="39">
        <f t="shared" si="1"/>
        <v>9</v>
      </c>
      <c r="U32" s="40">
        <f t="shared" si="2"/>
        <v>0</v>
      </c>
      <c r="V32" s="40">
        <f t="shared" si="3"/>
        <v>0</v>
      </c>
      <c r="W32" s="40">
        <f t="shared" si="4"/>
        <v>0</v>
      </c>
      <c r="X32" s="40">
        <f t="shared" si="5"/>
        <v>0</v>
      </c>
      <c r="Y32" s="40">
        <f t="shared" si="6"/>
        <v>0</v>
      </c>
      <c r="Z32" s="40">
        <f t="shared" si="7"/>
        <v>0</v>
      </c>
      <c r="AA32" s="40">
        <f t="shared" si="8"/>
        <v>0</v>
      </c>
      <c r="AB32" s="40">
        <f t="shared" si="10"/>
        <v>0</v>
      </c>
      <c r="AC32" s="41">
        <f t="shared" si="11"/>
        <v>0</v>
      </c>
      <c r="AD32" s="49" t="s">
        <v>1</v>
      </c>
      <c r="AE32" s="50" t="s">
        <v>89</v>
      </c>
      <c r="AF32" s="49"/>
      <c r="AG32" s="50"/>
      <c r="AH32" s="49"/>
      <c r="AI32" s="50"/>
      <c r="AJ32" s="49"/>
      <c r="AK32" s="50"/>
      <c r="AL32" s="49"/>
      <c r="AM32" s="50"/>
      <c r="AN32" s="49"/>
      <c r="AO32" s="50"/>
      <c r="AP32" s="49"/>
      <c r="AQ32" s="50"/>
      <c r="AR32" s="49" t="s">
        <v>5</v>
      </c>
      <c r="AS32" s="50" t="s">
        <v>448</v>
      </c>
      <c r="AT32" s="49"/>
      <c r="AU32" s="50"/>
      <c r="AV32" s="49" t="s">
        <v>5</v>
      </c>
      <c r="AW32" s="50" t="s">
        <v>105</v>
      </c>
      <c r="AX32" s="49"/>
      <c r="AY32" s="50"/>
      <c r="AZ32" s="49"/>
      <c r="BA32" s="50"/>
      <c r="BB32" s="49"/>
      <c r="BC32" s="50"/>
      <c r="BD32" s="49"/>
      <c r="BE32" s="50"/>
      <c r="BF32" s="49" t="s">
        <v>5</v>
      </c>
      <c r="BG32" s="50" t="s">
        <v>105</v>
      </c>
      <c r="BH32" s="49" t="s">
        <v>5</v>
      </c>
      <c r="BI32" s="50" t="s">
        <v>1184</v>
      </c>
      <c r="BJ32" s="49" t="s">
        <v>5</v>
      </c>
      <c r="BK32" s="50" t="s">
        <v>422</v>
      </c>
      <c r="BL32" s="49"/>
      <c r="BM32" s="50"/>
      <c r="BN32" s="49" t="s">
        <v>5</v>
      </c>
      <c r="BO32" s="50" t="s">
        <v>121</v>
      </c>
      <c r="BP32" s="49"/>
      <c r="BQ32" s="50"/>
      <c r="BR32" s="49"/>
      <c r="BS32" s="50"/>
      <c r="BT32" s="49" t="s">
        <v>5</v>
      </c>
      <c r="BU32" s="50" t="s">
        <v>82</v>
      </c>
      <c r="BV32" s="49" t="s">
        <v>5</v>
      </c>
      <c r="BW32" s="50" t="s">
        <v>98</v>
      </c>
      <c r="BX32" s="49" t="s">
        <v>5</v>
      </c>
      <c r="BY32" s="50" t="s">
        <v>130</v>
      </c>
    </row>
    <row r="33" spans="1:77" x14ac:dyDescent="0.25">
      <c r="A33" s="76">
        <v>152627</v>
      </c>
      <c r="B33" s="77" t="s">
        <v>1220</v>
      </c>
      <c r="C33" s="78" t="s">
        <v>1186</v>
      </c>
      <c r="D33" s="76" t="s">
        <v>70</v>
      </c>
      <c r="E33" s="79" t="s">
        <v>14</v>
      </c>
      <c r="F33" s="77" t="s">
        <v>184</v>
      </c>
      <c r="G33" s="79" t="s">
        <v>87</v>
      </c>
      <c r="H33" s="79" t="s">
        <v>14</v>
      </c>
      <c r="I33" s="78" t="s">
        <v>14</v>
      </c>
      <c r="J33" s="79" t="s">
        <v>14</v>
      </c>
      <c r="K33" s="142" t="s">
        <v>1850</v>
      </c>
      <c r="L33" s="149" t="s">
        <v>1841</v>
      </c>
      <c r="M33" s="150" t="s">
        <v>1853</v>
      </c>
      <c r="N33" s="151">
        <v>23</v>
      </c>
      <c r="O33" s="151">
        <v>0</v>
      </c>
      <c r="P33" s="152">
        <v>0</v>
      </c>
      <c r="Q33" s="153">
        <v>100</v>
      </c>
      <c r="R33" s="154">
        <v>0</v>
      </c>
      <c r="S33" s="38">
        <f t="shared" si="0"/>
        <v>3</v>
      </c>
      <c r="T33" s="39">
        <f t="shared" si="1"/>
        <v>8</v>
      </c>
      <c r="U33" s="40">
        <f t="shared" si="2"/>
        <v>0</v>
      </c>
      <c r="V33" s="40">
        <f t="shared" si="3"/>
        <v>0</v>
      </c>
      <c r="W33" s="40">
        <f t="shared" si="4"/>
        <v>0</v>
      </c>
      <c r="X33" s="40">
        <f t="shared" si="5"/>
        <v>0</v>
      </c>
      <c r="Y33" s="40">
        <f t="shared" si="6"/>
        <v>0</v>
      </c>
      <c r="Z33" s="40">
        <f t="shared" si="7"/>
        <v>0</v>
      </c>
      <c r="AA33" s="40">
        <f t="shared" si="8"/>
        <v>0</v>
      </c>
      <c r="AB33" s="40">
        <f t="shared" si="10"/>
        <v>0</v>
      </c>
      <c r="AC33" s="41">
        <f t="shared" si="11"/>
        <v>0</v>
      </c>
      <c r="AD33" s="49" t="s">
        <v>1</v>
      </c>
      <c r="AE33" s="50" t="s">
        <v>72</v>
      </c>
      <c r="AF33" s="49" t="s">
        <v>5</v>
      </c>
      <c r="AG33" s="50" t="s">
        <v>164</v>
      </c>
      <c r="AH33" s="49"/>
      <c r="AI33" s="50"/>
      <c r="AJ33" s="49" t="s">
        <v>5</v>
      </c>
      <c r="AK33" s="50" t="s">
        <v>206</v>
      </c>
      <c r="AL33" s="49"/>
      <c r="AM33" s="50"/>
      <c r="AN33" s="49"/>
      <c r="AO33" s="50"/>
      <c r="AP33" s="49"/>
      <c r="AQ33" s="50"/>
      <c r="AR33" s="49" t="s">
        <v>5</v>
      </c>
      <c r="AS33" s="50" t="s">
        <v>91</v>
      </c>
      <c r="AT33" s="49"/>
      <c r="AU33" s="50"/>
      <c r="AV33" s="49" t="s">
        <v>5</v>
      </c>
      <c r="AW33" s="50" t="s">
        <v>83</v>
      </c>
      <c r="AX33" s="49"/>
      <c r="AY33" s="50"/>
      <c r="AZ33" s="49"/>
      <c r="BA33" s="50"/>
      <c r="BB33" s="49"/>
      <c r="BC33" s="50"/>
      <c r="BD33" s="49"/>
      <c r="BE33" s="50"/>
      <c r="BF33" s="49"/>
      <c r="BG33" s="50"/>
      <c r="BH33" s="49" t="s">
        <v>5</v>
      </c>
      <c r="BI33" s="50" t="s">
        <v>105</v>
      </c>
      <c r="BJ33" s="49" t="s">
        <v>1</v>
      </c>
      <c r="BK33" s="50" t="s">
        <v>422</v>
      </c>
      <c r="BL33" s="49"/>
      <c r="BM33" s="50"/>
      <c r="BN33" s="49" t="s">
        <v>5</v>
      </c>
      <c r="BO33" s="50" t="s">
        <v>152</v>
      </c>
      <c r="BP33" s="49"/>
      <c r="BQ33" s="50"/>
      <c r="BR33" s="49" t="s">
        <v>5</v>
      </c>
      <c r="BS33" s="50" t="s">
        <v>123</v>
      </c>
      <c r="BT33" s="49" t="s">
        <v>5</v>
      </c>
      <c r="BU33" s="50" t="s">
        <v>82</v>
      </c>
      <c r="BV33" s="49"/>
      <c r="BW33" s="50"/>
      <c r="BX33" s="49" t="s">
        <v>1</v>
      </c>
      <c r="BY33" s="50" t="s">
        <v>130</v>
      </c>
    </row>
    <row r="34" spans="1:77" x14ac:dyDescent="0.25">
      <c r="A34" s="76">
        <v>152675</v>
      </c>
      <c r="B34" s="77" t="s">
        <v>1221</v>
      </c>
      <c r="C34" s="78" t="s">
        <v>1191</v>
      </c>
      <c r="D34" s="76" t="s">
        <v>70</v>
      </c>
      <c r="E34" s="79" t="s">
        <v>14</v>
      </c>
      <c r="F34" s="79" t="s">
        <v>146</v>
      </c>
      <c r="G34" s="79" t="s">
        <v>14</v>
      </c>
      <c r="H34" s="79" t="s">
        <v>14</v>
      </c>
      <c r="I34" s="78" t="s">
        <v>14</v>
      </c>
      <c r="J34" s="79" t="s">
        <v>14</v>
      </c>
      <c r="K34" s="142" t="s">
        <v>1850</v>
      </c>
      <c r="L34" s="149" t="s">
        <v>1841</v>
      </c>
      <c r="M34" s="150" t="s">
        <v>1853</v>
      </c>
      <c r="N34" s="151">
        <v>26</v>
      </c>
      <c r="O34" s="151">
        <v>0</v>
      </c>
      <c r="P34" s="152">
        <v>0</v>
      </c>
      <c r="Q34" s="153">
        <v>100</v>
      </c>
      <c r="R34" s="154">
        <v>0</v>
      </c>
      <c r="S34" s="38">
        <f t="shared" si="0"/>
        <v>0</v>
      </c>
      <c r="T34" s="39">
        <f t="shared" si="1"/>
        <v>11</v>
      </c>
      <c r="U34" s="40">
        <f t="shared" si="2"/>
        <v>0</v>
      </c>
      <c r="V34" s="40">
        <f t="shared" si="3"/>
        <v>0</v>
      </c>
      <c r="W34" s="40">
        <f t="shared" si="4"/>
        <v>0</v>
      </c>
      <c r="X34" s="40">
        <f t="shared" si="5"/>
        <v>0</v>
      </c>
      <c r="Y34" s="40">
        <f t="shared" si="6"/>
        <v>0</v>
      </c>
      <c r="Z34" s="40">
        <f t="shared" si="7"/>
        <v>0</v>
      </c>
      <c r="AA34" s="40">
        <f t="shared" si="8"/>
        <v>0</v>
      </c>
      <c r="AB34" s="40">
        <f t="shared" si="10"/>
        <v>0</v>
      </c>
      <c r="AC34" s="41">
        <f t="shared" si="11"/>
        <v>0</v>
      </c>
      <c r="AD34" s="49"/>
      <c r="AE34" s="50"/>
      <c r="AF34" s="49" t="s">
        <v>5</v>
      </c>
      <c r="AG34" s="50" t="s">
        <v>164</v>
      </c>
      <c r="AH34" s="49"/>
      <c r="AI34" s="50"/>
      <c r="AJ34" s="49" t="s">
        <v>5</v>
      </c>
      <c r="AK34" s="50" t="s">
        <v>206</v>
      </c>
      <c r="AL34" s="49"/>
      <c r="AM34" s="50"/>
      <c r="AN34" s="49"/>
      <c r="AO34" s="50"/>
      <c r="AP34" s="49"/>
      <c r="AQ34" s="50"/>
      <c r="AR34" s="49" t="s">
        <v>5</v>
      </c>
      <c r="AS34" s="50" t="s">
        <v>91</v>
      </c>
      <c r="AT34" s="49"/>
      <c r="AU34" s="50"/>
      <c r="AV34" s="49" t="s">
        <v>5</v>
      </c>
      <c r="AW34" s="50" t="s">
        <v>154</v>
      </c>
      <c r="AX34" s="49"/>
      <c r="AY34" s="50"/>
      <c r="AZ34" s="49"/>
      <c r="BA34" s="50"/>
      <c r="BB34" s="49"/>
      <c r="BC34" s="50"/>
      <c r="BD34" s="49" t="s">
        <v>5</v>
      </c>
      <c r="BE34" s="50" t="s">
        <v>104</v>
      </c>
      <c r="BF34" s="49"/>
      <c r="BG34" s="50"/>
      <c r="BH34" s="49" t="s">
        <v>5</v>
      </c>
      <c r="BI34" s="50" t="s">
        <v>78</v>
      </c>
      <c r="BJ34" s="49" t="s">
        <v>5</v>
      </c>
      <c r="BK34" s="50" t="s">
        <v>505</v>
      </c>
      <c r="BL34" s="49"/>
      <c r="BM34" s="50"/>
      <c r="BN34" s="49" t="s">
        <v>5</v>
      </c>
      <c r="BO34" s="50" t="s">
        <v>152</v>
      </c>
      <c r="BP34" s="49"/>
      <c r="BQ34" s="50"/>
      <c r="BR34" s="49" t="s">
        <v>5</v>
      </c>
      <c r="BS34" s="50" t="s">
        <v>123</v>
      </c>
      <c r="BT34" s="49" t="s">
        <v>5</v>
      </c>
      <c r="BU34" s="50" t="s">
        <v>82</v>
      </c>
      <c r="BV34" s="49"/>
      <c r="BW34" s="50"/>
      <c r="BX34" s="49" t="s">
        <v>5</v>
      </c>
      <c r="BY34" s="50" t="s">
        <v>130</v>
      </c>
    </row>
    <row r="35" spans="1:77" x14ac:dyDescent="0.25">
      <c r="A35" s="76">
        <v>152615</v>
      </c>
      <c r="B35" s="77" t="s">
        <v>1222</v>
      </c>
      <c r="C35" s="78" t="s">
        <v>1211</v>
      </c>
      <c r="D35" s="76" t="s">
        <v>12</v>
      </c>
      <c r="E35" s="79" t="s">
        <v>14</v>
      </c>
      <c r="F35" s="79" t="s">
        <v>71</v>
      </c>
      <c r="G35" s="79" t="s">
        <v>14</v>
      </c>
      <c r="H35" s="79" t="s">
        <v>14</v>
      </c>
      <c r="I35" s="78" t="s">
        <v>14</v>
      </c>
      <c r="J35" s="79" t="s">
        <v>14</v>
      </c>
      <c r="K35" s="142" t="s">
        <v>1850</v>
      </c>
      <c r="L35" s="149" t="s">
        <v>1844</v>
      </c>
      <c r="M35" s="150" t="s">
        <v>12</v>
      </c>
      <c r="N35" s="151">
        <v>16</v>
      </c>
      <c r="O35" s="151">
        <v>0</v>
      </c>
      <c r="P35" s="152">
        <v>0</v>
      </c>
      <c r="Q35" s="153">
        <v>100</v>
      </c>
      <c r="R35" s="154">
        <v>0</v>
      </c>
      <c r="S35" s="38">
        <f t="shared" si="0"/>
        <v>1</v>
      </c>
      <c r="T35" s="39">
        <f t="shared" si="1"/>
        <v>10</v>
      </c>
      <c r="U35" s="40">
        <f t="shared" si="2"/>
        <v>0</v>
      </c>
      <c r="V35" s="40">
        <f t="shared" si="3"/>
        <v>0</v>
      </c>
      <c r="W35" s="40">
        <f t="shared" si="4"/>
        <v>0</v>
      </c>
      <c r="X35" s="40">
        <f t="shared" si="5"/>
        <v>0</v>
      </c>
      <c r="Y35" s="40">
        <f t="shared" si="6"/>
        <v>0</v>
      </c>
      <c r="Z35" s="40">
        <f t="shared" si="7"/>
        <v>0</v>
      </c>
      <c r="AA35" s="40">
        <f t="shared" si="8"/>
        <v>0</v>
      </c>
      <c r="AB35" s="40">
        <f t="shared" si="10"/>
        <v>0</v>
      </c>
      <c r="AC35" s="41">
        <f t="shared" si="11"/>
        <v>0</v>
      </c>
      <c r="AD35" s="49"/>
      <c r="AE35" s="50"/>
      <c r="AF35" s="49" t="s">
        <v>5</v>
      </c>
      <c r="AG35" s="50" t="s">
        <v>154</v>
      </c>
      <c r="AH35" s="49"/>
      <c r="AI35" s="50"/>
      <c r="AJ35" s="49" t="s">
        <v>5</v>
      </c>
      <c r="AK35" s="50" t="s">
        <v>137</v>
      </c>
      <c r="AL35" s="49"/>
      <c r="AM35" s="50"/>
      <c r="AN35" s="49"/>
      <c r="AO35" s="50"/>
      <c r="AP35" s="49"/>
      <c r="AQ35" s="50"/>
      <c r="AR35" s="49" t="s">
        <v>5</v>
      </c>
      <c r="AS35" s="50" t="s">
        <v>151</v>
      </c>
      <c r="AT35" s="49"/>
      <c r="AU35" s="50"/>
      <c r="AV35" s="49" t="s">
        <v>5</v>
      </c>
      <c r="AW35" s="50" t="s">
        <v>105</v>
      </c>
      <c r="AX35" s="49"/>
      <c r="AY35" s="50"/>
      <c r="AZ35" s="49"/>
      <c r="BA35" s="50"/>
      <c r="BB35" s="49"/>
      <c r="BC35" s="50"/>
      <c r="BD35" s="49"/>
      <c r="BE35" s="50"/>
      <c r="BF35" s="49" t="s">
        <v>5</v>
      </c>
      <c r="BG35" s="50" t="s">
        <v>105</v>
      </c>
      <c r="BH35" s="49" t="s">
        <v>5</v>
      </c>
      <c r="BI35" s="50" t="s">
        <v>1184</v>
      </c>
      <c r="BJ35" s="49" t="s">
        <v>1</v>
      </c>
      <c r="BK35" s="50" t="s">
        <v>94</v>
      </c>
      <c r="BL35" s="49"/>
      <c r="BM35" s="50"/>
      <c r="BN35" s="49" t="s">
        <v>5</v>
      </c>
      <c r="BO35" s="50" t="s">
        <v>96</v>
      </c>
      <c r="BP35" s="49"/>
      <c r="BQ35" s="50"/>
      <c r="BR35" s="49" t="s">
        <v>5</v>
      </c>
      <c r="BS35" s="50" t="s">
        <v>98</v>
      </c>
      <c r="BT35" s="49" t="s">
        <v>5</v>
      </c>
      <c r="BU35" s="50" t="s">
        <v>457</v>
      </c>
      <c r="BV35" s="49"/>
      <c r="BW35" s="50"/>
      <c r="BX35" s="49" t="s">
        <v>5</v>
      </c>
      <c r="BY35" s="50" t="s">
        <v>421</v>
      </c>
    </row>
    <row r="36" spans="1:77" x14ac:dyDescent="0.25">
      <c r="A36" s="76">
        <v>152711</v>
      </c>
      <c r="B36" s="77" t="s">
        <v>1223</v>
      </c>
      <c r="C36" s="78" t="s">
        <v>1193</v>
      </c>
      <c r="D36" s="76" t="s">
        <v>70</v>
      </c>
      <c r="E36" s="79" t="s">
        <v>87</v>
      </c>
      <c r="F36" s="79" t="s">
        <v>71</v>
      </c>
      <c r="G36" s="79" t="s">
        <v>14</v>
      </c>
      <c r="H36" s="79" t="s">
        <v>87</v>
      </c>
      <c r="I36" s="78" t="s">
        <v>14</v>
      </c>
      <c r="J36" s="79" t="s">
        <v>14</v>
      </c>
      <c r="K36" s="142" t="s">
        <v>1851</v>
      </c>
      <c r="L36" s="149" t="s">
        <v>1848</v>
      </c>
      <c r="M36" s="150" t="s">
        <v>1852</v>
      </c>
      <c r="N36" s="151">
        <v>18</v>
      </c>
      <c r="O36" s="151">
        <v>0</v>
      </c>
      <c r="P36" s="152">
        <v>0</v>
      </c>
      <c r="Q36" s="153">
        <v>65.22</v>
      </c>
      <c r="R36" s="154">
        <v>1</v>
      </c>
      <c r="S36" s="38">
        <f t="shared" si="0"/>
        <v>0</v>
      </c>
      <c r="T36" s="39">
        <f t="shared" si="1"/>
        <v>9</v>
      </c>
      <c r="U36" s="40">
        <f t="shared" si="2"/>
        <v>0</v>
      </c>
      <c r="V36" s="40">
        <f t="shared" si="3"/>
        <v>1</v>
      </c>
      <c r="W36" s="40">
        <f t="shared" si="4"/>
        <v>0</v>
      </c>
      <c r="X36" s="40">
        <f t="shared" si="5"/>
        <v>1</v>
      </c>
      <c r="Y36" s="40">
        <f t="shared" si="6"/>
        <v>0</v>
      </c>
      <c r="Z36" s="40">
        <f t="shared" si="7"/>
        <v>0</v>
      </c>
      <c r="AA36" s="40">
        <f t="shared" si="8"/>
        <v>0</v>
      </c>
      <c r="AB36" s="40">
        <f t="shared" si="10"/>
        <v>0</v>
      </c>
      <c r="AC36" s="41">
        <f t="shared" si="11"/>
        <v>0</v>
      </c>
      <c r="AD36" s="49"/>
      <c r="AE36" s="50"/>
      <c r="AF36" s="49"/>
      <c r="AG36" s="50"/>
      <c r="AH36" s="49"/>
      <c r="AI36" s="50"/>
      <c r="AJ36" s="49"/>
      <c r="AK36" s="50"/>
      <c r="AL36" s="49"/>
      <c r="AM36" s="50"/>
      <c r="AN36" s="49"/>
      <c r="AO36" s="50"/>
      <c r="AP36" s="49"/>
      <c r="AQ36" s="50"/>
      <c r="AR36" s="49" t="s">
        <v>5</v>
      </c>
      <c r="AS36" s="50" t="s">
        <v>169</v>
      </c>
      <c r="AT36" s="49"/>
      <c r="AU36" s="50"/>
      <c r="AV36" s="49" t="s">
        <v>5</v>
      </c>
      <c r="AW36" s="50" t="s">
        <v>82</v>
      </c>
      <c r="AX36" s="49" t="s">
        <v>5</v>
      </c>
      <c r="AY36" s="50" t="s">
        <v>130</v>
      </c>
      <c r="AZ36" s="49"/>
      <c r="BA36" s="50"/>
      <c r="BB36" s="49" t="s">
        <v>5</v>
      </c>
      <c r="BC36" s="50" t="s">
        <v>436</v>
      </c>
      <c r="BD36" s="49"/>
      <c r="BE36" s="50"/>
      <c r="BF36" s="49"/>
      <c r="BG36" s="50"/>
      <c r="BH36" s="49" t="s">
        <v>5</v>
      </c>
      <c r="BI36" s="50" t="s">
        <v>105</v>
      </c>
      <c r="BJ36" s="49" t="s">
        <v>5</v>
      </c>
      <c r="BK36" s="50" t="s">
        <v>139</v>
      </c>
      <c r="BL36" s="49" t="s">
        <v>5</v>
      </c>
      <c r="BM36" s="50" t="s">
        <v>116</v>
      </c>
      <c r="BN36" s="49" t="s">
        <v>31</v>
      </c>
      <c r="BO36" s="50" t="s">
        <v>121</v>
      </c>
      <c r="BP36" s="49"/>
      <c r="BQ36" s="50"/>
      <c r="BR36" s="49"/>
      <c r="BS36" s="50"/>
      <c r="BT36" s="49" t="s">
        <v>5</v>
      </c>
      <c r="BU36" s="50" t="s">
        <v>82</v>
      </c>
      <c r="BV36" s="49" t="s">
        <v>5</v>
      </c>
      <c r="BW36" s="50" t="s">
        <v>98</v>
      </c>
      <c r="BX36" s="49"/>
      <c r="BY36" s="50"/>
    </row>
    <row r="37" spans="1:77" x14ac:dyDescent="0.25">
      <c r="A37" s="76">
        <v>152705</v>
      </c>
      <c r="B37" s="77" t="s">
        <v>1224</v>
      </c>
      <c r="C37" s="78" t="s">
        <v>1193</v>
      </c>
      <c r="D37" s="76" t="s">
        <v>12</v>
      </c>
      <c r="E37" s="79" t="s">
        <v>14</v>
      </c>
      <c r="F37" s="79" t="s">
        <v>71</v>
      </c>
      <c r="G37" s="79" t="s">
        <v>14</v>
      </c>
      <c r="H37" s="79" t="s">
        <v>14</v>
      </c>
      <c r="I37" s="78" t="s">
        <v>14</v>
      </c>
      <c r="J37" s="79" t="s">
        <v>14</v>
      </c>
      <c r="K37" s="142" t="s">
        <v>1851</v>
      </c>
      <c r="L37" s="149" t="s">
        <v>1848</v>
      </c>
      <c r="M37" s="150" t="s">
        <v>1852</v>
      </c>
      <c r="N37" s="151">
        <v>30</v>
      </c>
      <c r="O37" s="151">
        <v>0</v>
      </c>
      <c r="P37" s="152">
        <v>0</v>
      </c>
      <c r="Q37" s="153">
        <v>95.65</v>
      </c>
      <c r="R37" s="154">
        <v>1</v>
      </c>
      <c r="S37" s="38">
        <f t="shared" si="0"/>
        <v>2</v>
      </c>
      <c r="T37" s="39">
        <f t="shared" si="1"/>
        <v>9</v>
      </c>
      <c r="U37" s="40">
        <f t="shared" si="2"/>
        <v>0</v>
      </c>
      <c r="V37" s="40">
        <f t="shared" si="3"/>
        <v>0</v>
      </c>
      <c r="W37" s="40">
        <f t="shared" si="4"/>
        <v>0</v>
      </c>
      <c r="X37" s="40">
        <f t="shared" si="5"/>
        <v>0</v>
      </c>
      <c r="Y37" s="40">
        <f t="shared" si="6"/>
        <v>0</v>
      </c>
      <c r="Z37" s="40">
        <f t="shared" si="7"/>
        <v>0</v>
      </c>
      <c r="AA37" s="40">
        <f t="shared" si="8"/>
        <v>0</v>
      </c>
      <c r="AB37" s="40">
        <f t="shared" si="10"/>
        <v>0</v>
      </c>
      <c r="AC37" s="41">
        <f t="shared" si="11"/>
        <v>0</v>
      </c>
      <c r="AD37" s="49"/>
      <c r="AE37" s="50"/>
      <c r="AF37" s="49" t="s">
        <v>5</v>
      </c>
      <c r="AG37" s="50" t="s">
        <v>164</v>
      </c>
      <c r="AH37" s="49" t="s">
        <v>5</v>
      </c>
      <c r="AI37" s="50" t="s">
        <v>78</v>
      </c>
      <c r="AJ37" s="49" t="s">
        <v>5</v>
      </c>
      <c r="AK37" s="50" t="s">
        <v>419</v>
      </c>
      <c r="AL37" s="49"/>
      <c r="AM37" s="50"/>
      <c r="AN37" s="49"/>
      <c r="AO37" s="50"/>
      <c r="AP37" s="49"/>
      <c r="AQ37" s="50"/>
      <c r="AR37" s="49" t="s">
        <v>5</v>
      </c>
      <c r="AS37" s="50" t="s">
        <v>102</v>
      </c>
      <c r="AT37" s="49"/>
      <c r="AU37" s="50"/>
      <c r="AV37" s="49" t="s">
        <v>5</v>
      </c>
      <c r="AW37" s="50" t="s">
        <v>82</v>
      </c>
      <c r="AX37" s="49" t="s">
        <v>5</v>
      </c>
      <c r="AY37" s="50" t="s">
        <v>84</v>
      </c>
      <c r="AZ37" s="49"/>
      <c r="BA37" s="50"/>
      <c r="BB37" s="49"/>
      <c r="BC37" s="50"/>
      <c r="BD37" s="49"/>
      <c r="BE37" s="50"/>
      <c r="BF37" s="49"/>
      <c r="BG37" s="50"/>
      <c r="BH37" s="49" t="s">
        <v>5</v>
      </c>
      <c r="BI37" s="50" t="s">
        <v>105</v>
      </c>
      <c r="BJ37" s="49" t="s">
        <v>1</v>
      </c>
      <c r="BK37" s="50" t="s">
        <v>112</v>
      </c>
      <c r="BL37" s="49"/>
      <c r="BM37" s="50"/>
      <c r="BN37" s="49" t="s">
        <v>1</v>
      </c>
      <c r="BO37" s="50" t="s">
        <v>96</v>
      </c>
      <c r="BP37" s="49"/>
      <c r="BQ37" s="50"/>
      <c r="BR37" s="49" t="s">
        <v>5</v>
      </c>
      <c r="BS37" s="50" t="s">
        <v>170</v>
      </c>
      <c r="BT37" s="49" t="s">
        <v>5</v>
      </c>
      <c r="BU37" s="50" t="s">
        <v>108</v>
      </c>
      <c r="BV37" s="49"/>
      <c r="BW37" s="50"/>
      <c r="BX37" s="49"/>
      <c r="BY37" s="50"/>
    </row>
    <row r="38" spans="1:77" x14ac:dyDescent="0.25">
      <c r="A38" s="76">
        <v>152624</v>
      </c>
      <c r="B38" s="77" t="s">
        <v>1225</v>
      </c>
      <c r="C38" s="78" t="s">
        <v>1205</v>
      </c>
      <c r="D38" s="76" t="s">
        <v>70</v>
      </c>
      <c r="E38" s="79" t="s">
        <v>87</v>
      </c>
      <c r="F38" s="79" t="s">
        <v>126</v>
      </c>
      <c r="G38" s="79" t="s">
        <v>87</v>
      </c>
      <c r="H38" s="79" t="s">
        <v>87</v>
      </c>
      <c r="I38" s="78" t="s">
        <v>14</v>
      </c>
      <c r="J38" s="79" t="s">
        <v>14</v>
      </c>
      <c r="K38" s="142" t="s">
        <v>1851</v>
      </c>
      <c r="L38" s="149" t="s">
        <v>1845</v>
      </c>
      <c r="M38" s="150" t="s">
        <v>12</v>
      </c>
      <c r="N38" s="151">
        <v>33</v>
      </c>
      <c r="O38" s="151">
        <v>0</v>
      </c>
      <c r="P38" s="152">
        <v>0</v>
      </c>
      <c r="Q38" s="153">
        <v>97.83</v>
      </c>
      <c r="R38" s="154">
        <v>0</v>
      </c>
      <c r="S38" s="38">
        <f t="shared" si="0"/>
        <v>3</v>
      </c>
      <c r="T38" s="39">
        <f t="shared" si="1"/>
        <v>8</v>
      </c>
      <c r="U38" s="40">
        <f t="shared" si="2"/>
        <v>0</v>
      </c>
      <c r="V38" s="40">
        <f t="shared" si="3"/>
        <v>0</v>
      </c>
      <c r="W38" s="40">
        <f t="shared" si="4"/>
        <v>0</v>
      </c>
      <c r="X38" s="40">
        <f t="shared" si="5"/>
        <v>0</v>
      </c>
      <c r="Y38" s="40">
        <f t="shared" si="6"/>
        <v>0</v>
      </c>
      <c r="Z38" s="40">
        <f t="shared" si="7"/>
        <v>0</v>
      </c>
      <c r="AA38" s="40">
        <f t="shared" si="8"/>
        <v>0</v>
      </c>
      <c r="AB38" s="40">
        <f t="shared" si="10"/>
        <v>0</v>
      </c>
      <c r="AC38" s="41">
        <f t="shared" si="11"/>
        <v>0</v>
      </c>
      <c r="AD38" s="49"/>
      <c r="AE38" s="50"/>
      <c r="AF38" s="49" t="s">
        <v>1</v>
      </c>
      <c r="AG38" s="50" t="s">
        <v>433</v>
      </c>
      <c r="AH38" s="49"/>
      <c r="AI38" s="50"/>
      <c r="AJ38" s="49" t="s">
        <v>5</v>
      </c>
      <c r="AK38" s="50" t="s">
        <v>137</v>
      </c>
      <c r="AL38" s="49"/>
      <c r="AM38" s="50"/>
      <c r="AN38" s="49"/>
      <c r="AO38" s="50"/>
      <c r="AP38" s="49"/>
      <c r="AQ38" s="50"/>
      <c r="AR38" s="49" t="s">
        <v>5</v>
      </c>
      <c r="AS38" s="50" t="s">
        <v>102</v>
      </c>
      <c r="AT38" s="49"/>
      <c r="AU38" s="50"/>
      <c r="AV38" s="49" t="s">
        <v>5</v>
      </c>
      <c r="AW38" s="50" t="s">
        <v>152</v>
      </c>
      <c r="AX38" s="49" t="s">
        <v>5</v>
      </c>
      <c r="AY38" s="50" t="s">
        <v>84</v>
      </c>
      <c r="AZ38" s="49" t="s">
        <v>1</v>
      </c>
      <c r="BA38" s="50" t="s">
        <v>144</v>
      </c>
      <c r="BB38" s="49"/>
      <c r="BC38" s="50"/>
      <c r="BD38" s="49"/>
      <c r="BE38" s="50"/>
      <c r="BF38" s="49"/>
      <c r="BG38" s="50"/>
      <c r="BH38" s="49" t="s">
        <v>5</v>
      </c>
      <c r="BI38" s="50" t="s">
        <v>105</v>
      </c>
      <c r="BJ38" s="49" t="s">
        <v>5</v>
      </c>
      <c r="BK38" s="50" t="s">
        <v>505</v>
      </c>
      <c r="BL38" s="49"/>
      <c r="BM38" s="50"/>
      <c r="BN38" s="49" t="s">
        <v>5</v>
      </c>
      <c r="BO38" s="50" t="s">
        <v>152</v>
      </c>
      <c r="BP38" s="49"/>
      <c r="BQ38" s="50"/>
      <c r="BR38" s="49" t="s">
        <v>5</v>
      </c>
      <c r="BS38" s="50" t="s">
        <v>170</v>
      </c>
      <c r="BT38" s="49" t="s">
        <v>1</v>
      </c>
      <c r="BU38" s="50" t="s">
        <v>97</v>
      </c>
      <c r="BV38" s="49"/>
      <c r="BW38" s="50"/>
      <c r="BX38" s="49"/>
      <c r="BY38" s="50"/>
    </row>
    <row r="39" spans="1:77" ht="30" x14ac:dyDescent="0.25">
      <c r="A39" s="76">
        <v>152565</v>
      </c>
      <c r="B39" s="77" t="s">
        <v>1226</v>
      </c>
      <c r="C39" s="78" t="s">
        <v>1211</v>
      </c>
      <c r="D39" s="76" t="s">
        <v>70</v>
      </c>
      <c r="E39" s="79" t="s">
        <v>14</v>
      </c>
      <c r="F39" s="79" t="s">
        <v>71</v>
      </c>
      <c r="G39" s="79" t="s">
        <v>14</v>
      </c>
      <c r="H39" s="79" t="s">
        <v>14</v>
      </c>
      <c r="I39" s="78" t="s">
        <v>14</v>
      </c>
      <c r="J39" s="79" t="s">
        <v>14</v>
      </c>
      <c r="K39" s="142" t="s">
        <v>1850</v>
      </c>
      <c r="L39" s="149" t="s">
        <v>1843</v>
      </c>
      <c r="M39" s="150" t="s">
        <v>1852</v>
      </c>
      <c r="N39" s="151">
        <v>9</v>
      </c>
      <c r="O39" s="151">
        <v>0</v>
      </c>
      <c r="P39" s="152">
        <v>1</v>
      </c>
      <c r="Q39" s="153">
        <v>100</v>
      </c>
      <c r="R39" s="154">
        <v>2</v>
      </c>
      <c r="S39" s="38">
        <f t="shared" si="0"/>
        <v>1</v>
      </c>
      <c r="T39" s="39">
        <f t="shared" si="1"/>
        <v>9</v>
      </c>
      <c r="U39" s="40">
        <f t="shared" si="2"/>
        <v>0</v>
      </c>
      <c r="V39" s="40">
        <f t="shared" si="3"/>
        <v>0</v>
      </c>
      <c r="W39" s="40">
        <f t="shared" si="4"/>
        <v>0</v>
      </c>
      <c r="X39" s="40">
        <f t="shared" si="5"/>
        <v>0</v>
      </c>
      <c r="Y39" s="40">
        <f t="shared" si="6"/>
        <v>0</v>
      </c>
      <c r="Z39" s="40">
        <f t="shared" si="7"/>
        <v>0</v>
      </c>
      <c r="AA39" s="40">
        <f t="shared" si="8"/>
        <v>0</v>
      </c>
      <c r="AB39" s="40">
        <f t="shared" si="10"/>
        <v>0</v>
      </c>
      <c r="AC39" s="41">
        <f t="shared" si="11"/>
        <v>0</v>
      </c>
      <c r="AD39" s="49" t="s">
        <v>5</v>
      </c>
      <c r="AE39" s="50" t="s">
        <v>72</v>
      </c>
      <c r="AF39" s="49"/>
      <c r="AG39" s="50"/>
      <c r="AH39" s="49"/>
      <c r="AI39" s="50"/>
      <c r="AJ39" s="49"/>
      <c r="AK39" s="50"/>
      <c r="AL39" s="49"/>
      <c r="AM39" s="50"/>
      <c r="AN39" s="49"/>
      <c r="AO39" s="50"/>
      <c r="AP39" s="49" t="s">
        <v>5</v>
      </c>
      <c r="AQ39" s="50" t="s">
        <v>101</v>
      </c>
      <c r="AR39" s="49" t="s">
        <v>5</v>
      </c>
      <c r="AS39" s="50" t="s">
        <v>142</v>
      </c>
      <c r="AT39" s="49"/>
      <c r="AU39" s="50"/>
      <c r="AV39" s="49" t="s">
        <v>5</v>
      </c>
      <c r="AW39" s="50" t="s">
        <v>105</v>
      </c>
      <c r="AX39" s="49"/>
      <c r="AY39" s="50"/>
      <c r="AZ39" s="49"/>
      <c r="BA39" s="50"/>
      <c r="BB39" s="49"/>
      <c r="BC39" s="50"/>
      <c r="BD39" s="49"/>
      <c r="BE39" s="50"/>
      <c r="BF39" s="49"/>
      <c r="BG39" s="50"/>
      <c r="BH39" s="49" t="s">
        <v>5</v>
      </c>
      <c r="BI39" s="50" t="s">
        <v>1184</v>
      </c>
      <c r="BJ39" s="49" t="s">
        <v>5</v>
      </c>
      <c r="BK39" s="50" t="s">
        <v>79</v>
      </c>
      <c r="BL39" s="49"/>
      <c r="BM39" s="50"/>
      <c r="BN39" s="49" t="s">
        <v>5</v>
      </c>
      <c r="BO39" s="50" t="s">
        <v>152</v>
      </c>
      <c r="BP39" s="49"/>
      <c r="BQ39" s="50"/>
      <c r="BR39" s="49"/>
      <c r="BS39" s="50"/>
      <c r="BT39" s="49" t="s">
        <v>5</v>
      </c>
      <c r="BU39" s="50" t="s">
        <v>108</v>
      </c>
      <c r="BV39" s="49" t="s">
        <v>1</v>
      </c>
      <c r="BW39" s="50" t="s">
        <v>109</v>
      </c>
      <c r="BX39" s="49" t="s">
        <v>5</v>
      </c>
      <c r="BY39" s="50" t="s">
        <v>421</v>
      </c>
    </row>
    <row r="40" spans="1:77" x14ac:dyDescent="0.25">
      <c r="A40" s="76">
        <v>152561</v>
      </c>
      <c r="B40" s="77" t="s">
        <v>1227</v>
      </c>
      <c r="C40" s="78" t="s">
        <v>1191</v>
      </c>
      <c r="D40" s="76" t="s">
        <v>70</v>
      </c>
      <c r="E40" s="79" t="s">
        <v>14</v>
      </c>
      <c r="F40" s="79" t="s">
        <v>198</v>
      </c>
      <c r="G40" s="79" t="s">
        <v>14</v>
      </c>
      <c r="H40" s="79" t="s">
        <v>14</v>
      </c>
      <c r="I40" s="78" t="s">
        <v>14</v>
      </c>
      <c r="J40" s="79" t="s">
        <v>14</v>
      </c>
      <c r="K40" s="142" t="s">
        <v>1850</v>
      </c>
      <c r="L40" s="149" t="s">
        <v>1844</v>
      </c>
      <c r="M40" s="150" t="s">
        <v>12</v>
      </c>
      <c r="N40" s="151">
        <v>23</v>
      </c>
      <c r="O40" s="151">
        <v>0</v>
      </c>
      <c r="P40" s="152">
        <v>2</v>
      </c>
      <c r="Q40" s="153">
        <v>100</v>
      </c>
      <c r="R40" s="154">
        <v>1</v>
      </c>
      <c r="S40" s="38">
        <f t="shared" si="0"/>
        <v>1</v>
      </c>
      <c r="T40" s="39">
        <f t="shared" si="1"/>
        <v>9</v>
      </c>
      <c r="U40" s="40">
        <f t="shared" si="2"/>
        <v>0</v>
      </c>
      <c r="V40" s="40">
        <f t="shared" si="3"/>
        <v>0</v>
      </c>
      <c r="W40" s="40">
        <f t="shared" si="4"/>
        <v>1</v>
      </c>
      <c r="X40" s="40">
        <f t="shared" si="5"/>
        <v>1</v>
      </c>
      <c r="Y40" s="40">
        <f t="shared" si="6"/>
        <v>0</v>
      </c>
      <c r="Z40" s="40">
        <f t="shared" si="7"/>
        <v>0</v>
      </c>
      <c r="AA40" s="40">
        <f t="shared" si="8"/>
        <v>0</v>
      </c>
      <c r="AB40" s="40">
        <f t="shared" si="10"/>
        <v>0</v>
      </c>
      <c r="AC40" s="41">
        <f t="shared" si="11"/>
        <v>0</v>
      </c>
      <c r="AD40" s="49"/>
      <c r="AE40" s="50"/>
      <c r="AF40" s="49" t="s">
        <v>1</v>
      </c>
      <c r="AG40" s="50" t="s">
        <v>154</v>
      </c>
      <c r="AH40" s="49"/>
      <c r="AI40" s="50"/>
      <c r="AJ40" s="49" t="s">
        <v>32</v>
      </c>
      <c r="AK40" s="50" t="s">
        <v>206</v>
      </c>
      <c r="AL40" s="49"/>
      <c r="AM40" s="50"/>
      <c r="AN40" s="49"/>
      <c r="AO40" s="50"/>
      <c r="AP40" s="49"/>
      <c r="AQ40" s="50"/>
      <c r="AR40" s="49" t="s">
        <v>5</v>
      </c>
      <c r="AS40" s="50" t="s">
        <v>448</v>
      </c>
      <c r="AT40" s="49"/>
      <c r="AU40" s="50"/>
      <c r="AV40" s="49" t="s">
        <v>5</v>
      </c>
      <c r="AW40" s="50" t="s">
        <v>154</v>
      </c>
      <c r="AX40" s="49"/>
      <c r="AY40" s="50"/>
      <c r="AZ40" s="49" t="s">
        <v>5</v>
      </c>
      <c r="BA40" s="50" t="s">
        <v>144</v>
      </c>
      <c r="BB40" s="49"/>
      <c r="BC40" s="50"/>
      <c r="BD40" s="49"/>
      <c r="BE40" s="50"/>
      <c r="BF40" s="49"/>
      <c r="BG40" s="50"/>
      <c r="BH40" s="49" t="s">
        <v>5</v>
      </c>
      <c r="BI40" s="50" t="s">
        <v>78</v>
      </c>
      <c r="BJ40" s="49" t="s">
        <v>5</v>
      </c>
      <c r="BK40" s="50" t="s">
        <v>711</v>
      </c>
      <c r="BL40" s="49"/>
      <c r="BM40" s="50"/>
      <c r="BN40" s="49" t="s">
        <v>5</v>
      </c>
      <c r="BO40" s="50" t="s">
        <v>152</v>
      </c>
      <c r="BP40" s="49"/>
      <c r="BQ40" s="50"/>
      <c r="BR40" s="49" t="s">
        <v>5</v>
      </c>
      <c r="BS40" s="50" t="s">
        <v>140</v>
      </c>
      <c r="BT40" s="49" t="s">
        <v>5</v>
      </c>
      <c r="BU40" s="50" t="s">
        <v>457</v>
      </c>
      <c r="BV40" s="49"/>
      <c r="BW40" s="50"/>
      <c r="BX40" s="49" t="s">
        <v>5</v>
      </c>
      <c r="BY40" s="50" t="s">
        <v>421</v>
      </c>
    </row>
    <row r="41" spans="1:77" x14ac:dyDescent="0.25">
      <c r="A41" s="76">
        <v>152692</v>
      </c>
      <c r="B41" s="77" t="s">
        <v>1228</v>
      </c>
      <c r="C41" s="78" t="s">
        <v>1193</v>
      </c>
      <c r="D41" s="76" t="s">
        <v>12</v>
      </c>
      <c r="E41" s="79" t="s">
        <v>14</v>
      </c>
      <c r="F41" s="79" t="s">
        <v>71</v>
      </c>
      <c r="G41" s="79" t="s">
        <v>14</v>
      </c>
      <c r="H41" s="79" t="s">
        <v>14</v>
      </c>
      <c r="I41" s="78" t="s">
        <v>14</v>
      </c>
      <c r="J41" s="79" t="s">
        <v>14</v>
      </c>
      <c r="K41" s="142" t="s">
        <v>1850</v>
      </c>
      <c r="L41" s="149" t="s">
        <v>1845</v>
      </c>
      <c r="M41" s="150" t="s">
        <v>12</v>
      </c>
      <c r="N41" s="151">
        <v>15</v>
      </c>
      <c r="O41" s="151">
        <v>15</v>
      </c>
      <c r="P41" s="152">
        <v>2</v>
      </c>
      <c r="Q41" s="153">
        <v>93.48</v>
      </c>
      <c r="R41" s="154">
        <v>11</v>
      </c>
      <c r="S41" s="38">
        <f t="shared" si="0"/>
        <v>0</v>
      </c>
      <c r="T41" s="39">
        <f t="shared" si="1"/>
        <v>5</v>
      </c>
      <c r="U41" s="40">
        <f t="shared" si="2"/>
        <v>3</v>
      </c>
      <c r="V41" s="40">
        <f t="shared" si="3"/>
        <v>2</v>
      </c>
      <c r="W41" s="40">
        <f t="shared" si="4"/>
        <v>1</v>
      </c>
      <c r="X41" s="40">
        <f t="shared" si="5"/>
        <v>6</v>
      </c>
      <c r="Y41" s="40">
        <f t="shared" si="6"/>
        <v>0</v>
      </c>
      <c r="Z41" s="40">
        <f t="shared" si="7"/>
        <v>0</v>
      </c>
      <c r="AA41" s="40">
        <f t="shared" si="8"/>
        <v>0</v>
      </c>
      <c r="AB41" s="40">
        <f t="shared" si="10"/>
        <v>0</v>
      </c>
      <c r="AC41" s="41">
        <f t="shared" si="11"/>
        <v>0</v>
      </c>
      <c r="AD41" s="49"/>
      <c r="AE41" s="50"/>
      <c r="AF41" s="49" t="s">
        <v>31</v>
      </c>
      <c r="AG41" s="50" t="s">
        <v>433</v>
      </c>
      <c r="AH41" s="49"/>
      <c r="AI41" s="50"/>
      <c r="AJ41" s="49" t="s">
        <v>5</v>
      </c>
      <c r="AK41" s="50" t="s">
        <v>137</v>
      </c>
      <c r="AL41" s="49"/>
      <c r="AM41" s="50"/>
      <c r="AN41" s="49"/>
      <c r="AO41" s="50"/>
      <c r="AP41" s="49"/>
      <c r="AQ41" s="50"/>
      <c r="AR41" s="49" t="s">
        <v>5</v>
      </c>
      <c r="AS41" s="50" t="s">
        <v>151</v>
      </c>
      <c r="AT41" s="49"/>
      <c r="AU41" s="50"/>
      <c r="AV41" s="49" t="s">
        <v>32</v>
      </c>
      <c r="AW41" s="50" t="s">
        <v>82</v>
      </c>
      <c r="AX41" s="49" t="s">
        <v>30</v>
      </c>
      <c r="AY41" s="50" t="s">
        <v>103</v>
      </c>
      <c r="AZ41" s="49"/>
      <c r="BA41" s="50"/>
      <c r="BB41" s="49"/>
      <c r="BC41" s="50"/>
      <c r="BD41" s="49"/>
      <c r="BE41" s="50"/>
      <c r="BF41" s="49"/>
      <c r="BG41" s="50"/>
      <c r="BH41" s="49" t="s">
        <v>5</v>
      </c>
      <c r="BI41" s="50" t="s">
        <v>105</v>
      </c>
      <c r="BJ41" s="49" t="s">
        <v>5</v>
      </c>
      <c r="BK41" s="50" t="s">
        <v>139</v>
      </c>
      <c r="BL41" s="49"/>
      <c r="BM41" s="50"/>
      <c r="BN41" s="49" t="s">
        <v>30</v>
      </c>
      <c r="BO41" s="50" t="s">
        <v>741</v>
      </c>
      <c r="BP41" s="49" t="s">
        <v>5</v>
      </c>
      <c r="BQ41" s="50" t="s">
        <v>81</v>
      </c>
      <c r="BR41" s="49" t="s">
        <v>30</v>
      </c>
      <c r="BS41" s="50" t="s">
        <v>170</v>
      </c>
      <c r="BT41" s="49" t="s">
        <v>31</v>
      </c>
      <c r="BU41" s="50" t="s">
        <v>122</v>
      </c>
      <c r="BV41" s="49"/>
      <c r="BW41" s="50"/>
      <c r="BX41" s="49"/>
      <c r="BY41" s="50"/>
    </row>
    <row r="42" spans="1:77" x14ac:dyDescent="0.25">
      <c r="A42" s="76">
        <v>152522</v>
      </c>
      <c r="B42" s="77" t="s">
        <v>1229</v>
      </c>
      <c r="C42" s="78" t="s">
        <v>1181</v>
      </c>
      <c r="D42" s="76" t="s">
        <v>70</v>
      </c>
      <c r="E42" s="79" t="s">
        <v>87</v>
      </c>
      <c r="F42" s="79" t="s">
        <v>150</v>
      </c>
      <c r="G42" s="79" t="s">
        <v>87</v>
      </c>
      <c r="H42" s="79" t="s">
        <v>87</v>
      </c>
      <c r="I42" s="78" t="s">
        <v>14</v>
      </c>
      <c r="J42" s="79" t="s">
        <v>14</v>
      </c>
      <c r="K42" s="142" t="s">
        <v>1850</v>
      </c>
      <c r="L42" s="149" t="s">
        <v>1848</v>
      </c>
      <c r="M42" s="150" t="s">
        <v>12</v>
      </c>
      <c r="N42" s="151">
        <v>33</v>
      </c>
      <c r="O42" s="151">
        <v>8</v>
      </c>
      <c r="P42" s="152">
        <v>2</v>
      </c>
      <c r="Q42" s="153">
        <v>91.3</v>
      </c>
      <c r="R42" s="154">
        <v>5</v>
      </c>
      <c r="S42" s="38">
        <f t="shared" si="0"/>
        <v>0</v>
      </c>
      <c r="T42" s="39">
        <f t="shared" si="1"/>
        <v>8</v>
      </c>
      <c r="U42" s="40">
        <f t="shared" si="2"/>
        <v>1</v>
      </c>
      <c r="V42" s="40">
        <f t="shared" si="3"/>
        <v>2</v>
      </c>
      <c r="W42" s="40">
        <f t="shared" si="4"/>
        <v>0</v>
      </c>
      <c r="X42" s="40">
        <f t="shared" si="5"/>
        <v>3</v>
      </c>
      <c r="Y42" s="40">
        <f t="shared" si="6"/>
        <v>0</v>
      </c>
      <c r="Z42" s="40">
        <f t="shared" si="7"/>
        <v>0</v>
      </c>
      <c r="AA42" s="40">
        <f t="shared" si="8"/>
        <v>0</v>
      </c>
      <c r="AB42" s="40">
        <f t="shared" si="10"/>
        <v>0</v>
      </c>
      <c r="AC42" s="41">
        <f t="shared" si="11"/>
        <v>0</v>
      </c>
      <c r="AD42" s="49"/>
      <c r="AE42" s="50"/>
      <c r="AF42" s="49" t="s">
        <v>31</v>
      </c>
      <c r="AG42" s="50" t="s">
        <v>433</v>
      </c>
      <c r="AH42" s="49"/>
      <c r="AI42" s="50"/>
      <c r="AJ42" s="49" t="s">
        <v>5</v>
      </c>
      <c r="AK42" s="50" t="s">
        <v>137</v>
      </c>
      <c r="AL42" s="49"/>
      <c r="AM42" s="50"/>
      <c r="AN42" s="49"/>
      <c r="AO42" s="50"/>
      <c r="AP42" s="49"/>
      <c r="AQ42" s="50"/>
      <c r="AR42" s="49" t="s">
        <v>5</v>
      </c>
      <c r="AS42" s="50" t="s">
        <v>102</v>
      </c>
      <c r="AT42" s="49"/>
      <c r="AU42" s="50"/>
      <c r="AV42" s="49" t="s">
        <v>5</v>
      </c>
      <c r="AW42" s="50" t="s">
        <v>104</v>
      </c>
      <c r="AX42" s="49" t="s">
        <v>5</v>
      </c>
      <c r="AY42" s="50" t="s">
        <v>84</v>
      </c>
      <c r="AZ42" s="49"/>
      <c r="BA42" s="50"/>
      <c r="BB42" s="49"/>
      <c r="BC42" s="50"/>
      <c r="BD42" s="49" t="s">
        <v>5</v>
      </c>
      <c r="BE42" s="50" t="s">
        <v>104</v>
      </c>
      <c r="BF42" s="49"/>
      <c r="BG42" s="50"/>
      <c r="BH42" s="49" t="s">
        <v>5</v>
      </c>
      <c r="BI42" s="50" t="s">
        <v>78</v>
      </c>
      <c r="BJ42" s="49" t="s">
        <v>5</v>
      </c>
      <c r="BK42" s="50" t="s">
        <v>995</v>
      </c>
      <c r="BL42" s="49"/>
      <c r="BM42" s="50"/>
      <c r="BN42" s="49" t="s">
        <v>5</v>
      </c>
      <c r="BO42" s="50" t="s">
        <v>121</v>
      </c>
      <c r="BP42" s="49"/>
      <c r="BQ42" s="50"/>
      <c r="BR42" s="49" t="s">
        <v>30</v>
      </c>
      <c r="BS42" s="50" t="s">
        <v>170</v>
      </c>
      <c r="BT42" s="49" t="s">
        <v>31</v>
      </c>
      <c r="BU42" s="50" t="s">
        <v>122</v>
      </c>
      <c r="BV42" s="49"/>
      <c r="BW42" s="50"/>
      <c r="BX42" s="49"/>
      <c r="BY42" s="50"/>
    </row>
    <row r="43" spans="1:77" x14ac:dyDescent="0.25">
      <c r="A43" s="76">
        <v>152608</v>
      </c>
      <c r="B43" s="77" t="s">
        <v>1230</v>
      </c>
      <c r="C43" s="78" t="s">
        <v>1181</v>
      </c>
      <c r="D43" s="76" t="s">
        <v>12</v>
      </c>
      <c r="E43" s="79" t="s">
        <v>87</v>
      </c>
      <c r="F43" s="79" t="s">
        <v>88</v>
      </c>
      <c r="G43" s="79" t="s">
        <v>87</v>
      </c>
      <c r="H43" s="79" t="s">
        <v>87</v>
      </c>
      <c r="I43" s="78" t="s">
        <v>14</v>
      </c>
      <c r="J43" s="79" t="s">
        <v>14</v>
      </c>
      <c r="K43" s="142" t="s">
        <v>1850</v>
      </c>
      <c r="L43" s="149" t="s">
        <v>1842</v>
      </c>
      <c r="M43" s="150" t="s">
        <v>1853</v>
      </c>
      <c r="N43" s="151">
        <v>33</v>
      </c>
      <c r="O43" s="151">
        <v>2</v>
      </c>
      <c r="P43" s="152">
        <v>6</v>
      </c>
      <c r="Q43" s="153">
        <v>95.65</v>
      </c>
      <c r="R43" s="154">
        <v>7</v>
      </c>
      <c r="S43" s="38">
        <f t="shared" si="0"/>
        <v>1</v>
      </c>
      <c r="T43" s="39">
        <f t="shared" si="1"/>
        <v>8</v>
      </c>
      <c r="U43" s="40">
        <f t="shared" si="2"/>
        <v>0</v>
      </c>
      <c r="V43" s="40">
        <f t="shared" si="3"/>
        <v>0</v>
      </c>
      <c r="W43" s="40">
        <f t="shared" si="4"/>
        <v>2</v>
      </c>
      <c r="X43" s="40">
        <f t="shared" si="5"/>
        <v>2</v>
      </c>
      <c r="Y43" s="40">
        <f t="shared" si="6"/>
        <v>0</v>
      </c>
      <c r="Z43" s="40">
        <f t="shared" si="7"/>
        <v>0</v>
      </c>
      <c r="AA43" s="40">
        <f t="shared" si="8"/>
        <v>0</v>
      </c>
      <c r="AB43" s="40">
        <f t="shared" si="10"/>
        <v>0</v>
      </c>
      <c r="AC43" s="41">
        <f t="shared" si="11"/>
        <v>0</v>
      </c>
      <c r="AD43" s="49"/>
      <c r="AE43" s="50"/>
      <c r="AF43" s="49" t="s">
        <v>32</v>
      </c>
      <c r="AG43" s="50" t="s">
        <v>154</v>
      </c>
      <c r="AH43" s="49"/>
      <c r="AI43" s="50"/>
      <c r="AJ43" s="49" t="s">
        <v>32</v>
      </c>
      <c r="AK43" s="50" t="s">
        <v>206</v>
      </c>
      <c r="AL43" s="49"/>
      <c r="AM43" s="50"/>
      <c r="AN43" s="49"/>
      <c r="AO43" s="50"/>
      <c r="AP43" s="49"/>
      <c r="AQ43" s="50"/>
      <c r="AR43" s="49" t="s">
        <v>5</v>
      </c>
      <c r="AS43" s="50" t="s">
        <v>91</v>
      </c>
      <c r="AT43" s="49"/>
      <c r="AU43" s="50"/>
      <c r="AV43" s="49" t="s">
        <v>5</v>
      </c>
      <c r="AW43" s="50" t="s">
        <v>104</v>
      </c>
      <c r="AX43" s="49" t="s">
        <v>5</v>
      </c>
      <c r="AY43" s="50" t="s">
        <v>84</v>
      </c>
      <c r="AZ43" s="49"/>
      <c r="BA43" s="50"/>
      <c r="BB43" s="49"/>
      <c r="BC43" s="50"/>
      <c r="BD43" s="49" t="s">
        <v>1</v>
      </c>
      <c r="BE43" s="50" t="s">
        <v>104</v>
      </c>
      <c r="BF43" s="49"/>
      <c r="BG43" s="50"/>
      <c r="BH43" s="49" t="s">
        <v>5</v>
      </c>
      <c r="BI43" s="50" t="s">
        <v>78</v>
      </c>
      <c r="BJ43" s="49" t="s">
        <v>5</v>
      </c>
      <c r="BK43" s="50" t="s">
        <v>505</v>
      </c>
      <c r="BL43" s="49"/>
      <c r="BM43" s="50"/>
      <c r="BN43" s="49" t="s">
        <v>5</v>
      </c>
      <c r="BO43" s="50" t="s">
        <v>96</v>
      </c>
      <c r="BP43" s="49"/>
      <c r="BQ43" s="50"/>
      <c r="BR43" s="49" t="s">
        <v>5</v>
      </c>
      <c r="BS43" s="50" t="s">
        <v>140</v>
      </c>
      <c r="BT43" s="49" t="s">
        <v>5</v>
      </c>
      <c r="BU43" s="50" t="s">
        <v>457</v>
      </c>
      <c r="BV43" s="49"/>
      <c r="BW43" s="50"/>
      <c r="BX43" s="49"/>
      <c r="BY43" s="50"/>
    </row>
    <row r="44" spans="1:77" x14ac:dyDescent="0.25">
      <c r="A44" s="76">
        <v>152644</v>
      </c>
      <c r="B44" s="77" t="s">
        <v>1231</v>
      </c>
      <c r="C44" s="78" t="s">
        <v>1183</v>
      </c>
      <c r="D44" s="76" t="s">
        <v>12</v>
      </c>
      <c r="E44" s="79" t="s">
        <v>14</v>
      </c>
      <c r="F44" s="79" t="s">
        <v>71</v>
      </c>
      <c r="G44" s="79" t="s">
        <v>14</v>
      </c>
      <c r="H44" s="79" t="s">
        <v>14</v>
      </c>
      <c r="I44" s="78" t="s">
        <v>14</v>
      </c>
      <c r="J44" s="79" t="s">
        <v>14</v>
      </c>
      <c r="K44" s="142" t="s">
        <v>1850</v>
      </c>
      <c r="L44" s="149" t="s">
        <v>1845</v>
      </c>
      <c r="M44" s="150" t="s">
        <v>12</v>
      </c>
      <c r="N44" s="151">
        <v>15</v>
      </c>
      <c r="O44" s="151">
        <v>0</v>
      </c>
      <c r="P44" s="152">
        <v>0</v>
      </c>
      <c r="Q44" s="153">
        <v>100</v>
      </c>
      <c r="R44" s="154">
        <v>0</v>
      </c>
      <c r="S44" s="38">
        <f t="shared" si="0"/>
        <v>1</v>
      </c>
      <c r="T44" s="39">
        <f t="shared" si="1"/>
        <v>10</v>
      </c>
      <c r="U44" s="40">
        <f t="shared" si="2"/>
        <v>0</v>
      </c>
      <c r="V44" s="40">
        <f t="shared" si="3"/>
        <v>0</v>
      </c>
      <c r="W44" s="40">
        <f t="shared" si="4"/>
        <v>0</v>
      </c>
      <c r="X44" s="40">
        <f t="shared" si="5"/>
        <v>0</v>
      </c>
      <c r="Y44" s="40">
        <f t="shared" si="6"/>
        <v>0</v>
      </c>
      <c r="Z44" s="40">
        <f t="shared" si="7"/>
        <v>0</v>
      </c>
      <c r="AA44" s="40">
        <f t="shared" si="8"/>
        <v>0</v>
      </c>
      <c r="AB44" s="40">
        <f t="shared" si="10"/>
        <v>0</v>
      </c>
      <c r="AC44" s="41">
        <f t="shared" si="11"/>
        <v>0</v>
      </c>
      <c r="AD44" s="49"/>
      <c r="AE44" s="50"/>
      <c r="AF44" s="49" t="s">
        <v>5</v>
      </c>
      <c r="AG44" s="50" t="s">
        <v>433</v>
      </c>
      <c r="AH44" s="49" t="s">
        <v>5</v>
      </c>
      <c r="AI44" s="50" t="s">
        <v>78</v>
      </c>
      <c r="AJ44" s="49" t="s">
        <v>5</v>
      </c>
      <c r="AK44" s="50" t="s">
        <v>137</v>
      </c>
      <c r="AL44" s="49"/>
      <c r="AM44" s="50"/>
      <c r="AN44" s="49"/>
      <c r="AO44" s="50"/>
      <c r="AP44" s="49"/>
      <c r="AQ44" s="50"/>
      <c r="AR44" s="49" t="s">
        <v>5</v>
      </c>
      <c r="AS44" s="50" t="s">
        <v>102</v>
      </c>
      <c r="AT44" s="49"/>
      <c r="AU44" s="50"/>
      <c r="AV44" s="49" t="s">
        <v>5</v>
      </c>
      <c r="AW44" s="50" t="s">
        <v>436</v>
      </c>
      <c r="AX44" s="49"/>
      <c r="AY44" s="50"/>
      <c r="AZ44" s="49"/>
      <c r="BA44" s="50"/>
      <c r="BB44" s="49"/>
      <c r="BC44" s="50"/>
      <c r="BD44" s="49"/>
      <c r="BE44" s="50"/>
      <c r="BF44" s="49"/>
      <c r="BG44" s="50"/>
      <c r="BH44" s="49" t="s">
        <v>5</v>
      </c>
      <c r="BI44" s="50" t="s">
        <v>163</v>
      </c>
      <c r="BJ44" s="49" t="s">
        <v>5</v>
      </c>
      <c r="BK44" s="50" t="s">
        <v>422</v>
      </c>
      <c r="BL44" s="49"/>
      <c r="BM44" s="50"/>
      <c r="BN44" s="49" t="s">
        <v>1</v>
      </c>
      <c r="BO44" s="50" t="s">
        <v>741</v>
      </c>
      <c r="BP44" s="49"/>
      <c r="BQ44" s="50"/>
      <c r="BR44" s="49" t="s">
        <v>5</v>
      </c>
      <c r="BS44" s="50" t="s">
        <v>170</v>
      </c>
      <c r="BT44" s="49" t="s">
        <v>5</v>
      </c>
      <c r="BU44" s="50" t="s">
        <v>122</v>
      </c>
      <c r="BV44" s="49"/>
      <c r="BW44" s="50"/>
      <c r="BX44" s="49" t="s">
        <v>5</v>
      </c>
      <c r="BY44" s="50" t="s">
        <v>421</v>
      </c>
    </row>
    <row r="45" spans="1:77" x14ac:dyDescent="0.25">
      <c r="A45" s="76">
        <v>152693</v>
      </c>
      <c r="B45" s="77" t="s">
        <v>1232</v>
      </c>
      <c r="C45" s="78" t="s">
        <v>1193</v>
      </c>
      <c r="D45" s="76" t="s">
        <v>12</v>
      </c>
      <c r="E45" s="79" t="s">
        <v>14</v>
      </c>
      <c r="F45" s="79" t="s">
        <v>71</v>
      </c>
      <c r="G45" s="79" t="s">
        <v>14</v>
      </c>
      <c r="H45" s="79" t="s">
        <v>14</v>
      </c>
      <c r="I45" s="78" t="s">
        <v>14</v>
      </c>
      <c r="J45" s="79" t="s">
        <v>14</v>
      </c>
      <c r="K45" s="142" t="s">
        <v>1851</v>
      </c>
      <c r="L45" s="149" t="s">
        <v>1843</v>
      </c>
      <c r="M45" s="150" t="s">
        <v>1852</v>
      </c>
      <c r="N45" s="151">
        <v>12</v>
      </c>
      <c r="O45" s="151">
        <v>12</v>
      </c>
      <c r="P45" s="152">
        <v>1</v>
      </c>
      <c r="Q45" s="153">
        <v>95.65</v>
      </c>
      <c r="R45" s="154">
        <v>9</v>
      </c>
      <c r="S45" s="38">
        <f t="shared" si="0"/>
        <v>0</v>
      </c>
      <c r="T45" s="39">
        <f t="shared" si="1"/>
        <v>6</v>
      </c>
      <c r="U45" s="40">
        <f t="shared" si="2"/>
        <v>3</v>
      </c>
      <c r="V45" s="40">
        <f t="shared" si="3"/>
        <v>1</v>
      </c>
      <c r="W45" s="40">
        <f t="shared" si="4"/>
        <v>1</v>
      </c>
      <c r="X45" s="40">
        <f t="shared" si="5"/>
        <v>5</v>
      </c>
      <c r="Y45" s="40">
        <f t="shared" si="6"/>
        <v>0</v>
      </c>
      <c r="Z45" s="40">
        <f t="shared" si="7"/>
        <v>0</v>
      </c>
      <c r="AA45" s="40">
        <f t="shared" si="8"/>
        <v>0</v>
      </c>
      <c r="AB45" s="40">
        <f t="shared" si="10"/>
        <v>0</v>
      </c>
      <c r="AC45" s="41">
        <f t="shared" si="11"/>
        <v>0</v>
      </c>
      <c r="AD45" s="49"/>
      <c r="AE45" s="50"/>
      <c r="AF45" s="49" t="s">
        <v>5</v>
      </c>
      <c r="AG45" s="50" t="s">
        <v>164</v>
      </c>
      <c r="AH45" s="49"/>
      <c r="AI45" s="50"/>
      <c r="AJ45" s="49" t="s">
        <v>5</v>
      </c>
      <c r="AK45" s="50" t="s">
        <v>419</v>
      </c>
      <c r="AL45" s="49"/>
      <c r="AM45" s="50"/>
      <c r="AN45" s="49"/>
      <c r="AO45" s="50"/>
      <c r="AP45" s="49"/>
      <c r="AQ45" s="50"/>
      <c r="AR45" s="49" t="s">
        <v>30</v>
      </c>
      <c r="AS45" s="50" t="s">
        <v>169</v>
      </c>
      <c r="AT45" s="49"/>
      <c r="AU45" s="50"/>
      <c r="AV45" s="49" t="s">
        <v>32</v>
      </c>
      <c r="AW45" s="50" t="s">
        <v>82</v>
      </c>
      <c r="AX45" s="49" t="s">
        <v>30</v>
      </c>
      <c r="AY45" s="50" t="s">
        <v>103</v>
      </c>
      <c r="AZ45" s="49"/>
      <c r="BA45" s="50"/>
      <c r="BB45" s="49"/>
      <c r="BC45" s="50"/>
      <c r="BD45" s="49"/>
      <c r="BE45" s="50"/>
      <c r="BF45" s="49"/>
      <c r="BG45" s="50"/>
      <c r="BH45" s="49" t="s">
        <v>5</v>
      </c>
      <c r="BI45" s="50" t="s">
        <v>105</v>
      </c>
      <c r="BJ45" s="49" t="s">
        <v>31</v>
      </c>
      <c r="BK45" s="50" t="s">
        <v>112</v>
      </c>
      <c r="BL45" s="49"/>
      <c r="BM45" s="50"/>
      <c r="BN45" s="49" t="s">
        <v>30</v>
      </c>
      <c r="BO45" s="50" t="s">
        <v>741</v>
      </c>
      <c r="BP45" s="49" t="s">
        <v>5</v>
      </c>
      <c r="BQ45" s="50" t="s">
        <v>81</v>
      </c>
      <c r="BR45" s="49" t="s">
        <v>5</v>
      </c>
      <c r="BS45" s="50" t="s">
        <v>170</v>
      </c>
      <c r="BT45" s="49" t="s">
        <v>5</v>
      </c>
      <c r="BU45" s="50" t="s">
        <v>108</v>
      </c>
      <c r="BV45" s="49"/>
      <c r="BW45" s="50"/>
      <c r="BX45" s="49"/>
      <c r="BY45" s="50"/>
    </row>
    <row r="46" spans="1:77" x14ac:dyDescent="0.25">
      <c r="A46" s="76">
        <v>152607</v>
      </c>
      <c r="B46" s="77" t="s">
        <v>1233</v>
      </c>
      <c r="C46" s="78" t="s">
        <v>1205</v>
      </c>
      <c r="D46" s="76" t="s">
        <v>12</v>
      </c>
      <c r="E46" s="79" t="s">
        <v>14</v>
      </c>
      <c r="F46" s="79" t="s">
        <v>71</v>
      </c>
      <c r="G46" s="79" t="s">
        <v>14</v>
      </c>
      <c r="H46" s="79" t="s">
        <v>14</v>
      </c>
      <c r="I46" s="78" t="s">
        <v>14</v>
      </c>
      <c r="J46" s="79" t="s">
        <v>14</v>
      </c>
      <c r="K46" s="142" t="s">
        <v>1851</v>
      </c>
      <c r="L46" s="149" t="s">
        <v>1845</v>
      </c>
      <c r="M46" s="150" t="s">
        <v>12</v>
      </c>
      <c r="N46" s="151">
        <v>26</v>
      </c>
      <c r="O46" s="151">
        <v>1</v>
      </c>
      <c r="P46" s="152">
        <v>0</v>
      </c>
      <c r="Q46" s="153">
        <v>100</v>
      </c>
      <c r="R46" s="154">
        <v>0</v>
      </c>
      <c r="S46" s="38">
        <f t="shared" si="0"/>
        <v>1</v>
      </c>
      <c r="T46" s="39">
        <f t="shared" si="1"/>
        <v>10</v>
      </c>
      <c r="U46" s="40">
        <f t="shared" si="2"/>
        <v>0</v>
      </c>
      <c r="V46" s="40">
        <f t="shared" si="3"/>
        <v>0</v>
      </c>
      <c r="W46" s="40">
        <f t="shared" si="4"/>
        <v>0</v>
      </c>
      <c r="X46" s="40">
        <f t="shared" si="5"/>
        <v>0</v>
      </c>
      <c r="Y46" s="40">
        <f t="shared" si="6"/>
        <v>0</v>
      </c>
      <c r="Z46" s="40">
        <f t="shared" si="7"/>
        <v>0</v>
      </c>
      <c r="AA46" s="40">
        <f t="shared" si="8"/>
        <v>0</v>
      </c>
      <c r="AB46" s="40">
        <f t="shared" si="10"/>
        <v>0</v>
      </c>
      <c r="AC46" s="41">
        <f t="shared" si="11"/>
        <v>0</v>
      </c>
      <c r="AD46" s="49" t="s">
        <v>5</v>
      </c>
      <c r="AE46" s="50" t="s">
        <v>72</v>
      </c>
      <c r="AF46" s="49" t="s">
        <v>1</v>
      </c>
      <c r="AG46" s="50" t="s">
        <v>433</v>
      </c>
      <c r="AH46" s="49"/>
      <c r="AI46" s="50"/>
      <c r="AJ46" s="49" t="s">
        <v>5</v>
      </c>
      <c r="AK46" s="50" t="s">
        <v>137</v>
      </c>
      <c r="AL46" s="49"/>
      <c r="AM46" s="50"/>
      <c r="AN46" s="49"/>
      <c r="AO46" s="50"/>
      <c r="AP46" s="49"/>
      <c r="AQ46" s="50"/>
      <c r="AR46" s="49" t="s">
        <v>5</v>
      </c>
      <c r="AS46" s="50" t="s">
        <v>102</v>
      </c>
      <c r="AT46" s="49"/>
      <c r="AU46" s="50"/>
      <c r="AV46" s="49" t="s">
        <v>5</v>
      </c>
      <c r="AW46" s="50" t="s">
        <v>152</v>
      </c>
      <c r="AX46" s="49" t="s">
        <v>5</v>
      </c>
      <c r="AY46" s="50" t="s">
        <v>84</v>
      </c>
      <c r="AZ46" s="49"/>
      <c r="BA46" s="50"/>
      <c r="BB46" s="49"/>
      <c r="BC46" s="50"/>
      <c r="BD46" s="49"/>
      <c r="BE46" s="50"/>
      <c r="BF46" s="49"/>
      <c r="BG46" s="50"/>
      <c r="BH46" s="49" t="s">
        <v>5</v>
      </c>
      <c r="BI46" s="50" t="s">
        <v>105</v>
      </c>
      <c r="BJ46" s="49" t="s">
        <v>5</v>
      </c>
      <c r="BK46" s="50" t="s">
        <v>139</v>
      </c>
      <c r="BL46" s="49"/>
      <c r="BM46" s="50"/>
      <c r="BN46" s="49" t="s">
        <v>5</v>
      </c>
      <c r="BO46" s="50" t="s">
        <v>96</v>
      </c>
      <c r="BP46" s="49"/>
      <c r="BQ46" s="50"/>
      <c r="BR46" s="49" t="s">
        <v>5</v>
      </c>
      <c r="BS46" s="50" t="s">
        <v>170</v>
      </c>
      <c r="BT46" s="49" t="s">
        <v>5</v>
      </c>
      <c r="BU46" s="50" t="s">
        <v>108</v>
      </c>
      <c r="BV46" s="49"/>
      <c r="BW46" s="50"/>
      <c r="BX46" s="49"/>
      <c r="BY46" s="50"/>
    </row>
    <row r="47" spans="1:77" x14ac:dyDescent="0.25">
      <c r="A47" s="76">
        <v>152618</v>
      </c>
      <c r="B47" s="77" t="s">
        <v>1234</v>
      </c>
      <c r="C47" s="78" t="s">
        <v>1191</v>
      </c>
      <c r="D47" s="76" t="s">
        <v>70</v>
      </c>
      <c r="E47" s="79" t="s">
        <v>14</v>
      </c>
      <c r="F47" s="79" t="s">
        <v>71</v>
      </c>
      <c r="G47" s="79" t="s">
        <v>14</v>
      </c>
      <c r="H47" s="79" t="s">
        <v>14</v>
      </c>
      <c r="I47" s="78" t="s">
        <v>14</v>
      </c>
      <c r="J47" s="79" t="s">
        <v>14</v>
      </c>
      <c r="K47" s="142" t="s">
        <v>1851</v>
      </c>
      <c r="L47" s="149" t="s">
        <v>1844</v>
      </c>
      <c r="M47" s="150" t="s">
        <v>12</v>
      </c>
      <c r="N47" s="151">
        <v>25</v>
      </c>
      <c r="O47" s="151">
        <v>0</v>
      </c>
      <c r="P47" s="152">
        <v>1</v>
      </c>
      <c r="Q47" s="153">
        <v>95.65</v>
      </c>
      <c r="R47" s="154">
        <v>0</v>
      </c>
      <c r="S47" s="38">
        <f t="shared" si="0"/>
        <v>1</v>
      </c>
      <c r="T47" s="39">
        <f t="shared" si="1"/>
        <v>9</v>
      </c>
      <c r="U47" s="40">
        <f t="shared" si="2"/>
        <v>0</v>
      </c>
      <c r="V47" s="40">
        <f t="shared" si="3"/>
        <v>0</v>
      </c>
      <c r="W47" s="40">
        <f t="shared" si="4"/>
        <v>0</v>
      </c>
      <c r="X47" s="40">
        <f t="shared" si="5"/>
        <v>0</v>
      </c>
      <c r="Y47" s="40">
        <f t="shared" si="6"/>
        <v>0</v>
      </c>
      <c r="Z47" s="40">
        <f t="shared" si="7"/>
        <v>0</v>
      </c>
      <c r="AA47" s="40">
        <f t="shared" si="8"/>
        <v>0</v>
      </c>
      <c r="AB47" s="40">
        <f t="shared" si="10"/>
        <v>0</v>
      </c>
      <c r="AC47" s="41">
        <f t="shared" si="11"/>
        <v>0</v>
      </c>
      <c r="AD47" s="49"/>
      <c r="AE47" s="50"/>
      <c r="AF47" s="49"/>
      <c r="AG47" s="50"/>
      <c r="AH47" s="49"/>
      <c r="AI47" s="50"/>
      <c r="AJ47" s="49"/>
      <c r="AK47" s="50"/>
      <c r="AL47" s="49"/>
      <c r="AM47" s="50"/>
      <c r="AN47" s="49"/>
      <c r="AO47" s="50"/>
      <c r="AP47" s="49"/>
      <c r="AQ47" s="50"/>
      <c r="AR47" s="49" t="s">
        <v>5</v>
      </c>
      <c r="AS47" s="50" t="s">
        <v>722</v>
      </c>
      <c r="AT47" s="49"/>
      <c r="AU47" s="50"/>
      <c r="AV47" s="49" t="s">
        <v>5</v>
      </c>
      <c r="AW47" s="50" t="s">
        <v>154</v>
      </c>
      <c r="AX47" s="49"/>
      <c r="AY47" s="50"/>
      <c r="AZ47" s="49" t="s">
        <v>5</v>
      </c>
      <c r="BA47" s="50" t="s">
        <v>144</v>
      </c>
      <c r="BB47" s="49"/>
      <c r="BC47" s="50"/>
      <c r="BD47" s="49"/>
      <c r="BE47" s="50"/>
      <c r="BF47" s="49"/>
      <c r="BG47" s="50"/>
      <c r="BH47" s="49" t="s">
        <v>5</v>
      </c>
      <c r="BI47" s="50" t="s">
        <v>78</v>
      </c>
      <c r="BJ47" s="49" t="s">
        <v>1</v>
      </c>
      <c r="BK47" s="50" t="s">
        <v>112</v>
      </c>
      <c r="BL47" s="49" t="s">
        <v>5</v>
      </c>
      <c r="BM47" s="50" t="s">
        <v>116</v>
      </c>
      <c r="BN47" s="49" t="s">
        <v>5</v>
      </c>
      <c r="BO47" s="50" t="s">
        <v>152</v>
      </c>
      <c r="BP47" s="49"/>
      <c r="BQ47" s="50"/>
      <c r="BR47" s="49"/>
      <c r="BS47" s="50"/>
      <c r="BT47" s="49" t="s">
        <v>5</v>
      </c>
      <c r="BU47" s="50" t="s">
        <v>108</v>
      </c>
      <c r="BV47" s="49" t="s">
        <v>5</v>
      </c>
      <c r="BW47" s="50" t="s">
        <v>98</v>
      </c>
      <c r="BX47" s="49" t="s">
        <v>5</v>
      </c>
      <c r="BY47" s="50" t="s">
        <v>103</v>
      </c>
    </row>
    <row r="48" spans="1:77" x14ac:dyDescent="0.25">
      <c r="A48" s="76">
        <v>152593</v>
      </c>
      <c r="B48" s="77" t="s">
        <v>1235</v>
      </c>
      <c r="C48" s="78" t="s">
        <v>1186</v>
      </c>
      <c r="D48" s="76" t="s">
        <v>12</v>
      </c>
      <c r="E48" s="79" t="s">
        <v>14</v>
      </c>
      <c r="F48" s="79" t="s">
        <v>146</v>
      </c>
      <c r="G48" s="79" t="s">
        <v>14</v>
      </c>
      <c r="H48" s="79" t="s">
        <v>14</v>
      </c>
      <c r="I48" s="78" t="s">
        <v>14</v>
      </c>
      <c r="J48" s="79" t="s">
        <v>14</v>
      </c>
      <c r="K48" s="142" t="s">
        <v>1850</v>
      </c>
      <c r="L48" s="149" t="s">
        <v>1844</v>
      </c>
      <c r="M48" s="150" t="s">
        <v>12</v>
      </c>
      <c r="N48" s="151">
        <v>24</v>
      </c>
      <c r="O48" s="151">
        <v>0</v>
      </c>
      <c r="P48" s="152">
        <v>0</v>
      </c>
      <c r="Q48" s="153">
        <v>100</v>
      </c>
      <c r="R48" s="154">
        <v>0</v>
      </c>
      <c r="S48" s="38">
        <f t="shared" si="0"/>
        <v>2</v>
      </c>
      <c r="T48" s="39">
        <f t="shared" si="1"/>
        <v>9</v>
      </c>
      <c r="U48" s="40">
        <f t="shared" si="2"/>
        <v>0</v>
      </c>
      <c r="V48" s="40">
        <f t="shared" si="3"/>
        <v>0</v>
      </c>
      <c r="W48" s="40">
        <f t="shared" si="4"/>
        <v>0</v>
      </c>
      <c r="X48" s="40">
        <f t="shared" si="5"/>
        <v>0</v>
      </c>
      <c r="Y48" s="40">
        <f t="shared" si="6"/>
        <v>0</v>
      </c>
      <c r="Z48" s="40">
        <f t="shared" si="7"/>
        <v>0</v>
      </c>
      <c r="AA48" s="40">
        <f t="shared" si="8"/>
        <v>0</v>
      </c>
      <c r="AB48" s="40">
        <f t="shared" si="10"/>
        <v>0</v>
      </c>
      <c r="AC48" s="41">
        <f t="shared" si="11"/>
        <v>0</v>
      </c>
      <c r="AD48" s="49"/>
      <c r="AE48" s="50"/>
      <c r="AF48" s="49" t="s">
        <v>5</v>
      </c>
      <c r="AG48" s="50" t="s">
        <v>433</v>
      </c>
      <c r="AH48" s="49"/>
      <c r="AI48" s="50"/>
      <c r="AJ48" s="49" t="s">
        <v>5</v>
      </c>
      <c r="AK48" s="50" t="s">
        <v>137</v>
      </c>
      <c r="AL48" s="49"/>
      <c r="AM48" s="50"/>
      <c r="AN48" s="49"/>
      <c r="AO48" s="50"/>
      <c r="AP48" s="49"/>
      <c r="AQ48" s="50"/>
      <c r="AR48" s="49" t="s">
        <v>5</v>
      </c>
      <c r="AS48" s="50" t="s">
        <v>194</v>
      </c>
      <c r="AT48" s="49"/>
      <c r="AU48" s="50"/>
      <c r="AV48" s="49" t="s">
        <v>5</v>
      </c>
      <c r="AW48" s="50" t="s">
        <v>83</v>
      </c>
      <c r="AX48" s="49"/>
      <c r="AY48" s="50"/>
      <c r="AZ48" s="49" t="s">
        <v>5</v>
      </c>
      <c r="BA48" s="50" t="s">
        <v>144</v>
      </c>
      <c r="BB48" s="49"/>
      <c r="BC48" s="50"/>
      <c r="BD48" s="49"/>
      <c r="BE48" s="50"/>
      <c r="BF48" s="49"/>
      <c r="BG48" s="50"/>
      <c r="BH48" s="49" t="s">
        <v>5</v>
      </c>
      <c r="BI48" s="50" t="s">
        <v>105</v>
      </c>
      <c r="BJ48" s="49" t="s">
        <v>1</v>
      </c>
      <c r="BK48" s="50" t="s">
        <v>94</v>
      </c>
      <c r="BL48" s="49"/>
      <c r="BM48" s="50"/>
      <c r="BN48" s="49" t="s">
        <v>1</v>
      </c>
      <c r="BO48" s="50" t="s">
        <v>96</v>
      </c>
      <c r="BP48" s="49"/>
      <c r="BQ48" s="50"/>
      <c r="BR48" s="49" t="s">
        <v>5</v>
      </c>
      <c r="BS48" s="50" t="s">
        <v>170</v>
      </c>
      <c r="BT48" s="49" t="s">
        <v>5</v>
      </c>
      <c r="BU48" s="50" t="s">
        <v>457</v>
      </c>
      <c r="BV48" s="49"/>
      <c r="BW48" s="50"/>
      <c r="BX48" s="49" t="s">
        <v>5</v>
      </c>
      <c r="BY48" s="50" t="s">
        <v>421</v>
      </c>
    </row>
    <row r="49" spans="1:77" x14ac:dyDescent="0.25">
      <c r="A49" s="76">
        <v>152512</v>
      </c>
      <c r="B49" s="77" t="s">
        <v>1236</v>
      </c>
      <c r="C49" s="78" t="s">
        <v>1211</v>
      </c>
      <c r="D49" s="76" t="s">
        <v>12</v>
      </c>
      <c r="E49" s="79" t="s">
        <v>14</v>
      </c>
      <c r="F49" s="79" t="s">
        <v>71</v>
      </c>
      <c r="G49" s="79" t="s">
        <v>14</v>
      </c>
      <c r="H49" s="79" t="s">
        <v>14</v>
      </c>
      <c r="I49" s="78" t="s">
        <v>14</v>
      </c>
      <c r="J49" s="79" t="s">
        <v>14</v>
      </c>
      <c r="K49" s="142" t="s">
        <v>1850</v>
      </c>
      <c r="L49" s="149" t="s">
        <v>1844</v>
      </c>
      <c r="M49" s="150" t="s">
        <v>12</v>
      </c>
      <c r="N49" s="151">
        <v>14</v>
      </c>
      <c r="O49" s="151">
        <v>0</v>
      </c>
      <c r="P49" s="152">
        <v>0</v>
      </c>
      <c r="Q49" s="153">
        <v>100</v>
      </c>
      <c r="R49" s="154">
        <v>0</v>
      </c>
      <c r="S49" s="38">
        <f t="shared" si="0"/>
        <v>1</v>
      </c>
      <c r="T49" s="39">
        <f t="shared" si="1"/>
        <v>9</v>
      </c>
      <c r="U49" s="40">
        <f t="shared" si="2"/>
        <v>0</v>
      </c>
      <c r="V49" s="40">
        <f t="shared" si="3"/>
        <v>0</v>
      </c>
      <c r="W49" s="40">
        <f t="shared" si="4"/>
        <v>0</v>
      </c>
      <c r="X49" s="40">
        <f t="shared" si="5"/>
        <v>0</v>
      </c>
      <c r="Y49" s="40">
        <f t="shared" si="6"/>
        <v>0</v>
      </c>
      <c r="Z49" s="40">
        <f t="shared" si="7"/>
        <v>0</v>
      </c>
      <c r="AA49" s="40">
        <f t="shared" si="8"/>
        <v>0</v>
      </c>
      <c r="AB49" s="40">
        <f t="shared" si="10"/>
        <v>0</v>
      </c>
      <c r="AC49" s="41">
        <f t="shared" si="11"/>
        <v>0</v>
      </c>
      <c r="AD49" s="49"/>
      <c r="AE49" s="50"/>
      <c r="AF49" s="49"/>
      <c r="AG49" s="50"/>
      <c r="AH49" s="49"/>
      <c r="AI49" s="50"/>
      <c r="AJ49" s="49"/>
      <c r="AK49" s="50"/>
      <c r="AL49" s="49"/>
      <c r="AM49" s="50"/>
      <c r="AN49" s="49"/>
      <c r="AO49" s="50"/>
      <c r="AP49" s="49"/>
      <c r="AQ49" s="50"/>
      <c r="AR49" s="49" t="s">
        <v>5</v>
      </c>
      <c r="AS49" s="50" t="s">
        <v>151</v>
      </c>
      <c r="AT49" s="49" t="s">
        <v>5</v>
      </c>
      <c r="AU49" s="50" t="s">
        <v>135</v>
      </c>
      <c r="AV49" s="49" t="s">
        <v>5</v>
      </c>
      <c r="AW49" s="50" t="s">
        <v>105</v>
      </c>
      <c r="AX49" s="49"/>
      <c r="AY49" s="50"/>
      <c r="AZ49" s="49"/>
      <c r="BA49" s="50"/>
      <c r="BB49" s="49"/>
      <c r="BC49" s="50"/>
      <c r="BD49" s="49"/>
      <c r="BE49" s="50"/>
      <c r="BF49" s="49"/>
      <c r="BG49" s="50"/>
      <c r="BH49" s="49" t="s">
        <v>5</v>
      </c>
      <c r="BI49" s="50" t="s">
        <v>1184</v>
      </c>
      <c r="BJ49" s="49" t="s">
        <v>5</v>
      </c>
      <c r="BK49" s="50" t="s">
        <v>422</v>
      </c>
      <c r="BL49" s="49"/>
      <c r="BM49" s="50"/>
      <c r="BN49" s="49" t="s">
        <v>1</v>
      </c>
      <c r="BO49" s="50" t="s">
        <v>107</v>
      </c>
      <c r="BP49" s="49" t="s">
        <v>5</v>
      </c>
      <c r="BQ49" s="50" t="s">
        <v>81</v>
      </c>
      <c r="BR49" s="49"/>
      <c r="BS49" s="50"/>
      <c r="BT49" s="49" t="s">
        <v>5</v>
      </c>
      <c r="BU49" s="50" t="s">
        <v>108</v>
      </c>
      <c r="BV49" s="49" t="s">
        <v>5</v>
      </c>
      <c r="BW49" s="50" t="s">
        <v>98</v>
      </c>
      <c r="BX49" s="49" t="s">
        <v>5</v>
      </c>
      <c r="BY49" s="50" t="s">
        <v>103</v>
      </c>
    </row>
    <row r="50" spans="1:77" x14ac:dyDescent="0.25">
      <c r="A50" s="76">
        <v>152648</v>
      </c>
      <c r="B50" s="77" t="s">
        <v>1237</v>
      </c>
      <c r="C50" s="78" t="s">
        <v>1183</v>
      </c>
      <c r="D50" s="76" t="s">
        <v>70</v>
      </c>
      <c r="E50" s="79" t="s">
        <v>14</v>
      </c>
      <c r="F50" s="79" t="s">
        <v>71</v>
      </c>
      <c r="G50" s="79" t="s">
        <v>14</v>
      </c>
      <c r="H50" s="79" t="s">
        <v>14</v>
      </c>
      <c r="I50" s="78" t="s">
        <v>14</v>
      </c>
      <c r="J50" s="79" t="s">
        <v>14</v>
      </c>
      <c r="K50" s="142" t="s">
        <v>1850</v>
      </c>
      <c r="L50" s="149" t="s">
        <v>1844</v>
      </c>
      <c r="M50" s="150" t="s">
        <v>12</v>
      </c>
      <c r="N50" s="151">
        <v>17</v>
      </c>
      <c r="O50" s="151">
        <v>1</v>
      </c>
      <c r="P50" s="152">
        <v>0</v>
      </c>
      <c r="Q50" s="153">
        <v>100</v>
      </c>
      <c r="R50" s="154">
        <v>0</v>
      </c>
      <c r="S50" s="38">
        <f t="shared" si="0"/>
        <v>1</v>
      </c>
      <c r="T50" s="39">
        <f t="shared" si="1"/>
        <v>9</v>
      </c>
      <c r="U50" s="40">
        <f t="shared" si="2"/>
        <v>0</v>
      </c>
      <c r="V50" s="40">
        <f t="shared" si="3"/>
        <v>0</v>
      </c>
      <c r="W50" s="40">
        <f t="shared" si="4"/>
        <v>0</v>
      </c>
      <c r="X50" s="40">
        <f t="shared" si="5"/>
        <v>0</v>
      </c>
      <c r="Y50" s="40">
        <f t="shared" si="6"/>
        <v>0</v>
      </c>
      <c r="Z50" s="40">
        <f t="shared" si="7"/>
        <v>0</v>
      </c>
      <c r="AA50" s="40">
        <f t="shared" si="8"/>
        <v>0</v>
      </c>
      <c r="AB50" s="40">
        <f t="shared" si="10"/>
        <v>0</v>
      </c>
      <c r="AC50" s="41">
        <f t="shared" si="11"/>
        <v>0</v>
      </c>
      <c r="AD50" s="49" t="s">
        <v>5</v>
      </c>
      <c r="AE50" s="50" t="s">
        <v>89</v>
      </c>
      <c r="AF50" s="49"/>
      <c r="AG50" s="50"/>
      <c r="AH50" s="49"/>
      <c r="AI50" s="50"/>
      <c r="AJ50" s="49"/>
      <c r="AK50" s="50"/>
      <c r="AL50" s="49"/>
      <c r="AM50" s="50"/>
      <c r="AN50" s="49"/>
      <c r="AO50" s="50"/>
      <c r="AP50" s="49"/>
      <c r="AQ50" s="50"/>
      <c r="AR50" s="49" t="s">
        <v>5</v>
      </c>
      <c r="AS50" s="50" t="s">
        <v>448</v>
      </c>
      <c r="AT50" s="49"/>
      <c r="AU50" s="50"/>
      <c r="AV50" s="49" t="s">
        <v>5</v>
      </c>
      <c r="AW50" s="50" t="s">
        <v>436</v>
      </c>
      <c r="AX50" s="49"/>
      <c r="AY50" s="50"/>
      <c r="AZ50" s="49"/>
      <c r="BA50" s="50"/>
      <c r="BB50" s="49" t="s">
        <v>5</v>
      </c>
      <c r="BC50" s="50" t="s">
        <v>436</v>
      </c>
      <c r="BD50" s="49"/>
      <c r="BE50" s="50"/>
      <c r="BF50" s="49"/>
      <c r="BG50" s="50"/>
      <c r="BH50" s="49" t="s">
        <v>5</v>
      </c>
      <c r="BI50" s="50" t="s">
        <v>163</v>
      </c>
      <c r="BJ50" s="49" t="s">
        <v>1</v>
      </c>
      <c r="BK50" s="50" t="s">
        <v>94</v>
      </c>
      <c r="BL50" s="49"/>
      <c r="BM50" s="50"/>
      <c r="BN50" s="49" t="s">
        <v>5</v>
      </c>
      <c r="BO50" s="50" t="s">
        <v>152</v>
      </c>
      <c r="BP50" s="49"/>
      <c r="BQ50" s="50"/>
      <c r="BR50" s="49"/>
      <c r="BS50" s="50"/>
      <c r="BT50" s="49" t="s">
        <v>5</v>
      </c>
      <c r="BU50" s="50" t="s">
        <v>457</v>
      </c>
      <c r="BV50" s="49" t="s">
        <v>5</v>
      </c>
      <c r="BW50" s="50" t="s">
        <v>98</v>
      </c>
      <c r="BX50" s="49" t="s">
        <v>5</v>
      </c>
      <c r="BY50" s="50" t="s">
        <v>421</v>
      </c>
    </row>
    <row r="51" spans="1:77" x14ac:dyDescent="0.25">
      <c r="A51" s="76">
        <v>152543</v>
      </c>
      <c r="B51" s="77" t="s">
        <v>1238</v>
      </c>
      <c r="C51" s="78" t="s">
        <v>1211</v>
      </c>
      <c r="D51" s="76" t="s">
        <v>12</v>
      </c>
      <c r="E51" s="79" t="s">
        <v>14</v>
      </c>
      <c r="F51" s="79" t="s">
        <v>71</v>
      </c>
      <c r="G51" s="79" t="s">
        <v>14</v>
      </c>
      <c r="H51" s="79" t="s">
        <v>14</v>
      </c>
      <c r="I51" s="78" t="s">
        <v>14</v>
      </c>
      <c r="J51" s="79" t="s">
        <v>14</v>
      </c>
      <c r="K51" s="142" t="s">
        <v>1850</v>
      </c>
      <c r="L51" s="149" t="s">
        <v>1844</v>
      </c>
      <c r="M51" s="150" t="s">
        <v>12</v>
      </c>
      <c r="N51" s="151">
        <v>18</v>
      </c>
      <c r="O51" s="151">
        <v>1</v>
      </c>
      <c r="P51" s="152">
        <v>0</v>
      </c>
      <c r="Q51" s="153">
        <v>86.96</v>
      </c>
      <c r="R51" s="154">
        <v>1</v>
      </c>
      <c r="S51" s="38">
        <f t="shared" si="0"/>
        <v>0</v>
      </c>
      <c r="T51" s="39">
        <f t="shared" si="1"/>
        <v>10</v>
      </c>
      <c r="U51" s="40">
        <f t="shared" si="2"/>
        <v>0</v>
      </c>
      <c r="V51" s="40">
        <f t="shared" si="3"/>
        <v>0</v>
      </c>
      <c r="W51" s="40">
        <f t="shared" si="4"/>
        <v>0</v>
      </c>
      <c r="X51" s="40">
        <f t="shared" si="5"/>
        <v>0</v>
      </c>
      <c r="Y51" s="40">
        <f t="shared" si="6"/>
        <v>0</v>
      </c>
      <c r="Z51" s="40">
        <f t="shared" si="7"/>
        <v>0</v>
      </c>
      <c r="AA51" s="40">
        <f t="shared" si="8"/>
        <v>0</v>
      </c>
      <c r="AB51" s="40">
        <f t="shared" si="10"/>
        <v>0</v>
      </c>
      <c r="AC51" s="41">
        <f t="shared" si="11"/>
        <v>0</v>
      </c>
      <c r="AD51" s="49"/>
      <c r="AE51" s="50"/>
      <c r="AF51" s="49"/>
      <c r="AG51" s="50"/>
      <c r="AH51" s="49"/>
      <c r="AI51" s="50"/>
      <c r="AJ51" s="49"/>
      <c r="AK51" s="50"/>
      <c r="AL51" s="49"/>
      <c r="AM51" s="50"/>
      <c r="AN51" s="49"/>
      <c r="AO51" s="50"/>
      <c r="AP51" s="49" t="s">
        <v>5</v>
      </c>
      <c r="AQ51" s="50" t="s">
        <v>101</v>
      </c>
      <c r="AR51" s="49" t="s">
        <v>5</v>
      </c>
      <c r="AS51" s="50" t="s">
        <v>194</v>
      </c>
      <c r="AT51" s="49"/>
      <c r="AU51" s="50"/>
      <c r="AV51" s="49" t="s">
        <v>5</v>
      </c>
      <c r="AW51" s="50" t="s">
        <v>105</v>
      </c>
      <c r="AX51" s="49"/>
      <c r="AY51" s="50"/>
      <c r="AZ51" s="49"/>
      <c r="BA51" s="50"/>
      <c r="BB51" s="49"/>
      <c r="BC51" s="50"/>
      <c r="BD51" s="49"/>
      <c r="BE51" s="50"/>
      <c r="BF51" s="49"/>
      <c r="BG51" s="50"/>
      <c r="BH51" s="49" t="s">
        <v>5</v>
      </c>
      <c r="BI51" s="50" t="s">
        <v>1184</v>
      </c>
      <c r="BJ51" s="49" t="s">
        <v>5</v>
      </c>
      <c r="BK51" s="50" t="s">
        <v>139</v>
      </c>
      <c r="BL51" s="49"/>
      <c r="BM51" s="50"/>
      <c r="BN51" s="49" t="s">
        <v>5</v>
      </c>
      <c r="BO51" s="50" t="s">
        <v>741</v>
      </c>
      <c r="BP51" s="49" t="s">
        <v>5</v>
      </c>
      <c r="BQ51" s="50" t="s">
        <v>81</v>
      </c>
      <c r="BR51" s="49"/>
      <c r="BS51" s="50"/>
      <c r="BT51" s="49" t="s">
        <v>5</v>
      </c>
      <c r="BU51" s="50" t="s">
        <v>457</v>
      </c>
      <c r="BV51" s="49" t="s">
        <v>5</v>
      </c>
      <c r="BW51" s="50" t="s">
        <v>98</v>
      </c>
      <c r="BX51" s="49" t="s">
        <v>5</v>
      </c>
      <c r="BY51" s="50" t="s">
        <v>421</v>
      </c>
    </row>
    <row r="52" spans="1:77" x14ac:dyDescent="0.25">
      <c r="A52" s="76">
        <v>152568</v>
      </c>
      <c r="B52" s="77" t="s">
        <v>1239</v>
      </c>
      <c r="C52" s="78" t="s">
        <v>1191</v>
      </c>
      <c r="D52" s="76" t="s">
        <v>70</v>
      </c>
      <c r="E52" s="79" t="s">
        <v>14</v>
      </c>
      <c r="F52" s="79" t="s">
        <v>71</v>
      </c>
      <c r="G52" s="79" t="s">
        <v>14</v>
      </c>
      <c r="H52" s="79" t="s">
        <v>14</v>
      </c>
      <c r="I52" s="78" t="s">
        <v>14</v>
      </c>
      <c r="J52" s="79" t="s">
        <v>14</v>
      </c>
      <c r="K52" s="142" t="s">
        <v>1851</v>
      </c>
      <c r="L52" s="149" t="s">
        <v>1845</v>
      </c>
      <c r="M52" s="150" t="s">
        <v>12</v>
      </c>
      <c r="N52" s="151">
        <v>3</v>
      </c>
      <c r="O52" s="151">
        <v>0</v>
      </c>
      <c r="P52" s="152">
        <v>2</v>
      </c>
      <c r="Q52" s="153">
        <v>95.65</v>
      </c>
      <c r="R52" s="154">
        <v>4</v>
      </c>
      <c r="S52" s="38">
        <f t="shared" si="0"/>
        <v>0</v>
      </c>
      <c r="T52" s="39">
        <f t="shared" si="1"/>
        <v>6</v>
      </c>
      <c r="U52" s="40">
        <f t="shared" si="2"/>
        <v>2</v>
      </c>
      <c r="V52" s="40">
        <f t="shared" si="3"/>
        <v>0</v>
      </c>
      <c r="W52" s="40">
        <f t="shared" si="4"/>
        <v>0</v>
      </c>
      <c r="X52" s="40">
        <f t="shared" si="5"/>
        <v>2</v>
      </c>
      <c r="Y52" s="40">
        <f t="shared" si="6"/>
        <v>0</v>
      </c>
      <c r="Z52" s="40">
        <f t="shared" si="7"/>
        <v>0</v>
      </c>
      <c r="AA52" s="40">
        <f t="shared" si="8"/>
        <v>0</v>
      </c>
      <c r="AB52" s="40">
        <f t="shared" si="10"/>
        <v>0</v>
      </c>
      <c r="AC52" s="41">
        <f t="shared" si="11"/>
        <v>0</v>
      </c>
      <c r="AD52" s="49" t="s">
        <v>5</v>
      </c>
      <c r="AE52" s="50" t="s">
        <v>72</v>
      </c>
      <c r="AF52" s="49"/>
      <c r="AG52" s="50"/>
      <c r="AH52" s="49"/>
      <c r="AI52" s="50"/>
      <c r="AJ52" s="49"/>
      <c r="AK52" s="50"/>
      <c r="AL52" s="49"/>
      <c r="AM52" s="50"/>
      <c r="AN52" s="49"/>
      <c r="AO52" s="50"/>
      <c r="AP52" s="49"/>
      <c r="AQ52" s="50"/>
      <c r="AR52" s="49" t="s">
        <v>5</v>
      </c>
      <c r="AS52" s="50" t="s">
        <v>74</v>
      </c>
      <c r="AT52" s="49"/>
      <c r="AU52" s="50"/>
      <c r="AV52" s="49" t="s">
        <v>5</v>
      </c>
      <c r="AW52" s="50" t="s">
        <v>73</v>
      </c>
      <c r="AX52" s="49"/>
      <c r="AY52" s="50"/>
      <c r="AZ52" s="49"/>
      <c r="BA52" s="50"/>
      <c r="BB52" s="49"/>
      <c r="BC52" s="50"/>
      <c r="BD52" s="49"/>
      <c r="BE52" s="50"/>
      <c r="BF52" s="49"/>
      <c r="BG52" s="50"/>
      <c r="BH52" s="49" t="s">
        <v>5</v>
      </c>
      <c r="BI52" s="50" t="s">
        <v>78</v>
      </c>
      <c r="BJ52" s="49" t="s">
        <v>5</v>
      </c>
      <c r="BK52" s="50" t="s">
        <v>79</v>
      </c>
      <c r="BL52" s="49"/>
      <c r="BM52" s="50"/>
      <c r="BN52" s="49" t="s">
        <v>30</v>
      </c>
      <c r="BO52" s="50" t="s">
        <v>152</v>
      </c>
      <c r="BP52" s="49"/>
      <c r="BQ52" s="50"/>
      <c r="BR52" s="49"/>
      <c r="BS52" s="50"/>
      <c r="BT52" s="49" t="s">
        <v>5</v>
      </c>
      <c r="BU52" s="50" t="s">
        <v>457</v>
      </c>
      <c r="BV52" s="49" t="s">
        <v>30</v>
      </c>
      <c r="BW52" s="50" t="s">
        <v>98</v>
      </c>
      <c r="BX52" s="49"/>
      <c r="BY52" s="50" t="s">
        <v>103</v>
      </c>
    </row>
    <row r="53" spans="1:77" x14ac:dyDescent="0.25">
      <c r="A53" s="76">
        <v>152609</v>
      </c>
      <c r="B53" s="77" t="s">
        <v>1240</v>
      </c>
      <c r="C53" s="78" t="s">
        <v>1188</v>
      </c>
      <c r="D53" s="76" t="s">
        <v>70</v>
      </c>
      <c r="E53" s="79" t="s">
        <v>14</v>
      </c>
      <c r="F53" s="79" t="s">
        <v>88</v>
      </c>
      <c r="G53" s="79" t="s">
        <v>87</v>
      </c>
      <c r="H53" s="79" t="s">
        <v>14</v>
      </c>
      <c r="I53" s="78" t="s">
        <v>14</v>
      </c>
      <c r="J53" s="79" t="s">
        <v>14</v>
      </c>
      <c r="K53" s="142" t="s">
        <v>1850</v>
      </c>
      <c r="L53" s="149" t="s">
        <v>1846</v>
      </c>
      <c r="M53" s="150" t="s">
        <v>1853</v>
      </c>
      <c r="N53" s="151">
        <v>20</v>
      </c>
      <c r="O53" s="151">
        <v>0</v>
      </c>
      <c r="P53" s="152">
        <v>0</v>
      </c>
      <c r="Q53" s="153">
        <v>100</v>
      </c>
      <c r="R53" s="154">
        <v>0</v>
      </c>
      <c r="S53" s="38">
        <f t="shared" si="0"/>
        <v>0</v>
      </c>
      <c r="T53" s="39">
        <f t="shared" si="1"/>
        <v>11</v>
      </c>
      <c r="U53" s="40">
        <f t="shared" si="2"/>
        <v>0</v>
      </c>
      <c r="V53" s="40">
        <f t="shared" si="3"/>
        <v>0</v>
      </c>
      <c r="W53" s="40">
        <f t="shared" si="4"/>
        <v>0</v>
      </c>
      <c r="X53" s="40">
        <f t="shared" si="5"/>
        <v>0</v>
      </c>
      <c r="Y53" s="40">
        <f t="shared" si="6"/>
        <v>0</v>
      </c>
      <c r="Z53" s="40">
        <f t="shared" si="7"/>
        <v>0</v>
      </c>
      <c r="AA53" s="40">
        <f t="shared" si="8"/>
        <v>0</v>
      </c>
      <c r="AB53" s="40">
        <f t="shared" si="10"/>
        <v>0</v>
      </c>
      <c r="AC53" s="41">
        <f t="shared" si="11"/>
        <v>0</v>
      </c>
      <c r="AD53" s="49"/>
      <c r="AE53" s="50"/>
      <c r="AF53" s="49" t="s">
        <v>5</v>
      </c>
      <c r="AG53" s="50" t="s">
        <v>154</v>
      </c>
      <c r="AH53" s="49"/>
      <c r="AI53" s="50"/>
      <c r="AJ53" s="49" t="s">
        <v>5</v>
      </c>
      <c r="AK53" s="50" t="s">
        <v>137</v>
      </c>
      <c r="AL53" s="49"/>
      <c r="AM53" s="50"/>
      <c r="AN53" s="49"/>
      <c r="AO53" s="50"/>
      <c r="AP53" s="49"/>
      <c r="AQ53" s="50"/>
      <c r="AR53" s="49" t="s">
        <v>5</v>
      </c>
      <c r="AS53" s="50" t="s">
        <v>102</v>
      </c>
      <c r="AT53" s="49"/>
      <c r="AU53" s="50"/>
      <c r="AV53" s="49" t="s">
        <v>5</v>
      </c>
      <c r="AW53" s="50" t="s">
        <v>430</v>
      </c>
      <c r="AX53" s="49" t="s">
        <v>5</v>
      </c>
      <c r="AY53" s="50" t="s">
        <v>130</v>
      </c>
      <c r="AZ53" s="49"/>
      <c r="BA53" s="50"/>
      <c r="BB53" s="49" t="s">
        <v>5</v>
      </c>
      <c r="BC53" s="50" t="s">
        <v>436</v>
      </c>
      <c r="BD53" s="49"/>
      <c r="BE53" s="50"/>
      <c r="BF53" s="49"/>
      <c r="BG53" s="50"/>
      <c r="BH53" s="49" t="s">
        <v>5</v>
      </c>
      <c r="BI53" s="50" t="s">
        <v>163</v>
      </c>
      <c r="BJ53" s="49" t="s">
        <v>5</v>
      </c>
      <c r="BK53" s="50" t="s">
        <v>106</v>
      </c>
      <c r="BL53" s="49"/>
      <c r="BM53" s="50"/>
      <c r="BN53" s="49" t="s">
        <v>5</v>
      </c>
      <c r="BO53" s="50" t="s">
        <v>152</v>
      </c>
      <c r="BP53" s="49"/>
      <c r="BQ53" s="50"/>
      <c r="BR53" s="49" t="s">
        <v>5</v>
      </c>
      <c r="BS53" s="50" t="s">
        <v>98</v>
      </c>
      <c r="BT53" s="49" t="s">
        <v>5</v>
      </c>
      <c r="BU53" s="50" t="s">
        <v>97</v>
      </c>
      <c r="BV53" s="49"/>
      <c r="BW53" s="50"/>
      <c r="BX53" s="49"/>
      <c r="BY53" s="50"/>
    </row>
    <row r="54" spans="1:77" x14ac:dyDescent="0.25">
      <c r="A54" s="76">
        <v>152513</v>
      </c>
      <c r="B54" s="77" t="s">
        <v>1241</v>
      </c>
      <c r="C54" s="78" t="s">
        <v>1205</v>
      </c>
      <c r="D54" s="76" t="s">
        <v>12</v>
      </c>
      <c r="E54" s="79" t="s">
        <v>14</v>
      </c>
      <c r="F54" s="79" t="s">
        <v>126</v>
      </c>
      <c r="G54" s="79" t="s">
        <v>87</v>
      </c>
      <c r="H54" s="79" t="s">
        <v>14</v>
      </c>
      <c r="I54" s="78" t="s">
        <v>14</v>
      </c>
      <c r="J54" s="79" t="s">
        <v>14</v>
      </c>
      <c r="K54" s="142" t="s">
        <v>1850</v>
      </c>
      <c r="L54" s="149" t="s">
        <v>1844</v>
      </c>
      <c r="M54" s="150" t="s">
        <v>12</v>
      </c>
      <c r="N54" s="151">
        <v>14</v>
      </c>
      <c r="O54" s="151">
        <v>1</v>
      </c>
      <c r="P54" s="152">
        <v>0</v>
      </c>
      <c r="Q54" s="153">
        <v>95.65</v>
      </c>
      <c r="R54" s="154">
        <v>0</v>
      </c>
      <c r="S54" s="38">
        <f t="shared" si="0"/>
        <v>1</v>
      </c>
      <c r="T54" s="39">
        <f t="shared" si="1"/>
        <v>8</v>
      </c>
      <c r="U54" s="40">
        <f t="shared" si="2"/>
        <v>1</v>
      </c>
      <c r="V54" s="40">
        <f t="shared" si="3"/>
        <v>0</v>
      </c>
      <c r="W54" s="40">
        <f t="shared" si="4"/>
        <v>0</v>
      </c>
      <c r="X54" s="40">
        <f t="shared" si="5"/>
        <v>1</v>
      </c>
      <c r="Y54" s="40">
        <f t="shared" si="6"/>
        <v>0</v>
      </c>
      <c r="Z54" s="40">
        <f t="shared" si="7"/>
        <v>0</v>
      </c>
      <c r="AA54" s="40">
        <f t="shared" si="8"/>
        <v>0</v>
      </c>
      <c r="AB54" s="40">
        <f t="shared" si="10"/>
        <v>0</v>
      </c>
      <c r="AC54" s="41">
        <f t="shared" si="11"/>
        <v>0</v>
      </c>
      <c r="AD54" s="49" t="s">
        <v>5</v>
      </c>
      <c r="AE54" s="50" t="s">
        <v>89</v>
      </c>
      <c r="AF54" s="49"/>
      <c r="AG54" s="50"/>
      <c r="AH54" s="49"/>
      <c r="AI54" s="50"/>
      <c r="AJ54" s="49"/>
      <c r="AK54" s="50"/>
      <c r="AL54" s="49"/>
      <c r="AM54" s="50"/>
      <c r="AN54" s="49"/>
      <c r="AO54" s="50"/>
      <c r="AP54" s="49"/>
      <c r="AQ54" s="50"/>
      <c r="AR54" s="49" t="s">
        <v>5</v>
      </c>
      <c r="AS54" s="50" t="s">
        <v>151</v>
      </c>
      <c r="AT54" s="49"/>
      <c r="AU54" s="50"/>
      <c r="AV54" s="49" t="s">
        <v>5</v>
      </c>
      <c r="AW54" s="50" t="s">
        <v>152</v>
      </c>
      <c r="AX54" s="49" t="s">
        <v>5</v>
      </c>
      <c r="AY54" s="50" t="s">
        <v>84</v>
      </c>
      <c r="AZ54" s="49"/>
      <c r="BA54" s="50"/>
      <c r="BB54" s="49"/>
      <c r="BC54" s="50"/>
      <c r="BD54" s="49"/>
      <c r="BE54" s="50"/>
      <c r="BF54" s="49" t="s">
        <v>5</v>
      </c>
      <c r="BG54" s="50" t="s">
        <v>105</v>
      </c>
      <c r="BH54" s="49" t="s">
        <v>5</v>
      </c>
      <c r="BI54" s="50" t="s">
        <v>105</v>
      </c>
      <c r="BJ54" s="49" t="s">
        <v>5</v>
      </c>
      <c r="BK54" s="50" t="s">
        <v>422</v>
      </c>
      <c r="BL54" s="49"/>
      <c r="BM54" s="50"/>
      <c r="BN54" s="49" t="s">
        <v>1</v>
      </c>
      <c r="BO54" s="50" t="s">
        <v>96</v>
      </c>
      <c r="BP54" s="49"/>
      <c r="BQ54" s="50"/>
      <c r="BR54" s="49"/>
      <c r="BS54" s="50"/>
      <c r="BT54" s="49" t="s">
        <v>30</v>
      </c>
      <c r="BU54" s="50" t="s">
        <v>122</v>
      </c>
      <c r="BV54" s="49" t="s">
        <v>5</v>
      </c>
      <c r="BW54" s="50" t="s">
        <v>98</v>
      </c>
      <c r="BX54" s="49"/>
      <c r="BY54" s="50"/>
    </row>
    <row r="55" spans="1:77" x14ac:dyDescent="0.25">
      <c r="A55" s="76">
        <v>152557</v>
      </c>
      <c r="B55" s="77" t="s">
        <v>1242</v>
      </c>
      <c r="C55" s="78" t="s">
        <v>1191</v>
      </c>
      <c r="D55" s="76" t="s">
        <v>12</v>
      </c>
      <c r="E55" s="79" t="s">
        <v>14</v>
      </c>
      <c r="F55" s="79" t="s">
        <v>450</v>
      </c>
      <c r="G55" s="79" t="s">
        <v>14</v>
      </c>
      <c r="H55" s="79" t="s">
        <v>14</v>
      </c>
      <c r="I55" s="78" t="s">
        <v>14</v>
      </c>
      <c r="J55" s="79" t="s">
        <v>14</v>
      </c>
      <c r="K55" s="142" t="s">
        <v>1850</v>
      </c>
      <c r="L55" s="149" t="s">
        <v>1845</v>
      </c>
      <c r="M55" s="150" t="s">
        <v>12</v>
      </c>
      <c r="N55" s="151">
        <v>18</v>
      </c>
      <c r="O55" s="151">
        <v>1</v>
      </c>
      <c r="P55" s="152">
        <v>2</v>
      </c>
      <c r="Q55" s="153">
        <v>100</v>
      </c>
      <c r="R55" s="154">
        <v>1</v>
      </c>
      <c r="S55" s="38">
        <f t="shared" si="0"/>
        <v>1</v>
      </c>
      <c r="T55" s="39">
        <f t="shared" si="1"/>
        <v>9</v>
      </c>
      <c r="U55" s="40">
        <f t="shared" si="2"/>
        <v>0</v>
      </c>
      <c r="V55" s="40">
        <f t="shared" si="3"/>
        <v>0</v>
      </c>
      <c r="W55" s="40">
        <f t="shared" si="4"/>
        <v>0</v>
      </c>
      <c r="X55" s="40">
        <f t="shared" si="5"/>
        <v>0</v>
      </c>
      <c r="Y55" s="40">
        <f t="shared" si="6"/>
        <v>0</v>
      </c>
      <c r="Z55" s="40">
        <f t="shared" si="7"/>
        <v>0</v>
      </c>
      <c r="AA55" s="40">
        <f t="shared" si="8"/>
        <v>0</v>
      </c>
      <c r="AB55" s="40">
        <f t="shared" si="10"/>
        <v>0</v>
      </c>
      <c r="AC55" s="41">
        <f t="shared" si="11"/>
        <v>0</v>
      </c>
      <c r="AD55" s="49"/>
      <c r="AE55" s="50"/>
      <c r="AF55" s="49"/>
      <c r="AG55" s="50"/>
      <c r="AH55" s="49"/>
      <c r="AI55" s="50"/>
      <c r="AJ55" s="49"/>
      <c r="AK55" s="50"/>
      <c r="AL55" s="49"/>
      <c r="AM55" s="50"/>
      <c r="AN55" s="49" t="s">
        <v>5</v>
      </c>
      <c r="AO55" s="50" t="s">
        <v>117</v>
      </c>
      <c r="AP55" s="49"/>
      <c r="AQ55" s="50"/>
      <c r="AR55" s="49" t="s">
        <v>5</v>
      </c>
      <c r="AS55" s="50" t="s">
        <v>151</v>
      </c>
      <c r="AT55" s="49"/>
      <c r="AU55" s="50"/>
      <c r="AV55" s="49" t="s">
        <v>5</v>
      </c>
      <c r="AW55" s="50" t="s">
        <v>154</v>
      </c>
      <c r="AX55" s="49"/>
      <c r="AY55" s="50"/>
      <c r="AZ55" s="49" t="s">
        <v>5</v>
      </c>
      <c r="BA55" s="50" t="s">
        <v>144</v>
      </c>
      <c r="BB55" s="49"/>
      <c r="BC55" s="50"/>
      <c r="BD55" s="49"/>
      <c r="BE55" s="50"/>
      <c r="BF55" s="49"/>
      <c r="BG55" s="50"/>
      <c r="BH55" s="49" t="s">
        <v>5</v>
      </c>
      <c r="BI55" s="50" t="s">
        <v>78</v>
      </c>
      <c r="BJ55" s="49" t="s">
        <v>5</v>
      </c>
      <c r="BK55" s="50" t="s">
        <v>995</v>
      </c>
      <c r="BL55" s="49"/>
      <c r="BM55" s="50"/>
      <c r="BN55" s="49" t="s">
        <v>1</v>
      </c>
      <c r="BO55" s="50" t="s">
        <v>107</v>
      </c>
      <c r="BP55" s="49"/>
      <c r="BQ55" s="50"/>
      <c r="BR55" s="49"/>
      <c r="BS55" s="50"/>
      <c r="BT55" s="49" t="s">
        <v>5</v>
      </c>
      <c r="BU55" s="50" t="s">
        <v>82</v>
      </c>
      <c r="BV55" s="49" t="s">
        <v>5</v>
      </c>
      <c r="BW55" s="50" t="s">
        <v>109</v>
      </c>
      <c r="BX55" s="49" t="s">
        <v>5</v>
      </c>
      <c r="BY55" s="50" t="s">
        <v>103</v>
      </c>
    </row>
    <row r="56" spans="1:77" x14ac:dyDescent="0.25">
      <c r="A56" s="76">
        <v>152530</v>
      </c>
      <c r="B56" s="77" t="s">
        <v>1243</v>
      </c>
      <c r="C56" s="78" t="s">
        <v>1205</v>
      </c>
      <c r="D56" s="76" t="s">
        <v>70</v>
      </c>
      <c r="E56" s="79" t="s">
        <v>14</v>
      </c>
      <c r="F56" s="79" t="s">
        <v>71</v>
      </c>
      <c r="G56" s="79" t="s">
        <v>14</v>
      </c>
      <c r="H56" s="79" t="s">
        <v>14</v>
      </c>
      <c r="I56" s="78" t="s">
        <v>14</v>
      </c>
      <c r="J56" s="79" t="s">
        <v>14</v>
      </c>
      <c r="K56" s="142" t="s">
        <v>1850</v>
      </c>
      <c r="L56" s="149" t="s">
        <v>1842</v>
      </c>
      <c r="M56" s="150" t="s">
        <v>1853</v>
      </c>
      <c r="N56" s="151">
        <v>23</v>
      </c>
      <c r="O56" s="151">
        <v>0</v>
      </c>
      <c r="P56" s="152">
        <v>0</v>
      </c>
      <c r="Q56" s="153">
        <v>97.83</v>
      </c>
      <c r="R56" s="154">
        <v>0</v>
      </c>
      <c r="S56" s="38">
        <f t="shared" si="0"/>
        <v>2</v>
      </c>
      <c r="T56" s="39">
        <f t="shared" si="1"/>
        <v>8</v>
      </c>
      <c r="U56" s="40">
        <f t="shared" si="2"/>
        <v>0</v>
      </c>
      <c r="V56" s="40">
        <f t="shared" si="3"/>
        <v>0</v>
      </c>
      <c r="W56" s="40">
        <f t="shared" si="4"/>
        <v>0</v>
      </c>
      <c r="X56" s="40">
        <f t="shared" si="5"/>
        <v>0</v>
      </c>
      <c r="Y56" s="40">
        <f t="shared" si="6"/>
        <v>0</v>
      </c>
      <c r="Z56" s="40">
        <f t="shared" si="7"/>
        <v>0</v>
      </c>
      <c r="AA56" s="40">
        <f t="shared" si="8"/>
        <v>0</v>
      </c>
      <c r="AB56" s="40">
        <f t="shared" si="10"/>
        <v>0</v>
      </c>
      <c r="AC56" s="41">
        <f t="shared" si="11"/>
        <v>0</v>
      </c>
      <c r="AD56" s="49" t="s">
        <v>5</v>
      </c>
      <c r="AE56" s="50" t="s">
        <v>72</v>
      </c>
      <c r="AF56" s="49"/>
      <c r="AG56" s="50"/>
      <c r="AH56" s="49"/>
      <c r="AI56" s="50"/>
      <c r="AJ56" s="49"/>
      <c r="AK56" s="50"/>
      <c r="AL56" s="49"/>
      <c r="AM56" s="50"/>
      <c r="AN56" s="49"/>
      <c r="AO56" s="50"/>
      <c r="AP56" s="49" t="s">
        <v>5</v>
      </c>
      <c r="AQ56" s="50" t="s">
        <v>142</v>
      </c>
      <c r="AR56" s="49" t="s">
        <v>5</v>
      </c>
      <c r="AS56" s="50" t="s">
        <v>194</v>
      </c>
      <c r="AT56" s="49"/>
      <c r="AU56" s="50"/>
      <c r="AV56" s="49" t="s">
        <v>5</v>
      </c>
      <c r="AW56" s="50" t="s">
        <v>152</v>
      </c>
      <c r="AX56" s="49" t="s">
        <v>1</v>
      </c>
      <c r="AY56" s="50" t="s">
        <v>130</v>
      </c>
      <c r="AZ56" s="49"/>
      <c r="BA56" s="50"/>
      <c r="BB56" s="49"/>
      <c r="BC56" s="50"/>
      <c r="BD56" s="49"/>
      <c r="BE56" s="50"/>
      <c r="BF56" s="49"/>
      <c r="BG56" s="50"/>
      <c r="BH56" s="49" t="s">
        <v>5</v>
      </c>
      <c r="BI56" s="50" t="s">
        <v>105</v>
      </c>
      <c r="BJ56" s="49" t="s">
        <v>1</v>
      </c>
      <c r="BK56" s="50" t="s">
        <v>94</v>
      </c>
      <c r="BL56" s="49"/>
      <c r="BM56" s="50"/>
      <c r="BN56" s="49" t="s">
        <v>5</v>
      </c>
      <c r="BO56" s="50" t="s">
        <v>152</v>
      </c>
      <c r="BP56" s="49"/>
      <c r="BQ56" s="50"/>
      <c r="BR56" s="49"/>
      <c r="BS56" s="50"/>
      <c r="BT56" s="49" t="s">
        <v>5</v>
      </c>
      <c r="BU56" s="50" t="s">
        <v>108</v>
      </c>
      <c r="BV56" s="49" t="s">
        <v>5</v>
      </c>
      <c r="BW56" s="50" t="s">
        <v>98</v>
      </c>
      <c r="BX56" s="49"/>
      <c r="BY56" s="50"/>
    </row>
    <row r="57" spans="1:77" x14ac:dyDescent="0.25">
      <c r="A57" s="76">
        <v>152554</v>
      </c>
      <c r="B57" s="77" t="s">
        <v>1244</v>
      </c>
      <c r="C57" s="78" t="s">
        <v>1186</v>
      </c>
      <c r="D57" s="76" t="s">
        <v>70</v>
      </c>
      <c r="E57" s="79" t="s">
        <v>14</v>
      </c>
      <c r="F57" s="79" t="s">
        <v>450</v>
      </c>
      <c r="G57" s="79" t="s">
        <v>14</v>
      </c>
      <c r="H57" s="79" t="s">
        <v>14</v>
      </c>
      <c r="I57" s="78" t="s">
        <v>14</v>
      </c>
      <c r="J57" s="79" t="s">
        <v>14</v>
      </c>
      <c r="K57" s="142" t="s">
        <v>1850</v>
      </c>
      <c r="L57" s="149" t="s">
        <v>1841</v>
      </c>
      <c r="M57" s="150" t="s">
        <v>1853</v>
      </c>
      <c r="N57" s="151">
        <v>30</v>
      </c>
      <c r="O57" s="151">
        <v>0</v>
      </c>
      <c r="P57" s="152">
        <v>0</v>
      </c>
      <c r="Q57" s="153">
        <v>100</v>
      </c>
      <c r="R57" s="154">
        <v>0</v>
      </c>
      <c r="S57" s="38">
        <f t="shared" si="0"/>
        <v>2</v>
      </c>
      <c r="T57" s="39">
        <f t="shared" si="1"/>
        <v>8</v>
      </c>
      <c r="U57" s="40">
        <f t="shared" si="2"/>
        <v>0</v>
      </c>
      <c r="V57" s="40">
        <f t="shared" si="3"/>
        <v>0</v>
      </c>
      <c r="W57" s="40">
        <f t="shared" si="4"/>
        <v>0</v>
      </c>
      <c r="X57" s="40">
        <f t="shared" si="5"/>
        <v>0</v>
      </c>
      <c r="Y57" s="40">
        <f t="shared" si="6"/>
        <v>0</v>
      </c>
      <c r="Z57" s="40">
        <f t="shared" si="7"/>
        <v>0</v>
      </c>
      <c r="AA57" s="40">
        <f t="shared" si="8"/>
        <v>0</v>
      </c>
      <c r="AB57" s="40">
        <f t="shared" si="10"/>
        <v>0</v>
      </c>
      <c r="AC57" s="41">
        <f t="shared" si="11"/>
        <v>0</v>
      </c>
      <c r="AD57" s="49"/>
      <c r="AE57" s="50"/>
      <c r="AF57" s="49"/>
      <c r="AG57" s="50"/>
      <c r="AH57" s="49"/>
      <c r="AI57" s="50"/>
      <c r="AJ57" s="49"/>
      <c r="AK57" s="50"/>
      <c r="AL57" s="49"/>
      <c r="AM57" s="50"/>
      <c r="AN57" s="49"/>
      <c r="AO57" s="50"/>
      <c r="AP57" s="49" t="s">
        <v>5</v>
      </c>
      <c r="AQ57" s="50" t="s">
        <v>142</v>
      </c>
      <c r="AR57" s="49" t="s">
        <v>5</v>
      </c>
      <c r="AS57" s="50" t="s">
        <v>91</v>
      </c>
      <c r="AT57" s="49"/>
      <c r="AU57" s="50"/>
      <c r="AV57" s="49" t="s">
        <v>5</v>
      </c>
      <c r="AW57" s="50" t="s">
        <v>83</v>
      </c>
      <c r="AX57" s="49"/>
      <c r="AY57" s="50"/>
      <c r="AZ57" s="49"/>
      <c r="BA57" s="50"/>
      <c r="BB57" s="49"/>
      <c r="BC57" s="50"/>
      <c r="BD57" s="49" t="s">
        <v>1</v>
      </c>
      <c r="BE57" s="50" t="s">
        <v>104</v>
      </c>
      <c r="BF57" s="49"/>
      <c r="BG57" s="50"/>
      <c r="BH57" s="49" t="s">
        <v>5</v>
      </c>
      <c r="BI57" s="50" t="s">
        <v>105</v>
      </c>
      <c r="BJ57" s="49" t="s">
        <v>5</v>
      </c>
      <c r="BK57" s="50" t="s">
        <v>505</v>
      </c>
      <c r="BL57" s="49"/>
      <c r="BM57" s="50"/>
      <c r="BN57" s="49" t="s">
        <v>5</v>
      </c>
      <c r="BO57" s="50" t="s">
        <v>121</v>
      </c>
      <c r="BP57" s="49"/>
      <c r="BQ57" s="50"/>
      <c r="BR57" s="49"/>
      <c r="BS57" s="50"/>
      <c r="BT57" s="49" t="s">
        <v>5</v>
      </c>
      <c r="BU57" s="50" t="s">
        <v>82</v>
      </c>
      <c r="BV57" s="49" t="s">
        <v>1</v>
      </c>
      <c r="BW57" s="50" t="s">
        <v>98</v>
      </c>
      <c r="BX57" s="49" t="s">
        <v>5</v>
      </c>
      <c r="BY57" s="50" t="s">
        <v>130</v>
      </c>
    </row>
    <row r="58" spans="1:77" x14ac:dyDescent="0.25">
      <c r="A58" s="76">
        <v>152559</v>
      </c>
      <c r="B58" s="77" t="s">
        <v>1245</v>
      </c>
      <c r="C58" s="78" t="s">
        <v>1181</v>
      </c>
      <c r="D58" s="76" t="s">
        <v>12</v>
      </c>
      <c r="E58" s="79" t="s">
        <v>14</v>
      </c>
      <c r="F58" s="79" t="s">
        <v>71</v>
      </c>
      <c r="G58" s="79" t="s">
        <v>14</v>
      </c>
      <c r="H58" s="79" t="s">
        <v>14</v>
      </c>
      <c r="I58" s="78" t="s">
        <v>14</v>
      </c>
      <c r="J58" s="79" t="s">
        <v>14</v>
      </c>
      <c r="K58" s="142" t="s">
        <v>1851</v>
      </c>
      <c r="L58" s="149" t="s">
        <v>1844</v>
      </c>
      <c r="M58" s="150" t="s">
        <v>12</v>
      </c>
      <c r="N58" s="151">
        <v>31</v>
      </c>
      <c r="O58" s="151">
        <v>0</v>
      </c>
      <c r="P58" s="152">
        <v>1</v>
      </c>
      <c r="Q58" s="153">
        <v>97.83</v>
      </c>
      <c r="R58" s="154">
        <v>0</v>
      </c>
      <c r="S58" s="38">
        <f t="shared" si="0"/>
        <v>1</v>
      </c>
      <c r="T58" s="39">
        <f t="shared" si="1"/>
        <v>10</v>
      </c>
      <c r="U58" s="40">
        <f t="shared" si="2"/>
        <v>0</v>
      </c>
      <c r="V58" s="40">
        <f t="shared" si="3"/>
        <v>0</v>
      </c>
      <c r="W58" s="40">
        <f t="shared" si="4"/>
        <v>0</v>
      </c>
      <c r="X58" s="40">
        <f t="shared" si="5"/>
        <v>0</v>
      </c>
      <c r="Y58" s="40">
        <f t="shared" si="6"/>
        <v>0</v>
      </c>
      <c r="Z58" s="40">
        <f t="shared" si="7"/>
        <v>0</v>
      </c>
      <c r="AA58" s="40">
        <f t="shared" si="8"/>
        <v>0</v>
      </c>
      <c r="AB58" s="40">
        <f t="shared" si="10"/>
        <v>0</v>
      </c>
      <c r="AC58" s="41">
        <f t="shared" si="11"/>
        <v>0</v>
      </c>
      <c r="AD58" s="49"/>
      <c r="AE58" s="50"/>
      <c r="AF58" s="49" t="s">
        <v>1</v>
      </c>
      <c r="AG58" s="50" t="s">
        <v>433</v>
      </c>
      <c r="AH58" s="49"/>
      <c r="AI58" s="50"/>
      <c r="AJ58" s="49" t="s">
        <v>5</v>
      </c>
      <c r="AK58" s="50" t="s">
        <v>137</v>
      </c>
      <c r="AL58" s="49"/>
      <c r="AM58" s="50"/>
      <c r="AN58" s="49"/>
      <c r="AO58" s="50"/>
      <c r="AP58" s="49"/>
      <c r="AQ58" s="50"/>
      <c r="AR58" s="49" t="s">
        <v>5</v>
      </c>
      <c r="AS58" s="50" t="s">
        <v>102</v>
      </c>
      <c r="AT58" s="49"/>
      <c r="AU58" s="50"/>
      <c r="AV58" s="49" t="s">
        <v>5</v>
      </c>
      <c r="AW58" s="50" t="s">
        <v>104</v>
      </c>
      <c r="AX58" s="49" t="s">
        <v>5</v>
      </c>
      <c r="AY58" s="50" t="s">
        <v>84</v>
      </c>
      <c r="AZ58" s="49"/>
      <c r="BA58" s="50"/>
      <c r="BB58" s="49"/>
      <c r="BC58" s="50"/>
      <c r="BD58" s="49"/>
      <c r="BE58" s="50"/>
      <c r="BF58" s="49"/>
      <c r="BG58" s="50"/>
      <c r="BH58" s="49" t="s">
        <v>5</v>
      </c>
      <c r="BI58" s="50" t="s">
        <v>78</v>
      </c>
      <c r="BJ58" s="49" t="s">
        <v>5</v>
      </c>
      <c r="BK58" s="50" t="s">
        <v>505</v>
      </c>
      <c r="BL58" s="49"/>
      <c r="BM58" s="50"/>
      <c r="BN58" s="49" t="s">
        <v>5</v>
      </c>
      <c r="BO58" s="50" t="s">
        <v>741</v>
      </c>
      <c r="BP58" s="49" t="s">
        <v>5</v>
      </c>
      <c r="BQ58" s="50" t="s">
        <v>81</v>
      </c>
      <c r="BR58" s="49" t="s">
        <v>5</v>
      </c>
      <c r="BS58" s="50" t="s">
        <v>170</v>
      </c>
      <c r="BT58" s="49" t="s">
        <v>5</v>
      </c>
      <c r="BU58" s="50" t="s">
        <v>457</v>
      </c>
      <c r="BV58" s="49"/>
      <c r="BW58" s="50"/>
      <c r="BX58" s="49"/>
      <c r="BY58" s="50"/>
    </row>
    <row r="59" spans="1:77" x14ac:dyDescent="0.25">
      <c r="A59" s="76">
        <v>152704</v>
      </c>
      <c r="B59" s="77" t="s">
        <v>1246</v>
      </c>
      <c r="C59" s="78" t="s">
        <v>1205</v>
      </c>
      <c r="D59" s="76" t="s">
        <v>70</v>
      </c>
      <c r="E59" s="79" t="s">
        <v>14</v>
      </c>
      <c r="F59" s="79" t="s">
        <v>71</v>
      </c>
      <c r="G59" s="79" t="s">
        <v>14</v>
      </c>
      <c r="H59" s="79" t="s">
        <v>14</v>
      </c>
      <c r="I59" s="78" t="s">
        <v>14</v>
      </c>
      <c r="J59" s="79" t="s">
        <v>14</v>
      </c>
      <c r="K59" s="142" t="s">
        <v>1850</v>
      </c>
      <c r="L59" s="149" t="s">
        <v>1844</v>
      </c>
      <c r="M59" s="150" t="s">
        <v>12</v>
      </c>
      <c r="N59" s="151">
        <v>34</v>
      </c>
      <c r="O59" s="151">
        <v>0</v>
      </c>
      <c r="P59" s="152">
        <v>0</v>
      </c>
      <c r="Q59" s="153">
        <v>95.65</v>
      </c>
      <c r="R59" s="154">
        <v>0</v>
      </c>
      <c r="S59" s="38">
        <f t="shared" si="0"/>
        <v>3</v>
      </c>
      <c r="T59" s="39">
        <f t="shared" si="1"/>
        <v>8</v>
      </c>
      <c r="U59" s="40">
        <f t="shared" si="2"/>
        <v>0</v>
      </c>
      <c r="V59" s="40">
        <f t="shared" si="3"/>
        <v>0</v>
      </c>
      <c r="W59" s="40">
        <f t="shared" si="4"/>
        <v>0</v>
      </c>
      <c r="X59" s="40">
        <f t="shared" si="5"/>
        <v>0</v>
      </c>
      <c r="Y59" s="40">
        <f t="shared" si="6"/>
        <v>0</v>
      </c>
      <c r="Z59" s="40">
        <f t="shared" si="7"/>
        <v>0</v>
      </c>
      <c r="AA59" s="40">
        <f t="shared" si="8"/>
        <v>0</v>
      </c>
      <c r="AB59" s="40">
        <f t="shared" si="10"/>
        <v>0</v>
      </c>
      <c r="AC59" s="41">
        <f t="shared" si="11"/>
        <v>0</v>
      </c>
      <c r="AD59" s="49"/>
      <c r="AE59" s="50"/>
      <c r="AF59" s="49" t="s">
        <v>5</v>
      </c>
      <c r="AG59" s="50" t="s">
        <v>433</v>
      </c>
      <c r="AH59" s="49"/>
      <c r="AI59" s="50"/>
      <c r="AJ59" s="49" t="s">
        <v>5</v>
      </c>
      <c r="AK59" s="50" t="s">
        <v>137</v>
      </c>
      <c r="AL59" s="49"/>
      <c r="AM59" s="50"/>
      <c r="AN59" s="49"/>
      <c r="AO59" s="50"/>
      <c r="AP59" s="49"/>
      <c r="AQ59" s="50"/>
      <c r="AR59" s="49" t="s">
        <v>5</v>
      </c>
      <c r="AS59" s="50" t="s">
        <v>194</v>
      </c>
      <c r="AT59" s="49"/>
      <c r="AU59" s="50"/>
      <c r="AV59" s="49" t="s">
        <v>5</v>
      </c>
      <c r="AW59" s="50" t="s">
        <v>152</v>
      </c>
      <c r="AX59" s="49" t="s">
        <v>1</v>
      </c>
      <c r="AY59" s="50" t="s">
        <v>130</v>
      </c>
      <c r="AZ59" s="49"/>
      <c r="BA59" s="50"/>
      <c r="BB59" s="49" t="s">
        <v>1</v>
      </c>
      <c r="BC59" s="50" t="s">
        <v>436</v>
      </c>
      <c r="BD59" s="49"/>
      <c r="BE59" s="50"/>
      <c r="BF59" s="49"/>
      <c r="BG59" s="50"/>
      <c r="BH59" s="49" t="s">
        <v>5</v>
      </c>
      <c r="BI59" s="50" t="s">
        <v>105</v>
      </c>
      <c r="BJ59" s="49" t="s">
        <v>1</v>
      </c>
      <c r="BK59" s="50" t="s">
        <v>94</v>
      </c>
      <c r="BL59" s="49"/>
      <c r="BM59" s="50"/>
      <c r="BN59" s="49" t="s">
        <v>5</v>
      </c>
      <c r="BO59" s="50" t="s">
        <v>121</v>
      </c>
      <c r="BP59" s="49"/>
      <c r="BQ59" s="50"/>
      <c r="BR59" s="49" t="s">
        <v>5</v>
      </c>
      <c r="BS59" s="50" t="s">
        <v>170</v>
      </c>
      <c r="BT59" s="49" t="s">
        <v>5</v>
      </c>
      <c r="BU59" s="50" t="s">
        <v>108</v>
      </c>
      <c r="BV59" s="49"/>
      <c r="BW59" s="50"/>
      <c r="BX59" s="49"/>
      <c r="BY59" s="50"/>
    </row>
    <row r="60" spans="1:77" x14ac:dyDescent="0.25">
      <c r="A60" s="76">
        <v>152653</v>
      </c>
      <c r="B60" s="77" t="s">
        <v>1247</v>
      </c>
      <c r="C60" s="78" t="s">
        <v>1181</v>
      </c>
      <c r="D60" s="76" t="s">
        <v>70</v>
      </c>
      <c r="E60" s="79" t="s">
        <v>14</v>
      </c>
      <c r="F60" s="79" t="s">
        <v>71</v>
      </c>
      <c r="G60" s="79" t="s">
        <v>87</v>
      </c>
      <c r="H60" s="79" t="s">
        <v>14</v>
      </c>
      <c r="I60" s="78" t="s">
        <v>14</v>
      </c>
      <c r="J60" s="79" t="s">
        <v>14</v>
      </c>
      <c r="K60" s="142" t="s">
        <v>1850</v>
      </c>
      <c r="L60" s="149" t="s">
        <v>1841</v>
      </c>
      <c r="M60" s="150" t="s">
        <v>1853</v>
      </c>
      <c r="N60" s="151">
        <v>34</v>
      </c>
      <c r="O60" s="151">
        <v>0</v>
      </c>
      <c r="P60" s="152">
        <v>0</v>
      </c>
      <c r="Q60" s="153">
        <v>100</v>
      </c>
      <c r="R60" s="154">
        <v>0</v>
      </c>
      <c r="S60" s="38">
        <f t="shared" si="0"/>
        <v>5</v>
      </c>
      <c r="T60" s="39">
        <f t="shared" si="1"/>
        <v>5</v>
      </c>
      <c r="U60" s="40">
        <f t="shared" si="2"/>
        <v>0</v>
      </c>
      <c r="V60" s="40">
        <f t="shared" si="3"/>
        <v>0</v>
      </c>
      <c r="W60" s="40">
        <f t="shared" si="4"/>
        <v>0</v>
      </c>
      <c r="X60" s="40">
        <f t="shared" si="5"/>
        <v>0</v>
      </c>
      <c r="Y60" s="40">
        <f t="shared" si="6"/>
        <v>0</v>
      </c>
      <c r="Z60" s="40">
        <f t="shared" si="7"/>
        <v>0</v>
      </c>
      <c r="AA60" s="40">
        <f t="shared" si="8"/>
        <v>0</v>
      </c>
      <c r="AB60" s="40">
        <f t="shared" si="10"/>
        <v>0</v>
      </c>
      <c r="AC60" s="41">
        <f t="shared" si="11"/>
        <v>0</v>
      </c>
      <c r="AD60" s="49"/>
      <c r="AE60" s="50"/>
      <c r="AF60" s="49"/>
      <c r="AG60" s="50"/>
      <c r="AH60" s="49"/>
      <c r="AI60" s="50"/>
      <c r="AJ60" s="49"/>
      <c r="AK60" s="50"/>
      <c r="AL60" s="49"/>
      <c r="AM60" s="50"/>
      <c r="AN60" s="49"/>
      <c r="AO60" s="50"/>
      <c r="AP60" s="49" t="s">
        <v>5</v>
      </c>
      <c r="AQ60" s="50" t="s">
        <v>101</v>
      </c>
      <c r="AR60" s="49" t="s">
        <v>5</v>
      </c>
      <c r="AS60" s="50" t="s">
        <v>194</v>
      </c>
      <c r="AT60" s="49"/>
      <c r="AU60" s="50"/>
      <c r="AV60" s="49" t="s">
        <v>1</v>
      </c>
      <c r="AW60" s="50" t="s">
        <v>104</v>
      </c>
      <c r="AX60" s="49" t="s">
        <v>5</v>
      </c>
      <c r="AY60" s="50" t="s">
        <v>84</v>
      </c>
      <c r="AZ60" s="49"/>
      <c r="BA60" s="50"/>
      <c r="BB60" s="49"/>
      <c r="BC60" s="50"/>
      <c r="BD60" s="49" t="s">
        <v>1</v>
      </c>
      <c r="BE60" s="50" t="s">
        <v>104</v>
      </c>
      <c r="BF60" s="49"/>
      <c r="BG60" s="50"/>
      <c r="BH60" s="49" t="s">
        <v>5</v>
      </c>
      <c r="BI60" s="50" t="s">
        <v>163</v>
      </c>
      <c r="BJ60" s="49" t="s">
        <v>5</v>
      </c>
      <c r="BK60" s="50" t="s">
        <v>422</v>
      </c>
      <c r="BL60" s="49"/>
      <c r="BM60" s="50"/>
      <c r="BN60" s="49" t="s">
        <v>1</v>
      </c>
      <c r="BO60" s="50" t="s">
        <v>121</v>
      </c>
      <c r="BP60" s="49"/>
      <c r="BQ60" s="50"/>
      <c r="BR60" s="49"/>
      <c r="BS60" s="50"/>
      <c r="BT60" s="49" t="s">
        <v>1</v>
      </c>
      <c r="BU60" s="50" t="s">
        <v>97</v>
      </c>
      <c r="BV60" s="49" t="s">
        <v>1</v>
      </c>
      <c r="BW60" s="50" t="s">
        <v>98</v>
      </c>
      <c r="BX60" s="49"/>
      <c r="BY60" s="50"/>
    </row>
    <row r="61" spans="1:77" x14ac:dyDescent="0.25">
      <c r="A61" s="76">
        <v>152548</v>
      </c>
      <c r="B61" s="77" t="s">
        <v>1248</v>
      </c>
      <c r="C61" s="78" t="s">
        <v>1188</v>
      </c>
      <c r="D61" s="76" t="s">
        <v>70</v>
      </c>
      <c r="E61" s="79" t="s">
        <v>14</v>
      </c>
      <c r="F61" s="79" t="s">
        <v>88</v>
      </c>
      <c r="G61" s="79" t="s">
        <v>14</v>
      </c>
      <c r="H61" s="79" t="s">
        <v>14</v>
      </c>
      <c r="I61" s="78" t="s">
        <v>14</v>
      </c>
      <c r="J61" s="79" t="s">
        <v>14</v>
      </c>
      <c r="K61" s="142" t="s">
        <v>1850</v>
      </c>
      <c r="L61" s="149" t="s">
        <v>1842</v>
      </c>
      <c r="M61" s="150" t="s">
        <v>1853</v>
      </c>
      <c r="N61" s="151">
        <v>26</v>
      </c>
      <c r="O61" s="151">
        <v>0</v>
      </c>
      <c r="P61" s="152">
        <v>0</v>
      </c>
      <c r="Q61" s="153">
        <v>100</v>
      </c>
      <c r="R61" s="154">
        <v>0</v>
      </c>
      <c r="S61" s="38">
        <f t="shared" si="0"/>
        <v>0</v>
      </c>
      <c r="T61" s="39">
        <f t="shared" si="1"/>
        <v>11</v>
      </c>
      <c r="U61" s="40">
        <f t="shared" si="2"/>
        <v>0</v>
      </c>
      <c r="V61" s="40">
        <f t="shared" si="3"/>
        <v>0</v>
      </c>
      <c r="W61" s="40">
        <f t="shared" si="4"/>
        <v>0</v>
      </c>
      <c r="X61" s="40">
        <f t="shared" si="5"/>
        <v>0</v>
      </c>
      <c r="Y61" s="40">
        <f t="shared" si="6"/>
        <v>0</v>
      </c>
      <c r="Z61" s="40">
        <f t="shared" si="7"/>
        <v>0</v>
      </c>
      <c r="AA61" s="40">
        <f t="shared" si="8"/>
        <v>0</v>
      </c>
      <c r="AB61" s="40">
        <f t="shared" si="10"/>
        <v>0</v>
      </c>
      <c r="AC61" s="41">
        <f t="shared" si="11"/>
        <v>0</v>
      </c>
      <c r="AD61" s="49"/>
      <c r="AE61" s="50"/>
      <c r="AF61" s="49" t="s">
        <v>5</v>
      </c>
      <c r="AG61" s="50" t="s">
        <v>164</v>
      </c>
      <c r="AH61" s="49"/>
      <c r="AI61" s="50"/>
      <c r="AJ61" s="49" t="s">
        <v>5</v>
      </c>
      <c r="AK61" s="50" t="s">
        <v>206</v>
      </c>
      <c r="AL61" s="49"/>
      <c r="AM61" s="50"/>
      <c r="AN61" s="49"/>
      <c r="AO61" s="50"/>
      <c r="AP61" s="49"/>
      <c r="AQ61" s="50"/>
      <c r="AR61" s="49" t="s">
        <v>5</v>
      </c>
      <c r="AS61" s="50" t="s">
        <v>194</v>
      </c>
      <c r="AT61" s="49"/>
      <c r="AU61" s="50"/>
      <c r="AV61" s="49" t="s">
        <v>5</v>
      </c>
      <c r="AW61" s="50" t="s">
        <v>430</v>
      </c>
      <c r="AX61" s="49" t="s">
        <v>5</v>
      </c>
      <c r="AY61" s="50" t="s">
        <v>84</v>
      </c>
      <c r="AZ61" s="49" t="s">
        <v>5</v>
      </c>
      <c r="BA61" s="50" t="s">
        <v>144</v>
      </c>
      <c r="BB61" s="49"/>
      <c r="BC61" s="50"/>
      <c r="BD61" s="49"/>
      <c r="BE61" s="50"/>
      <c r="BF61" s="49"/>
      <c r="BG61" s="50"/>
      <c r="BH61" s="49" t="s">
        <v>5</v>
      </c>
      <c r="BI61" s="50" t="s">
        <v>163</v>
      </c>
      <c r="BJ61" s="49" t="s">
        <v>5</v>
      </c>
      <c r="BK61" s="50" t="s">
        <v>505</v>
      </c>
      <c r="BL61" s="49"/>
      <c r="BM61" s="50"/>
      <c r="BN61" s="49" t="s">
        <v>5</v>
      </c>
      <c r="BO61" s="50" t="s">
        <v>152</v>
      </c>
      <c r="BP61" s="49"/>
      <c r="BQ61" s="50"/>
      <c r="BR61" s="49" t="s">
        <v>5</v>
      </c>
      <c r="BS61" s="50" t="s">
        <v>123</v>
      </c>
      <c r="BT61" s="49" t="s">
        <v>5</v>
      </c>
      <c r="BU61" s="50" t="s">
        <v>108</v>
      </c>
      <c r="BV61" s="49"/>
      <c r="BW61" s="50"/>
      <c r="BX61" s="49"/>
      <c r="BY61" s="50"/>
    </row>
    <row r="62" spans="1:77" x14ac:dyDescent="0.25">
      <c r="A62" s="76">
        <v>152683</v>
      </c>
      <c r="B62" s="77" t="s">
        <v>1249</v>
      </c>
      <c r="C62" s="78" t="s">
        <v>1181</v>
      </c>
      <c r="D62" s="76" t="s">
        <v>12</v>
      </c>
      <c r="E62" s="79" t="s">
        <v>87</v>
      </c>
      <c r="F62" s="79" t="s">
        <v>71</v>
      </c>
      <c r="G62" s="79" t="s">
        <v>14</v>
      </c>
      <c r="H62" s="79" t="s">
        <v>87</v>
      </c>
      <c r="I62" s="78" t="s">
        <v>14</v>
      </c>
      <c r="J62" s="79" t="s">
        <v>14</v>
      </c>
      <c r="K62" s="142" t="s">
        <v>1851</v>
      </c>
      <c r="L62" s="149" t="s">
        <v>1845</v>
      </c>
      <c r="M62" s="150" t="s">
        <v>12</v>
      </c>
      <c r="N62" s="151">
        <v>7</v>
      </c>
      <c r="O62" s="151">
        <v>8</v>
      </c>
      <c r="P62" s="152">
        <v>0</v>
      </c>
      <c r="Q62" s="153">
        <v>67.39</v>
      </c>
      <c r="R62" s="154">
        <v>4</v>
      </c>
      <c r="S62" s="38">
        <f t="shared" si="0"/>
        <v>0</v>
      </c>
      <c r="T62" s="39">
        <f t="shared" si="1"/>
        <v>5</v>
      </c>
      <c r="U62" s="40">
        <f t="shared" si="2"/>
        <v>4</v>
      </c>
      <c r="V62" s="40">
        <f t="shared" si="3"/>
        <v>1</v>
      </c>
      <c r="W62" s="40">
        <f t="shared" si="4"/>
        <v>0</v>
      </c>
      <c r="X62" s="40">
        <f t="shared" si="5"/>
        <v>5</v>
      </c>
      <c r="Y62" s="40">
        <f t="shared" si="6"/>
        <v>0</v>
      </c>
      <c r="Z62" s="40">
        <f t="shared" si="7"/>
        <v>0</v>
      </c>
      <c r="AA62" s="40">
        <f t="shared" si="8"/>
        <v>0</v>
      </c>
      <c r="AB62" s="40">
        <f t="shared" si="10"/>
        <v>0</v>
      </c>
      <c r="AC62" s="41">
        <f t="shared" si="11"/>
        <v>0</v>
      </c>
      <c r="AD62" s="49"/>
      <c r="AE62" s="50"/>
      <c r="AF62" s="49"/>
      <c r="AG62" s="50"/>
      <c r="AH62" s="49" t="s">
        <v>5</v>
      </c>
      <c r="AI62" s="50" t="s">
        <v>78</v>
      </c>
      <c r="AJ62" s="49"/>
      <c r="AK62" s="50"/>
      <c r="AL62" s="49"/>
      <c r="AM62" s="50"/>
      <c r="AN62" s="49"/>
      <c r="AO62" s="50"/>
      <c r="AP62" s="49"/>
      <c r="AQ62" s="50"/>
      <c r="AR62" s="49" t="s">
        <v>30</v>
      </c>
      <c r="AS62" s="50" t="s">
        <v>102</v>
      </c>
      <c r="AT62" s="49" t="s">
        <v>5</v>
      </c>
      <c r="AU62" s="50" t="s">
        <v>135</v>
      </c>
      <c r="AV62" s="49" t="s">
        <v>5</v>
      </c>
      <c r="AW62" s="50" t="s">
        <v>104</v>
      </c>
      <c r="AX62" s="49" t="s">
        <v>30</v>
      </c>
      <c r="AY62" s="50" t="s">
        <v>103</v>
      </c>
      <c r="AZ62" s="49"/>
      <c r="BA62" s="50"/>
      <c r="BB62" s="49"/>
      <c r="BC62" s="50"/>
      <c r="BD62" s="49"/>
      <c r="BE62" s="50"/>
      <c r="BF62" s="49"/>
      <c r="BG62" s="50"/>
      <c r="BH62" s="49" t="s">
        <v>5</v>
      </c>
      <c r="BI62" s="50" t="s">
        <v>78</v>
      </c>
      <c r="BJ62" s="49" t="s">
        <v>30</v>
      </c>
      <c r="BK62" s="50" t="s">
        <v>711</v>
      </c>
      <c r="BL62" s="49"/>
      <c r="BM62" s="50"/>
      <c r="BN62" s="49" t="s">
        <v>5</v>
      </c>
      <c r="BO62" s="50" t="s">
        <v>96</v>
      </c>
      <c r="BP62" s="49"/>
      <c r="BQ62" s="50"/>
      <c r="BR62" s="49"/>
      <c r="BS62" s="50"/>
      <c r="BT62" s="49" t="s">
        <v>31</v>
      </c>
      <c r="BU62" s="50" t="s">
        <v>122</v>
      </c>
      <c r="BV62" s="49" t="s">
        <v>30</v>
      </c>
      <c r="BW62" s="50" t="s">
        <v>109</v>
      </c>
      <c r="BX62" s="49"/>
      <c r="BY62" s="50"/>
    </row>
    <row r="63" spans="1:77" x14ac:dyDescent="0.25">
      <c r="A63" s="76">
        <v>152656</v>
      </c>
      <c r="B63" s="77" t="s">
        <v>1250</v>
      </c>
      <c r="C63" s="78" t="s">
        <v>1205</v>
      </c>
      <c r="D63" s="76" t="s">
        <v>70</v>
      </c>
      <c r="E63" s="79" t="s">
        <v>14</v>
      </c>
      <c r="F63" s="79" t="s">
        <v>275</v>
      </c>
      <c r="G63" s="79" t="s">
        <v>87</v>
      </c>
      <c r="H63" s="79" t="s">
        <v>14</v>
      </c>
      <c r="I63" s="78" t="s">
        <v>14</v>
      </c>
      <c r="J63" s="79" t="s">
        <v>14</v>
      </c>
      <c r="K63" s="142" t="s">
        <v>1850</v>
      </c>
      <c r="L63" s="149" t="s">
        <v>1845</v>
      </c>
      <c r="M63" s="150" t="s">
        <v>12</v>
      </c>
      <c r="N63" s="151">
        <v>12</v>
      </c>
      <c r="O63" s="151">
        <v>0</v>
      </c>
      <c r="P63" s="152">
        <v>0</v>
      </c>
      <c r="Q63" s="153">
        <v>47.73</v>
      </c>
      <c r="R63" s="154">
        <v>1</v>
      </c>
      <c r="S63" s="38">
        <f t="shared" si="0"/>
        <v>0</v>
      </c>
      <c r="T63" s="39">
        <f t="shared" si="1"/>
        <v>8</v>
      </c>
      <c r="U63" s="40">
        <f t="shared" si="2"/>
        <v>0</v>
      </c>
      <c r="V63" s="40">
        <f t="shared" si="3"/>
        <v>0</v>
      </c>
      <c r="W63" s="40">
        <f t="shared" si="4"/>
        <v>0</v>
      </c>
      <c r="X63" s="40">
        <f t="shared" si="5"/>
        <v>0</v>
      </c>
      <c r="Y63" s="40">
        <f t="shared" si="6"/>
        <v>0</v>
      </c>
      <c r="Z63" s="40">
        <f t="shared" si="7"/>
        <v>0</v>
      </c>
      <c r="AA63" s="40">
        <f t="shared" si="8"/>
        <v>1</v>
      </c>
      <c r="AB63" s="40">
        <f t="shared" si="10"/>
        <v>1</v>
      </c>
      <c r="AC63" s="41">
        <f t="shared" si="11"/>
        <v>0</v>
      </c>
      <c r="AD63" s="49" t="s">
        <v>5</v>
      </c>
      <c r="AE63" s="50" t="s">
        <v>89</v>
      </c>
      <c r="AF63" s="49"/>
      <c r="AG63" s="50"/>
      <c r="AH63" s="49"/>
      <c r="AI63" s="50"/>
      <c r="AJ63" s="49"/>
      <c r="AK63" s="50"/>
      <c r="AL63" s="49"/>
      <c r="AM63" s="50"/>
      <c r="AN63" s="49"/>
      <c r="AO63" s="50"/>
      <c r="AP63" s="49"/>
      <c r="AQ63" s="50"/>
      <c r="AR63" s="49" t="s">
        <v>5</v>
      </c>
      <c r="AS63" s="50" t="s">
        <v>194</v>
      </c>
      <c r="AT63" s="49"/>
      <c r="AU63" s="50"/>
      <c r="AV63" s="49" t="s">
        <v>5</v>
      </c>
      <c r="AW63" s="50" t="s">
        <v>152</v>
      </c>
      <c r="AX63" s="49" t="s">
        <v>189</v>
      </c>
      <c r="AY63" s="50" t="s">
        <v>84</v>
      </c>
      <c r="AZ63" s="49"/>
      <c r="BA63" s="50"/>
      <c r="BB63" s="49" t="s">
        <v>5</v>
      </c>
      <c r="BC63" s="50" t="s">
        <v>436</v>
      </c>
      <c r="BD63" s="49"/>
      <c r="BE63" s="50"/>
      <c r="BF63" s="49"/>
      <c r="BG63" s="50"/>
      <c r="BH63" s="49" t="s">
        <v>5</v>
      </c>
      <c r="BI63" s="50" t="s">
        <v>105</v>
      </c>
      <c r="BJ63" s="49" t="s">
        <v>5</v>
      </c>
      <c r="BK63" s="50" t="s">
        <v>995</v>
      </c>
      <c r="BL63" s="49"/>
      <c r="BM63" s="50"/>
      <c r="BN63" s="49" t="s">
        <v>5</v>
      </c>
      <c r="BO63" s="50" t="s">
        <v>152</v>
      </c>
      <c r="BP63" s="49"/>
      <c r="BQ63" s="50"/>
      <c r="BR63" s="49"/>
      <c r="BS63" s="50"/>
      <c r="BT63" s="49" t="s">
        <v>36</v>
      </c>
      <c r="BU63" s="50" t="s">
        <v>122</v>
      </c>
      <c r="BV63" s="49" t="s">
        <v>5</v>
      </c>
      <c r="BW63" s="50" t="s">
        <v>98</v>
      </c>
      <c r="BX63" s="49"/>
      <c r="BY63" s="50"/>
    </row>
    <row r="64" spans="1:77" x14ac:dyDescent="0.25">
      <c r="A64" s="76">
        <v>152524</v>
      </c>
      <c r="B64" s="77" t="s">
        <v>1251</v>
      </c>
      <c r="C64" s="78" t="s">
        <v>1181</v>
      </c>
      <c r="D64" s="76" t="s">
        <v>12</v>
      </c>
      <c r="E64" s="79" t="s">
        <v>14</v>
      </c>
      <c r="F64" s="79" t="s">
        <v>71</v>
      </c>
      <c r="G64" s="79" t="s">
        <v>14</v>
      </c>
      <c r="H64" s="79" t="s">
        <v>14</v>
      </c>
      <c r="I64" s="78" t="s">
        <v>14</v>
      </c>
      <c r="J64" s="79" t="s">
        <v>14</v>
      </c>
      <c r="K64" s="142" t="s">
        <v>1850</v>
      </c>
      <c r="L64" s="149" t="s">
        <v>1848</v>
      </c>
      <c r="M64" s="150" t="s">
        <v>1852</v>
      </c>
      <c r="N64" s="151">
        <v>14</v>
      </c>
      <c r="O64" s="151">
        <v>5</v>
      </c>
      <c r="P64" s="152">
        <v>1</v>
      </c>
      <c r="Q64" s="153">
        <v>100</v>
      </c>
      <c r="R64" s="154">
        <v>0</v>
      </c>
      <c r="S64" s="38">
        <f t="shared" si="0"/>
        <v>0</v>
      </c>
      <c r="T64" s="39">
        <f t="shared" si="1"/>
        <v>7</v>
      </c>
      <c r="U64" s="40">
        <f t="shared" si="2"/>
        <v>3</v>
      </c>
      <c r="V64" s="40">
        <f t="shared" si="3"/>
        <v>0</v>
      </c>
      <c r="W64" s="40">
        <f t="shared" si="4"/>
        <v>0</v>
      </c>
      <c r="X64" s="40">
        <f t="shared" si="5"/>
        <v>3</v>
      </c>
      <c r="Y64" s="40">
        <f t="shared" si="6"/>
        <v>0</v>
      </c>
      <c r="Z64" s="40">
        <f t="shared" si="7"/>
        <v>0</v>
      </c>
      <c r="AA64" s="40">
        <f t="shared" si="8"/>
        <v>0</v>
      </c>
      <c r="AB64" s="40">
        <f t="shared" si="10"/>
        <v>0</v>
      </c>
      <c r="AC64" s="41">
        <f t="shared" si="11"/>
        <v>0</v>
      </c>
      <c r="AD64" s="49" t="s">
        <v>5</v>
      </c>
      <c r="AE64" s="50" t="s">
        <v>89</v>
      </c>
      <c r="AF64" s="49"/>
      <c r="AG64" s="50"/>
      <c r="AH64" s="49"/>
      <c r="AI64" s="50"/>
      <c r="AJ64" s="49"/>
      <c r="AK64" s="50"/>
      <c r="AL64" s="49"/>
      <c r="AM64" s="50"/>
      <c r="AN64" s="49"/>
      <c r="AO64" s="50"/>
      <c r="AP64" s="49"/>
      <c r="AQ64" s="50"/>
      <c r="AR64" s="49" t="s">
        <v>30</v>
      </c>
      <c r="AS64" s="50" t="s">
        <v>102</v>
      </c>
      <c r="AT64" s="49"/>
      <c r="AU64" s="50"/>
      <c r="AV64" s="49" t="s">
        <v>5</v>
      </c>
      <c r="AW64" s="50" t="s">
        <v>104</v>
      </c>
      <c r="AX64" s="49" t="s">
        <v>5</v>
      </c>
      <c r="AY64" s="50" t="s">
        <v>103</v>
      </c>
      <c r="AZ64" s="49"/>
      <c r="BA64" s="50"/>
      <c r="BB64" s="49"/>
      <c r="BC64" s="50"/>
      <c r="BD64" s="49"/>
      <c r="BE64" s="50"/>
      <c r="BF64" s="49" t="s">
        <v>30</v>
      </c>
      <c r="BG64" s="50" t="s">
        <v>105</v>
      </c>
      <c r="BH64" s="49" t="s">
        <v>5</v>
      </c>
      <c r="BI64" s="50" t="s">
        <v>1184</v>
      </c>
      <c r="BJ64" s="49" t="s">
        <v>5</v>
      </c>
      <c r="BK64" s="50" t="s">
        <v>995</v>
      </c>
      <c r="BL64" s="49"/>
      <c r="BM64" s="50"/>
      <c r="BN64" s="49" t="s">
        <v>5</v>
      </c>
      <c r="BO64" s="50" t="s">
        <v>741</v>
      </c>
      <c r="BP64" s="49"/>
      <c r="BQ64" s="50"/>
      <c r="BR64" s="49"/>
      <c r="BS64" s="50"/>
      <c r="BT64" s="49" t="s">
        <v>30</v>
      </c>
      <c r="BU64" s="50" t="s">
        <v>122</v>
      </c>
      <c r="BV64" s="49" t="s">
        <v>5</v>
      </c>
      <c r="BW64" s="50" t="s">
        <v>98</v>
      </c>
      <c r="BX64" s="49"/>
      <c r="BY64" s="50"/>
    </row>
    <row r="65" spans="1:77" x14ac:dyDescent="0.25">
      <c r="A65" s="76">
        <v>152585</v>
      </c>
      <c r="B65" s="77" t="s">
        <v>1252</v>
      </c>
      <c r="C65" s="78" t="s">
        <v>1181</v>
      </c>
      <c r="D65" s="76" t="s">
        <v>12</v>
      </c>
      <c r="E65" s="79" t="s">
        <v>87</v>
      </c>
      <c r="F65" s="79" t="s">
        <v>88</v>
      </c>
      <c r="G65" s="79" t="s">
        <v>87</v>
      </c>
      <c r="H65" s="79" t="s">
        <v>87</v>
      </c>
      <c r="I65" s="78" t="s">
        <v>14</v>
      </c>
      <c r="J65" s="79" t="s">
        <v>14</v>
      </c>
      <c r="K65" s="142" t="s">
        <v>1850</v>
      </c>
      <c r="L65" s="149" t="s">
        <v>1844</v>
      </c>
      <c r="M65" s="150" t="s">
        <v>12</v>
      </c>
      <c r="N65" s="151">
        <v>31</v>
      </c>
      <c r="O65" s="151">
        <v>1</v>
      </c>
      <c r="P65" s="152">
        <v>4</v>
      </c>
      <c r="Q65" s="153">
        <v>82.61</v>
      </c>
      <c r="R65" s="154">
        <v>4</v>
      </c>
      <c r="S65" s="38">
        <f t="shared" si="0"/>
        <v>0</v>
      </c>
      <c r="T65" s="39">
        <f t="shared" si="1"/>
        <v>10</v>
      </c>
      <c r="U65" s="40">
        <f t="shared" si="2"/>
        <v>0</v>
      </c>
      <c r="V65" s="40">
        <f t="shared" si="3"/>
        <v>0</v>
      </c>
      <c r="W65" s="40">
        <f t="shared" si="4"/>
        <v>1</v>
      </c>
      <c r="X65" s="40">
        <f t="shared" si="5"/>
        <v>1</v>
      </c>
      <c r="Y65" s="40">
        <f t="shared" si="6"/>
        <v>0</v>
      </c>
      <c r="Z65" s="40">
        <f t="shared" si="7"/>
        <v>0</v>
      </c>
      <c r="AA65" s="40">
        <f t="shared" si="8"/>
        <v>0</v>
      </c>
      <c r="AB65" s="40">
        <f t="shared" si="10"/>
        <v>0</v>
      </c>
      <c r="AC65" s="41">
        <f t="shared" si="11"/>
        <v>0</v>
      </c>
      <c r="AD65" s="49"/>
      <c r="AE65" s="50"/>
      <c r="AF65" s="49" t="s">
        <v>32</v>
      </c>
      <c r="AG65" s="50" t="s">
        <v>154</v>
      </c>
      <c r="AH65" s="49"/>
      <c r="AI65" s="50"/>
      <c r="AJ65" s="49" t="s">
        <v>5</v>
      </c>
      <c r="AK65" s="50" t="s">
        <v>206</v>
      </c>
      <c r="AL65" s="49"/>
      <c r="AM65" s="50"/>
      <c r="AN65" s="49"/>
      <c r="AO65" s="50"/>
      <c r="AP65" s="49"/>
      <c r="AQ65" s="50"/>
      <c r="AR65" s="49" t="s">
        <v>5</v>
      </c>
      <c r="AS65" s="50" t="s">
        <v>448</v>
      </c>
      <c r="AT65" s="49"/>
      <c r="AU65" s="50"/>
      <c r="AV65" s="49" t="s">
        <v>5</v>
      </c>
      <c r="AW65" s="50" t="s">
        <v>104</v>
      </c>
      <c r="AX65" s="49" t="s">
        <v>5</v>
      </c>
      <c r="AY65" s="50" t="s">
        <v>84</v>
      </c>
      <c r="AZ65" s="49" t="s">
        <v>5</v>
      </c>
      <c r="BA65" s="50" t="s">
        <v>144</v>
      </c>
      <c r="BB65" s="49"/>
      <c r="BC65" s="50"/>
      <c r="BD65" s="49"/>
      <c r="BE65" s="50"/>
      <c r="BF65" s="49"/>
      <c r="BG65" s="50"/>
      <c r="BH65" s="49" t="s">
        <v>5</v>
      </c>
      <c r="BI65" s="50" t="s">
        <v>1184</v>
      </c>
      <c r="BJ65" s="49" t="s">
        <v>5</v>
      </c>
      <c r="BK65" s="50" t="s">
        <v>505</v>
      </c>
      <c r="BL65" s="49"/>
      <c r="BM65" s="50"/>
      <c r="BN65" s="49" t="s">
        <v>5</v>
      </c>
      <c r="BO65" s="50" t="s">
        <v>96</v>
      </c>
      <c r="BP65" s="49"/>
      <c r="BQ65" s="50"/>
      <c r="BR65" s="49" t="s">
        <v>5</v>
      </c>
      <c r="BS65" s="50" t="s">
        <v>140</v>
      </c>
      <c r="BT65" s="49" t="s">
        <v>5</v>
      </c>
      <c r="BU65" s="50" t="s">
        <v>457</v>
      </c>
      <c r="BV65" s="49"/>
      <c r="BW65" s="50"/>
      <c r="BX65" s="49"/>
      <c r="BY65" s="50"/>
    </row>
    <row r="66" spans="1:77" x14ac:dyDescent="0.25">
      <c r="A66" s="76">
        <v>152594</v>
      </c>
      <c r="B66" s="77" t="s">
        <v>1253</v>
      </c>
      <c r="C66" s="78" t="s">
        <v>1181</v>
      </c>
      <c r="D66" s="76" t="s">
        <v>70</v>
      </c>
      <c r="E66" s="79" t="s">
        <v>14</v>
      </c>
      <c r="F66" s="79" t="s">
        <v>220</v>
      </c>
      <c r="G66" s="79" t="s">
        <v>14</v>
      </c>
      <c r="H66" s="79" t="s">
        <v>14</v>
      </c>
      <c r="I66" s="78" t="s">
        <v>14</v>
      </c>
      <c r="J66" s="79" t="s">
        <v>14</v>
      </c>
      <c r="K66" s="142" t="s">
        <v>1850</v>
      </c>
      <c r="L66" s="149" t="s">
        <v>1842</v>
      </c>
      <c r="M66" s="150" t="s">
        <v>12</v>
      </c>
      <c r="N66" s="151">
        <v>44</v>
      </c>
      <c r="O66" s="151">
        <v>0</v>
      </c>
      <c r="P66" s="152">
        <v>0</v>
      </c>
      <c r="Q66" s="153">
        <v>91.3</v>
      </c>
      <c r="R66" s="154">
        <v>0</v>
      </c>
      <c r="S66" s="38">
        <f t="shared" ref="S66:S129" si="12">COUNTIF($AD66:$BY66,"Outstanding")</f>
        <v>4</v>
      </c>
      <c r="T66" s="39">
        <f t="shared" ref="T66:T129" si="13">COUNTIF($AD66:$BY66,"Good")</f>
        <v>7</v>
      </c>
      <c r="U66" s="40">
        <f t="shared" ref="U66:U129" si="14">COUNTIF($AD66:$BY66,"N2Improve - Engagement")</f>
        <v>0</v>
      </c>
      <c r="V66" s="40">
        <f t="shared" ref="V66:V129" si="15">COUNTIF($AD66:$BY66,"N2Improve - Community Conduct")</f>
        <v>0</v>
      </c>
      <c r="W66" s="40">
        <f t="shared" ref="W66:W129" si="16">COUNTIF($AD66:$BY66,"N2Improve - Personal Org.")</f>
        <v>0</v>
      </c>
      <c r="X66" s="40">
        <f t="shared" ref="X66:X129" si="17">SUM(U66:W66)</f>
        <v>0</v>
      </c>
      <c r="Y66" s="40">
        <f t="shared" ref="Y66:Y129" si="18">COUNTIF($AD66:$BY66,"Serious Conc - Engagement")</f>
        <v>0</v>
      </c>
      <c r="Z66" s="40">
        <f t="shared" ref="Z66:Z129" si="19">COUNTIF($AD66:$BY66,"Serious Conc - Comm. Concern")</f>
        <v>0</v>
      </c>
      <c r="AA66" s="40">
        <f t="shared" ref="AA66:AA129" si="20">COUNTIF($AD66:$BY66,"Serious Conc - Personal Org.")</f>
        <v>0</v>
      </c>
      <c r="AB66" s="40">
        <f t="shared" si="10"/>
        <v>0</v>
      </c>
      <c r="AC66" s="41">
        <f t="shared" si="11"/>
        <v>0</v>
      </c>
      <c r="AD66" s="49"/>
      <c r="AE66" s="50"/>
      <c r="AF66" s="49" t="s">
        <v>5</v>
      </c>
      <c r="AG66" s="50" t="s">
        <v>433</v>
      </c>
      <c r="AH66" s="49"/>
      <c r="AI66" s="50"/>
      <c r="AJ66" s="49" t="s">
        <v>5</v>
      </c>
      <c r="AK66" s="50" t="s">
        <v>137</v>
      </c>
      <c r="AL66" s="49"/>
      <c r="AM66" s="50"/>
      <c r="AN66" s="49"/>
      <c r="AO66" s="50"/>
      <c r="AP66" s="49"/>
      <c r="AQ66" s="50"/>
      <c r="AR66" s="49" t="s">
        <v>5</v>
      </c>
      <c r="AS66" s="50" t="s">
        <v>91</v>
      </c>
      <c r="AT66" s="49"/>
      <c r="AU66" s="50"/>
      <c r="AV66" s="49" t="s">
        <v>1</v>
      </c>
      <c r="AW66" s="50" t="s">
        <v>104</v>
      </c>
      <c r="AX66" s="49" t="s">
        <v>5</v>
      </c>
      <c r="AY66" s="50" t="s">
        <v>84</v>
      </c>
      <c r="AZ66" s="49" t="s">
        <v>1</v>
      </c>
      <c r="BA66" s="50" t="s">
        <v>144</v>
      </c>
      <c r="BB66" s="49"/>
      <c r="BC66" s="50"/>
      <c r="BD66" s="49"/>
      <c r="BE66" s="50"/>
      <c r="BF66" s="49"/>
      <c r="BG66" s="50"/>
      <c r="BH66" s="49" t="s">
        <v>5</v>
      </c>
      <c r="BI66" s="50" t="s">
        <v>163</v>
      </c>
      <c r="BJ66" s="49" t="s">
        <v>1</v>
      </c>
      <c r="BK66" s="50" t="s">
        <v>106</v>
      </c>
      <c r="BL66" s="49"/>
      <c r="BM66" s="50"/>
      <c r="BN66" s="49" t="s">
        <v>5</v>
      </c>
      <c r="BO66" s="50" t="s">
        <v>121</v>
      </c>
      <c r="BP66" s="49"/>
      <c r="BQ66" s="50"/>
      <c r="BR66" s="49" t="s">
        <v>1</v>
      </c>
      <c r="BS66" s="50" t="s">
        <v>170</v>
      </c>
      <c r="BT66" s="49" t="s">
        <v>5</v>
      </c>
      <c r="BU66" s="50" t="s">
        <v>108</v>
      </c>
      <c r="BV66" s="49"/>
      <c r="BW66" s="50"/>
      <c r="BX66" s="49"/>
      <c r="BY66" s="50"/>
    </row>
    <row r="67" spans="1:77" x14ac:dyDescent="0.25">
      <c r="A67" s="76">
        <v>152660</v>
      </c>
      <c r="B67" s="77" t="s">
        <v>1254</v>
      </c>
      <c r="C67" s="78" t="s">
        <v>1188</v>
      </c>
      <c r="D67" s="76" t="s">
        <v>70</v>
      </c>
      <c r="E67" s="79" t="s">
        <v>87</v>
      </c>
      <c r="F67" s="79" t="s">
        <v>88</v>
      </c>
      <c r="G67" s="79" t="s">
        <v>14</v>
      </c>
      <c r="H67" s="79" t="s">
        <v>87</v>
      </c>
      <c r="I67" s="78" t="s">
        <v>14</v>
      </c>
      <c r="J67" s="79" t="s">
        <v>14</v>
      </c>
      <c r="K67" s="142" t="s">
        <v>1850</v>
      </c>
      <c r="L67" s="149" t="s">
        <v>1842</v>
      </c>
      <c r="M67" s="150" t="s">
        <v>1853</v>
      </c>
      <c r="N67" s="151">
        <v>21</v>
      </c>
      <c r="O67" s="151">
        <v>0</v>
      </c>
      <c r="P67" s="152">
        <v>0</v>
      </c>
      <c r="Q67" s="153">
        <v>97.83</v>
      </c>
      <c r="R67" s="154">
        <v>0</v>
      </c>
      <c r="S67" s="38">
        <f t="shared" si="12"/>
        <v>0</v>
      </c>
      <c r="T67" s="39">
        <f t="shared" si="13"/>
        <v>11</v>
      </c>
      <c r="U67" s="40">
        <f t="shared" si="14"/>
        <v>0</v>
      </c>
      <c r="V67" s="40">
        <f t="shared" si="15"/>
        <v>0</v>
      </c>
      <c r="W67" s="40">
        <f t="shared" si="16"/>
        <v>0</v>
      </c>
      <c r="X67" s="40">
        <f t="shared" si="17"/>
        <v>0</v>
      </c>
      <c r="Y67" s="40">
        <f t="shared" si="18"/>
        <v>0</v>
      </c>
      <c r="Z67" s="40">
        <f t="shared" si="19"/>
        <v>0</v>
      </c>
      <c r="AA67" s="40">
        <f t="shared" si="20"/>
        <v>0</v>
      </c>
      <c r="AB67" s="40">
        <f t="shared" ref="AB67:AB130" si="21">SUM(Y67:AA67)</f>
        <v>0</v>
      </c>
      <c r="AC67" s="41">
        <f t="shared" ref="AC67:AC130" si="22">COUNTIF(AD67:BY67,"*still*")</f>
        <v>0</v>
      </c>
      <c r="AD67" s="49" t="s">
        <v>5</v>
      </c>
      <c r="AE67" s="50" t="s">
        <v>72</v>
      </c>
      <c r="AF67" s="49" t="s">
        <v>5</v>
      </c>
      <c r="AG67" s="50" t="s">
        <v>154</v>
      </c>
      <c r="AH67" s="49"/>
      <c r="AI67" s="50"/>
      <c r="AJ67" s="49" t="s">
        <v>5</v>
      </c>
      <c r="AK67" s="50" t="s">
        <v>137</v>
      </c>
      <c r="AL67" s="49"/>
      <c r="AM67" s="50"/>
      <c r="AN67" s="49"/>
      <c r="AO67" s="50"/>
      <c r="AP67" s="49"/>
      <c r="AQ67" s="50"/>
      <c r="AR67" s="49" t="s">
        <v>5</v>
      </c>
      <c r="AS67" s="50" t="s">
        <v>194</v>
      </c>
      <c r="AT67" s="49"/>
      <c r="AU67" s="50"/>
      <c r="AV67" s="49" t="s">
        <v>5</v>
      </c>
      <c r="AW67" s="50" t="s">
        <v>430</v>
      </c>
      <c r="AX67" s="49" t="s">
        <v>5</v>
      </c>
      <c r="AY67" s="50" t="s">
        <v>84</v>
      </c>
      <c r="AZ67" s="49"/>
      <c r="BA67" s="50"/>
      <c r="BB67" s="49"/>
      <c r="BC67" s="50"/>
      <c r="BD67" s="49"/>
      <c r="BE67" s="50"/>
      <c r="BF67" s="49"/>
      <c r="BG67" s="50"/>
      <c r="BH67" s="49" t="s">
        <v>5</v>
      </c>
      <c r="BI67" s="50" t="s">
        <v>163</v>
      </c>
      <c r="BJ67" s="49" t="s">
        <v>5</v>
      </c>
      <c r="BK67" s="50" t="s">
        <v>106</v>
      </c>
      <c r="BL67" s="49"/>
      <c r="BM67" s="50"/>
      <c r="BN67" s="49" t="s">
        <v>5</v>
      </c>
      <c r="BO67" s="50" t="s">
        <v>152</v>
      </c>
      <c r="BP67" s="49"/>
      <c r="BQ67" s="50"/>
      <c r="BR67" s="49" t="s">
        <v>5</v>
      </c>
      <c r="BS67" s="50" t="s">
        <v>98</v>
      </c>
      <c r="BT67" s="49" t="s">
        <v>5</v>
      </c>
      <c r="BU67" s="50" t="s">
        <v>108</v>
      </c>
      <c r="BV67" s="49"/>
      <c r="BW67" s="50"/>
      <c r="BX67" s="49"/>
      <c r="BY67" s="50"/>
    </row>
    <row r="68" spans="1:77" x14ac:dyDescent="0.25">
      <c r="A68" s="76">
        <v>152507</v>
      </c>
      <c r="B68" s="77" t="s">
        <v>1255</v>
      </c>
      <c r="C68" s="78" t="s">
        <v>1205</v>
      </c>
      <c r="D68" s="76" t="s">
        <v>12</v>
      </c>
      <c r="E68" s="79" t="s">
        <v>14</v>
      </c>
      <c r="F68" s="79" t="s">
        <v>150</v>
      </c>
      <c r="G68" s="79" t="s">
        <v>87</v>
      </c>
      <c r="H68" s="79" t="s">
        <v>14</v>
      </c>
      <c r="I68" s="78" t="s">
        <v>14</v>
      </c>
      <c r="J68" s="79" t="s">
        <v>14</v>
      </c>
      <c r="K68" s="142" t="s">
        <v>1851</v>
      </c>
      <c r="L68" s="149" t="s">
        <v>1845</v>
      </c>
      <c r="M68" s="150" t="s">
        <v>1852</v>
      </c>
      <c r="N68" s="151">
        <v>21</v>
      </c>
      <c r="O68" s="151">
        <v>0</v>
      </c>
      <c r="P68" s="152">
        <v>0</v>
      </c>
      <c r="Q68" s="153">
        <v>100</v>
      </c>
      <c r="R68" s="154">
        <v>1</v>
      </c>
      <c r="S68" s="38">
        <f t="shared" si="12"/>
        <v>2</v>
      </c>
      <c r="T68" s="39">
        <f t="shared" si="13"/>
        <v>6</v>
      </c>
      <c r="U68" s="40">
        <f t="shared" si="14"/>
        <v>0</v>
      </c>
      <c r="V68" s="40">
        <f t="shared" si="15"/>
        <v>0</v>
      </c>
      <c r="W68" s="40">
        <f t="shared" si="16"/>
        <v>0</v>
      </c>
      <c r="X68" s="40">
        <f t="shared" si="17"/>
        <v>0</v>
      </c>
      <c r="Y68" s="40">
        <f t="shared" si="18"/>
        <v>0</v>
      </c>
      <c r="Z68" s="40">
        <f t="shared" si="19"/>
        <v>0</v>
      </c>
      <c r="AA68" s="40">
        <f t="shared" si="20"/>
        <v>0</v>
      </c>
      <c r="AB68" s="40">
        <f t="shared" si="21"/>
        <v>0</v>
      </c>
      <c r="AC68" s="41">
        <f t="shared" si="22"/>
        <v>0</v>
      </c>
      <c r="AD68" s="49"/>
      <c r="AE68" s="50"/>
      <c r="AF68" s="49"/>
      <c r="AG68" s="50"/>
      <c r="AH68" s="49" t="s">
        <v>5</v>
      </c>
      <c r="AI68" s="50" t="s">
        <v>78</v>
      </c>
      <c r="AJ68" s="49"/>
      <c r="AK68" s="50"/>
      <c r="AL68" s="49"/>
      <c r="AM68" s="50"/>
      <c r="AN68" s="49"/>
      <c r="AO68" s="50"/>
      <c r="AP68" s="49"/>
      <c r="AQ68" s="50"/>
      <c r="AR68" s="49" t="s">
        <v>5</v>
      </c>
      <c r="AS68" s="50" t="s">
        <v>169</v>
      </c>
      <c r="AT68" s="49"/>
      <c r="AU68" s="50"/>
      <c r="AV68" s="49" t="s">
        <v>5</v>
      </c>
      <c r="AW68" s="50" t="s">
        <v>73</v>
      </c>
      <c r="AX68" s="49" t="s">
        <v>5</v>
      </c>
      <c r="AY68" s="50" t="s">
        <v>130</v>
      </c>
      <c r="AZ68" s="49"/>
      <c r="BA68" s="50"/>
      <c r="BB68" s="49"/>
      <c r="BC68" s="50"/>
      <c r="BD68" s="49"/>
      <c r="BE68" s="50"/>
      <c r="BF68" s="49"/>
      <c r="BG68" s="50"/>
      <c r="BH68" s="49" t="s">
        <v>5</v>
      </c>
      <c r="BI68" s="50" t="s">
        <v>78</v>
      </c>
      <c r="BJ68" s="49" t="s">
        <v>1</v>
      </c>
      <c r="BK68" s="50" t="s">
        <v>112</v>
      </c>
      <c r="BL68" s="49"/>
      <c r="BM68" s="50"/>
      <c r="BN68" s="49"/>
      <c r="BO68" s="50" t="s">
        <v>107</v>
      </c>
      <c r="BP68" s="49"/>
      <c r="BQ68" s="50"/>
      <c r="BR68" s="49"/>
      <c r="BS68" s="50"/>
      <c r="BT68" s="49" t="s">
        <v>5</v>
      </c>
      <c r="BU68" s="50" t="s">
        <v>457</v>
      </c>
      <c r="BV68" s="49" t="s">
        <v>1</v>
      </c>
      <c r="BW68" s="50" t="s">
        <v>109</v>
      </c>
      <c r="BX68" s="49"/>
      <c r="BY68" s="50"/>
    </row>
    <row r="69" spans="1:77" x14ac:dyDescent="0.25">
      <c r="A69" s="76">
        <v>100351</v>
      </c>
      <c r="B69" s="77" t="s">
        <v>1256</v>
      </c>
      <c r="C69" s="78" t="s">
        <v>1191</v>
      </c>
      <c r="D69" s="76" t="s">
        <v>70</v>
      </c>
      <c r="E69" s="79" t="s">
        <v>14</v>
      </c>
      <c r="F69" s="79" t="s">
        <v>71</v>
      </c>
      <c r="G69" s="79" t="s">
        <v>14</v>
      </c>
      <c r="H69" s="79" t="s">
        <v>14</v>
      </c>
      <c r="I69" s="78" t="s">
        <v>14</v>
      </c>
      <c r="J69" s="79" t="s">
        <v>14</v>
      </c>
      <c r="K69" s="142" t="s">
        <v>1850</v>
      </c>
      <c r="L69" s="149" t="s">
        <v>1844</v>
      </c>
      <c r="M69" s="150" t="s">
        <v>12</v>
      </c>
      <c r="N69" s="151">
        <v>23</v>
      </c>
      <c r="O69" s="151">
        <v>1</v>
      </c>
      <c r="P69" s="152">
        <v>2</v>
      </c>
      <c r="Q69" s="153">
        <v>86.96</v>
      </c>
      <c r="R69" s="154">
        <v>0</v>
      </c>
      <c r="S69" s="38">
        <f t="shared" si="12"/>
        <v>1</v>
      </c>
      <c r="T69" s="39">
        <f t="shared" si="13"/>
        <v>9</v>
      </c>
      <c r="U69" s="40">
        <f t="shared" si="14"/>
        <v>0</v>
      </c>
      <c r="V69" s="40">
        <f t="shared" si="15"/>
        <v>0</v>
      </c>
      <c r="W69" s="40">
        <f t="shared" si="16"/>
        <v>0</v>
      </c>
      <c r="X69" s="40">
        <f t="shared" si="17"/>
        <v>0</v>
      </c>
      <c r="Y69" s="40">
        <f t="shared" si="18"/>
        <v>0</v>
      </c>
      <c r="Z69" s="40">
        <f t="shared" si="19"/>
        <v>0</v>
      </c>
      <c r="AA69" s="40">
        <f t="shared" si="20"/>
        <v>0</v>
      </c>
      <c r="AB69" s="40">
        <f t="shared" si="21"/>
        <v>0</v>
      </c>
      <c r="AC69" s="41">
        <f t="shared" si="22"/>
        <v>0</v>
      </c>
      <c r="AD69" s="49" t="s">
        <v>5</v>
      </c>
      <c r="AE69" s="50" t="s">
        <v>89</v>
      </c>
      <c r="AF69" s="49"/>
      <c r="AG69" s="50"/>
      <c r="AH69" s="49"/>
      <c r="AI69" s="50"/>
      <c r="AJ69" s="49"/>
      <c r="AK69" s="50"/>
      <c r="AL69" s="49"/>
      <c r="AM69" s="50"/>
      <c r="AN69" s="49"/>
      <c r="AO69" s="50"/>
      <c r="AP69" s="49"/>
      <c r="AQ69" s="50"/>
      <c r="AR69" s="49" t="s">
        <v>5</v>
      </c>
      <c r="AS69" s="50" t="s">
        <v>194</v>
      </c>
      <c r="AT69" s="49"/>
      <c r="AU69" s="50"/>
      <c r="AV69" s="49" t="s">
        <v>5</v>
      </c>
      <c r="AW69" s="50" t="s">
        <v>154</v>
      </c>
      <c r="AX69" s="49"/>
      <c r="AY69" s="50"/>
      <c r="AZ69" s="49"/>
      <c r="BA69" s="50"/>
      <c r="BB69" s="49" t="s">
        <v>5</v>
      </c>
      <c r="BC69" s="50" t="s">
        <v>436</v>
      </c>
      <c r="BD69" s="49"/>
      <c r="BE69" s="50"/>
      <c r="BF69" s="49"/>
      <c r="BG69" s="50"/>
      <c r="BH69" s="49" t="s">
        <v>5</v>
      </c>
      <c r="BI69" s="50" t="s">
        <v>78</v>
      </c>
      <c r="BJ69" s="49" t="s">
        <v>1</v>
      </c>
      <c r="BK69" s="50" t="s">
        <v>94</v>
      </c>
      <c r="BL69" s="49"/>
      <c r="BM69" s="50"/>
      <c r="BN69" s="49" t="s">
        <v>5</v>
      </c>
      <c r="BO69" s="50" t="s">
        <v>152</v>
      </c>
      <c r="BP69" s="49"/>
      <c r="BQ69" s="50"/>
      <c r="BR69" s="49"/>
      <c r="BS69" s="50"/>
      <c r="BT69" s="49" t="s">
        <v>5</v>
      </c>
      <c r="BU69" s="50" t="s">
        <v>82</v>
      </c>
      <c r="BV69" s="49" t="s">
        <v>5</v>
      </c>
      <c r="BW69" s="50" t="s">
        <v>98</v>
      </c>
      <c r="BX69" s="49" t="s">
        <v>5</v>
      </c>
      <c r="BY69" s="50" t="s">
        <v>103</v>
      </c>
    </row>
    <row r="70" spans="1:77" x14ac:dyDescent="0.25">
      <c r="A70" s="76">
        <v>152562</v>
      </c>
      <c r="B70" s="77" t="s">
        <v>1257</v>
      </c>
      <c r="C70" s="78" t="s">
        <v>1183</v>
      </c>
      <c r="D70" s="76" t="s">
        <v>70</v>
      </c>
      <c r="E70" s="79" t="s">
        <v>14</v>
      </c>
      <c r="F70" s="79" t="s">
        <v>71</v>
      </c>
      <c r="G70" s="79" t="s">
        <v>14</v>
      </c>
      <c r="H70" s="79" t="s">
        <v>14</v>
      </c>
      <c r="I70" s="78" t="s">
        <v>14</v>
      </c>
      <c r="J70" s="79" t="s">
        <v>14</v>
      </c>
      <c r="K70" s="142" t="s">
        <v>1850</v>
      </c>
      <c r="L70" s="149" t="s">
        <v>1844</v>
      </c>
      <c r="M70" s="150" t="s">
        <v>12</v>
      </c>
      <c r="N70" s="151">
        <v>16</v>
      </c>
      <c r="O70" s="151">
        <v>0</v>
      </c>
      <c r="P70" s="152">
        <v>1</v>
      </c>
      <c r="Q70" s="153">
        <v>100</v>
      </c>
      <c r="R70" s="154">
        <v>0</v>
      </c>
      <c r="S70" s="38">
        <f t="shared" si="12"/>
        <v>1</v>
      </c>
      <c r="T70" s="39">
        <f t="shared" si="13"/>
        <v>9</v>
      </c>
      <c r="U70" s="40">
        <f t="shared" si="14"/>
        <v>0</v>
      </c>
      <c r="V70" s="40">
        <f t="shared" si="15"/>
        <v>0</v>
      </c>
      <c r="W70" s="40">
        <f t="shared" si="16"/>
        <v>0</v>
      </c>
      <c r="X70" s="40">
        <f t="shared" si="17"/>
        <v>0</v>
      </c>
      <c r="Y70" s="40">
        <f t="shared" si="18"/>
        <v>0</v>
      </c>
      <c r="Z70" s="40">
        <f t="shared" si="19"/>
        <v>0</v>
      </c>
      <c r="AA70" s="40">
        <f t="shared" si="20"/>
        <v>0</v>
      </c>
      <c r="AB70" s="40">
        <f t="shared" si="21"/>
        <v>0</v>
      </c>
      <c r="AC70" s="41">
        <f t="shared" si="22"/>
        <v>0</v>
      </c>
      <c r="AD70" s="49"/>
      <c r="AE70" s="50"/>
      <c r="AF70" s="49"/>
      <c r="AG70" s="50"/>
      <c r="AH70" s="49"/>
      <c r="AI70" s="50"/>
      <c r="AJ70" s="49"/>
      <c r="AK70" s="50"/>
      <c r="AL70" s="49"/>
      <c r="AM70" s="50"/>
      <c r="AN70" s="49"/>
      <c r="AO70" s="50"/>
      <c r="AP70" s="49"/>
      <c r="AQ70" s="50"/>
      <c r="AR70" s="49" t="s">
        <v>5</v>
      </c>
      <c r="AS70" s="50" t="s">
        <v>194</v>
      </c>
      <c r="AT70" s="49" t="s">
        <v>5</v>
      </c>
      <c r="AU70" s="50" t="s">
        <v>135</v>
      </c>
      <c r="AV70" s="49" t="s">
        <v>5</v>
      </c>
      <c r="AW70" s="50" t="s">
        <v>436</v>
      </c>
      <c r="AX70" s="49"/>
      <c r="AY70" s="50"/>
      <c r="AZ70" s="49"/>
      <c r="BA70" s="50"/>
      <c r="BB70" s="49"/>
      <c r="BC70" s="50"/>
      <c r="BD70" s="49" t="s">
        <v>5</v>
      </c>
      <c r="BE70" s="50" t="s">
        <v>104</v>
      </c>
      <c r="BF70" s="49"/>
      <c r="BG70" s="50"/>
      <c r="BH70" s="49" t="s">
        <v>5</v>
      </c>
      <c r="BI70" s="50" t="s">
        <v>163</v>
      </c>
      <c r="BJ70" s="49" t="s">
        <v>5</v>
      </c>
      <c r="BK70" s="50" t="s">
        <v>422</v>
      </c>
      <c r="BL70" s="49"/>
      <c r="BM70" s="50"/>
      <c r="BN70" s="49" t="s">
        <v>5</v>
      </c>
      <c r="BO70" s="50" t="s">
        <v>121</v>
      </c>
      <c r="BP70" s="49"/>
      <c r="BQ70" s="50"/>
      <c r="BR70" s="49"/>
      <c r="BS70" s="50"/>
      <c r="BT70" s="49" t="s">
        <v>5</v>
      </c>
      <c r="BU70" s="50" t="s">
        <v>457</v>
      </c>
      <c r="BV70" s="49" t="s">
        <v>1</v>
      </c>
      <c r="BW70" s="50" t="s">
        <v>98</v>
      </c>
      <c r="BX70" s="49" t="s">
        <v>5</v>
      </c>
      <c r="BY70" s="50" t="s">
        <v>421</v>
      </c>
    </row>
    <row r="71" spans="1:77" x14ac:dyDescent="0.25">
      <c r="A71" s="76">
        <v>152684</v>
      </c>
      <c r="B71" s="77" t="s">
        <v>1258</v>
      </c>
      <c r="C71" s="78" t="s">
        <v>1191</v>
      </c>
      <c r="D71" s="76" t="s">
        <v>70</v>
      </c>
      <c r="E71" s="79" t="s">
        <v>14</v>
      </c>
      <c r="F71" s="79" t="s">
        <v>71</v>
      </c>
      <c r="G71" s="79" t="s">
        <v>14</v>
      </c>
      <c r="H71" s="79" t="s">
        <v>14</v>
      </c>
      <c r="I71" s="78" t="s">
        <v>14</v>
      </c>
      <c r="J71" s="79" t="s">
        <v>14</v>
      </c>
      <c r="K71" s="142" t="s">
        <v>1850</v>
      </c>
      <c r="L71" s="149" t="s">
        <v>1846</v>
      </c>
      <c r="M71" s="150" t="s">
        <v>1853</v>
      </c>
      <c r="N71" s="151">
        <v>25</v>
      </c>
      <c r="O71" s="151">
        <v>0</v>
      </c>
      <c r="P71" s="152">
        <v>0</v>
      </c>
      <c r="Q71" s="153">
        <v>100</v>
      </c>
      <c r="R71" s="154">
        <v>0</v>
      </c>
      <c r="S71" s="38">
        <f t="shared" si="12"/>
        <v>1</v>
      </c>
      <c r="T71" s="39">
        <f t="shared" si="13"/>
        <v>10</v>
      </c>
      <c r="U71" s="40">
        <f t="shared" si="14"/>
        <v>0</v>
      </c>
      <c r="V71" s="40">
        <f t="shared" si="15"/>
        <v>0</v>
      </c>
      <c r="W71" s="40">
        <f t="shared" si="16"/>
        <v>0</v>
      </c>
      <c r="X71" s="40">
        <f t="shared" si="17"/>
        <v>0</v>
      </c>
      <c r="Y71" s="40">
        <f t="shared" si="18"/>
        <v>0</v>
      </c>
      <c r="Z71" s="40">
        <f t="shared" si="19"/>
        <v>0</v>
      </c>
      <c r="AA71" s="40">
        <f t="shared" si="20"/>
        <v>0</v>
      </c>
      <c r="AB71" s="40">
        <f t="shared" si="21"/>
        <v>0</v>
      </c>
      <c r="AC71" s="41">
        <f t="shared" si="22"/>
        <v>0</v>
      </c>
      <c r="AD71" s="49"/>
      <c r="AE71" s="50"/>
      <c r="AF71" s="49" t="s">
        <v>5</v>
      </c>
      <c r="AG71" s="50" t="s">
        <v>164</v>
      </c>
      <c r="AH71" s="49"/>
      <c r="AI71" s="50"/>
      <c r="AJ71" s="49" t="s">
        <v>5</v>
      </c>
      <c r="AK71" s="50" t="s">
        <v>206</v>
      </c>
      <c r="AL71" s="49"/>
      <c r="AM71" s="50"/>
      <c r="AN71" s="49"/>
      <c r="AO71" s="50"/>
      <c r="AP71" s="49"/>
      <c r="AQ71" s="50"/>
      <c r="AR71" s="49" t="s">
        <v>5</v>
      </c>
      <c r="AS71" s="50" t="s">
        <v>91</v>
      </c>
      <c r="AT71" s="49"/>
      <c r="AU71" s="50"/>
      <c r="AV71" s="49" t="s">
        <v>5</v>
      </c>
      <c r="AW71" s="50" t="s">
        <v>154</v>
      </c>
      <c r="AX71" s="49"/>
      <c r="AY71" s="50"/>
      <c r="AZ71" s="49"/>
      <c r="BA71" s="50"/>
      <c r="BB71" s="49"/>
      <c r="BC71" s="50"/>
      <c r="BD71" s="49"/>
      <c r="BE71" s="50"/>
      <c r="BF71" s="49"/>
      <c r="BG71" s="50"/>
      <c r="BH71" s="49" t="s">
        <v>5</v>
      </c>
      <c r="BI71" s="50" t="s">
        <v>78</v>
      </c>
      <c r="BJ71" s="49" t="s">
        <v>1</v>
      </c>
      <c r="BK71" s="50" t="s">
        <v>106</v>
      </c>
      <c r="BL71" s="49"/>
      <c r="BM71" s="50"/>
      <c r="BN71" s="49" t="s">
        <v>5</v>
      </c>
      <c r="BO71" s="50" t="s">
        <v>121</v>
      </c>
      <c r="BP71" s="49" t="s">
        <v>5</v>
      </c>
      <c r="BQ71" s="50" t="s">
        <v>81</v>
      </c>
      <c r="BR71" s="49" t="s">
        <v>5</v>
      </c>
      <c r="BS71" s="50" t="s">
        <v>123</v>
      </c>
      <c r="BT71" s="49" t="s">
        <v>5</v>
      </c>
      <c r="BU71" s="50" t="s">
        <v>82</v>
      </c>
      <c r="BV71" s="49"/>
      <c r="BW71" s="50"/>
      <c r="BX71" s="49" t="s">
        <v>5</v>
      </c>
      <c r="BY71" s="50" t="s">
        <v>130</v>
      </c>
    </row>
    <row r="72" spans="1:77" x14ac:dyDescent="0.25">
      <c r="A72" s="76">
        <v>152597</v>
      </c>
      <c r="B72" s="77" t="s">
        <v>1259</v>
      </c>
      <c r="C72" s="78" t="s">
        <v>1211</v>
      </c>
      <c r="D72" s="76" t="s">
        <v>12</v>
      </c>
      <c r="E72" s="79" t="s">
        <v>14</v>
      </c>
      <c r="F72" s="77" t="s">
        <v>455</v>
      </c>
      <c r="G72" s="79" t="s">
        <v>14</v>
      </c>
      <c r="H72" s="79" t="s">
        <v>14</v>
      </c>
      <c r="I72" s="78" t="s">
        <v>14</v>
      </c>
      <c r="J72" s="79" t="s">
        <v>14</v>
      </c>
      <c r="K72" s="142" t="s">
        <v>1851</v>
      </c>
      <c r="L72" s="149" t="s">
        <v>1848</v>
      </c>
      <c r="M72" s="150" t="s">
        <v>1853</v>
      </c>
      <c r="N72" s="151">
        <v>12</v>
      </c>
      <c r="O72" s="151">
        <v>1</v>
      </c>
      <c r="P72" s="152">
        <v>2</v>
      </c>
      <c r="Q72" s="153">
        <v>93.48</v>
      </c>
      <c r="R72" s="154">
        <v>1</v>
      </c>
      <c r="S72" s="38">
        <f t="shared" si="12"/>
        <v>0</v>
      </c>
      <c r="T72" s="39">
        <f t="shared" si="13"/>
        <v>10</v>
      </c>
      <c r="U72" s="40">
        <f t="shared" si="14"/>
        <v>0</v>
      </c>
      <c r="V72" s="40">
        <f t="shared" si="15"/>
        <v>0</v>
      </c>
      <c r="W72" s="40">
        <f t="shared" si="16"/>
        <v>0</v>
      </c>
      <c r="X72" s="40">
        <f t="shared" si="17"/>
        <v>0</v>
      </c>
      <c r="Y72" s="40">
        <f t="shared" si="18"/>
        <v>0</v>
      </c>
      <c r="Z72" s="40">
        <f t="shared" si="19"/>
        <v>0</v>
      </c>
      <c r="AA72" s="40">
        <f t="shared" si="20"/>
        <v>0</v>
      </c>
      <c r="AB72" s="40">
        <f t="shared" si="21"/>
        <v>0</v>
      </c>
      <c r="AC72" s="41">
        <f t="shared" si="22"/>
        <v>0</v>
      </c>
      <c r="AD72" s="49"/>
      <c r="AE72" s="50"/>
      <c r="AF72" s="49"/>
      <c r="AG72" s="50"/>
      <c r="AH72" s="49"/>
      <c r="AI72" s="50"/>
      <c r="AJ72" s="49"/>
      <c r="AK72" s="50"/>
      <c r="AL72" s="49"/>
      <c r="AM72" s="50"/>
      <c r="AN72" s="49"/>
      <c r="AO72" s="50"/>
      <c r="AP72" s="49" t="s">
        <v>5</v>
      </c>
      <c r="AQ72" s="50" t="s">
        <v>142</v>
      </c>
      <c r="AR72" s="49" t="s">
        <v>5</v>
      </c>
      <c r="AS72" s="50" t="s">
        <v>74</v>
      </c>
      <c r="AT72" s="49"/>
      <c r="AU72" s="50"/>
      <c r="AV72" s="49" t="s">
        <v>5</v>
      </c>
      <c r="AW72" s="50" t="s">
        <v>105</v>
      </c>
      <c r="AX72" s="49"/>
      <c r="AY72" s="50"/>
      <c r="AZ72" s="49"/>
      <c r="BA72" s="50"/>
      <c r="BB72" s="49"/>
      <c r="BC72" s="50"/>
      <c r="BD72" s="49"/>
      <c r="BE72" s="50"/>
      <c r="BF72" s="49" t="s">
        <v>5</v>
      </c>
      <c r="BG72" s="50" t="s">
        <v>105</v>
      </c>
      <c r="BH72" s="49" t="s">
        <v>5</v>
      </c>
      <c r="BI72" s="50" t="s">
        <v>1184</v>
      </c>
      <c r="BJ72" s="49" t="s">
        <v>5</v>
      </c>
      <c r="BK72" s="50" t="s">
        <v>79</v>
      </c>
      <c r="BL72" s="49"/>
      <c r="BM72" s="50"/>
      <c r="BN72" s="49" t="s">
        <v>5</v>
      </c>
      <c r="BO72" s="50" t="s">
        <v>741</v>
      </c>
      <c r="BP72" s="49"/>
      <c r="BQ72" s="50"/>
      <c r="BR72" s="49"/>
      <c r="BS72" s="50"/>
      <c r="BT72" s="49" t="s">
        <v>5</v>
      </c>
      <c r="BU72" s="50" t="s">
        <v>457</v>
      </c>
      <c r="BV72" s="49" t="s">
        <v>5</v>
      </c>
      <c r="BW72" s="50" t="s">
        <v>109</v>
      </c>
      <c r="BX72" s="49" t="s">
        <v>5</v>
      </c>
      <c r="BY72" s="50" t="s">
        <v>75</v>
      </c>
    </row>
    <row r="73" spans="1:77" x14ac:dyDescent="0.25">
      <c r="A73" s="76">
        <v>152532</v>
      </c>
      <c r="B73" s="77" t="s">
        <v>1260</v>
      </c>
      <c r="C73" s="78" t="s">
        <v>1188</v>
      </c>
      <c r="D73" s="76" t="s">
        <v>12</v>
      </c>
      <c r="E73" s="79" t="s">
        <v>87</v>
      </c>
      <c r="F73" s="79" t="s">
        <v>158</v>
      </c>
      <c r="G73" s="79" t="s">
        <v>14</v>
      </c>
      <c r="H73" s="79" t="s">
        <v>87</v>
      </c>
      <c r="I73" s="78" t="s">
        <v>14</v>
      </c>
      <c r="J73" s="79" t="s">
        <v>14</v>
      </c>
      <c r="K73" s="142" t="s">
        <v>1850</v>
      </c>
      <c r="L73" s="149" t="s">
        <v>1845</v>
      </c>
      <c r="M73" s="150" t="s">
        <v>12</v>
      </c>
      <c r="N73" s="151">
        <v>27</v>
      </c>
      <c r="O73" s="151">
        <v>16</v>
      </c>
      <c r="P73" s="152">
        <v>0</v>
      </c>
      <c r="Q73" s="153">
        <v>84.78</v>
      </c>
      <c r="R73" s="154">
        <v>8</v>
      </c>
      <c r="S73" s="38">
        <f t="shared" si="12"/>
        <v>0</v>
      </c>
      <c r="T73" s="39">
        <f t="shared" si="13"/>
        <v>6</v>
      </c>
      <c r="U73" s="40">
        <f t="shared" si="14"/>
        <v>2</v>
      </c>
      <c r="V73" s="40">
        <f t="shared" si="15"/>
        <v>3</v>
      </c>
      <c r="W73" s="40">
        <f t="shared" si="16"/>
        <v>0</v>
      </c>
      <c r="X73" s="40">
        <f t="shared" si="17"/>
        <v>5</v>
      </c>
      <c r="Y73" s="40">
        <f t="shared" si="18"/>
        <v>0</v>
      </c>
      <c r="Z73" s="40">
        <f t="shared" si="19"/>
        <v>0</v>
      </c>
      <c r="AA73" s="40">
        <f t="shared" si="20"/>
        <v>0</v>
      </c>
      <c r="AB73" s="40">
        <f t="shared" si="21"/>
        <v>0</v>
      </c>
      <c r="AC73" s="41">
        <f t="shared" si="22"/>
        <v>0</v>
      </c>
      <c r="AD73" s="49"/>
      <c r="AE73" s="50"/>
      <c r="AF73" s="49" t="s">
        <v>31</v>
      </c>
      <c r="AG73" s="50" t="s">
        <v>433</v>
      </c>
      <c r="AH73" s="49" t="s">
        <v>5</v>
      </c>
      <c r="AI73" s="50" t="s">
        <v>78</v>
      </c>
      <c r="AJ73" s="49" t="s">
        <v>5</v>
      </c>
      <c r="AK73" s="50" t="s">
        <v>137</v>
      </c>
      <c r="AL73" s="49"/>
      <c r="AM73" s="50"/>
      <c r="AN73" s="49"/>
      <c r="AO73" s="50"/>
      <c r="AP73" s="49"/>
      <c r="AQ73" s="50"/>
      <c r="AR73" s="49" t="s">
        <v>5</v>
      </c>
      <c r="AS73" s="50" t="s">
        <v>151</v>
      </c>
      <c r="AT73" s="49"/>
      <c r="AU73" s="50"/>
      <c r="AV73" s="49" t="s">
        <v>5</v>
      </c>
      <c r="AW73" s="50" t="s">
        <v>430</v>
      </c>
      <c r="AX73" s="49" t="s">
        <v>30</v>
      </c>
      <c r="AY73" s="50" t="s">
        <v>84</v>
      </c>
      <c r="AZ73" s="49"/>
      <c r="BA73" s="50"/>
      <c r="BB73" s="49"/>
      <c r="BC73" s="50"/>
      <c r="BD73" s="49"/>
      <c r="BE73" s="50"/>
      <c r="BF73" s="49"/>
      <c r="BG73" s="50"/>
      <c r="BH73" s="49" t="s">
        <v>5</v>
      </c>
      <c r="BI73" s="50" t="s">
        <v>1184</v>
      </c>
      <c r="BJ73" s="49" t="s">
        <v>31</v>
      </c>
      <c r="BK73" s="50" t="s">
        <v>139</v>
      </c>
      <c r="BL73" s="49"/>
      <c r="BM73" s="50"/>
      <c r="BN73" s="49" t="s">
        <v>30</v>
      </c>
      <c r="BO73" s="50" t="s">
        <v>741</v>
      </c>
      <c r="BP73" s="49"/>
      <c r="BQ73" s="50"/>
      <c r="BR73" s="49" t="s">
        <v>5</v>
      </c>
      <c r="BS73" s="50" t="s">
        <v>170</v>
      </c>
      <c r="BT73" s="49" t="s">
        <v>31</v>
      </c>
      <c r="BU73" s="50" t="s">
        <v>122</v>
      </c>
      <c r="BV73" s="49"/>
      <c r="BW73" s="50"/>
      <c r="BX73" s="49"/>
      <c r="BY73" s="50"/>
    </row>
    <row r="74" spans="1:77" x14ac:dyDescent="0.25">
      <c r="A74" s="76">
        <v>152508</v>
      </c>
      <c r="B74" s="77" t="s">
        <v>1261</v>
      </c>
      <c r="C74" s="78" t="s">
        <v>1211</v>
      </c>
      <c r="D74" s="76" t="s">
        <v>70</v>
      </c>
      <c r="E74" s="79" t="s">
        <v>14</v>
      </c>
      <c r="F74" s="77" t="s">
        <v>158</v>
      </c>
      <c r="G74" s="79" t="s">
        <v>87</v>
      </c>
      <c r="H74" s="79" t="s">
        <v>14</v>
      </c>
      <c r="I74" s="78" t="s">
        <v>14</v>
      </c>
      <c r="J74" s="79" t="s">
        <v>14</v>
      </c>
      <c r="K74" s="142" t="s">
        <v>1850</v>
      </c>
      <c r="L74" s="149" t="s">
        <v>1845</v>
      </c>
      <c r="M74" s="150" t="s">
        <v>12</v>
      </c>
      <c r="N74" s="151">
        <v>8</v>
      </c>
      <c r="O74" s="151">
        <v>0</v>
      </c>
      <c r="P74" s="152">
        <v>2</v>
      </c>
      <c r="Q74" s="153">
        <v>91.3</v>
      </c>
      <c r="R74" s="154">
        <v>1</v>
      </c>
      <c r="S74" s="38">
        <f t="shared" si="12"/>
        <v>0</v>
      </c>
      <c r="T74" s="39">
        <f t="shared" si="13"/>
        <v>10</v>
      </c>
      <c r="U74" s="40">
        <f t="shared" si="14"/>
        <v>0</v>
      </c>
      <c r="V74" s="40">
        <f t="shared" si="15"/>
        <v>0</v>
      </c>
      <c r="W74" s="40">
        <f t="shared" si="16"/>
        <v>1</v>
      </c>
      <c r="X74" s="40">
        <f t="shared" si="17"/>
        <v>1</v>
      </c>
      <c r="Y74" s="40">
        <f t="shared" si="18"/>
        <v>0</v>
      </c>
      <c r="Z74" s="40">
        <f t="shared" si="19"/>
        <v>0</v>
      </c>
      <c r="AA74" s="40">
        <f t="shared" si="20"/>
        <v>0</v>
      </c>
      <c r="AB74" s="40">
        <f t="shared" si="21"/>
        <v>0</v>
      </c>
      <c r="AC74" s="41">
        <f t="shared" si="22"/>
        <v>0</v>
      </c>
      <c r="AD74" s="49" t="s">
        <v>5</v>
      </c>
      <c r="AE74" s="50" t="s">
        <v>72</v>
      </c>
      <c r="AF74" s="49" t="s">
        <v>5</v>
      </c>
      <c r="AG74" s="50" t="s">
        <v>154</v>
      </c>
      <c r="AH74" s="49"/>
      <c r="AI74" s="50"/>
      <c r="AJ74" s="49" t="s">
        <v>32</v>
      </c>
      <c r="AK74" s="50" t="s">
        <v>206</v>
      </c>
      <c r="AL74" s="49"/>
      <c r="AM74" s="50"/>
      <c r="AN74" s="49"/>
      <c r="AO74" s="50"/>
      <c r="AP74" s="49"/>
      <c r="AQ74" s="50"/>
      <c r="AR74" s="49" t="s">
        <v>5</v>
      </c>
      <c r="AS74" s="50" t="s">
        <v>142</v>
      </c>
      <c r="AT74" s="49"/>
      <c r="AU74" s="50"/>
      <c r="AV74" s="49" t="s">
        <v>5</v>
      </c>
      <c r="AW74" s="50" t="s">
        <v>105</v>
      </c>
      <c r="AX74" s="49"/>
      <c r="AY74" s="50"/>
      <c r="AZ74" s="49"/>
      <c r="BA74" s="50"/>
      <c r="BB74" s="49"/>
      <c r="BC74" s="50"/>
      <c r="BD74" s="49"/>
      <c r="BE74" s="50"/>
      <c r="BF74" s="49"/>
      <c r="BG74" s="50"/>
      <c r="BH74" s="49" t="s">
        <v>5</v>
      </c>
      <c r="BI74" s="50" t="s">
        <v>1184</v>
      </c>
      <c r="BJ74" s="49" t="s">
        <v>5</v>
      </c>
      <c r="BK74" s="50" t="s">
        <v>422</v>
      </c>
      <c r="BL74" s="49"/>
      <c r="BM74" s="50"/>
      <c r="BN74" s="49" t="s">
        <v>5</v>
      </c>
      <c r="BO74" s="50" t="s">
        <v>152</v>
      </c>
      <c r="BP74" s="49"/>
      <c r="BQ74" s="50"/>
      <c r="BR74" s="49" t="s">
        <v>5</v>
      </c>
      <c r="BS74" s="50" t="s">
        <v>140</v>
      </c>
      <c r="BT74" s="49" t="s">
        <v>5</v>
      </c>
      <c r="BU74" s="50" t="s">
        <v>122</v>
      </c>
      <c r="BV74" s="49"/>
      <c r="BW74" s="50"/>
      <c r="BX74" s="49" t="s">
        <v>5</v>
      </c>
      <c r="BY74" s="50" t="s">
        <v>421</v>
      </c>
    </row>
    <row r="75" spans="1:77" x14ac:dyDescent="0.25">
      <c r="A75" s="76">
        <v>152700</v>
      </c>
      <c r="B75" s="77" t="s">
        <v>1262</v>
      </c>
      <c r="C75" s="78" t="s">
        <v>1183</v>
      </c>
      <c r="D75" s="76" t="s">
        <v>70</v>
      </c>
      <c r="E75" s="79" t="s">
        <v>14</v>
      </c>
      <c r="F75" s="79" t="s">
        <v>71</v>
      </c>
      <c r="G75" s="79" t="s">
        <v>14</v>
      </c>
      <c r="H75" s="79" t="s">
        <v>87</v>
      </c>
      <c r="I75" s="78" t="s">
        <v>14</v>
      </c>
      <c r="J75" s="79" t="s">
        <v>14</v>
      </c>
      <c r="K75" s="142" t="s">
        <v>1851</v>
      </c>
      <c r="L75" s="149" t="s">
        <v>1842</v>
      </c>
      <c r="M75" s="150" t="s">
        <v>1853</v>
      </c>
      <c r="N75" s="151">
        <v>13</v>
      </c>
      <c r="O75" s="151">
        <v>0</v>
      </c>
      <c r="P75" s="152">
        <v>0</v>
      </c>
      <c r="Q75" s="153">
        <v>95.65</v>
      </c>
      <c r="R75" s="154">
        <v>0</v>
      </c>
      <c r="S75" s="38">
        <f t="shared" si="12"/>
        <v>1</v>
      </c>
      <c r="T75" s="39">
        <f t="shared" si="13"/>
        <v>9</v>
      </c>
      <c r="U75" s="40">
        <f t="shared" si="14"/>
        <v>0</v>
      </c>
      <c r="V75" s="40">
        <f t="shared" si="15"/>
        <v>0</v>
      </c>
      <c r="W75" s="40">
        <f t="shared" si="16"/>
        <v>0</v>
      </c>
      <c r="X75" s="40">
        <f t="shared" si="17"/>
        <v>0</v>
      </c>
      <c r="Y75" s="40">
        <f t="shared" si="18"/>
        <v>0</v>
      </c>
      <c r="Z75" s="40">
        <f t="shared" si="19"/>
        <v>0</v>
      </c>
      <c r="AA75" s="40">
        <f t="shared" si="20"/>
        <v>0</v>
      </c>
      <c r="AB75" s="40">
        <f t="shared" si="21"/>
        <v>0</v>
      </c>
      <c r="AC75" s="41">
        <f t="shared" si="22"/>
        <v>0</v>
      </c>
      <c r="AD75" s="49" t="s">
        <v>5</v>
      </c>
      <c r="AE75" s="50" t="s">
        <v>72</v>
      </c>
      <c r="AF75" s="49"/>
      <c r="AG75" s="50"/>
      <c r="AH75" s="49"/>
      <c r="AI75" s="50"/>
      <c r="AJ75" s="49"/>
      <c r="AK75" s="50"/>
      <c r="AL75" s="49"/>
      <c r="AM75" s="50"/>
      <c r="AN75" s="49"/>
      <c r="AO75" s="50"/>
      <c r="AP75" s="49"/>
      <c r="AQ75" s="50"/>
      <c r="AR75" s="49" t="s">
        <v>5</v>
      </c>
      <c r="AS75" s="50" t="s">
        <v>151</v>
      </c>
      <c r="AT75" s="49" t="s">
        <v>5</v>
      </c>
      <c r="AU75" s="50" t="s">
        <v>135</v>
      </c>
      <c r="AV75" s="49" t="s">
        <v>1</v>
      </c>
      <c r="AW75" s="50" t="s">
        <v>436</v>
      </c>
      <c r="AX75" s="49"/>
      <c r="AY75" s="50"/>
      <c r="AZ75" s="49"/>
      <c r="BA75" s="50"/>
      <c r="BB75" s="49"/>
      <c r="BC75" s="50"/>
      <c r="BD75" s="49"/>
      <c r="BE75" s="50"/>
      <c r="BF75" s="49"/>
      <c r="BG75" s="50"/>
      <c r="BH75" s="49" t="s">
        <v>5</v>
      </c>
      <c r="BI75" s="50" t="s">
        <v>163</v>
      </c>
      <c r="BJ75" s="49" t="s">
        <v>5</v>
      </c>
      <c r="BK75" s="50" t="s">
        <v>505</v>
      </c>
      <c r="BL75" s="49"/>
      <c r="BM75" s="50"/>
      <c r="BN75" s="49" t="s">
        <v>5</v>
      </c>
      <c r="BO75" s="50" t="s">
        <v>152</v>
      </c>
      <c r="BP75" s="49"/>
      <c r="BQ75" s="50"/>
      <c r="BR75" s="49"/>
      <c r="BS75" s="50"/>
      <c r="BT75" s="49" t="s">
        <v>5</v>
      </c>
      <c r="BU75" s="50" t="s">
        <v>457</v>
      </c>
      <c r="BV75" s="49" t="s">
        <v>5</v>
      </c>
      <c r="BW75" s="50" t="s">
        <v>98</v>
      </c>
      <c r="BX75" s="49" t="s">
        <v>5</v>
      </c>
      <c r="BY75" s="50" t="s">
        <v>421</v>
      </c>
    </row>
    <row r="76" spans="1:77" x14ac:dyDescent="0.25">
      <c r="A76" s="76">
        <v>152560</v>
      </c>
      <c r="B76" s="77" t="s">
        <v>1035</v>
      </c>
      <c r="C76" s="78" t="s">
        <v>1181</v>
      </c>
      <c r="D76" s="76" t="s">
        <v>12</v>
      </c>
      <c r="E76" s="79" t="s">
        <v>14</v>
      </c>
      <c r="F76" s="79" t="s">
        <v>71</v>
      </c>
      <c r="G76" s="79" t="s">
        <v>14</v>
      </c>
      <c r="H76" s="79" t="s">
        <v>14</v>
      </c>
      <c r="I76" s="78" t="s">
        <v>14</v>
      </c>
      <c r="J76" s="79" t="s">
        <v>14</v>
      </c>
      <c r="K76" s="142" t="s">
        <v>1850</v>
      </c>
      <c r="L76" s="149" t="s">
        <v>1845</v>
      </c>
      <c r="M76" s="150" t="s">
        <v>12</v>
      </c>
      <c r="N76" s="151">
        <v>13</v>
      </c>
      <c r="O76" s="151">
        <v>9</v>
      </c>
      <c r="P76" s="152">
        <v>2</v>
      </c>
      <c r="Q76" s="153">
        <v>100</v>
      </c>
      <c r="R76" s="154">
        <v>2</v>
      </c>
      <c r="S76" s="38">
        <f t="shared" si="12"/>
        <v>0</v>
      </c>
      <c r="T76" s="39">
        <f t="shared" si="13"/>
        <v>4</v>
      </c>
      <c r="U76" s="40">
        <f t="shared" si="14"/>
        <v>4</v>
      </c>
      <c r="V76" s="40">
        <f t="shared" si="15"/>
        <v>1</v>
      </c>
      <c r="W76" s="40">
        <f t="shared" si="16"/>
        <v>0</v>
      </c>
      <c r="X76" s="40">
        <f t="shared" si="17"/>
        <v>5</v>
      </c>
      <c r="Y76" s="40">
        <f t="shared" si="18"/>
        <v>1</v>
      </c>
      <c r="Z76" s="40">
        <f t="shared" si="19"/>
        <v>0</v>
      </c>
      <c r="AA76" s="40">
        <f t="shared" si="20"/>
        <v>0</v>
      </c>
      <c r="AB76" s="40">
        <f t="shared" si="21"/>
        <v>1</v>
      </c>
      <c r="AC76" s="41">
        <f t="shared" si="22"/>
        <v>0</v>
      </c>
      <c r="AD76" s="49"/>
      <c r="AE76" s="50"/>
      <c r="AF76" s="49"/>
      <c r="AG76" s="50"/>
      <c r="AH76" s="49"/>
      <c r="AI76" s="50"/>
      <c r="AJ76" s="49"/>
      <c r="AK76" s="50"/>
      <c r="AL76" s="49"/>
      <c r="AM76" s="50"/>
      <c r="AN76" s="49"/>
      <c r="AO76" s="50"/>
      <c r="AP76" s="49"/>
      <c r="AQ76" s="50"/>
      <c r="AR76" s="49" t="s">
        <v>30</v>
      </c>
      <c r="AS76" s="50" t="s">
        <v>102</v>
      </c>
      <c r="AT76" s="49"/>
      <c r="AU76" s="50"/>
      <c r="AV76" s="49" t="s">
        <v>5</v>
      </c>
      <c r="AW76" s="50" t="s">
        <v>104</v>
      </c>
      <c r="AX76" s="49" t="s">
        <v>30</v>
      </c>
      <c r="AY76" s="50" t="s">
        <v>103</v>
      </c>
      <c r="AZ76" s="49"/>
      <c r="BA76" s="50"/>
      <c r="BB76" s="49"/>
      <c r="BC76" s="50"/>
      <c r="BD76" s="49"/>
      <c r="BE76" s="50"/>
      <c r="BF76" s="49" t="s">
        <v>30</v>
      </c>
      <c r="BG76" s="50" t="s">
        <v>105</v>
      </c>
      <c r="BH76" s="49" t="s">
        <v>5</v>
      </c>
      <c r="BI76" s="50" t="s">
        <v>1184</v>
      </c>
      <c r="BJ76" s="49" t="s">
        <v>30</v>
      </c>
      <c r="BK76" s="50" t="s">
        <v>995</v>
      </c>
      <c r="BL76" s="49" t="s">
        <v>5</v>
      </c>
      <c r="BM76" s="50" t="s">
        <v>116</v>
      </c>
      <c r="BN76" s="49" t="s">
        <v>5</v>
      </c>
      <c r="BO76" s="50" t="s">
        <v>741</v>
      </c>
      <c r="BP76" s="49"/>
      <c r="BQ76" s="50"/>
      <c r="BR76" s="49"/>
      <c r="BS76" s="50"/>
      <c r="BT76" s="49" t="s">
        <v>34</v>
      </c>
      <c r="BU76" s="50" t="s">
        <v>122</v>
      </c>
      <c r="BV76" s="49" t="s">
        <v>31</v>
      </c>
      <c r="BW76" s="50" t="s">
        <v>98</v>
      </c>
      <c r="BX76" s="49"/>
      <c r="BY76" s="50"/>
    </row>
    <row r="77" spans="1:77" x14ac:dyDescent="0.25">
      <c r="A77" s="76">
        <v>152579</v>
      </c>
      <c r="B77" s="77" t="s">
        <v>1263</v>
      </c>
      <c r="C77" s="78" t="s">
        <v>1181</v>
      </c>
      <c r="D77" s="76" t="s">
        <v>70</v>
      </c>
      <c r="E77" s="79" t="s">
        <v>14</v>
      </c>
      <c r="F77" s="79" t="s">
        <v>450</v>
      </c>
      <c r="G77" s="79" t="s">
        <v>14</v>
      </c>
      <c r="H77" s="79" t="s">
        <v>14</v>
      </c>
      <c r="I77" s="78" t="s">
        <v>14</v>
      </c>
      <c r="J77" s="79" t="s">
        <v>14</v>
      </c>
      <c r="K77" s="142" t="s">
        <v>1850</v>
      </c>
      <c r="L77" s="149" t="s">
        <v>1841</v>
      </c>
      <c r="M77" s="150" t="s">
        <v>1853</v>
      </c>
      <c r="N77" s="151">
        <v>29</v>
      </c>
      <c r="O77" s="151">
        <v>0</v>
      </c>
      <c r="P77" s="152">
        <v>0</v>
      </c>
      <c r="Q77" s="153">
        <v>100</v>
      </c>
      <c r="R77" s="154">
        <v>0</v>
      </c>
      <c r="S77" s="38">
        <f t="shared" si="12"/>
        <v>2</v>
      </c>
      <c r="T77" s="39">
        <f t="shared" si="13"/>
        <v>9</v>
      </c>
      <c r="U77" s="40">
        <f t="shared" si="14"/>
        <v>0</v>
      </c>
      <c r="V77" s="40">
        <f t="shared" si="15"/>
        <v>0</v>
      </c>
      <c r="W77" s="40">
        <f t="shared" si="16"/>
        <v>0</v>
      </c>
      <c r="X77" s="40">
        <f t="shared" si="17"/>
        <v>0</v>
      </c>
      <c r="Y77" s="40">
        <f t="shared" si="18"/>
        <v>0</v>
      </c>
      <c r="Z77" s="40">
        <f t="shared" si="19"/>
        <v>0</v>
      </c>
      <c r="AA77" s="40">
        <f t="shared" si="20"/>
        <v>0</v>
      </c>
      <c r="AB77" s="40">
        <f t="shared" si="21"/>
        <v>0</v>
      </c>
      <c r="AC77" s="41">
        <f t="shared" si="22"/>
        <v>0</v>
      </c>
      <c r="AD77" s="49"/>
      <c r="AE77" s="50"/>
      <c r="AF77" s="49" t="s">
        <v>5</v>
      </c>
      <c r="AG77" s="50" t="s">
        <v>154</v>
      </c>
      <c r="AH77" s="49"/>
      <c r="AI77" s="50"/>
      <c r="AJ77" s="49" t="s">
        <v>5</v>
      </c>
      <c r="AK77" s="50" t="s">
        <v>137</v>
      </c>
      <c r="AL77" s="49"/>
      <c r="AM77" s="50"/>
      <c r="AN77" s="49"/>
      <c r="AO77" s="50"/>
      <c r="AP77" s="49"/>
      <c r="AQ77" s="50"/>
      <c r="AR77" s="49" t="s">
        <v>5</v>
      </c>
      <c r="AS77" s="50" t="s">
        <v>91</v>
      </c>
      <c r="AT77" s="49"/>
      <c r="AU77" s="50"/>
      <c r="AV77" s="49" t="s">
        <v>1</v>
      </c>
      <c r="AW77" s="50" t="s">
        <v>104</v>
      </c>
      <c r="AX77" s="49" t="s">
        <v>5</v>
      </c>
      <c r="AY77" s="50" t="s">
        <v>84</v>
      </c>
      <c r="AZ77" s="49" t="s">
        <v>5</v>
      </c>
      <c r="BA77" s="50" t="s">
        <v>144</v>
      </c>
      <c r="BB77" s="49"/>
      <c r="BC77" s="50"/>
      <c r="BD77" s="49"/>
      <c r="BE77" s="50"/>
      <c r="BF77" s="49"/>
      <c r="BG77" s="50"/>
      <c r="BH77" s="49" t="s">
        <v>5</v>
      </c>
      <c r="BI77" s="50" t="s">
        <v>163</v>
      </c>
      <c r="BJ77" s="49" t="s">
        <v>5</v>
      </c>
      <c r="BK77" s="50" t="s">
        <v>505</v>
      </c>
      <c r="BL77" s="49"/>
      <c r="BM77" s="50"/>
      <c r="BN77" s="49" t="s">
        <v>1</v>
      </c>
      <c r="BO77" s="50" t="s">
        <v>121</v>
      </c>
      <c r="BP77" s="49"/>
      <c r="BQ77" s="50"/>
      <c r="BR77" s="49" t="s">
        <v>5</v>
      </c>
      <c r="BS77" s="50" t="s">
        <v>98</v>
      </c>
      <c r="BT77" s="49" t="s">
        <v>5</v>
      </c>
      <c r="BU77" s="50" t="s">
        <v>97</v>
      </c>
      <c r="BV77" s="49"/>
      <c r="BW77" s="50"/>
      <c r="BX77" s="49"/>
      <c r="BY77" s="50"/>
    </row>
    <row r="78" spans="1:77" x14ac:dyDescent="0.25">
      <c r="A78" s="76">
        <v>152570</v>
      </c>
      <c r="B78" s="77" t="s">
        <v>1264</v>
      </c>
      <c r="C78" s="78" t="s">
        <v>1211</v>
      </c>
      <c r="D78" s="76" t="s">
        <v>70</v>
      </c>
      <c r="E78" s="79" t="s">
        <v>87</v>
      </c>
      <c r="F78" s="79" t="s">
        <v>88</v>
      </c>
      <c r="G78" s="79" t="s">
        <v>14</v>
      </c>
      <c r="H78" s="79" t="s">
        <v>87</v>
      </c>
      <c r="I78" s="78" t="s">
        <v>14</v>
      </c>
      <c r="J78" s="79" t="s">
        <v>14</v>
      </c>
      <c r="K78" s="142" t="s">
        <v>1850</v>
      </c>
      <c r="L78" s="149" t="s">
        <v>1844</v>
      </c>
      <c r="M78" s="150" t="s">
        <v>12</v>
      </c>
      <c r="N78" s="151">
        <v>13</v>
      </c>
      <c r="O78" s="151">
        <v>0</v>
      </c>
      <c r="P78" s="152">
        <v>0</v>
      </c>
      <c r="Q78" s="153">
        <v>91.3</v>
      </c>
      <c r="R78" s="154">
        <v>2</v>
      </c>
      <c r="S78" s="38">
        <f t="shared" si="12"/>
        <v>0</v>
      </c>
      <c r="T78" s="39">
        <f t="shared" si="13"/>
        <v>11</v>
      </c>
      <c r="U78" s="40">
        <f t="shared" si="14"/>
        <v>0</v>
      </c>
      <c r="V78" s="40">
        <f t="shared" si="15"/>
        <v>0</v>
      </c>
      <c r="W78" s="40">
        <f t="shared" si="16"/>
        <v>0</v>
      </c>
      <c r="X78" s="40">
        <f t="shared" si="17"/>
        <v>0</v>
      </c>
      <c r="Y78" s="40">
        <f t="shared" si="18"/>
        <v>0</v>
      </c>
      <c r="Z78" s="40">
        <f t="shared" si="19"/>
        <v>0</v>
      </c>
      <c r="AA78" s="40">
        <f t="shared" si="20"/>
        <v>0</v>
      </c>
      <c r="AB78" s="40">
        <f t="shared" si="21"/>
        <v>0</v>
      </c>
      <c r="AC78" s="41">
        <f t="shared" si="22"/>
        <v>0</v>
      </c>
      <c r="AD78" s="49" t="s">
        <v>5</v>
      </c>
      <c r="AE78" s="50" t="s">
        <v>72</v>
      </c>
      <c r="AF78" s="49" t="s">
        <v>5</v>
      </c>
      <c r="AG78" s="50" t="s">
        <v>164</v>
      </c>
      <c r="AH78" s="49"/>
      <c r="AI78" s="50"/>
      <c r="AJ78" s="49" t="s">
        <v>5</v>
      </c>
      <c r="AK78" s="50" t="s">
        <v>206</v>
      </c>
      <c r="AL78" s="49"/>
      <c r="AM78" s="50"/>
      <c r="AN78" s="49"/>
      <c r="AO78" s="50"/>
      <c r="AP78" s="49"/>
      <c r="AQ78" s="50"/>
      <c r="AR78" s="49" t="s">
        <v>5</v>
      </c>
      <c r="AS78" s="50" t="s">
        <v>722</v>
      </c>
      <c r="AT78" s="49"/>
      <c r="AU78" s="50"/>
      <c r="AV78" s="49" t="s">
        <v>5</v>
      </c>
      <c r="AW78" s="50" t="s">
        <v>105</v>
      </c>
      <c r="AX78" s="49"/>
      <c r="AY78" s="50"/>
      <c r="AZ78" s="49"/>
      <c r="BA78" s="50"/>
      <c r="BB78" s="49"/>
      <c r="BC78" s="50"/>
      <c r="BD78" s="49"/>
      <c r="BE78" s="50"/>
      <c r="BF78" s="49"/>
      <c r="BG78" s="50"/>
      <c r="BH78" s="49" t="s">
        <v>5</v>
      </c>
      <c r="BI78" s="50" t="s">
        <v>163</v>
      </c>
      <c r="BJ78" s="49" t="s">
        <v>5</v>
      </c>
      <c r="BK78" s="50" t="s">
        <v>505</v>
      </c>
      <c r="BL78" s="49"/>
      <c r="BM78" s="50"/>
      <c r="BN78" s="49" t="s">
        <v>5</v>
      </c>
      <c r="BO78" s="50" t="s">
        <v>152</v>
      </c>
      <c r="BP78" s="49"/>
      <c r="BQ78" s="50"/>
      <c r="BR78" s="49" t="s">
        <v>5</v>
      </c>
      <c r="BS78" s="50" t="s">
        <v>123</v>
      </c>
      <c r="BT78" s="49" t="s">
        <v>5</v>
      </c>
      <c r="BU78" s="50" t="s">
        <v>457</v>
      </c>
      <c r="BV78" s="49"/>
      <c r="BW78" s="50"/>
      <c r="BX78" s="49" t="s">
        <v>5</v>
      </c>
      <c r="BY78" s="50" t="s">
        <v>130</v>
      </c>
    </row>
    <row r="79" spans="1:77" x14ac:dyDescent="0.25">
      <c r="A79" s="76">
        <v>152622</v>
      </c>
      <c r="B79" s="77" t="s">
        <v>1265</v>
      </c>
      <c r="C79" s="78" t="s">
        <v>1205</v>
      </c>
      <c r="D79" s="76" t="s">
        <v>12</v>
      </c>
      <c r="E79" s="79" t="s">
        <v>14</v>
      </c>
      <c r="F79" s="79" t="s">
        <v>71</v>
      </c>
      <c r="G79" s="79" t="s">
        <v>14</v>
      </c>
      <c r="H79" s="79" t="s">
        <v>14</v>
      </c>
      <c r="I79" s="78" t="s">
        <v>14</v>
      </c>
      <c r="J79" s="79" t="s">
        <v>14</v>
      </c>
      <c r="K79" s="142" t="s">
        <v>1851</v>
      </c>
      <c r="L79" s="149" t="s">
        <v>1845</v>
      </c>
      <c r="M79" s="150" t="s">
        <v>12</v>
      </c>
      <c r="N79" s="151">
        <v>22</v>
      </c>
      <c r="O79" s="151">
        <v>0</v>
      </c>
      <c r="P79" s="152">
        <v>0</v>
      </c>
      <c r="Q79" s="153">
        <v>100</v>
      </c>
      <c r="R79" s="154">
        <v>0</v>
      </c>
      <c r="S79" s="38">
        <f t="shared" si="12"/>
        <v>1</v>
      </c>
      <c r="T79" s="39">
        <f t="shared" si="13"/>
        <v>9</v>
      </c>
      <c r="U79" s="40">
        <f t="shared" si="14"/>
        <v>0</v>
      </c>
      <c r="V79" s="40">
        <f t="shared" si="15"/>
        <v>0</v>
      </c>
      <c r="W79" s="40">
        <f t="shared" si="16"/>
        <v>0</v>
      </c>
      <c r="X79" s="40">
        <f t="shared" si="17"/>
        <v>0</v>
      </c>
      <c r="Y79" s="40">
        <f t="shared" si="18"/>
        <v>0</v>
      </c>
      <c r="Z79" s="40">
        <f t="shared" si="19"/>
        <v>0</v>
      </c>
      <c r="AA79" s="40">
        <f t="shared" si="20"/>
        <v>0</v>
      </c>
      <c r="AB79" s="40">
        <f t="shared" si="21"/>
        <v>0</v>
      </c>
      <c r="AC79" s="41">
        <f t="shared" si="22"/>
        <v>0</v>
      </c>
      <c r="AD79" s="49"/>
      <c r="AE79" s="50"/>
      <c r="AF79" s="49"/>
      <c r="AG79" s="50"/>
      <c r="AH79" s="49"/>
      <c r="AI79" s="50"/>
      <c r="AJ79" s="49"/>
      <c r="AK79" s="50"/>
      <c r="AL79" s="49"/>
      <c r="AM79" s="50"/>
      <c r="AN79" s="49"/>
      <c r="AO79" s="50"/>
      <c r="AP79" s="49" t="s">
        <v>5</v>
      </c>
      <c r="AQ79" s="50" t="s">
        <v>101</v>
      </c>
      <c r="AR79" s="49" t="s">
        <v>5</v>
      </c>
      <c r="AS79" s="50" t="s">
        <v>151</v>
      </c>
      <c r="AT79" s="49"/>
      <c r="AU79" s="50"/>
      <c r="AV79" s="49" t="s">
        <v>5</v>
      </c>
      <c r="AW79" s="50" t="s">
        <v>152</v>
      </c>
      <c r="AX79" s="49" t="s">
        <v>5</v>
      </c>
      <c r="AY79" s="50" t="s">
        <v>103</v>
      </c>
      <c r="AZ79" s="49" t="s">
        <v>5</v>
      </c>
      <c r="BA79" s="50" t="s">
        <v>144</v>
      </c>
      <c r="BB79" s="49"/>
      <c r="BC79" s="50"/>
      <c r="BD79" s="49"/>
      <c r="BE79" s="50"/>
      <c r="BF79" s="49"/>
      <c r="BG79" s="50"/>
      <c r="BH79" s="49" t="s">
        <v>5</v>
      </c>
      <c r="BI79" s="50" t="s">
        <v>105</v>
      </c>
      <c r="BJ79" s="49" t="s">
        <v>5</v>
      </c>
      <c r="BK79" s="50" t="s">
        <v>711</v>
      </c>
      <c r="BL79" s="49"/>
      <c r="BM79" s="50"/>
      <c r="BN79" s="49" t="s">
        <v>1</v>
      </c>
      <c r="BO79" s="50" t="s">
        <v>96</v>
      </c>
      <c r="BP79" s="49"/>
      <c r="BQ79" s="50"/>
      <c r="BR79" s="49"/>
      <c r="BS79" s="50"/>
      <c r="BT79" s="49" t="s">
        <v>5</v>
      </c>
      <c r="BU79" s="50" t="s">
        <v>108</v>
      </c>
      <c r="BV79" s="49" t="s">
        <v>5</v>
      </c>
      <c r="BW79" s="50" t="s">
        <v>98</v>
      </c>
      <c r="BX79" s="49"/>
      <c r="BY79" s="50"/>
    </row>
    <row r="80" spans="1:77" x14ac:dyDescent="0.25">
      <c r="A80" s="76">
        <v>152533</v>
      </c>
      <c r="B80" s="77" t="s">
        <v>1266</v>
      </c>
      <c r="C80" s="78" t="s">
        <v>1211</v>
      </c>
      <c r="D80" s="76" t="s">
        <v>12</v>
      </c>
      <c r="E80" s="79" t="s">
        <v>14</v>
      </c>
      <c r="F80" s="79" t="s">
        <v>71</v>
      </c>
      <c r="G80" s="79" t="s">
        <v>14</v>
      </c>
      <c r="H80" s="79" t="s">
        <v>14</v>
      </c>
      <c r="I80" s="78" t="s">
        <v>14</v>
      </c>
      <c r="J80" s="79" t="s">
        <v>6</v>
      </c>
      <c r="K80" s="142" t="s">
        <v>1850</v>
      </c>
      <c r="L80" s="149" t="s">
        <v>1848</v>
      </c>
      <c r="M80" s="150" t="s">
        <v>12</v>
      </c>
      <c r="N80" s="151">
        <v>15</v>
      </c>
      <c r="O80" s="151">
        <v>0</v>
      </c>
      <c r="P80" s="152">
        <v>0</v>
      </c>
      <c r="Q80" s="153">
        <v>95.65</v>
      </c>
      <c r="R80" s="154">
        <v>0</v>
      </c>
      <c r="S80" s="38">
        <f t="shared" si="12"/>
        <v>1</v>
      </c>
      <c r="T80" s="39">
        <f t="shared" si="13"/>
        <v>10</v>
      </c>
      <c r="U80" s="40">
        <f t="shared" si="14"/>
        <v>0</v>
      </c>
      <c r="V80" s="40">
        <f t="shared" si="15"/>
        <v>0</v>
      </c>
      <c r="W80" s="40">
        <f t="shared" si="16"/>
        <v>0</v>
      </c>
      <c r="X80" s="40">
        <f t="shared" si="17"/>
        <v>0</v>
      </c>
      <c r="Y80" s="40">
        <f t="shared" si="18"/>
        <v>0</v>
      </c>
      <c r="Z80" s="40">
        <f t="shared" si="19"/>
        <v>0</v>
      </c>
      <c r="AA80" s="40">
        <f t="shared" si="20"/>
        <v>0</v>
      </c>
      <c r="AB80" s="40">
        <f t="shared" si="21"/>
        <v>0</v>
      </c>
      <c r="AC80" s="41">
        <f t="shared" si="22"/>
        <v>0</v>
      </c>
      <c r="AD80" s="49"/>
      <c r="AE80" s="50"/>
      <c r="AF80" s="49" t="s">
        <v>5</v>
      </c>
      <c r="AG80" s="50" t="s">
        <v>154</v>
      </c>
      <c r="AH80" s="49"/>
      <c r="AI80" s="50"/>
      <c r="AJ80" s="49" t="s">
        <v>5</v>
      </c>
      <c r="AK80" s="50" t="s">
        <v>206</v>
      </c>
      <c r="AL80" s="49"/>
      <c r="AM80" s="50"/>
      <c r="AN80" s="49"/>
      <c r="AO80" s="50"/>
      <c r="AP80" s="49"/>
      <c r="AQ80" s="50"/>
      <c r="AR80" s="49" t="s">
        <v>5</v>
      </c>
      <c r="AS80" s="50" t="s">
        <v>169</v>
      </c>
      <c r="AT80" s="49"/>
      <c r="AU80" s="50"/>
      <c r="AV80" s="49" t="s">
        <v>5</v>
      </c>
      <c r="AW80" s="50" t="s">
        <v>105</v>
      </c>
      <c r="AX80" s="49"/>
      <c r="AY80" s="50"/>
      <c r="AZ80" s="49"/>
      <c r="BA80" s="50"/>
      <c r="BB80" s="49"/>
      <c r="BC80" s="50"/>
      <c r="BD80" s="49"/>
      <c r="BE80" s="50"/>
      <c r="BF80" s="49" t="s">
        <v>5</v>
      </c>
      <c r="BG80" s="50" t="s">
        <v>105</v>
      </c>
      <c r="BH80" s="49" t="s">
        <v>5</v>
      </c>
      <c r="BI80" s="50" t="s">
        <v>163</v>
      </c>
      <c r="BJ80" s="49" t="s">
        <v>5</v>
      </c>
      <c r="BK80" s="50" t="s">
        <v>711</v>
      </c>
      <c r="BL80" s="49"/>
      <c r="BM80" s="50"/>
      <c r="BN80" s="49" t="s">
        <v>1</v>
      </c>
      <c r="BO80" s="50" t="s">
        <v>96</v>
      </c>
      <c r="BP80" s="49"/>
      <c r="BQ80" s="50"/>
      <c r="BR80" s="49" t="s">
        <v>5</v>
      </c>
      <c r="BS80" s="50" t="s">
        <v>140</v>
      </c>
      <c r="BT80" s="49" t="s">
        <v>5</v>
      </c>
      <c r="BU80" s="50" t="s">
        <v>108</v>
      </c>
      <c r="BV80" s="49"/>
      <c r="BW80" s="50"/>
      <c r="BX80" s="49" t="s">
        <v>5</v>
      </c>
      <c r="BY80" s="50" t="s">
        <v>421</v>
      </c>
    </row>
    <row r="81" spans="1:77" x14ac:dyDescent="0.25">
      <c r="A81" s="76">
        <v>152529</v>
      </c>
      <c r="B81" s="77" t="s">
        <v>1267</v>
      </c>
      <c r="C81" s="78" t="s">
        <v>1211</v>
      </c>
      <c r="D81" s="76" t="s">
        <v>70</v>
      </c>
      <c r="E81" s="79" t="s">
        <v>14</v>
      </c>
      <c r="F81" s="79" t="s">
        <v>71</v>
      </c>
      <c r="G81" s="79" t="s">
        <v>14</v>
      </c>
      <c r="H81" s="79" t="s">
        <v>14</v>
      </c>
      <c r="I81" s="78" t="s">
        <v>14</v>
      </c>
      <c r="J81" s="79" t="s">
        <v>14</v>
      </c>
      <c r="K81" s="142" t="s">
        <v>1851</v>
      </c>
      <c r="L81" s="149" t="s">
        <v>1846</v>
      </c>
      <c r="M81" s="150" t="s">
        <v>1853</v>
      </c>
      <c r="N81" s="151">
        <v>24</v>
      </c>
      <c r="O81" s="151">
        <v>0</v>
      </c>
      <c r="P81" s="152">
        <v>1</v>
      </c>
      <c r="Q81" s="153">
        <v>95.65</v>
      </c>
      <c r="R81" s="154">
        <v>0</v>
      </c>
      <c r="S81" s="38">
        <f t="shared" si="12"/>
        <v>1</v>
      </c>
      <c r="T81" s="39">
        <f t="shared" si="13"/>
        <v>9</v>
      </c>
      <c r="U81" s="40">
        <f t="shared" si="14"/>
        <v>0</v>
      </c>
      <c r="V81" s="40">
        <f t="shared" si="15"/>
        <v>0</v>
      </c>
      <c r="W81" s="40">
        <f t="shared" si="16"/>
        <v>0</v>
      </c>
      <c r="X81" s="40">
        <f t="shared" si="17"/>
        <v>0</v>
      </c>
      <c r="Y81" s="40">
        <f t="shared" si="18"/>
        <v>0</v>
      </c>
      <c r="Z81" s="40">
        <f t="shared" si="19"/>
        <v>0</v>
      </c>
      <c r="AA81" s="40">
        <f t="shared" si="20"/>
        <v>0</v>
      </c>
      <c r="AB81" s="40">
        <f t="shared" si="21"/>
        <v>0</v>
      </c>
      <c r="AC81" s="41">
        <f t="shared" si="22"/>
        <v>0</v>
      </c>
      <c r="AD81" s="49"/>
      <c r="AE81" s="50"/>
      <c r="AF81" s="49"/>
      <c r="AG81" s="50"/>
      <c r="AH81" s="49"/>
      <c r="AI81" s="50"/>
      <c r="AJ81" s="49"/>
      <c r="AK81" s="50"/>
      <c r="AL81" s="49"/>
      <c r="AM81" s="50"/>
      <c r="AN81" s="49"/>
      <c r="AO81" s="50"/>
      <c r="AP81" s="49" t="s">
        <v>5</v>
      </c>
      <c r="AQ81" s="50" t="s">
        <v>142</v>
      </c>
      <c r="AR81" s="49" t="s">
        <v>5</v>
      </c>
      <c r="AS81" s="50" t="s">
        <v>722</v>
      </c>
      <c r="AT81" s="49"/>
      <c r="AU81" s="50"/>
      <c r="AV81" s="49" t="s">
        <v>1</v>
      </c>
      <c r="AW81" s="50" t="s">
        <v>105</v>
      </c>
      <c r="AX81" s="49"/>
      <c r="AY81" s="50"/>
      <c r="AZ81" s="49"/>
      <c r="BA81" s="50"/>
      <c r="BB81" s="49"/>
      <c r="BC81" s="50"/>
      <c r="BD81" s="49" t="s">
        <v>5</v>
      </c>
      <c r="BE81" s="50" t="s">
        <v>104</v>
      </c>
      <c r="BF81" s="49"/>
      <c r="BG81" s="50"/>
      <c r="BH81" s="49" t="s">
        <v>5</v>
      </c>
      <c r="BI81" s="50" t="s">
        <v>163</v>
      </c>
      <c r="BJ81" s="49" t="s">
        <v>5</v>
      </c>
      <c r="BK81" s="50" t="s">
        <v>106</v>
      </c>
      <c r="BL81" s="49"/>
      <c r="BM81" s="50"/>
      <c r="BN81" s="49" t="s">
        <v>5</v>
      </c>
      <c r="BO81" s="50" t="s">
        <v>152</v>
      </c>
      <c r="BP81" s="49"/>
      <c r="BQ81" s="50"/>
      <c r="BR81" s="49"/>
      <c r="BS81" s="50"/>
      <c r="BT81" s="49" t="s">
        <v>5</v>
      </c>
      <c r="BU81" s="50" t="s">
        <v>82</v>
      </c>
      <c r="BV81" s="49" t="s">
        <v>5</v>
      </c>
      <c r="BW81" s="50" t="s">
        <v>98</v>
      </c>
      <c r="BX81" s="49" t="s">
        <v>5</v>
      </c>
      <c r="BY81" s="50" t="s">
        <v>130</v>
      </c>
    </row>
    <row r="82" spans="1:77" x14ac:dyDescent="0.25">
      <c r="A82" s="76">
        <v>152649</v>
      </c>
      <c r="B82" s="77" t="s">
        <v>1268</v>
      </c>
      <c r="C82" s="78" t="s">
        <v>1191</v>
      </c>
      <c r="D82" s="76" t="s">
        <v>70</v>
      </c>
      <c r="E82" s="79" t="s">
        <v>14</v>
      </c>
      <c r="F82" s="79" t="s">
        <v>71</v>
      </c>
      <c r="G82" s="79" t="s">
        <v>14</v>
      </c>
      <c r="H82" s="79" t="s">
        <v>14</v>
      </c>
      <c r="I82" s="78" t="s">
        <v>14</v>
      </c>
      <c r="J82" s="79" t="s">
        <v>14</v>
      </c>
      <c r="K82" s="142" t="s">
        <v>1850</v>
      </c>
      <c r="L82" s="149" t="s">
        <v>1844</v>
      </c>
      <c r="M82" s="150" t="s">
        <v>12</v>
      </c>
      <c r="N82" s="151">
        <v>24</v>
      </c>
      <c r="O82" s="151">
        <v>0</v>
      </c>
      <c r="P82" s="152">
        <v>0</v>
      </c>
      <c r="Q82" s="153">
        <v>100</v>
      </c>
      <c r="R82" s="154">
        <v>0</v>
      </c>
      <c r="S82" s="38">
        <f t="shared" si="12"/>
        <v>0</v>
      </c>
      <c r="T82" s="39">
        <f t="shared" si="13"/>
        <v>10</v>
      </c>
      <c r="U82" s="40">
        <f t="shared" si="14"/>
        <v>0</v>
      </c>
      <c r="V82" s="40">
        <f t="shared" si="15"/>
        <v>0</v>
      </c>
      <c r="W82" s="40">
        <f t="shared" si="16"/>
        <v>0</v>
      </c>
      <c r="X82" s="40">
        <f t="shared" si="17"/>
        <v>0</v>
      </c>
      <c r="Y82" s="40">
        <f t="shared" si="18"/>
        <v>0</v>
      </c>
      <c r="Z82" s="40">
        <f t="shared" si="19"/>
        <v>0</v>
      </c>
      <c r="AA82" s="40">
        <f t="shared" si="20"/>
        <v>0</v>
      </c>
      <c r="AB82" s="40">
        <f t="shared" si="21"/>
        <v>0</v>
      </c>
      <c r="AC82" s="41">
        <f t="shared" si="22"/>
        <v>0</v>
      </c>
      <c r="AD82" s="49"/>
      <c r="AE82" s="50"/>
      <c r="AF82" s="49"/>
      <c r="AG82" s="50"/>
      <c r="AH82" s="49"/>
      <c r="AI82" s="50"/>
      <c r="AJ82" s="49"/>
      <c r="AK82" s="50"/>
      <c r="AL82" s="49"/>
      <c r="AM82" s="50"/>
      <c r="AN82" s="49"/>
      <c r="AO82" s="50"/>
      <c r="AP82" s="49" t="s">
        <v>5</v>
      </c>
      <c r="AQ82" s="50" t="s">
        <v>142</v>
      </c>
      <c r="AR82" s="49" t="s">
        <v>5</v>
      </c>
      <c r="AS82" s="50" t="s">
        <v>722</v>
      </c>
      <c r="AT82" s="49"/>
      <c r="AU82" s="50"/>
      <c r="AV82" s="49" t="s">
        <v>5</v>
      </c>
      <c r="AW82" s="50" t="s">
        <v>154</v>
      </c>
      <c r="AX82" s="49"/>
      <c r="AY82" s="50"/>
      <c r="AZ82" s="49"/>
      <c r="BA82" s="50"/>
      <c r="BB82" s="49" t="s">
        <v>5</v>
      </c>
      <c r="BC82" s="50" t="s">
        <v>436</v>
      </c>
      <c r="BD82" s="49"/>
      <c r="BE82" s="50"/>
      <c r="BF82" s="49"/>
      <c r="BG82" s="50"/>
      <c r="BH82" s="49" t="s">
        <v>5</v>
      </c>
      <c r="BI82" s="50" t="s">
        <v>78</v>
      </c>
      <c r="BJ82" s="49" t="s">
        <v>5</v>
      </c>
      <c r="BK82" s="50" t="s">
        <v>995</v>
      </c>
      <c r="BL82" s="49"/>
      <c r="BM82" s="50"/>
      <c r="BN82" s="49" t="s">
        <v>5</v>
      </c>
      <c r="BO82" s="50" t="s">
        <v>121</v>
      </c>
      <c r="BP82" s="49"/>
      <c r="BQ82" s="50"/>
      <c r="BR82" s="49"/>
      <c r="BS82" s="50"/>
      <c r="BT82" s="49" t="s">
        <v>5</v>
      </c>
      <c r="BU82" s="50" t="s">
        <v>457</v>
      </c>
      <c r="BV82" s="49" t="s">
        <v>5</v>
      </c>
      <c r="BW82" s="50" t="s">
        <v>98</v>
      </c>
      <c r="BX82" s="49" t="s">
        <v>5</v>
      </c>
      <c r="BY82" s="50" t="s">
        <v>130</v>
      </c>
    </row>
    <row r="83" spans="1:77" x14ac:dyDescent="0.25">
      <c r="A83" s="76">
        <v>152592</v>
      </c>
      <c r="B83" s="77" t="s">
        <v>1269</v>
      </c>
      <c r="C83" s="78" t="s">
        <v>1188</v>
      </c>
      <c r="D83" s="76" t="s">
        <v>12</v>
      </c>
      <c r="E83" s="79" t="s">
        <v>14</v>
      </c>
      <c r="F83" s="79" t="s">
        <v>150</v>
      </c>
      <c r="G83" s="79" t="s">
        <v>87</v>
      </c>
      <c r="H83" s="79" t="s">
        <v>14</v>
      </c>
      <c r="I83" s="78" t="s">
        <v>14</v>
      </c>
      <c r="J83" s="79" t="s">
        <v>14</v>
      </c>
      <c r="K83" s="142" t="s">
        <v>1850</v>
      </c>
      <c r="L83" s="149" t="s">
        <v>1844</v>
      </c>
      <c r="M83" s="150" t="s">
        <v>12</v>
      </c>
      <c r="N83" s="151">
        <v>18</v>
      </c>
      <c r="O83" s="151">
        <v>0</v>
      </c>
      <c r="P83" s="152">
        <v>0</v>
      </c>
      <c r="Q83" s="153">
        <v>95.65</v>
      </c>
      <c r="R83" s="154">
        <v>0</v>
      </c>
      <c r="S83" s="38">
        <f t="shared" si="12"/>
        <v>2</v>
      </c>
      <c r="T83" s="39">
        <f t="shared" si="13"/>
        <v>8</v>
      </c>
      <c r="U83" s="40">
        <f t="shared" si="14"/>
        <v>0</v>
      </c>
      <c r="V83" s="40">
        <f t="shared" si="15"/>
        <v>0</v>
      </c>
      <c r="W83" s="40">
        <f t="shared" si="16"/>
        <v>0</v>
      </c>
      <c r="X83" s="40">
        <f t="shared" si="17"/>
        <v>0</v>
      </c>
      <c r="Y83" s="40">
        <f t="shared" si="18"/>
        <v>0</v>
      </c>
      <c r="Z83" s="40">
        <f t="shared" si="19"/>
        <v>0</v>
      </c>
      <c r="AA83" s="40">
        <f t="shared" si="20"/>
        <v>0</v>
      </c>
      <c r="AB83" s="40">
        <f t="shared" si="21"/>
        <v>0</v>
      </c>
      <c r="AC83" s="41">
        <f t="shared" si="22"/>
        <v>0</v>
      </c>
      <c r="AD83" s="49" t="s">
        <v>5</v>
      </c>
      <c r="AE83" s="50" t="s">
        <v>89</v>
      </c>
      <c r="AF83" s="49"/>
      <c r="AG83" s="50"/>
      <c r="AH83" s="49" t="s">
        <v>5</v>
      </c>
      <c r="AI83" s="50" t="s">
        <v>78</v>
      </c>
      <c r="AJ83" s="49"/>
      <c r="AK83" s="50"/>
      <c r="AL83" s="49"/>
      <c r="AM83" s="50"/>
      <c r="AN83" s="49"/>
      <c r="AO83" s="50"/>
      <c r="AP83" s="49"/>
      <c r="AQ83" s="50"/>
      <c r="AR83" s="49" t="s">
        <v>5</v>
      </c>
      <c r="AS83" s="50" t="s">
        <v>151</v>
      </c>
      <c r="AT83" s="49"/>
      <c r="AU83" s="50"/>
      <c r="AV83" s="49" t="s">
        <v>5</v>
      </c>
      <c r="AW83" s="50" t="s">
        <v>430</v>
      </c>
      <c r="AX83" s="49" t="s">
        <v>5</v>
      </c>
      <c r="AY83" s="50" t="s">
        <v>84</v>
      </c>
      <c r="AZ83" s="49"/>
      <c r="BA83" s="50"/>
      <c r="BB83" s="49"/>
      <c r="BC83" s="50"/>
      <c r="BD83" s="49"/>
      <c r="BE83" s="50"/>
      <c r="BF83" s="49"/>
      <c r="BG83" s="50"/>
      <c r="BH83" s="49" t="s">
        <v>5</v>
      </c>
      <c r="BI83" s="50" t="s">
        <v>1184</v>
      </c>
      <c r="BJ83" s="49" t="s">
        <v>5</v>
      </c>
      <c r="BK83" s="50" t="s">
        <v>422</v>
      </c>
      <c r="BL83" s="49"/>
      <c r="BM83" s="50"/>
      <c r="BN83" s="49" t="s">
        <v>1</v>
      </c>
      <c r="BO83" s="50" t="s">
        <v>96</v>
      </c>
      <c r="BP83" s="49"/>
      <c r="BQ83" s="50"/>
      <c r="BR83" s="49"/>
      <c r="BS83" s="50"/>
      <c r="BT83" s="49" t="s">
        <v>5</v>
      </c>
      <c r="BU83" s="50" t="s">
        <v>108</v>
      </c>
      <c r="BV83" s="49" t="s">
        <v>1</v>
      </c>
      <c r="BW83" s="50" t="s">
        <v>109</v>
      </c>
      <c r="BX83" s="49"/>
      <c r="BY83" s="50"/>
    </row>
    <row r="84" spans="1:77" x14ac:dyDescent="0.25">
      <c r="A84" s="76">
        <v>100348</v>
      </c>
      <c r="B84" s="77" t="s">
        <v>1270</v>
      </c>
      <c r="C84" s="78" t="s">
        <v>1183</v>
      </c>
      <c r="D84" s="76" t="s">
        <v>12</v>
      </c>
      <c r="E84" s="79" t="s">
        <v>14</v>
      </c>
      <c r="F84" s="79" t="s">
        <v>218</v>
      </c>
      <c r="G84" s="79" t="s">
        <v>87</v>
      </c>
      <c r="H84" s="79" t="s">
        <v>14</v>
      </c>
      <c r="I84" s="78" t="s">
        <v>14</v>
      </c>
      <c r="J84" s="79" t="s">
        <v>14</v>
      </c>
      <c r="K84" s="142" t="s">
        <v>1850</v>
      </c>
      <c r="L84" s="149" t="s">
        <v>1844</v>
      </c>
      <c r="M84" s="150" t="s">
        <v>12</v>
      </c>
      <c r="N84" s="151">
        <v>7</v>
      </c>
      <c r="O84" s="151">
        <v>2</v>
      </c>
      <c r="P84" s="152">
        <v>3</v>
      </c>
      <c r="Q84" s="153">
        <v>100</v>
      </c>
      <c r="R84" s="154">
        <v>0</v>
      </c>
      <c r="S84" s="38">
        <f t="shared" si="12"/>
        <v>0</v>
      </c>
      <c r="T84" s="39">
        <f t="shared" si="13"/>
        <v>9</v>
      </c>
      <c r="U84" s="40">
        <f t="shared" si="14"/>
        <v>1</v>
      </c>
      <c r="V84" s="40">
        <f t="shared" si="15"/>
        <v>0</v>
      </c>
      <c r="W84" s="40">
        <f t="shared" si="16"/>
        <v>0</v>
      </c>
      <c r="X84" s="40">
        <f t="shared" si="17"/>
        <v>1</v>
      </c>
      <c r="Y84" s="40">
        <f t="shared" si="18"/>
        <v>0</v>
      </c>
      <c r="Z84" s="40">
        <f t="shared" si="19"/>
        <v>0</v>
      </c>
      <c r="AA84" s="40">
        <f t="shared" si="20"/>
        <v>0</v>
      </c>
      <c r="AB84" s="40">
        <f t="shared" si="21"/>
        <v>0</v>
      </c>
      <c r="AC84" s="41">
        <f t="shared" si="22"/>
        <v>0</v>
      </c>
      <c r="AD84" s="49"/>
      <c r="AE84" s="50"/>
      <c r="AF84" s="49"/>
      <c r="AG84" s="50"/>
      <c r="AH84" s="49"/>
      <c r="AI84" s="50"/>
      <c r="AJ84" s="49"/>
      <c r="AK84" s="50"/>
      <c r="AL84" s="49"/>
      <c r="AM84" s="50"/>
      <c r="AN84" s="49"/>
      <c r="AO84" s="50"/>
      <c r="AP84" s="49"/>
      <c r="AQ84" s="50"/>
      <c r="AR84" s="49" t="s">
        <v>5</v>
      </c>
      <c r="AS84" s="50" t="s">
        <v>102</v>
      </c>
      <c r="AT84" s="49" t="s">
        <v>5</v>
      </c>
      <c r="AU84" s="50" t="s">
        <v>135</v>
      </c>
      <c r="AV84" s="49" t="s">
        <v>5</v>
      </c>
      <c r="AW84" s="50" t="s">
        <v>436</v>
      </c>
      <c r="AX84" s="49"/>
      <c r="AY84" s="50"/>
      <c r="AZ84" s="49"/>
      <c r="BA84" s="50"/>
      <c r="BB84" s="49"/>
      <c r="BC84" s="50"/>
      <c r="BD84" s="49" t="s">
        <v>5</v>
      </c>
      <c r="BE84" s="50" t="s">
        <v>104</v>
      </c>
      <c r="BF84" s="49"/>
      <c r="BG84" s="50"/>
      <c r="BH84" s="49" t="s">
        <v>5</v>
      </c>
      <c r="BI84" s="50" t="s">
        <v>1184</v>
      </c>
      <c r="BJ84" s="49" t="s">
        <v>5</v>
      </c>
      <c r="BK84" s="50" t="s">
        <v>995</v>
      </c>
      <c r="BL84" s="49"/>
      <c r="BM84" s="50"/>
      <c r="BN84" s="49" t="s">
        <v>5</v>
      </c>
      <c r="BO84" s="50" t="s">
        <v>741</v>
      </c>
      <c r="BP84" s="49"/>
      <c r="BQ84" s="50"/>
      <c r="BR84" s="49"/>
      <c r="BS84" s="50"/>
      <c r="BT84" s="49" t="s">
        <v>5</v>
      </c>
      <c r="BU84" s="50" t="s">
        <v>108</v>
      </c>
      <c r="BV84" s="49" t="s">
        <v>5</v>
      </c>
      <c r="BW84" s="50" t="s">
        <v>98</v>
      </c>
      <c r="BX84" s="49" t="s">
        <v>30</v>
      </c>
      <c r="BY84" s="50" t="s">
        <v>103</v>
      </c>
    </row>
    <row r="85" spans="1:77" x14ac:dyDescent="0.25">
      <c r="A85" s="76">
        <v>152598</v>
      </c>
      <c r="B85" s="77" t="s">
        <v>1271</v>
      </c>
      <c r="C85" s="78" t="s">
        <v>1211</v>
      </c>
      <c r="D85" s="76" t="s">
        <v>12</v>
      </c>
      <c r="E85" s="79" t="s">
        <v>14</v>
      </c>
      <c r="F85" s="79" t="s">
        <v>115</v>
      </c>
      <c r="G85" s="79" t="s">
        <v>14</v>
      </c>
      <c r="H85" s="79" t="s">
        <v>14</v>
      </c>
      <c r="I85" s="78" t="s">
        <v>14</v>
      </c>
      <c r="J85" s="79" t="s">
        <v>14</v>
      </c>
      <c r="K85" s="142" t="s">
        <v>1850</v>
      </c>
      <c r="L85" s="149" t="s">
        <v>1845</v>
      </c>
      <c r="M85" s="150" t="s">
        <v>12</v>
      </c>
      <c r="N85" s="151">
        <v>14</v>
      </c>
      <c r="O85" s="151">
        <v>1</v>
      </c>
      <c r="P85" s="152">
        <v>2</v>
      </c>
      <c r="Q85" s="153">
        <v>100</v>
      </c>
      <c r="R85" s="154">
        <v>2</v>
      </c>
      <c r="S85" s="38">
        <f t="shared" si="12"/>
        <v>0</v>
      </c>
      <c r="T85" s="39">
        <f t="shared" si="13"/>
        <v>9</v>
      </c>
      <c r="U85" s="40">
        <f t="shared" si="14"/>
        <v>1</v>
      </c>
      <c r="V85" s="40">
        <f t="shared" si="15"/>
        <v>0</v>
      </c>
      <c r="W85" s="40">
        <f t="shared" si="16"/>
        <v>0</v>
      </c>
      <c r="X85" s="40">
        <f t="shared" si="17"/>
        <v>1</v>
      </c>
      <c r="Y85" s="40">
        <f t="shared" si="18"/>
        <v>0</v>
      </c>
      <c r="Z85" s="40">
        <f t="shared" si="19"/>
        <v>0</v>
      </c>
      <c r="AA85" s="40">
        <f t="shared" si="20"/>
        <v>0</v>
      </c>
      <c r="AB85" s="40">
        <f t="shared" si="21"/>
        <v>0</v>
      </c>
      <c r="AC85" s="41">
        <f t="shared" si="22"/>
        <v>0</v>
      </c>
      <c r="AD85" s="49"/>
      <c r="AE85" s="50"/>
      <c r="AF85" s="49"/>
      <c r="AG85" s="50"/>
      <c r="AH85" s="49"/>
      <c r="AI85" s="50"/>
      <c r="AJ85" s="49"/>
      <c r="AK85" s="50"/>
      <c r="AL85" s="49"/>
      <c r="AM85" s="50"/>
      <c r="AN85" s="49"/>
      <c r="AO85" s="50"/>
      <c r="AP85" s="49"/>
      <c r="AQ85" s="50"/>
      <c r="AR85" s="49" t="s">
        <v>30</v>
      </c>
      <c r="AS85" s="50" t="s">
        <v>142</v>
      </c>
      <c r="AT85" s="49"/>
      <c r="AU85" s="50"/>
      <c r="AV85" s="49" t="s">
        <v>5</v>
      </c>
      <c r="AW85" s="50" t="s">
        <v>105</v>
      </c>
      <c r="AX85" s="49"/>
      <c r="AY85" s="50"/>
      <c r="AZ85" s="49"/>
      <c r="BA85" s="50"/>
      <c r="BB85" s="49"/>
      <c r="BC85" s="50"/>
      <c r="BD85" s="49"/>
      <c r="BE85" s="50"/>
      <c r="BF85" s="49" t="s">
        <v>5</v>
      </c>
      <c r="BG85" s="50" t="s">
        <v>105</v>
      </c>
      <c r="BH85" s="49" t="s">
        <v>5</v>
      </c>
      <c r="BI85" s="50" t="s">
        <v>1184</v>
      </c>
      <c r="BJ85" s="49" t="s">
        <v>5</v>
      </c>
      <c r="BK85" s="50" t="s">
        <v>995</v>
      </c>
      <c r="BL85" s="49" t="s">
        <v>5</v>
      </c>
      <c r="BM85" s="50" t="s">
        <v>116</v>
      </c>
      <c r="BN85" s="49" t="s">
        <v>5</v>
      </c>
      <c r="BO85" s="50" t="s">
        <v>741</v>
      </c>
      <c r="BP85" s="49"/>
      <c r="BQ85" s="50"/>
      <c r="BR85" s="49"/>
      <c r="BS85" s="50"/>
      <c r="BT85" s="49" t="s">
        <v>5</v>
      </c>
      <c r="BU85" s="50" t="s">
        <v>82</v>
      </c>
      <c r="BV85" s="49" t="s">
        <v>5</v>
      </c>
      <c r="BW85" s="50" t="s">
        <v>98</v>
      </c>
      <c r="BX85" s="49" t="s">
        <v>5</v>
      </c>
      <c r="BY85" s="50" t="s">
        <v>103</v>
      </c>
    </row>
    <row r="86" spans="1:77" x14ac:dyDescent="0.25">
      <c r="A86" s="76">
        <v>152633</v>
      </c>
      <c r="B86" s="77" t="s">
        <v>1272</v>
      </c>
      <c r="C86" s="78" t="s">
        <v>1191</v>
      </c>
      <c r="D86" s="76" t="s">
        <v>12</v>
      </c>
      <c r="E86" s="79" t="s">
        <v>87</v>
      </c>
      <c r="F86" s="79" t="s">
        <v>115</v>
      </c>
      <c r="G86" s="79" t="s">
        <v>14</v>
      </c>
      <c r="H86" s="79" t="s">
        <v>87</v>
      </c>
      <c r="I86" s="78" t="s">
        <v>14</v>
      </c>
      <c r="J86" s="79" t="s">
        <v>14</v>
      </c>
      <c r="K86" s="142" t="s">
        <v>1850</v>
      </c>
      <c r="L86" s="149" t="s">
        <v>1843</v>
      </c>
      <c r="M86" s="150" t="s">
        <v>1852</v>
      </c>
      <c r="N86" s="151">
        <v>13</v>
      </c>
      <c r="O86" s="151">
        <v>23</v>
      </c>
      <c r="P86" s="152">
        <v>3</v>
      </c>
      <c r="Q86" s="153">
        <v>97.83</v>
      </c>
      <c r="R86" s="154">
        <v>1</v>
      </c>
      <c r="S86" s="38">
        <f t="shared" si="12"/>
        <v>1</v>
      </c>
      <c r="T86" s="39">
        <f t="shared" si="13"/>
        <v>6</v>
      </c>
      <c r="U86" s="40">
        <f t="shared" si="14"/>
        <v>1</v>
      </c>
      <c r="V86" s="40">
        <f t="shared" si="15"/>
        <v>1</v>
      </c>
      <c r="W86" s="40">
        <f t="shared" si="16"/>
        <v>0</v>
      </c>
      <c r="X86" s="40">
        <f t="shared" si="17"/>
        <v>2</v>
      </c>
      <c r="Y86" s="40">
        <f t="shared" si="18"/>
        <v>0</v>
      </c>
      <c r="Z86" s="40">
        <f t="shared" si="19"/>
        <v>1</v>
      </c>
      <c r="AA86" s="40">
        <f t="shared" si="20"/>
        <v>0</v>
      </c>
      <c r="AB86" s="40">
        <f t="shared" si="21"/>
        <v>1</v>
      </c>
      <c r="AC86" s="41">
        <f t="shared" si="22"/>
        <v>0</v>
      </c>
      <c r="AD86" s="49"/>
      <c r="AE86" s="50"/>
      <c r="AF86" s="49"/>
      <c r="AG86" s="50"/>
      <c r="AH86" s="49" t="s">
        <v>5</v>
      </c>
      <c r="AI86" s="50" t="s">
        <v>78</v>
      </c>
      <c r="AJ86" s="49"/>
      <c r="AK86" s="50"/>
      <c r="AL86" s="49"/>
      <c r="AM86" s="50"/>
      <c r="AN86" s="49" t="s">
        <v>5</v>
      </c>
      <c r="AO86" s="50" t="s">
        <v>117</v>
      </c>
      <c r="AP86" s="49"/>
      <c r="AQ86" s="50"/>
      <c r="AR86" s="49" t="s">
        <v>5</v>
      </c>
      <c r="AS86" s="50" t="s">
        <v>169</v>
      </c>
      <c r="AT86" s="49"/>
      <c r="AU86" s="50"/>
      <c r="AV86" s="49" t="s">
        <v>5</v>
      </c>
      <c r="AW86" s="50" t="s">
        <v>154</v>
      </c>
      <c r="AX86" s="49"/>
      <c r="AY86" s="50"/>
      <c r="AZ86" s="49"/>
      <c r="BA86" s="50"/>
      <c r="BB86" s="49"/>
      <c r="BC86" s="50"/>
      <c r="BD86" s="49"/>
      <c r="BE86" s="50"/>
      <c r="BF86" s="49"/>
      <c r="BG86" s="50"/>
      <c r="BH86" s="49" t="s">
        <v>30</v>
      </c>
      <c r="BI86" s="50" t="s">
        <v>78</v>
      </c>
      <c r="BJ86" s="49" t="s">
        <v>31</v>
      </c>
      <c r="BK86" s="50" t="s">
        <v>112</v>
      </c>
      <c r="BL86" s="49"/>
      <c r="BM86" s="50"/>
      <c r="BN86" s="49" t="s">
        <v>5</v>
      </c>
      <c r="BO86" s="50" t="s">
        <v>741</v>
      </c>
      <c r="BP86" s="49"/>
      <c r="BQ86" s="50"/>
      <c r="BR86" s="49"/>
      <c r="BS86" s="50"/>
      <c r="BT86" s="49" t="s">
        <v>5</v>
      </c>
      <c r="BU86" s="50" t="s">
        <v>457</v>
      </c>
      <c r="BV86" s="49" t="s">
        <v>1</v>
      </c>
      <c r="BW86" s="50" t="s">
        <v>109</v>
      </c>
      <c r="BX86" s="49" t="s">
        <v>35</v>
      </c>
      <c r="BY86" s="50" t="s">
        <v>75</v>
      </c>
    </row>
    <row r="87" spans="1:77" x14ac:dyDescent="0.25">
      <c r="A87" s="76">
        <v>152631</v>
      </c>
      <c r="B87" s="77" t="s">
        <v>1273</v>
      </c>
      <c r="C87" s="78" t="s">
        <v>1211</v>
      </c>
      <c r="D87" s="76" t="s">
        <v>12</v>
      </c>
      <c r="E87" s="79" t="s">
        <v>14</v>
      </c>
      <c r="F87" s="79" t="s">
        <v>115</v>
      </c>
      <c r="G87" s="79" t="s">
        <v>14</v>
      </c>
      <c r="H87" s="79" t="s">
        <v>14</v>
      </c>
      <c r="I87" s="78" t="s">
        <v>14</v>
      </c>
      <c r="J87" s="79" t="s">
        <v>14</v>
      </c>
      <c r="K87" s="142" t="s">
        <v>1850</v>
      </c>
      <c r="L87" s="149" t="s">
        <v>1848</v>
      </c>
      <c r="M87" s="150" t="s">
        <v>1852</v>
      </c>
      <c r="N87" s="151">
        <v>10</v>
      </c>
      <c r="O87" s="151">
        <v>5</v>
      </c>
      <c r="P87" s="152">
        <v>0</v>
      </c>
      <c r="Q87" s="153">
        <v>78.260000000000005</v>
      </c>
      <c r="R87" s="154">
        <v>1</v>
      </c>
      <c r="S87" s="38">
        <f t="shared" si="12"/>
        <v>0</v>
      </c>
      <c r="T87" s="39">
        <f t="shared" si="13"/>
        <v>8</v>
      </c>
      <c r="U87" s="40">
        <f t="shared" si="14"/>
        <v>2</v>
      </c>
      <c r="V87" s="40">
        <f t="shared" si="15"/>
        <v>0</v>
      </c>
      <c r="W87" s="40">
        <f t="shared" si="16"/>
        <v>0</v>
      </c>
      <c r="X87" s="40">
        <f t="shared" si="17"/>
        <v>2</v>
      </c>
      <c r="Y87" s="40">
        <f t="shared" si="18"/>
        <v>0</v>
      </c>
      <c r="Z87" s="40">
        <f t="shared" si="19"/>
        <v>0</v>
      </c>
      <c r="AA87" s="40">
        <f t="shared" si="20"/>
        <v>0</v>
      </c>
      <c r="AB87" s="40">
        <f t="shared" si="21"/>
        <v>0</v>
      </c>
      <c r="AC87" s="41">
        <f t="shared" si="22"/>
        <v>0</v>
      </c>
      <c r="AD87" s="49"/>
      <c r="AE87" s="50"/>
      <c r="AF87" s="49"/>
      <c r="AG87" s="50"/>
      <c r="AH87" s="49" t="s">
        <v>5</v>
      </c>
      <c r="AI87" s="50" t="s">
        <v>78</v>
      </c>
      <c r="AJ87" s="49"/>
      <c r="AK87" s="50"/>
      <c r="AL87" s="49"/>
      <c r="AM87" s="50"/>
      <c r="AN87" s="49"/>
      <c r="AO87" s="50"/>
      <c r="AP87" s="49"/>
      <c r="AQ87" s="50"/>
      <c r="AR87" s="49" t="s">
        <v>5</v>
      </c>
      <c r="AS87" s="50" t="s">
        <v>102</v>
      </c>
      <c r="AT87" s="49" t="s">
        <v>5</v>
      </c>
      <c r="AU87" s="50" t="s">
        <v>135</v>
      </c>
      <c r="AV87" s="49" t="s">
        <v>30</v>
      </c>
      <c r="AW87" s="50" t="s">
        <v>105</v>
      </c>
      <c r="AX87" s="49"/>
      <c r="AY87" s="50"/>
      <c r="AZ87" s="49"/>
      <c r="BA87" s="50"/>
      <c r="BB87" s="49"/>
      <c r="BC87" s="50"/>
      <c r="BD87" s="49"/>
      <c r="BE87" s="50"/>
      <c r="BF87" s="49"/>
      <c r="BG87" s="50"/>
      <c r="BH87" s="49" t="s">
        <v>5</v>
      </c>
      <c r="BI87" s="50" t="s">
        <v>1184</v>
      </c>
      <c r="BJ87" s="49" t="s">
        <v>5</v>
      </c>
      <c r="BK87" s="50" t="s">
        <v>995</v>
      </c>
      <c r="BL87" s="49"/>
      <c r="BM87" s="50"/>
      <c r="BN87" s="49" t="s">
        <v>5</v>
      </c>
      <c r="BO87" s="50" t="s">
        <v>107</v>
      </c>
      <c r="BP87" s="49"/>
      <c r="BQ87" s="50"/>
      <c r="BR87" s="49"/>
      <c r="BS87" s="50"/>
      <c r="BT87" s="49" t="s">
        <v>5</v>
      </c>
      <c r="BU87" s="50" t="s">
        <v>457</v>
      </c>
      <c r="BV87" s="49" t="s">
        <v>5</v>
      </c>
      <c r="BW87" s="50" t="s">
        <v>109</v>
      </c>
      <c r="BX87" s="49" t="s">
        <v>30</v>
      </c>
      <c r="BY87" s="50" t="s">
        <v>103</v>
      </c>
    </row>
    <row r="88" spans="1:77" x14ac:dyDescent="0.25">
      <c r="A88" s="76">
        <v>152567</v>
      </c>
      <c r="B88" s="77" t="s">
        <v>1274</v>
      </c>
      <c r="C88" s="78" t="s">
        <v>1193</v>
      </c>
      <c r="D88" s="76" t="s">
        <v>70</v>
      </c>
      <c r="E88" s="79" t="s">
        <v>14</v>
      </c>
      <c r="F88" s="79" t="s">
        <v>71</v>
      </c>
      <c r="G88" s="79" t="s">
        <v>14</v>
      </c>
      <c r="H88" s="79" t="s">
        <v>14</v>
      </c>
      <c r="I88" s="78" t="s">
        <v>14</v>
      </c>
      <c r="J88" s="79" t="s">
        <v>14</v>
      </c>
      <c r="K88" s="142" t="s">
        <v>1850</v>
      </c>
      <c r="L88" s="149" t="s">
        <v>1842</v>
      </c>
      <c r="M88" s="150" t="s">
        <v>12</v>
      </c>
      <c r="N88" s="151">
        <v>20</v>
      </c>
      <c r="O88" s="151">
        <v>2</v>
      </c>
      <c r="P88" s="152">
        <v>1</v>
      </c>
      <c r="Q88" s="153">
        <v>95.65</v>
      </c>
      <c r="R88" s="154">
        <v>0</v>
      </c>
      <c r="S88" s="38">
        <f t="shared" si="12"/>
        <v>0</v>
      </c>
      <c r="T88" s="39">
        <f t="shared" si="13"/>
        <v>9</v>
      </c>
      <c r="U88" s="40">
        <f t="shared" si="14"/>
        <v>0</v>
      </c>
      <c r="V88" s="40">
        <f t="shared" si="15"/>
        <v>0</v>
      </c>
      <c r="W88" s="40">
        <f t="shared" si="16"/>
        <v>1</v>
      </c>
      <c r="X88" s="40">
        <f t="shared" si="17"/>
        <v>1</v>
      </c>
      <c r="Y88" s="40">
        <f t="shared" si="18"/>
        <v>0</v>
      </c>
      <c r="Z88" s="40">
        <f t="shared" si="19"/>
        <v>0</v>
      </c>
      <c r="AA88" s="40">
        <f t="shared" si="20"/>
        <v>0</v>
      </c>
      <c r="AB88" s="40">
        <f t="shared" si="21"/>
        <v>0</v>
      </c>
      <c r="AC88" s="41">
        <f t="shared" si="22"/>
        <v>0</v>
      </c>
      <c r="AD88" s="49"/>
      <c r="AE88" s="50"/>
      <c r="AF88" s="49"/>
      <c r="AG88" s="50"/>
      <c r="AH88" s="49"/>
      <c r="AI88" s="50"/>
      <c r="AJ88" s="49"/>
      <c r="AK88" s="50"/>
      <c r="AL88" s="49"/>
      <c r="AM88" s="50"/>
      <c r="AN88" s="49"/>
      <c r="AO88" s="50"/>
      <c r="AP88" s="49"/>
      <c r="AQ88" s="50"/>
      <c r="AR88" s="49" t="s">
        <v>5</v>
      </c>
      <c r="AS88" s="50" t="s">
        <v>722</v>
      </c>
      <c r="AT88" s="49"/>
      <c r="AU88" s="50"/>
      <c r="AV88" s="49" t="s">
        <v>32</v>
      </c>
      <c r="AW88" s="50" t="s">
        <v>82</v>
      </c>
      <c r="AX88" s="49" t="s">
        <v>5</v>
      </c>
      <c r="AY88" s="50" t="s">
        <v>130</v>
      </c>
      <c r="AZ88" s="49"/>
      <c r="BA88" s="50"/>
      <c r="BB88" s="49" t="s">
        <v>5</v>
      </c>
      <c r="BC88" s="50" t="s">
        <v>436</v>
      </c>
      <c r="BD88" s="49"/>
      <c r="BE88" s="50"/>
      <c r="BF88" s="49"/>
      <c r="BG88" s="50"/>
      <c r="BH88" s="49" t="s">
        <v>5</v>
      </c>
      <c r="BI88" s="50" t="s">
        <v>105</v>
      </c>
      <c r="BJ88" s="49" t="s">
        <v>5</v>
      </c>
      <c r="BK88" s="50" t="s">
        <v>422</v>
      </c>
      <c r="BL88" s="49" t="s">
        <v>5</v>
      </c>
      <c r="BM88" s="50" t="s">
        <v>116</v>
      </c>
      <c r="BN88" s="49" t="s">
        <v>5</v>
      </c>
      <c r="BO88" s="50" t="s">
        <v>121</v>
      </c>
      <c r="BP88" s="49"/>
      <c r="BQ88" s="50"/>
      <c r="BR88" s="49"/>
      <c r="BS88" s="50"/>
      <c r="BT88" s="49" t="s">
        <v>5</v>
      </c>
      <c r="BU88" s="50" t="s">
        <v>97</v>
      </c>
      <c r="BV88" s="49" t="s">
        <v>5</v>
      </c>
      <c r="BW88" s="50" t="s">
        <v>98</v>
      </c>
      <c r="BX88" s="49"/>
      <c r="BY88" s="50"/>
    </row>
    <row r="89" spans="1:77" x14ac:dyDescent="0.25">
      <c r="A89" s="76">
        <v>152639</v>
      </c>
      <c r="B89" s="77" t="s">
        <v>1275</v>
      </c>
      <c r="C89" s="78" t="s">
        <v>1181</v>
      </c>
      <c r="D89" s="76" t="s">
        <v>70</v>
      </c>
      <c r="E89" s="79" t="s">
        <v>14</v>
      </c>
      <c r="F89" s="79" t="s">
        <v>450</v>
      </c>
      <c r="G89" s="79" t="s">
        <v>14</v>
      </c>
      <c r="H89" s="79" t="s">
        <v>14</v>
      </c>
      <c r="I89" s="78" t="s">
        <v>14</v>
      </c>
      <c r="J89" s="79" t="s">
        <v>14</v>
      </c>
      <c r="K89" s="142" t="s">
        <v>1850</v>
      </c>
      <c r="L89" s="149" t="s">
        <v>1844</v>
      </c>
      <c r="M89" s="150" t="s">
        <v>12</v>
      </c>
      <c r="N89" s="151">
        <v>24</v>
      </c>
      <c r="O89" s="151">
        <v>0</v>
      </c>
      <c r="P89" s="152">
        <v>0</v>
      </c>
      <c r="Q89" s="153">
        <v>100</v>
      </c>
      <c r="R89" s="154">
        <v>0</v>
      </c>
      <c r="S89" s="38">
        <f t="shared" si="12"/>
        <v>4</v>
      </c>
      <c r="T89" s="39">
        <f t="shared" si="13"/>
        <v>7</v>
      </c>
      <c r="U89" s="40">
        <f t="shared" si="14"/>
        <v>0</v>
      </c>
      <c r="V89" s="40">
        <f t="shared" si="15"/>
        <v>0</v>
      </c>
      <c r="W89" s="40">
        <f t="shared" si="16"/>
        <v>0</v>
      </c>
      <c r="X89" s="40">
        <f t="shared" si="17"/>
        <v>0</v>
      </c>
      <c r="Y89" s="40">
        <f t="shared" si="18"/>
        <v>0</v>
      </c>
      <c r="Z89" s="40">
        <f t="shared" si="19"/>
        <v>0</v>
      </c>
      <c r="AA89" s="40">
        <f t="shared" si="20"/>
        <v>0</v>
      </c>
      <c r="AB89" s="40">
        <f t="shared" si="21"/>
        <v>0</v>
      </c>
      <c r="AC89" s="41">
        <f t="shared" si="22"/>
        <v>0</v>
      </c>
      <c r="AD89" s="49"/>
      <c r="AE89" s="50"/>
      <c r="AF89" s="49" t="s">
        <v>5</v>
      </c>
      <c r="AG89" s="50" t="s">
        <v>154</v>
      </c>
      <c r="AH89" s="49"/>
      <c r="AI89" s="50"/>
      <c r="AJ89" s="49" t="s">
        <v>5</v>
      </c>
      <c r="AK89" s="50" t="s">
        <v>137</v>
      </c>
      <c r="AL89" s="49"/>
      <c r="AM89" s="50"/>
      <c r="AN89" s="49"/>
      <c r="AO89" s="50"/>
      <c r="AP89" s="49"/>
      <c r="AQ89" s="50"/>
      <c r="AR89" s="49" t="s">
        <v>5</v>
      </c>
      <c r="AS89" s="50" t="s">
        <v>448</v>
      </c>
      <c r="AT89" s="49"/>
      <c r="AU89" s="50"/>
      <c r="AV89" s="49" t="s">
        <v>1</v>
      </c>
      <c r="AW89" s="50" t="s">
        <v>104</v>
      </c>
      <c r="AX89" s="49" t="s">
        <v>5</v>
      </c>
      <c r="AY89" s="50" t="s">
        <v>84</v>
      </c>
      <c r="AZ89" s="49"/>
      <c r="BA89" s="50"/>
      <c r="BB89" s="49"/>
      <c r="BC89" s="50"/>
      <c r="BD89" s="49" t="s">
        <v>1</v>
      </c>
      <c r="BE89" s="50" t="s">
        <v>104</v>
      </c>
      <c r="BF89" s="49"/>
      <c r="BG89" s="50"/>
      <c r="BH89" s="49" t="s">
        <v>5</v>
      </c>
      <c r="BI89" s="50" t="s">
        <v>163</v>
      </c>
      <c r="BJ89" s="49" t="s">
        <v>1</v>
      </c>
      <c r="BK89" s="50" t="s">
        <v>422</v>
      </c>
      <c r="BL89" s="49"/>
      <c r="BM89" s="50"/>
      <c r="BN89" s="49" t="s">
        <v>5</v>
      </c>
      <c r="BO89" s="50" t="s">
        <v>121</v>
      </c>
      <c r="BP89" s="49"/>
      <c r="BQ89" s="50"/>
      <c r="BR89" s="49" t="s">
        <v>1</v>
      </c>
      <c r="BS89" s="50" t="s">
        <v>98</v>
      </c>
      <c r="BT89" s="49" t="s">
        <v>5</v>
      </c>
      <c r="BU89" s="50" t="s">
        <v>108</v>
      </c>
      <c r="BV89" s="49"/>
      <c r="BW89" s="50"/>
      <c r="BX89" s="49"/>
      <c r="BY89" s="50"/>
    </row>
    <row r="90" spans="1:77" x14ac:dyDescent="0.25">
      <c r="A90" s="76">
        <v>152681</v>
      </c>
      <c r="B90" s="77" t="s">
        <v>1276</v>
      </c>
      <c r="C90" s="78" t="s">
        <v>1191</v>
      </c>
      <c r="D90" s="76" t="s">
        <v>70</v>
      </c>
      <c r="E90" s="79" t="s">
        <v>14</v>
      </c>
      <c r="F90" s="79" t="s">
        <v>126</v>
      </c>
      <c r="G90" s="79" t="s">
        <v>14</v>
      </c>
      <c r="H90" s="79" t="s">
        <v>14</v>
      </c>
      <c r="I90" s="78" t="s">
        <v>14</v>
      </c>
      <c r="J90" s="79" t="s">
        <v>14</v>
      </c>
      <c r="K90" s="142" t="s">
        <v>1850</v>
      </c>
      <c r="L90" s="149" t="s">
        <v>1842</v>
      </c>
      <c r="M90" s="150" t="s">
        <v>12</v>
      </c>
      <c r="N90" s="151">
        <v>26</v>
      </c>
      <c r="O90" s="151">
        <v>0</v>
      </c>
      <c r="P90" s="152">
        <v>0</v>
      </c>
      <c r="Q90" s="153">
        <v>91.3</v>
      </c>
      <c r="R90" s="154">
        <v>0</v>
      </c>
      <c r="S90" s="38">
        <f t="shared" si="12"/>
        <v>2</v>
      </c>
      <c r="T90" s="39">
        <f t="shared" si="13"/>
        <v>8</v>
      </c>
      <c r="U90" s="40">
        <f t="shared" si="14"/>
        <v>0</v>
      </c>
      <c r="V90" s="40">
        <f t="shared" si="15"/>
        <v>0</v>
      </c>
      <c r="W90" s="40">
        <f t="shared" si="16"/>
        <v>0</v>
      </c>
      <c r="X90" s="40">
        <f t="shared" si="17"/>
        <v>0</v>
      </c>
      <c r="Y90" s="40">
        <f t="shared" si="18"/>
        <v>0</v>
      </c>
      <c r="Z90" s="40">
        <f t="shared" si="19"/>
        <v>0</v>
      </c>
      <c r="AA90" s="40">
        <f t="shared" si="20"/>
        <v>0</v>
      </c>
      <c r="AB90" s="40">
        <f t="shared" si="21"/>
        <v>0</v>
      </c>
      <c r="AC90" s="41">
        <f t="shared" si="22"/>
        <v>0</v>
      </c>
      <c r="AD90" s="49" t="s">
        <v>5</v>
      </c>
      <c r="AE90" s="50" t="s">
        <v>89</v>
      </c>
      <c r="AF90" s="49"/>
      <c r="AG90" s="50"/>
      <c r="AH90" s="49"/>
      <c r="AI90" s="50"/>
      <c r="AJ90" s="49"/>
      <c r="AK90" s="50"/>
      <c r="AL90" s="49"/>
      <c r="AM90" s="50"/>
      <c r="AN90" s="49"/>
      <c r="AO90" s="50"/>
      <c r="AP90" s="49"/>
      <c r="AQ90" s="50"/>
      <c r="AR90" s="49" t="s">
        <v>5</v>
      </c>
      <c r="AS90" s="50" t="s">
        <v>194</v>
      </c>
      <c r="AT90" s="49"/>
      <c r="AU90" s="50"/>
      <c r="AV90" s="49" t="s">
        <v>5</v>
      </c>
      <c r="AW90" s="50" t="s">
        <v>154</v>
      </c>
      <c r="AX90" s="49"/>
      <c r="AY90" s="50"/>
      <c r="AZ90" s="49"/>
      <c r="BA90" s="50"/>
      <c r="BB90" s="49" t="s">
        <v>1</v>
      </c>
      <c r="BC90" s="50" t="s">
        <v>436</v>
      </c>
      <c r="BD90" s="49"/>
      <c r="BE90" s="50"/>
      <c r="BF90" s="49"/>
      <c r="BG90" s="50"/>
      <c r="BH90" s="49" t="s">
        <v>5</v>
      </c>
      <c r="BI90" s="50" t="s">
        <v>78</v>
      </c>
      <c r="BJ90" s="49" t="s">
        <v>1</v>
      </c>
      <c r="BK90" s="50" t="s">
        <v>94</v>
      </c>
      <c r="BL90" s="49"/>
      <c r="BM90" s="50"/>
      <c r="BN90" s="49" t="s">
        <v>5</v>
      </c>
      <c r="BO90" s="50" t="s">
        <v>152</v>
      </c>
      <c r="BP90" s="49"/>
      <c r="BQ90" s="50"/>
      <c r="BR90" s="49"/>
      <c r="BS90" s="50"/>
      <c r="BT90" s="49" t="s">
        <v>5</v>
      </c>
      <c r="BU90" s="50" t="s">
        <v>457</v>
      </c>
      <c r="BV90" s="49" t="s">
        <v>5</v>
      </c>
      <c r="BW90" s="50" t="s">
        <v>98</v>
      </c>
      <c r="BX90" s="49" t="s">
        <v>5</v>
      </c>
      <c r="BY90" s="50" t="s">
        <v>130</v>
      </c>
    </row>
    <row r="91" spans="1:77" x14ac:dyDescent="0.25">
      <c r="A91" s="76">
        <v>152623</v>
      </c>
      <c r="B91" s="77" t="s">
        <v>1277</v>
      </c>
      <c r="C91" s="78" t="s">
        <v>1181</v>
      </c>
      <c r="D91" s="76" t="s">
        <v>70</v>
      </c>
      <c r="E91" s="79" t="s">
        <v>14</v>
      </c>
      <c r="F91" s="79" t="s">
        <v>508</v>
      </c>
      <c r="G91" s="79" t="s">
        <v>14</v>
      </c>
      <c r="H91" s="79" t="s">
        <v>14</v>
      </c>
      <c r="I91" s="78" t="s">
        <v>14</v>
      </c>
      <c r="J91" s="79" t="s">
        <v>14</v>
      </c>
      <c r="K91" s="142" t="s">
        <v>1850</v>
      </c>
      <c r="L91" s="149" t="s">
        <v>1841</v>
      </c>
      <c r="M91" s="150" t="s">
        <v>1853</v>
      </c>
      <c r="N91" s="151">
        <v>40</v>
      </c>
      <c r="O91" s="151">
        <v>0</v>
      </c>
      <c r="P91" s="152">
        <v>0</v>
      </c>
      <c r="Q91" s="153">
        <v>100</v>
      </c>
      <c r="R91" s="154">
        <v>0</v>
      </c>
      <c r="S91" s="38">
        <f t="shared" si="12"/>
        <v>4</v>
      </c>
      <c r="T91" s="39">
        <f t="shared" si="13"/>
        <v>7</v>
      </c>
      <c r="U91" s="40">
        <f t="shared" si="14"/>
        <v>0</v>
      </c>
      <c r="V91" s="40">
        <f t="shared" si="15"/>
        <v>0</v>
      </c>
      <c r="W91" s="40">
        <f t="shared" si="16"/>
        <v>0</v>
      </c>
      <c r="X91" s="40">
        <f t="shared" si="17"/>
        <v>0</v>
      </c>
      <c r="Y91" s="40">
        <f t="shared" si="18"/>
        <v>0</v>
      </c>
      <c r="Z91" s="40">
        <f t="shared" si="19"/>
        <v>0</v>
      </c>
      <c r="AA91" s="40">
        <f t="shared" si="20"/>
        <v>0</v>
      </c>
      <c r="AB91" s="40">
        <f t="shared" si="21"/>
        <v>0</v>
      </c>
      <c r="AC91" s="41">
        <f t="shared" si="22"/>
        <v>0</v>
      </c>
      <c r="AD91" s="49"/>
      <c r="AE91" s="50"/>
      <c r="AF91" s="49" t="s">
        <v>1</v>
      </c>
      <c r="AG91" s="50" t="s">
        <v>154</v>
      </c>
      <c r="AH91" s="49"/>
      <c r="AI91" s="50"/>
      <c r="AJ91" s="49" t="s">
        <v>5</v>
      </c>
      <c r="AK91" s="50" t="s">
        <v>137</v>
      </c>
      <c r="AL91" s="49"/>
      <c r="AM91" s="50"/>
      <c r="AN91" s="49"/>
      <c r="AO91" s="50"/>
      <c r="AP91" s="49"/>
      <c r="AQ91" s="50"/>
      <c r="AR91" s="49" t="s">
        <v>5</v>
      </c>
      <c r="AS91" s="50" t="s">
        <v>91</v>
      </c>
      <c r="AT91" s="49"/>
      <c r="AU91" s="50"/>
      <c r="AV91" s="49" t="s">
        <v>1</v>
      </c>
      <c r="AW91" s="50" t="s">
        <v>104</v>
      </c>
      <c r="AX91" s="49" t="s">
        <v>5</v>
      </c>
      <c r="AY91" s="50" t="s">
        <v>84</v>
      </c>
      <c r="AZ91" s="49"/>
      <c r="BA91" s="50"/>
      <c r="BB91" s="49"/>
      <c r="BC91" s="50"/>
      <c r="BD91" s="49" t="s">
        <v>1</v>
      </c>
      <c r="BE91" s="50" t="s">
        <v>104</v>
      </c>
      <c r="BF91" s="49"/>
      <c r="BG91" s="50"/>
      <c r="BH91" s="49" t="s">
        <v>5</v>
      </c>
      <c r="BI91" s="50" t="s">
        <v>163</v>
      </c>
      <c r="BJ91" s="49" t="s">
        <v>5</v>
      </c>
      <c r="BK91" s="50" t="s">
        <v>505</v>
      </c>
      <c r="BL91" s="49"/>
      <c r="BM91" s="50"/>
      <c r="BN91" s="49" t="s">
        <v>5</v>
      </c>
      <c r="BO91" s="50" t="s">
        <v>121</v>
      </c>
      <c r="BP91" s="49"/>
      <c r="BQ91" s="50"/>
      <c r="BR91" s="49" t="s">
        <v>1</v>
      </c>
      <c r="BS91" s="50" t="s">
        <v>98</v>
      </c>
      <c r="BT91" s="49" t="s">
        <v>5</v>
      </c>
      <c r="BU91" s="50" t="s">
        <v>97</v>
      </c>
      <c r="BV91" s="49"/>
      <c r="BW91" s="50"/>
      <c r="BX91" s="49"/>
      <c r="BY91" s="50"/>
    </row>
    <row r="92" spans="1:77" x14ac:dyDescent="0.25">
      <c r="A92" s="76">
        <v>152731</v>
      </c>
      <c r="B92" s="77" t="s">
        <v>1278</v>
      </c>
      <c r="C92" s="78" t="s">
        <v>1205</v>
      </c>
      <c r="D92" s="76" t="s">
        <v>70</v>
      </c>
      <c r="E92" s="79" t="s">
        <v>14</v>
      </c>
      <c r="F92" s="79" t="s">
        <v>88</v>
      </c>
      <c r="G92" s="79" t="s">
        <v>14</v>
      </c>
      <c r="H92" s="79" t="s">
        <v>14</v>
      </c>
      <c r="I92" s="78" t="s">
        <v>14</v>
      </c>
      <c r="J92" s="79" t="s">
        <v>14</v>
      </c>
      <c r="K92" s="142" t="s">
        <v>1850</v>
      </c>
      <c r="L92" s="149" t="s">
        <v>1406</v>
      </c>
      <c r="M92" s="150" t="s">
        <v>14</v>
      </c>
      <c r="N92" s="151">
        <v>16</v>
      </c>
      <c r="O92" s="151">
        <v>2</v>
      </c>
      <c r="P92" s="152">
        <v>1</v>
      </c>
      <c r="Q92" s="153">
        <v>97.83</v>
      </c>
      <c r="R92" s="154">
        <v>4</v>
      </c>
      <c r="S92" s="38">
        <f t="shared" si="12"/>
        <v>1</v>
      </c>
      <c r="T92" s="39">
        <f t="shared" si="13"/>
        <v>7</v>
      </c>
      <c r="U92" s="40">
        <f t="shared" si="14"/>
        <v>2</v>
      </c>
      <c r="V92" s="40">
        <f t="shared" si="15"/>
        <v>0</v>
      </c>
      <c r="W92" s="40">
        <f t="shared" si="16"/>
        <v>0</v>
      </c>
      <c r="X92" s="40">
        <f t="shared" si="17"/>
        <v>2</v>
      </c>
      <c r="Y92" s="40">
        <f t="shared" si="18"/>
        <v>0</v>
      </c>
      <c r="Z92" s="40">
        <f t="shared" si="19"/>
        <v>0</v>
      </c>
      <c r="AA92" s="40">
        <f t="shared" si="20"/>
        <v>0</v>
      </c>
      <c r="AB92" s="40">
        <f t="shared" si="21"/>
        <v>0</v>
      </c>
      <c r="AC92" s="41">
        <f t="shared" si="22"/>
        <v>0</v>
      </c>
      <c r="AD92" s="49"/>
      <c r="AE92" s="50"/>
      <c r="AF92" s="49"/>
      <c r="AG92" s="50"/>
      <c r="AH92" s="49"/>
      <c r="AI92" s="50"/>
      <c r="AJ92" s="49"/>
      <c r="AK92" s="50"/>
      <c r="AL92" s="49" t="s">
        <v>30</v>
      </c>
      <c r="AM92" s="50" t="s">
        <v>153</v>
      </c>
      <c r="AN92" s="49"/>
      <c r="AO92" s="50"/>
      <c r="AP92" s="49"/>
      <c r="AQ92" s="50"/>
      <c r="AR92" s="49" t="s">
        <v>30</v>
      </c>
      <c r="AS92" s="50" t="s">
        <v>142</v>
      </c>
      <c r="AT92" s="49" t="s">
        <v>5</v>
      </c>
      <c r="AU92" s="50" t="s">
        <v>135</v>
      </c>
      <c r="AV92" s="49" t="s">
        <v>5</v>
      </c>
      <c r="AW92" s="50" t="s">
        <v>152</v>
      </c>
      <c r="AX92" s="49" t="s">
        <v>5</v>
      </c>
      <c r="AY92" s="50" t="s">
        <v>103</v>
      </c>
      <c r="AZ92" s="49"/>
      <c r="BA92" s="50"/>
      <c r="BB92" s="49"/>
      <c r="BC92" s="50"/>
      <c r="BD92" s="49"/>
      <c r="BE92" s="50"/>
      <c r="BF92" s="49"/>
      <c r="BG92" s="50"/>
      <c r="BH92" s="49" t="s">
        <v>5</v>
      </c>
      <c r="BI92" s="50" t="s">
        <v>105</v>
      </c>
      <c r="BJ92" s="49" t="s">
        <v>5</v>
      </c>
      <c r="BK92" s="50" t="s">
        <v>711</v>
      </c>
      <c r="BL92" s="49"/>
      <c r="BM92" s="50"/>
      <c r="BN92" s="49" t="s">
        <v>5</v>
      </c>
      <c r="BO92" s="50" t="s">
        <v>121</v>
      </c>
      <c r="BP92" s="49"/>
      <c r="BQ92" s="50"/>
      <c r="BR92" s="49"/>
      <c r="BS92" s="50"/>
      <c r="BT92" s="49" t="s">
        <v>5</v>
      </c>
      <c r="BU92" s="50" t="s">
        <v>122</v>
      </c>
      <c r="BV92" s="49" t="s">
        <v>1</v>
      </c>
      <c r="BW92" s="50" t="s">
        <v>109</v>
      </c>
      <c r="BX92" s="49"/>
      <c r="BY92" s="50"/>
    </row>
    <row r="93" spans="1:77" x14ac:dyDescent="0.25">
      <c r="A93" s="76">
        <v>152510</v>
      </c>
      <c r="B93" s="77" t="s">
        <v>1279</v>
      </c>
      <c r="C93" s="78" t="s">
        <v>1211</v>
      </c>
      <c r="D93" s="76" t="s">
        <v>12</v>
      </c>
      <c r="E93" s="79" t="s">
        <v>14</v>
      </c>
      <c r="F93" s="79" t="s">
        <v>71</v>
      </c>
      <c r="G93" s="79" t="s">
        <v>14</v>
      </c>
      <c r="H93" s="79" t="s">
        <v>14</v>
      </c>
      <c r="I93" s="78" t="s">
        <v>14</v>
      </c>
      <c r="J93" s="79" t="s">
        <v>14</v>
      </c>
      <c r="K93" s="142" t="s">
        <v>1851</v>
      </c>
      <c r="L93" s="149" t="s">
        <v>1842</v>
      </c>
      <c r="M93" s="150" t="s">
        <v>12</v>
      </c>
      <c r="N93" s="151">
        <v>10</v>
      </c>
      <c r="O93" s="151">
        <v>0</v>
      </c>
      <c r="P93" s="152">
        <v>1</v>
      </c>
      <c r="Q93" s="153">
        <v>100</v>
      </c>
      <c r="R93" s="154">
        <v>0</v>
      </c>
      <c r="S93" s="38">
        <f t="shared" si="12"/>
        <v>1</v>
      </c>
      <c r="T93" s="39">
        <f t="shared" si="13"/>
        <v>9</v>
      </c>
      <c r="U93" s="40">
        <f t="shared" si="14"/>
        <v>1</v>
      </c>
      <c r="V93" s="40">
        <f t="shared" si="15"/>
        <v>0</v>
      </c>
      <c r="W93" s="40">
        <f t="shared" si="16"/>
        <v>0</v>
      </c>
      <c r="X93" s="40">
        <f t="shared" si="17"/>
        <v>1</v>
      </c>
      <c r="Y93" s="40">
        <f t="shared" si="18"/>
        <v>0</v>
      </c>
      <c r="Z93" s="40">
        <f t="shared" si="19"/>
        <v>0</v>
      </c>
      <c r="AA93" s="40">
        <f t="shared" si="20"/>
        <v>0</v>
      </c>
      <c r="AB93" s="40">
        <f t="shared" si="21"/>
        <v>0</v>
      </c>
      <c r="AC93" s="41">
        <f t="shared" si="22"/>
        <v>0</v>
      </c>
      <c r="AD93" s="49"/>
      <c r="AE93" s="50"/>
      <c r="AF93" s="49" t="s">
        <v>30</v>
      </c>
      <c r="AG93" s="50" t="s">
        <v>433</v>
      </c>
      <c r="AH93" s="49"/>
      <c r="AI93" s="50"/>
      <c r="AJ93" s="49" t="s">
        <v>5</v>
      </c>
      <c r="AK93" s="50" t="s">
        <v>137</v>
      </c>
      <c r="AL93" s="49"/>
      <c r="AM93" s="50"/>
      <c r="AN93" s="49"/>
      <c r="AO93" s="50"/>
      <c r="AP93" s="49"/>
      <c r="AQ93" s="50"/>
      <c r="AR93" s="49" t="s">
        <v>5</v>
      </c>
      <c r="AS93" s="50" t="s">
        <v>448</v>
      </c>
      <c r="AT93" s="49"/>
      <c r="AU93" s="50"/>
      <c r="AV93" s="49" t="s">
        <v>5</v>
      </c>
      <c r="AW93" s="50" t="s">
        <v>105</v>
      </c>
      <c r="AX93" s="49"/>
      <c r="AY93" s="50"/>
      <c r="AZ93" s="49" t="s">
        <v>5</v>
      </c>
      <c r="BA93" s="50" t="s">
        <v>144</v>
      </c>
      <c r="BB93" s="49"/>
      <c r="BC93" s="50"/>
      <c r="BD93" s="49"/>
      <c r="BE93" s="50"/>
      <c r="BF93" s="49"/>
      <c r="BG93" s="50"/>
      <c r="BH93" s="49" t="s">
        <v>5</v>
      </c>
      <c r="BI93" s="50" t="s">
        <v>163</v>
      </c>
      <c r="BJ93" s="49" t="s">
        <v>5</v>
      </c>
      <c r="BK93" s="50" t="s">
        <v>422</v>
      </c>
      <c r="BL93" s="49"/>
      <c r="BM93" s="50"/>
      <c r="BN93" s="49" t="s">
        <v>1</v>
      </c>
      <c r="BO93" s="50" t="s">
        <v>741</v>
      </c>
      <c r="BP93" s="49"/>
      <c r="BQ93" s="50"/>
      <c r="BR93" s="49" t="s">
        <v>5</v>
      </c>
      <c r="BS93" s="50" t="s">
        <v>170</v>
      </c>
      <c r="BT93" s="49" t="s">
        <v>5</v>
      </c>
      <c r="BU93" s="50" t="s">
        <v>457</v>
      </c>
      <c r="BV93" s="49"/>
      <c r="BW93" s="50"/>
      <c r="BX93" s="49" t="s">
        <v>5</v>
      </c>
      <c r="BY93" s="50" t="s">
        <v>421</v>
      </c>
    </row>
    <row r="94" spans="1:77" x14ac:dyDescent="0.25">
      <c r="A94" s="76">
        <v>152641</v>
      </c>
      <c r="B94" s="77" t="s">
        <v>1280</v>
      </c>
      <c r="C94" s="78" t="s">
        <v>1205</v>
      </c>
      <c r="D94" s="76" t="s">
        <v>12</v>
      </c>
      <c r="E94" s="79" t="s">
        <v>14</v>
      </c>
      <c r="F94" s="79" t="s">
        <v>71</v>
      </c>
      <c r="G94" s="79" t="s">
        <v>14</v>
      </c>
      <c r="H94" s="79" t="s">
        <v>87</v>
      </c>
      <c r="I94" s="78" t="s">
        <v>14</v>
      </c>
      <c r="J94" s="79" t="s">
        <v>14</v>
      </c>
      <c r="K94" s="142" t="s">
        <v>1850</v>
      </c>
      <c r="L94" s="149" t="s">
        <v>1842</v>
      </c>
      <c r="M94" s="150" t="s">
        <v>12</v>
      </c>
      <c r="N94" s="151">
        <v>2</v>
      </c>
      <c r="O94" s="151">
        <v>0</v>
      </c>
      <c r="P94" s="152">
        <v>1</v>
      </c>
      <c r="Q94" s="153">
        <v>43.48</v>
      </c>
      <c r="R94" s="154">
        <v>0</v>
      </c>
      <c r="S94" s="38">
        <f t="shared" si="12"/>
        <v>1</v>
      </c>
      <c r="T94" s="39">
        <f t="shared" si="13"/>
        <v>9</v>
      </c>
      <c r="U94" s="40">
        <f t="shared" si="14"/>
        <v>0</v>
      </c>
      <c r="V94" s="40">
        <f t="shared" si="15"/>
        <v>0</v>
      </c>
      <c r="W94" s="40">
        <f t="shared" si="16"/>
        <v>0</v>
      </c>
      <c r="X94" s="40">
        <f t="shared" si="17"/>
        <v>0</v>
      </c>
      <c r="Y94" s="40">
        <f t="shared" si="18"/>
        <v>0</v>
      </c>
      <c r="Z94" s="40">
        <f t="shared" si="19"/>
        <v>0</v>
      </c>
      <c r="AA94" s="40">
        <f t="shared" si="20"/>
        <v>0</v>
      </c>
      <c r="AB94" s="40">
        <f t="shared" si="21"/>
        <v>0</v>
      </c>
      <c r="AC94" s="41">
        <f t="shared" si="22"/>
        <v>0</v>
      </c>
      <c r="AD94" s="49"/>
      <c r="AE94" s="50"/>
      <c r="AF94" s="49"/>
      <c r="AG94" s="50"/>
      <c r="AH94" s="49"/>
      <c r="AI94" s="50"/>
      <c r="AJ94" s="49"/>
      <c r="AK94" s="50"/>
      <c r="AL94" s="49"/>
      <c r="AM94" s="50"/>
      <c r="AN94" s="49" t="s">
        <v>5</v>
      </c>
      <c r="AO94" s="50" t="s">
        <v>117</v>
      </c>
      <c r="AP94" s="49"/>
      <c r="AQ94" s="50"/>
      <c r="AR94" s="49" t="s">
        <v>5</v>
      </c>
      <c r="AS94" s="50" t="s">
        <v>448</v>
      </c>
      <c r="AT94" s="49"/>
      <c r="AU94" s="50"/>
      <c r="AV94" s="49" t="s">
        <v>5</v>
      </c>
      <c r="AW94" s="50" t="s">
        <v>152</v>
      </c>
      <c r="AX94" s="49" t="s">
        <v>5</v>
      </c>
      <c r="AY94" s="50" t="s">
        <v>103</v>
      </c>
      <c r="AZ94" s="49"/>
      <c r="BA94" s="50"/>
      <c r="BB94" s="49"/>
      <c r="BC94" s="50"/>
      <c r="BD94" s="49"/>
      <c r="BE94" s="50"/>
      <c r="BF94" s="49"/>
      <c r="BG94" s="50"/>
      <c r="BH94" s="49" t="s">
        <v>5</v>
      </c>
      <c r="BI94" s="50" t="s">
        <v>105</v>
      </c>
      <c r="BJ94" s="49" t="s">
        <v>5</v>
      </c>
      <c r="BK94" s="50" t="s">
        <v>422</v>
      </c>
      <c r="BL94" s="49"/>
      <c r="BM94" s="50"/>
      <c r="BN94" s="49" t="s">
        <v>1</v>
      </c>
      <c r="BO94" s="50" t="s">
        <v>741</v>
      </c>
      <c r="BP94" s="49" t="s">
        <v>5</v>
      </c>
      <c r="BQ94" s="50" t="s">
        <v>81</v>
      </c>
      <c r="BR94" s="49"/>
      <c r="BS94" s="50"/>
      <c r="BT94" s="49" t="s">
        <v>5</v>
      </c>
      <c r="BU94" s="50" t="s">
        <v>122</v>
      </c>
      <c r="BV94" s="49" t="s">
        <v>5</v>
      </c>
      <c r="BW94" s="50" t="s">
        <v>98</v>
      </c>
      <c r="BX94" s="49"/>
      <c r="BY94" s="50"/>
    </row>
    <row r="95" spans="1:77" x14ac:dyDescent="0.25">
      <c r="A95" s="76">
        <v>152511</v>
      </c>
      <c r="B95" s="77" t="s">
        <v>1281</v>
      </c>
      <c r="C95" s="78" t="s">
        <v>1188</v>
      </c>
      <c r="D95" s="76" t="s">
        <v>12</v>
      </c>
      <c r="E95" s="79" t="s">
        <v>14</v>
      </c>
      <c r="F95" s="79" t="s">
        <v>508</v>
      </c>
      <c r="G95" s="79" t="s">
        <v>14</v>
      </c>
      <c r="H95" s="79" t="s">
        <v>14</v>
      </c>
      <c r="I95" s="78" t="s">
        <v>14</v>
      </c>
      <c r="J95" s="79" t="s">
        <v>14</v>
      </c>
      <c r="K95" s="142" t="s">
        <v>1850</v>
      </c>
      <c r="L95" s="149" t="s">
        <v>1844</v>
      </c>
      <c r="M95" s="150" t="s">
        <v>12</v>
      </c>
      <c r="N95" s="151">
        <v>27</v>
      </c>
      <c r="O95" s="151">
        <v>0</v>
      </c>
      <c r="P95" s="152">
        <v>3</v>
      </c>
      <c r="Q95" s="153">
        <v>100</v>
      </c>
      <c r="R95" s="154">
        <v>0</v>
      </c>
      <c r="S95" s="38">
        <f t="shared" si="12"/>
        <v>1</v>
      </c>
      <c r="T95" s="39">
        <f t="shared" si="13"/>
        <v>9</v>
      </c>
      <c r="U95" s="40">
        <f t="shared" si="14"/>
        <v>0</v>
      </c>
      <c r="V95" s="40">
        <f t="shared" si="15"/>
        <v>0</v>
      </c>
      <c r="W95" s="40">
        <f t="shared" si="16"/>
        <v>0</v>
      </c>
      <c r="X95" s="40">
        <f t="shared" si="17"/>
        <v>0</v>
      </c>
      <c r="Y95" s="40">
        <f t="shared" si="18"/>
        <v>0</v>
      </c>
      <c r="Z95" s="40">
        <f t="shared" si="19"/>
        <v>0</v>
      </c>
      <c r="AA95" s="40">
        <f t="shared" si="20"/>
        <v>0</v>
      </c>
      <c r="AB95" s="40">
        <f t="shared" si="21"/>
        <v>0</v>
      </c>
      <c r="AC95" s="41">
        <f t="shared" si="22"/>
        <v>0</v>
      </c>
      <c r="AD95" s="49" t="s">
        <v>5</v>
      </c>
      <c r="AE95" s="50" t="s">
        <v>89</v>
      </c>
      <c r="AF95" s="49"/>
      <c r="AG95" s="50"/>
      <c r="AH95" s="49"/>
      <c r="AI95" s="50"/>
      <c r="AJ95" s="49"/>
      <c r="AK95" s="50"/>
      <c r="AL95" s="49"/>
      <c r="AM95" s="50"/>
      <c r="AN95" s="49"/>
      <c r="AO95" s="50"/>
      <c r="AP95" s="49"/>
      <c r="AQ95" s="50"/>
      <c r="AR95" s="49" t="s">
        <v>5</v>
      </c>
      <c r="AS95" s="50" t="s">
        <v>194</v>
      </c>
      <c r="AT95" s="49"/>
      <c r="AU95" s="50"/>
      <c r="AV95" s="49" t="s">
        <v>5</v>
      </c>
      <c r="AW95" s="50" t="s">
        <v>430</v>
      </c>
      <c r="AX95" s="49" t="s">
        <v>5</v>
      </c>
      <c r="AY95" s="50" t="s">
        <v>130</v>
      </c>
      <c r="AZ95" s="49" t="s">
        <v>5</v>
      </c>
      <c r="BA95" s="50" t="s">
        <v>144</v>
      </c>
      <c r="BB95" s="49"/>
      <c r="BC95" s="50"/>
      <c r="BD95" s="49"/>
      <c r="BE95" s="50"/>
      <c r="BF95" s="49"/>
      <c r="BG95" s="50"/>
      <c r="BH95" s="49" t="s">
        <v>5</v>
      </c>
      <c r="BI95" s="50" t="s">
        <v>1184</v>
      </c>
      <c r="BJ95" s="49" t="s">
        <v>5</v>
      </c>
      <c r="BK95" s="50" t="s">
        <v>711</v>
      </c>
      <c r="BL95" s="49"/>
      <c r="BM95" s="50"/>
      <c r="BN95" s="49" t="s">
        <v>1</v>
      </c>
      <c r="BO95" s="50" t="s">
        <v>107</v>
      </c>
      <c r="BP95" s="49"/>
      <c r="BQ95" s="50"/>
      <c r="BR95" s="49"/>
      <c r="BS95" s="50"/>
      <c r="BT95" s="49" t="s">
        <v>5</v>
      </c>
      <c r="BU95" s="50" t="s">
        <v>82</v>
      </c>
      <c r="BV95" s="49" t="s">
        <v>5</v>
      </c>
      <c r="BW95" s="50" t="s">
        <v>98</v>
      </c>
      <c r="BX95" s="49"/>
      <c r="BY95" s="50"/>
    </row>
    <row r="96" spans="1:77" x14ac:dyDescent="0.25">
      <c r="A96" s="76">
        <v>152556</v>
      </c>
      <c r="B96" s="77" t="s">
        <v>1282</v>
      </c>
      <c r="C96" s="78" t="s">
        <v>1191</v>
      </c>
      <c r="D96" s="76" t="s">
        <v>70</v>
      </c>
      <c r="E96" s="79" t="s">
        <v>14</v>
      </c>
      <c r="F96" s="79" t="s">
        <v>71</v>
      </c>
      <c r="G96" s="79" t="s">
        <v>14</v>
      </c>
      <c r="H96" s="79" t="s">
        <v>14</v>
      </c>
      <c r="I96" s="78" t="s">
        <v>14</v>
      </c>
      <c r="J96" s="79" t="s">
        <v>14</v>
      </c>
      <c r="K96" s="142" t="s">
        <v>1850</v>
      </c>
      <c r="L96" s="149" t="s">
        <v>1842</v>
      </c>
      <c r="M96" s="150" t="s">
        <v>12</v>
      </c>
      <c r="N96" s="151">
        <v>22</v>
      </c>
      <c r="O96" s="151">
        <v>0</v>
      </c>
      <c r="P96" s="152">
        <v>0</v>
      </c>
      <c r="Q96" s="153">
        <v>100</v>
      </c>
      <c r="R96" s="154">
        <v>0</v>
      </c>
      <c r="S96" s="38">
        <f t="shared" si="12"/>
        <v>2</v>
      </c>
      <c r="T96" s="39">
        <f t="shared" si="13"/>
        <v>9</v>
      </c>
      <c r="U96" s="40">
        <f t="shared" si="14"/>
        <v>0</v>
      </c>
      <c r="V96" s="40">
        <f t="shared" si="15"/>
        <v>0</v>
      </c>
      <c r="W96" s="40">
        <f t="shared" si="16"/>
        <v>0</v>
      </c>
      <c r="X96" s="40">
        <f t="shared" si="17"/>
        <v>0</v>
      </c>
      <c r="Y96" s="40">
        <f t="shared" si="18"/>
        <v>0</v>
      </c>
      <c r="Z96" s="40">
        <f t="shared" si="19"/>
        <v>0</v>
      </c>
      <c r="AA96" s="40">
        <f t="shared" si="20"/>
        <v>0</v>
      </c>
      <c r="AB96" s="40">
        <f t="shared" si="21"/>
        <v>0</v>
      </c>
      <c r="AC96" s="41">
        <f t="shared" si="22"/>
        <v>0</v>
      </c>
      <c r="AD96" s="49"/>
      <c r="AE96" s="50"/>
      <c r="AF96" s="49" t="s">
        <v>5</v>
      </c>
      <c r="AG96" s="50" t="s">
        <v>164</v>
      </c>
      <c r="AH96" s="49"/>
      <c r="AI96" s="50"/>
      <c r="AJ96" s="49" t="s">
        <v>5</v>
      </c>
      <c r="AK96" s="50" t="s">
        <v>206</v>
      </c>
      <c r="AL96" s="49"/>
      <c r="AM96" s="50"/>
      <c r="AN96" s="49"/>
      <c r="AO96" s="50"/>
      <c r="AP96" s="49"/>
      <c r="AQ96" s="50"/>
      <c r="AR96" s="49" t="s">
        <v>5</v>
      </c>
      <c r="AS96" s="50" t="s">
        <v>722</v>
      </c>
      <c r="AT96" s="49"/>
      <c r="AU96" s="50"/>
      <c r="AV96" s="49" t="s">
        <v>5</v>
      </c>
      <c r="AW96" s="50" t="s">
        <v>154</v>
      </c>
      <c r="AX96" s="49"/>
      <c r="AY96" s="50"/>
      <c r="AZ96" s="49" t="s">
        <v>1</v>
      </c>
      <c r="BA96" s="50" t="s">
        <v>144</v>
      </c>
      <c r="BB96" s="49"/>
      <c r="BC96" s="50"/>
      <c r="BD96" s="49"/>
      <c r="BE96" s="50"/>
      <c r="BF96" s="49"/>
      <c r="BG96" s="50"/>
      <c r="BH96" s="49" t="s">
        <v>5</v>
      </c>
      <c r="BI96" s="50" t="s">
        <v>78</v>
      </c>
      <c r="BJ96" s="49" t="s">
        <v>1</v>
      </c>
      <c r="BK96" s="50" t="s">
        <v>422</v>
      </c>
      <c r="BL96" s="49"/>
      <c r="BM96" s="50"/>
      <c r="BN96" s="49" t="s">
        <v>5</v>
      </c>
      <c r="BO96" s="50" t="s">
        <v>121</v>
      </c>
      <c r="BP96" s="49"/>
      <c r="BQ96" s="50"/>
      <c r="BR96" s="49" t="s">
        <v>5</v>
      </c>
      <c r="BS96" s="50" t="s">
        <v>123</v>
      </c>
      <c r="BT96" s="49" t="s">
        <v>5</v>
      </c>
      <c r="BU96" s="50" t="s">
        <v>457</v>
      </c>
      <c r="BV96" s="49"/>
      <c r="BW96" s="50"/>
      <c r="BX96" s="49" t="s">
        <v>5</v>
      </c>
      <c r="BY96" s="50" t="s">
        <v>130</v>
      </c>
    </row>
    <row r="97" spans="1:77" x14ac:dyDescent="0.25">
      <c r="A97" s="76">
        <v>152596</v>
      </c>
      <c r="B97" s="77" t="s">
        <v>1283</v>
      </c>
      <c r="C97" s="78" t="s">
        <v>1191</v>
      </c>
      <c r="D97" s="76" t="s">
        <v>12</v>
      </c>
      <c r="E97" s="79" t="s">
        <v>87</v>
      </c>
      <c r="F97" s="79" t="s">
        <v>115</v>
      </c>
      <c r="G97" s="79" t="s">
        <v>14</v>
      </c>
      <c r="H97" s="79" t="s">
        <v>87</v>
      </c>
      <c r="I97" s="78" t="s">
        <v>14</v>
      </c>
      <c r="J97" s="79" t="s">
        <v>14</v>
      </c>
      <c r="K97" s="142" t="s">
        <v>1850</v>
      </c>
      <c r="L97" s="149" t="s">
        <v>1841</v>
      </c>
      <c r="M97" s="150" t="s">
        <v>1853</v>
      </c>
      <c r="N97" s="151">
        <v>28</v>
      </c>
      <c r="O97" s="151">
        <v>0</v>
      </c>
      <c r="P97" s="152">
        <v>0</v>
      </c>
      <c r="Q97" s="153">
        <v>100</v>
      </c>
      <c r="R97" s="154">
        <v>1</v>
      </c>
      <c r="S97" s="38">
        <f t="shared" si="12"/>
        <v>0</v>
      </c>
      <c r="T97" s="39">
        <f t="shared" si="13"/>
        <v>11</v>
      </c>
      <c r="U97" s="40">
        <f t="shared" si="14"/>
        <v>0</v>
      </c>
      <c r="V97" s="40">
        <f t="shared" si="15"/>
        <v>0</v>
      </c>
      <c r="W97" s="40">
        <f t="shared" si="16"/>
        <v>0</v>
      </c>
      <c r="X97" s="40">
        <f t="shared" si="17"/>
        <v>0</v>
      </c>
      <c r="Y97" s="40">
        <f t="shared" si="18"/>
        <v>0</v>
      </c>
      <c r="Z97" s="40">
        <f t="shared" si="19"/>
        <v>0</v>
      </c>
      <c r="AA97" s="40">
        <f t="shared" si="20"/>
        <v>0</v>
      </c>
      <c r="AB97" s="40">
        <f t="shared" si="21"/>
        <v>0</v>
      </c>
      <c r="AC97" s="41">
        <f t="shared" si="22"/>
        <v>0</v>
      </c>
      <c r="AD97" s="49"/>
      <c r="AE97" s="50"/>
      <c r="AF97" s="49" t="s">
        <v>5</v>
      </c>
      <c r="AG97" s="50" t="s">
        <v>154</v>
      </c>
      <c r="AH97" s="49"/>
      <c r="AI97" s="50"/>
      <c r="AJ97" s="49" t="s">
        <v>5</v>
      </c>
      <c r="AK97" s="50" t="s">
        <v>137</v>
      </c>
      <c r="AL97" s="49"/>
      <c r="AM97" s="50"/>
      <c r="AN97" s="49"/>
      <c r="AO97" s="50"/>
      <c r="AP97" s="49"/>
      <c r="AQ97" s="50"/>
      <c r="AR97" s="49" t="s">
        <v>5</v>
      </c>
      <c r="AS97" s="50" t="s">
        <v>91</v>
      </c>
      <c r="AT97" s="49"/>
      <c r="AU97" s="50"/>
      <c r="AV97" s="49" t="s">
        <v>5</v>
      </c>
      <c r="AW97" s="50" t="s">
        <v>154</v>
      </c>
      <c r="AX97" s="49"/>
      <c r="AY97" s="50"/>
      <c r="AZ97" s="49" t="s">
        <v>5</v>
      </c>
      <c r="BA97" s="50" t="s">
        <v>144</v>
      </c>
      <c r="BB97" s="49"/>
      <c r="BC97" s="50"/>
      <c r="BD97" s="49"/>
      <c r="BE97" s="50"/>
      <c r="BF97" s="49"/>
      <c r="BG97" s="50"/>
      <c r="BH97" s="49" t="s">
        <v>5</v>
      </c>
      <c r="BI97" s="50" t="s">
        <v>78</v>
      </c>
      <c r="BJ97" s="49" t="s">
        <v>5</v>
      </c>
      <c r="BK97" s="50" t="s">
        <v>106</v>
      </c>
      <c r="BL97" s="49"/>
      <c r="BM97" s="50"/>
      <c r="BN97" s="49" t="s">
        <v>5</v>
      </c>
      <c r="BO97" s="50" t="s">
        <v>741</v>
      </c>
      <c r="BP97" s="49"/>
      <c r="BQ97" s="50"/>
      <c r="BR97" s="49" t="s">
        <v>5</v>
      </c>
      <c r="BS97" s="50" t="s">
        <v>98</v>
      </c>
      <c r="BT97" s="49" t="s">
        <v>5</v>
      </c>
      <c r="BU97" s="50" t="s">
        <v>82</v>
      </c>
      <c r="BV97" s="49"/>
      <c r="BW97" s="50"/>
      <c r="BX97" s="49" t="s">
        <v>5</v>
      </c>
      <c r="BY97" s="50" t="s">
        <v>421</v>
      </c>
    </row>
    <row r="98" spans="1:77" x14ac:dyDescent="0.25">
      <c r="A98" s="76">
        <v>152617</v>
      </c>
      <c r="B98" s="77" t="s">
        <v>1284</v>
      </c>
      <c r="C98" s="78" t="s">
        <v>1188</v>
      </c>
      <c r="D98" s="76" t="s">
        <v>12</v>
      </c>
      <c r="E98" s="79" t="s">
        <v>14</v>
      </c>
      <c r="F98" s="79" t="s">
        <v>115</v>
      </c>
      <c r="G98" s="79" t="s">
        <v>14</v>
      </c>
      <c r="H98" s="79" t="s">
        <v>14</v>
      </c>
      <c r="I98" s="78" t="s">
        <v>14</v>
      </c>
      <c r="J98" s="79" t="s">
        <v>14</v>
      </c>
      <c r="K98" s="142" t="s">
        <v>1850</v>
      </c>
      <c r="L98" s="149" t="s">
        <v>1846</v>
      </c>
      <c r="M98" s="150" t="s">
        <v>1853</v>
      </c>
      <c r="N98" s="151">
        <v>34</v>
      </c>
      <c r="O98" s="151">
        <v>0</v>
      </c>
      <c r="P98" s="152">
        <v>0</v>
      </c>
      <c r="Q98" s="153">
        <v>100</v>
      </c>
      <c r="R98" s="154">
        <v>0</v>
      </c>
      <c r="S98" s="38">
        <f t="shared" si="12"/>
        <v>6</v>
      </c>
      <c r="T98" s="39">
        <f t="shared" si="13"/>
        <v>5</v>
      </c>
      <c r="U98" s="40">
        <f t="shared" si="14"/>
        <v>0</v>
      </c>
      <c r="V98" s="40">
        <f t="shared" si="15"/>
        <v>0</v>
      </c>
      <c r="W98" s="40">
        <f t="shared" si="16"/>
        <v>0</v>
      </c>
      <c r="X98" s="40">
        <f t="shared" si="17"/>
        <v>0</v>
      </c>
      <c r="Y98" s="40">
        <f t="shared" si="18"/>
        <v>0</v>
      </c>
      <c r="Z98" s="40">
        <f t="shared" si="19"/>
        <v>0</v>
      </c>
      <c r="AA98" s="40">
        <f t="shared" si="20"/>
        <v>0</v>
      </c>
      <c r="AB98" s="40">
        <f t="shared" si="21"/>
        <v>0</v>
      </c>
      <c r="AC98" s="41">
        <f t="shared" si="22"/>
        <v>0</v>
      </c>
      <c r="AD98" s="49"/>
      <c r="AE98" s="50"/>
      <c r="AF98" s="49" t="s">
        <v>5</v>
      </c>
      <c r="AG98" s="50" t="s">
        <v>164</v>
      </c>
      <c r="AH98" s="49"/>
      <c r="AI98" s="50"/>
      <c r="AJ98" s="49" t="s">
        <v>1</v>
      </c>
      <c r="AK98" s="50" t="s">
        <v>206</v>
      </c>
      <c r="AL98" s="49"/>
      <c r="AM98" s="50"/>
      <c r="AN98" s="49"/>
      <c r="AO98" s="50"/>
      <c r="AP98" s="49"/>
      <c r="AQ98" s="50"/>
      <c r="AR98" s="49" t="s">
        <v>5</v>
      </c>
      <c r="AS98" s="50" t="s">
        <v>91</v>
      </c>
      <c r="AT98" s="49"/>
      <c r="AU98" s="50"/>
      <c r="AV98" s="49" t="s">
        <v>1</v>
      </c>
      <c r="AW98" s="50" t="s">
        <v>430</v>
      </c>
      <c r="AX98" s="49" t="s">
        <v>5</v>
      </c>
      <c r="AY98" s="50" t="s">
        <v>84</v>
      </c>
      <c r="AZ98" s="49"/>
      <c r="BA98" s="50"/>
      <c r="BB98" s="49"/>
      <c r="BC98" s="50"/>
      <c r="BD98" s="49" t="s">
        <v>1</v>
      </c>
      <c r="BE98" s="50" t="s">
        <v>104</v>
      </c>
      <c r="BF98" s="49"/>
      <c r="BG98" s="50"/>
      <c r="BH98" s="49" t="s">
        <v>5</v>
      </c>
      <c r="BI98" s="50" t="s">
        <v>163</v>
      </c>
      <c r="BJ98" s="49" t="s">
        <v>1</v>
      </c>
      <c r="BK98" s="50" t="s">
        <v>106</v>
      </c>
      <c r="BL98" s="49"/>
      <c r="BM98" s="50"/>
      <c r="BN98" s="49" t="s">
        <v>1</v>
      </c>
      <c r="BO98" s="50" t="s">
        <v>741</v>
      </c>
      <c r="BP98" s="49"/>
      <c r="BQ98" s="50"/>
      <c r="BR98" s="49" t="s">
        <v>1</v>
      </c>
      <c r="BS98" s="50" t="s">
        <v>123</v>
      </c>
      <c r="BT98" s="49" t="s">
        <v>5</v>
      </c>
      <c r="BU98" s="50" t="s">
        <v>457</v>
      </c>
      <c r="BV98" s="49"/>
      <c r="BW98" s="50"/>
      <c r="BX98" s="49"/>
      <c r="BY98" s="50"/>
    </row>
    <row r="99" spans="1:77" x14ac:dyDescent="0.25">
      <c r="A99" s="76">
        <v>152677</v>
      </c>
      <c r="B99" s="77" t="s">
        <v>1285</v>
      </c>
      <c r="C99" s="78" t="s">
        <v>1205</v>
      </c>
      <c r="D99" s="76" t="s">
        <v>12</v>
      </c>
      <c r="E99" s="79" t="s">
        <v>14</v>
      </c>
      <c r="F99" s="79" t="s">
        <v>115</v>
      </c>
      <c r="G99" s="79" t="s">
        <v>14</v>
      </c>
      <c r="H99" s="79" t="s">
        <v>14</v>
      </c>
      <c r="I99" s="78" t="s">
        <v>14</v>
      </c>
      <c r="J99" s="79" t="s">
        <v>14</v>
      </c>
      <c r="K99" s="142" t="s">
        <v>1850</v>
      </c>
      <c r="L99" s="149" t="s">
        <v>1848</v>
      </c>
      <c r="M99" s="150" t="s">
        <v>1852</v>
      </c>
      <c r="N99" s="151">
        <v>12</v>
      </c>
      <c r="O99" s="151">
        <v>9</v>
      </c>
      <c r="P99" s="152">
        <v>2</v>
      </c>
      <c r="Q99" s="153">
        <v>95.65</v>
      </c>
      <c r="R99" s="154">
        <v>13</v>
      </c>
      <c r="S99" s="38">
        <f t="shared" si="12"/>
        <v>0</v>
      </c>
      <c r="T99" s="39">
        <f t="shared" si="13"/>
        <v>5</v>
      </c>
      <c r="U99" s="40">
        <f t="shared" si="14"/>
        <v>4</v>
      </c>
      <c r="V99" s="40">
        <f t="shared" si="15"/>
        <v>2</v>
      </c>
      <c r="W99" s="40">
        <f t="shared" si="16"/>
        <v>0</v>
      </c>
      <c r="X99" s="40">
        <f t="shared" si="17"/>
        <v>6</v>
      </c>
      <c r="Y99" s="40">
        <f t="shared" si="18"/>
        <v>0</v>
      </c>
      <c r="Z99" s="40">
        <f t="shared" si="19"/>
        <v>0</v>
      </c>
      <c r="AA99" s="40">
        <f t="shared" si="20"/>
        <v>0</v>
      </c>
      <c r="AB99" s="40">
        <f t="shared" si="21"/>
        <v>0</v>
      </c>
      <c r="AC99" s="41">
        <f t="shared" si="22"/>
        <v>0</v>
      </c>
      <c r="AD99" s="49"/>
      <c r="AE99" s="50"/>
      <c r="AF99" s="49" t="s">
        <v>30</v>
      </c>
      <c r="AG99" s="50" t="s">
        <v>164</v>
      </c>
      <c r="AH99" s="49"/>
      <c r="AI99" s="50"/>
      <c r="AJ99" s="49" t="s">
        <v>31</v>
      </c>
      <c r="AK99" s="50" t="s">
        <v>419</v>
      </c>
      <c r="AL99" s="49"/>
      <c r="AM99" s="50"/>
      <c r="AN99" s="49"/>
      <c r="AO99" s="50"/>
      <c r="AP99" s="49"/>
      <c r="AQ99" s="50"/>
      <c r="AR99" s="49" t="s">
        <v>30</v>
      </c>
      <c r="AS99" s="50" t="s">
        <v>169</v>
      </c>
      <c r="AT99" s="49"/>
      <c r="AU99" s="50"/>
      <c r="AV99" s="49" t="s">
        <v>5</v>
      </c>
      <c r="AW99" s="50" t="s">
        <v>152</v>
      </c>
      <c r="AX99" s="49" t="s">
        <v>30</v>
      </c>
      <c r="AY99" s="50" t="s">
        <v>103</v>
      </c>
      <c r="AZ99" s="49" t="s">
        <v>5</v>
      </c>
      <c r="BA99" s="50" t="s">
        <v>144</v>
      </c>
      <c r="BB99" s="49"/>
      <c r="BC99" s="50"/>
      <c r="BD99" s="49"/>
      <c r="BE99" s="50"/>
      <c r="BF99" s="49"/>
      <c r="BG99" s="50"/>
      <c r="BH99" s="49" t="s">
        <v>5</v>
      </c>
      <c r="BI99" s="50" t="s">
        <v>105</v>
      </c>
      <c r="BJ99" s="49" t="s">
        <v>31</v>
      </c>
      <c r="BK99" s="50" t="s">
        <v>112</v>
      </c>
      <c r="BL99" s="49"/>
      <c r="BM99" s="50"/>
      <c r="BN99" s="49" t="s">
        <v>5</v>
      </c>
      <c r="BO99" s="50" t="s">
        <v>741</v>
      </c>
      <c r="BP99" s="49"/>
      <c r="BQ99" s="50"/>
      <c r="BR99" s="49" t="s">
        <v>30</v>
      </c>
      <c r="BS99" s="50" t="s">
        <v>170</v>
      </c>
      <c r="BT99" s="49" t="s">
        <v>5</v>
      </c>
      <c r="BU99" s="50" t="s">
        <v>82</v>
      </c>
      <c r="BV99" s="49"/>
      <c r="BW99" s="50"/>
      <c r="BX99" s="49"/>
      <c r="BY99" s="50"/>
    </row>
    <row r="100" spans="1:77" x14ac:dyDescent="0.25">
      <c r="A100" s="76">
        <v>152514</v>
      </c>
      <c r="B100" s="77" t="s">
        <v>1286</v>
      </c>
      <c r="C100" s="78" t="s">
        <v>1188</v>
      </c>
      <c r="D100" s="76" t="s">
        <v>12</v>
      </c>
      <c r="E100" s="79" t="s">
        <v>87</v>
      </c>
      <c r="F100" s="79" t="s">
        <v>88</v>
      </c>
      <c r="G100" s="79" t="s">
        <v>87</v>
      </c>
      <c r="H100" s="79" t="s">
        <v>87</v>
      </c>
      <c r="I100" s="78" t="s">
        <v>14</v>
      </c>
      <c r="J100" s="79" t="s">
        <v>14</v>
      </c>
      <c r="K100" s="142" t="s">
        <v>1850</v>
      </c>
      <c r="L100" s="149" t="s">
        <v>1845</v>
      </c>
      <c r="M100" s="150" t="s">
        <v>12</v>
      </c>
      <c r="N100" s="151">
        <v>31</v>
      </c>
      <c r="O100" s="151">
        <v>0</v>
      </c>
      <c r="P100" s="152">
        <v>0</v>
      </c>
      <c r="Q100" s="153">
        <v>100</v>
      </c>
      <c r="R100" s="154">
        <v>1</v>
      </c>
      <c r="S100" s="38">
        <f t="shared" si="12"/>
        <v>3</v>
      </c>
      <c r="T100" s="39">
        <f t="shared" si="13"/>
        <v>8</v>
      </c>
      <c r="U100" s="40">
        <f t="shared" si="14"/>
        <v>0</v>
      </c>
      <c r="V100" s="40">
        <f t="shared" si="15"/>
        <v>0</v>
      </c>
      <c r="W100" s="40">
        <f t="shared" si="16"/>
        <v>0</v>
      </c>
      <c r="X100" s="40">
        <f t="shared" si="17"/>
        <v>0</v>
      </c>
      <c r="Y100" s="40">
        <f t="shared" si="18"/>
        <v>0</v>
      </c>
      <c r="Z100" s="40">
        <f t="shared" si="19"/>
        <v>0</v>
      </c>
      <c r="AA100" s="40">
        <f t="shared" si="20"/>
        <v>0</v>
      </c>
      <c r="AB100" s="40">
        <f t="shared" si="21"/>
        <v>0</v>
      </c>
      <c r="AC100" s="41">
        <f t="shared" si="22"/>
        <v>0</v>
      </c>
      <c r="AD100" s="49"/>
      <c r="AE100" s="50"/>
      <c r="AF100" s="49" t="s">
        <v>5</v>
      </c>
      <c r="AG100" s="50" t="s">
        <v>154</v>
      </c>
      <c r="AH100" s="49" t="s">
        <v>5</v>
      </c>
      <c r="AI100" s="50" t="s">
        <v>78</v>
      </c>
      <c r="AJ100" s="49" t="s">
        <v>5</v>
      </c>
      <c r="AK100" s="50" t="s">
        <v>206</v>
      </c>
      <c r="AL100" s="49"/>
      <c r="AM100" s="50"/>
      <c r="AN100" s="49"/>
      <c r="AO100" s="50"/>
      <c r="AP100" s="49"/>
      <c r="AQ100" s="50"/>
      <c r="AR100" s="49" t="s">
        <v>5</v>
      </c>
      <c r="AS100" s="50" t="s">
        <v>151</v>
      </c>
      <c r="AT100" s="49"/>
      <c r="AU100" s="50"/>
      <c r="AV100" s="49" t="s">
        <v>1</v>
      </c>
      <c r="AW100" s="50" t="s">
        <v>430</v>
      </c>
      <c r="AX100" s="49" t="s">
        <v>5</v>
      </c>
      <c r="AY100" s="50" t="s">
        <v>84</v>
      </c>
      <c r="AZ100" s="49"/>
      <c r="BA100" s="50"/>
      <c r="BB100" s="49"/>
      <c r="BC100" s="50"/>
      <c r="BD100" s="49"/>
      <c r="BE100" s="50"/>
      <c r="BF100" s="49"/>
      <c r="BG100" s="50"/>
      <c r="BH100" s="49" t="s">
        <v>5</v>
      </c>
      <c r="BI100" s="50" t="s">
        <v>1184</v>
      </c>
      <c r="BJ100" s="49" t="s">
        <v>1</v>
      </c>
      <c r="BK100" s="50" t="s">
        <v>94</v>
      </c>
      <c r="BL100" s="49"/>
      <c r="BM100" s="50"/>
      <c r="BN100" s="49" t="s">
        <v>1</v>
      </c>
      <c r="BO100" s="50" t="s">
        <v>96</v>
      </c>
      <c r="BP100" s="49"/>
      <c r="BQ100" s="50"/>
      <c r="BR100" s="49" t="s">
        <v>5</v>
      </c>
      <c r="BS100" s="50" t="s">
        <v>140</v>
      </c>
      <c r="BT100" s="49" t="s">
        <v>5</v>
      </c>
      <c r="BU100" s="50" t="s">
        <v>122</v>
      </c>
      <c r="BV100" s="49"/>
      <c r="BW100" s="50"/>
      <c r="BX100" s="49"/>
      <c r="BY100" s="50"/>
    </row>
    <row r="101" spans="1:77" x14ac:dyDescent="0.25">
      <c r="A101" s="76">
        <v>152591</v>
      </c>
      <c r="B101" s="77" t="s">
        <v>1287</v>
      </c>
      <c r="C101" s="78" t="s">
        <v>1183</v>
      </c>
      <c r="D101" s="76" t="s">
        <v>12</v>
      </c>
      <c r="E101" s="79" t="s">
        <v>14</v>
      </c>
      <c r="F101" s="77" t="s">
        <v>71</v>
      </c>
      <c r="G101" s="79" t="s">
        <v>14</v>
      </c>
      <c r="H101" s="79" t="s">
        <v>14</v>
      </c>
      <c r="I101" s="78" t="s">
        <v>14</v>
      </c>
      <c r="J101" s="79" t="s">
        <v>14</v>
      </c>
      <c r="K101" s="142" t="s">
        <v>1851</v>
      </c>
      <c r="L101" s="149" t="s">
        <v>1845</v>
      </c>
      <c r="M101" s="150" t="s">
        <v>12</v>
      </c>
      <c r="N101" s="151">
        <v>17</v>
      </c>
      <c r="O101" s="151">
        <v>1</v>
      </c>
      <c r="P101" s="152">
        <v>1</v>
      </c>
      <c r="Q101" s="153">
        <v>100</v>
      </c>
      <c r="R101" s="154">
        <v>0</v>
      </c>
      <c r="S101" s="38">
        <f t="shared" si="12"/>
        <v>0</v>
      </c>
      <c r="T101" s="39">
        <f t="shared" si="13"/>
        <v>10</v>
      </c>
      <c r="U101" s="40">
        <f t="shared" si="14"/>
        <v>0</v>
      </c>
      <c r="V101" s="40">
        <f t="shared" si="15"/>
        <v>0</v>
      </c>
      <c r="W101" s="40">
        <f t="shared" si="16"/>
        <v>0</v>
      </c>
      <c r="X101" s="40">
        <f t="shared" si="17"/>
        <v>0</v>
      </c>
      <c r="Y101" s="40">
        <f t="shared" si="18"/>
        <v>0</v>
      </c>
      <c r="Z101" s="40">
        <f t="shared" si="19"/>
        <v>0</v>
      </c>
      <c r="AA101" s="40">
        <f t="shared" si="20"/>
        <v>0</v>
      </c>
      <c r="AB101" s="40">
        <f t="shared" si="21"/>
        <v>0</v>
      </c>
      <c r="AC101" s="41">
        <f t="shared" si="22"/>
        <v>0</v>
      </c>
      <c r="AD101" s="49"/>
      <c r="AE101" s="50"/>
      <c r="AF101" s="49"/>
      <c r="AG101" s="50"/>
      <c r="AH101" s="49"/>
      <c r="AI101" s="50"/>
      <c r="AJ101" s="49"/>
      <c r="AK101" s="50"/>
      <c r="AL101" s="49"/>
      <c r="AM101" s="50"/>
      <c r="AN101" s="49"/>
      <c r="AO101" s="50"/>
      <c r="AP101" s="49"/>
      <c r="AQ101" s="50"/>
      <c r="AR101" s="49" t="s">
        <v>5</v>
      </c>
      <c r="AS101" s="50" t="s">
        <v>142</v>
      </c>
      <c r="AT101" s="49" t="s">
        <v>5</v>
      </c>
      <c r="AU101" s="50" t="s">
        <v>135</v>
      </c>
      <c r="AV101" s="49" t="s">
        <v>5</v>
      </c>
      <c r="AW101" s="50" t="s">
        <v>436</v>
      </c>
      <c r="AX101" s="49"/>
      <c r="AY101" s="50"/>
      <c r="AZ101" s="49" t="s">
        <v>5</v>
      </c>
      <c r="BA101" s="50" t="s">
        <v>144</v>
      </c>
      <c r="BB101" s="49"/>
      <c r="BC101" s="50"/>
      <c r="BD101" s="49"/>
      <c r="BE101" s="50"/>
      <c r="BF101" s="49"/>
      <c r="BG101" s="50"/>
      <c r="BH101" s="49" t="s">
        <v>5</v>
      </c>
      <c r="BI101" s="50" t="s">
        <v>163</v>
      </c>
      <c r="BJ101" s="49" t="s">
        <v>5</v>
      </c>
      <c r="BK101" s="50" t="s">
        <v>139</v>
      </c>
      <c r="BL101" s="49"/>
      <c r="BM101" s="50"/>
      <c r="BN101" s="49" t="s">
        <v>5</v>
      </c>
      <c r="BO101" s="50" t="s">
        <v>741</v>
      </c>
      <c r="BP101" s="49"/>
      <c r="BQ101" s="50"/>
      <c r="BR101" s="49"/>
      <c r="BS101" s="50"/>
      <c r="BT101" s="49" t="s">
        <v>5</v>
      </c>
      <c r="BU101" s="50" t="s">
        <v>457</v>
      </c>
      <c r="BV101" s="49" t="s">
        <v>5</v>
      </c>
      <c r="BW101" s="50" t="s">
        <v>109</v>
      </c>
      <c r="BX101" s="49" t="s">
        <v>5</v>
      </c>
      <c r="BY101" s="50" t="s">
        <v>421</v>
      </c>
    </row>
    <row r="102" spans="1:77" x14ac:dyDescent="0.25">
      <c r="A102" s="76">
        <v>152661</v>
      </c>
      <c r="B102" s="77" t="s">
        <v>1288</v>
      </c>
      <c r="C102" s="78" t="s">
        <v>1205</v>
      </c>
      <c r="D102" s="76" t="s">
        <v>12</v>
      </c>
      <c r="E102" s="79" t="s">
        <v>14</v>
      </c>
      <c r="F102" s="79" t="s">
        <v>150</v>
      </c>
      <c r="G102" s="79" t="s">
        <v>87</v>
      </c>
      <c r="H102" s="79" t="s">
        <v>14</v>
      </c>
      <c r="I102" s="78" t="s">
        <v>14</v>
      </c>
      <c r="J102" s="79" t="s">
        <v>14</v>
      </c>
      <c r="K102" s="142" t="s">
        <v>1850</v>
      </c>
      <c r="L102" s="149" t="s">
        <v>1845</v>
      </c>
      <c r="M102" s="150" t="s">
        <v>12</v>
      </c>
      <c r="N102" s="151">
        <v>16</v>
      </c>
      <c r="O102" s="151">
        <v>3</v>
      </c>
      <c r="P102" s="152">
        <v>1</v>
      </c>
      <c r="Q102" s="153">
        <v>100</v>
      </c>
      <c r="R102" s="154">
        <v>0</v>
      </c>
      <c r="S102" s="38">
        <f t="shared" si="12"/>
        <v>0</v>
      </c>
      <c r="T102" s="39">
        <f t="shared" si="13"/>
        <v>8</v>
      </c>
      <c r="U102" s="40">
        <f t="shared" si="14"/>
        <v>2</v>
      </c>
      <c r="V102" s="40">
        <f t="shared" si="15"/>
        <v>0</v>
      </c>
      <c r="W102" s="40">
        <f t="shared" si="16"/>
        <v>0</v>
      </c>
      <c r="X102" s="40">
        <f t="shared" si="17"/>
        <v>2</v>
      </c>
      <c r="Y102" s="40">
        <f t="shared" si="18"/>
        <v>0</v>
      </c>
      <c r="Z102" s="40">
        <f t="shared" si="19"/>
        <v>0</v>
      </c>
      <c r="AA102" s="40">
        <f t="shared" si="20"/>
        <v>0</v>
      </c>
      <c r="AB102" s="40">
        <f t="shared" si="21"/>
        <v>0</v>
      </c>
      <c r="AC102" s="41">
        <f t="shared" si="22"/>
        <v>0</v>
      </c>
      <c r="AD102" s="49"/>
      <c r="AE102" s="50"/>
      <c r="AF102" s="49"/>
      <c r="AG102" s="50"/>
      <c r="AH102" s="49"/>
      <c r="AI102" s="50"/>
      <c r="AJ102" s="49"/>
      <c r="AK102" s="50"/>
      <c r="AL102" s="49"/>
      <c r="AM102" s="50"/>
      <c r="AN102" s="49"/>
      <c r="AO102" s="50"/>
      <c r="AP102" s="49"/>
      <c r="AQ102" s="50"/>
      <c r="AR102" s="49" t="s">
        <v>30</v>
      </c>
      <c r="AS102" s="50" t="s">
        <v>142</v>
      </c>
      <c r="AT102" s="49" t="s">
        <v>5</v>
      </c>
      <c r="AU102" s="50" t="s">
        <v>135</v>
      </c>
      <c r="AV102" s="49" t="s">
        <v>5</v>
      </c>
      <c r="AW102" s="50" t="s">
        <v>152</v>
      </c>
      <c r="AX102" s="49" t="s">
        <v>5</v>
      </c>
      <c r="AY102" s="50" t="s">
        <v>84</v>
      </c>
      <c r="AZ102" s="49" t="s">
        <v>5</v>
      </c>
      <c r="BA102" s="50" t="s">
        <v>144</v>
      </c>
      <c r="BB102" s="49"/>
      <c r="BC102" s="50"/>
      <c r="BD102" s="49"/>
      <c r="BE102" s="50"/>
      <c r="BF102" s="49"/>
      <c r="BG102" s="50"/>
      <c r="BH102" s="49" t="s">
        <v>5</v>
      </c>
      <c r="BI102" s="50" t="s">
        <v>105</v>
      </c>
      <c r="BJ102" s="49" t="s">
        <v>5</v>
      </c>
      <c r="BK102" s="50" t="s">
        <v>995</v>
      </c>
      <c r="BL102" s="49"/>
      <c r="BM102" s="50"/>
      <c r="BN102" s="49" t="s">
        <v>5</v>
      </c>
      <c r="BO102" s="50" t="s">
        <v>96</v>
      </c>
      <c r="BP102" s="49"/>
      <c r="BQ102" s="50"/>
      <c r="BR102" s="49"/>
      <c r="BS102" s="50"/>
      <c r="BT102" s="49" t="s">
        <v>30</v>
      </c>
      <c r="BU102" s="50" t="s">
        <v>108</v>
      </c>
      <c r="BV102" s="49" t="s">
        <v>5</v>
      </c>
      <c r="BW102" s="50" t="s">
        <v>98</v>
      </c>
      <c r="BX102" s="49"/>
      <c r="BY102" s="50"/>
    </row>
    <row r="103" spans="1:77" x14ac:dyDescent="0.25">
      <c r="A103" s="76">
        <v>152528</v>
      </c>
      <c r="B103" s="77" t="s">
        <v>1289</v>
      </c>
      <c r="C103" s="78" t="s">
        <v>1211</v>
      </c>
      <c r="D103" s="76" t="s">
        <v>12</v>
      </c>
      <c r="E103" s="79" t="s">
        <v>14</v>
      </c>
      <c r="F103" s="79" t="s">
        <v>71</v>
      </c>
      <c r="G103" s="79" t="s">
        <v>14</v>
      </c>
      <c r="H103" s="79" t="s">
        <v>14</v>
      </c>
      <c r="I103" s="78" t="s">
        <v>14</v>
      </c>
      <c r="J103" s="79" t="s">
        <v>14</v>
      </c>
      <c r="K103" s="142" t="s">
        <v>1850</v>
      </c>
      <c r="L103" s="149" t="s">
        <v>1846</v>
      </c>
      <c r="M103" s="150" t="s">
        <v>1853</v>
      </c>
      <c r="N103" s="151">
        <v>16</v>
      </c>
      <c r="O103" s="151">
        <v>0</v>
      </c>
      <c r="P103" s="152">
        <v>1</v>
      </c>
      <c r="Q103" s="153">
        <v>100</v>
      </c>
      <c r="R103" s="154">
        <v>0</v>
      </c>
      <c r="S103" s="38">
        <f t="shared" si="12"/>
        <v>1</v>
      </c>
      <c r="T103" s="39">
        <f t="shared" si="13"/>
        <v>9</v>
      </c>
      <c r="U103" s="40">
        <f t="shared" si="14"/>
        <v>0</v>
      </c>
      <c r="V103" s="40">
        <f t="shared" si="15"/>
        <v>0</v>
      </c>
      <c r="W103" s="40">
        <f t="shared" si="16"/>
        <v>1</v>
      </c>
      <c r="X103" s="40">
        <f t="shared" si="17"/>
        <v>1</v>
      </c>
      <c r="Y103" s="40">
        <f t="shared" si="18"/>
        <v>0</v>
      </c>
      <c r="Z103" s="40">
        <f t="shared" si="19"/>
        <v>0</v>
      </c>
      <c r="AA103" s="40">
        <f t="shared" si="20"/>
        <v>0</v>
      </c>
      <c r="AB103" s="40">
        <f t="shared" si="21"/>
        <v>0</v>
      </c>
      <c r="AC103" s="41">
        <f t="shared" si="22"/>
        <v>0</v>
      </c>
      <c r="AD103" s="49" t="s">
        <v>5</v>
      </c>
      <c r="AE103" s="50" t="s">
        <v>72</v>
      </c>
      <c r="AF103" s="49" t="s">
        <v>5</v>
      </c>
      <c r="AG103" s="50" t="s">
        <v>164</v>
      </c>
      <c r="AH103" s="49"/>
      <c r="AI103" s="50"/>
      <c r="AJ103" s="49" t="s">
        <v>32</v>
      </c>
      <c r="AK103" s="50" t="s">
        <v>206</v>
      </c>
      <c r="AL103" s="49"/>
      <c r="AM103" s="50"/>
      <c r="AN103" s="49"/>
      <c r="AO103" s="50"/>
      <c r="AP103" s="49"/>
      <c r="AQ103" s="50"/>
      <c r="AR103" s="49" t="s">
        <v>5</v>
      </c>
      <c r="AS103" s="50" t="s">
        <v>91</v>
      </c>
      <c r="AT103" s="49"/>
      <c r="AU103" s="50"/>
      <c r="AV103" s="49" t="s">
        <v>5</v>
      </c>
      <c r="AW103" s="50" t="s">
        <v>105</v>
      </c>
      <c r="AX103" s="49"/>
      <c r="AY103" s="50"/>
      <c r="AZ103" s="49"/>
      <c r="BA103" s="50"/>
      <c r="BB103" s="49"/>
      <c r="BC103" s="50"/>
      <c r="BD103" s="49"/>
      <c r="BE103" s="50"/>
      <c r="BF103" s="49"/>
      <c r="BG103" s="50"/>
      <c r="BH103" s="49" t="s">
        <v>5</v>
      </c>
      <c r="BI103" s="50" t="s">
        <v>163</v>
      </c>
      <c r="BJ103" s="49" t="s">
        <v>5</v>
      </c>
      <c r="BK103" s="50" t="s">
        <v>106</v>
      </c>
      <c r="BL103" s="49"/>
      <c r="BM103" s="50"/>
      <c r="BN103" s="49" t="s">
        <v>1</v>
      </c>
      <c r="BO103" s="50" t="s">
        <v>96</v>
      </c>
      <c r="BP103" s="49"/>
      <c r="BQ103" s="50"/>
      <c r="BR103" s="49" t="s">
        <v>5</v>
      </c>
      <c r="BS103" s="50" t="s">
        <v>123</v>
      </c>
      <c r="BT103" s="49" t="s">
        <v>5</v>
      </c>
      <c r="BU103" s="50" t="s">
        <v>82</v>
      </c>
      <c r="BV103" s="49"/>
      <c r="BW103" s="50"/>
      <c r="BX103" s="49" t="s">
        <v>5</v>
      </c>
      <c r="BY103" s="50" t="s">
        <v>421</v>
      </c>
    </row>
    <row r="104" spans="1:77" x14ac:dyDescent="0.25">
      <c r="A104" s="76">
        <v>152625</v>
      </c>
      <c r="B104" s="77" t="s">
        <v>1290</v>
      </c>
      <c r="C104" s="78" t="s">
        <v>1188</v>
      </c>
      <c r="D104" s="76" t="s">
        <v>70</v>
      </c>
      <c r="E104" s="79" t="s">
        <v>87</v>
      </c>
      <c r="F104" s="79" t="s">
        <v>71</v>
      </c>
      <c r="G104" s="79" t="s">
        <v>14</v>
      </c>
      <c r="H104" s="79" t="s">
        <v>87</v>
      </c>
      <c r="I104" s="78" t="s">
        <v>14</v>
      </c>
      <c r="J104" s="79" t="s">
        <v>14</v>
      </c>
      <c r="K104" s="142" t="s">
        <v>1850</v>
      </c>
      <c r="L104" s="149" t="s">
        <v>1842</v>
      </c>
      <c r="M104" s="150" t="s">
        <v>1853</v>
      </c>
      <c r="N104" s="151">
        <v>9</v>
      </c>
      <c r="O104" s="151">
        <v>1</v>
      </c>
      <c r="P104" s="152">
        <v>2</v>
      </c>
      <c r="Q104" s="153">
        <v>84.78</v>
      </c>
      <c r="R104" s="154">
        <v>0</v>
      </c>
      <c r="S104" s="38">
        <f t="shared" si="12"/>
        <v>0</v>
      </c>
      <c r="T104" s="39">
        <f t="shared" si="13"/>
        <v>8</v>
      </c>
      <c r="U104" s="40">
        <f t="shared" si="14"/>
        <v>1</v>
      </c>
      <c r="V104" s="40">
        <f t="shared" si="15"/>
        <v>0</v>
      </c>
      <c r="W104" s="40">
        <f t="shared" si="16"/>
        <v>0</v>
      </c>
      <c r="X104" s="40">
        <f t="shared" si="17"/>
        <v>1</v>
      </c>
      <c r="Y104" s="40">
        <f t="shared" si="18"/>
        <v>0</v>
      </c>
      <c r="Z104" s="40">
        <f t="shared" si="19"/>
        <v>0</v>
      </c>
      <c r="AA104" s="40">
        <f t="shared" si="20"/>
        <v>0</v>
      </c>
      <c r="AB104" s="40">
        <f t="shared" si="21"/>
        <v>0</v>
      </c>
      <c r="AC104" s="41">
        <f t="shared" si="22"/>
        <v>0</v>
      </c>
      <c r="AD104" s="49"/>
      <c r="AE104" s="50"/>
      <c r="AF104" s="49"/>
      <c r="AG104" s="50"/>
      <c r="AH104" s="49"/>
      <c r="AI104" s="50"/>
      <c r="AJ104" s="49"/>
      <c r="AK104" s="50"/>
      <c r="AL104" s="49"/>
      <c r="AM104" s="50"/>
      <c r="AN104" s="49" t="s">
        <v>5</v>
      </c>
      <c r="AO104" s="50" t="s">
        <v>117</v>
      </c>
      <c r="AP104" s="49"/>
      <c r="AQ104" s="50"/>
      <c r="AR104" s="49" t="s">
        <v>5</v>
      </c>
      <c r="AS104" s="50" t="s">
        <v>722</v>
      </c>
      <c r="AT104" s="49"/>
      <c r="AU104" s="50"/>
      <c r="AV104" s="49" t="s">
        <v>5</v>
      </c>
      <c r="AW104" s="50" t="s">
        <v>430</v>
      </c>
      <c r="AX104" s="49" t="s">
        <v>5</v>
      </c>
      <c r="AY104" s="50" t="s">
        <v>130</v>
      </c>
      <c r="AZ104" s="49"/>
      <c r="BA104" s="50"/>
      <c r="BB104" s="49"/>
      <c r="BC104" s="50"/>
      <c r="BD104" s="49"/>
      <c r="BE104" s="50"/>
      <c r="BF104" s="49" t="s">
        <v>5</v>
      </c>
      <c r="BG104" s="50" t="s">
        <v>105</v>
      </c>
      <c r="BH104" s="49" t="s">
        <v>5</v>
      </c>
      <c r="BI104" s="50" t="s">
        <v>1184</v>
      </c>
      <c r="BJ104" s="49" t="s">
        <v>5</v>
      </c>
      <c r="BK104" s="50" t="s">
        <v>422</v>
      </c>
      <c r="BL104" s="49"/>
      <c r="BM104" s="50"/>
      <c r="BN104" s="49" t="s">
        <v>189</v>
      </c>
      <c r="BO104" s="50" t="s">
        <v>152</v>
      </c>
      <c r="BP104" s="49"/>
      <c r="BQ104" s="50"/>
      <c r="BR104" s="49"/>
      <c r="BS104" s="50"/>
      <c r="BT104" s="49" t="s">
        <v>5</v>
      </c>
      <c r="BU104" s="50" t="s">
        <v>82</v>
      </c>
      <c r="BV104" s="49" t="s">
        <v>30</v>
      </c>
      <c r="BW104" s="50" t="s">
        <v>98</v>
      </c>
      <c r="BX104" s="49"/>
      <c r="BY104" s="50"/>
    </row>
    <row r="105" spans="1:77" x14ac:dyDescent="0.25">
      <c r="A105" s="76">
        <v>152620</v>
      </c>
      <c r="B105" s="77" t="s">
        <v>1291</v>
      </c>
      <c r="C105" s="78" t="s">
        <v>1186</v>
      </c>
      <c r="D105" s="76" t="s">
        <v>70</v>
      </c>
      <c r="E105" s="79" t="s">
        <v>14</v>
      </c>
      <c r="F105" s="79" t="s">
        <v>198</v>
      </c>
      <c r="G105" s="79" t="s">
        <v>14</v>
      </c>
      <c r="H105" s="79" t="s">
        <v>14</v>
      </c>
      <c r="I105" s="78" t="s">
        <v>14</v>
      </c>
      <c r="J105" s="79" t="s">
        <v>14</v>
      </c>
      <c r="K105" s="142" t="s">
        <v>1851</v>
      </c>
      <c r="L105" s="149" t="s">
        <v>1842</v>
      </c>
      <c r="M105" s="150" t="s">
        <v>12</v>
      </c>
      <c r="N105" s="151">
        <v>21</v>
      </c>
      <c r="O105" s="151">
        <v>0</v>
      </c>
      <c r="P105" s="152">
        <v>0</v>
      </c>
      <c r="Q105" s="153">
        <v>100</v>
      </c>
      <c r="R105" s="154">
        <v>0</v>
      </c>
      <c r="S105" s="38">
        <f t="shared" si="12"/>
        <v>1</v>
      </c>
      <c r="T105" s="39">
        <f t="shared" si="13"/>
        <v>10</v>
      </c>
      <c r="U105" s="40">
        <f t="shared" si="14"/>
        <v>0</v>
      </c>
      <c r="V105" s="40">
        <f t="shared" si="15"/>
        <v>0</v>
      </c>
      <c r="W105" s="40">
        <f t="shared" si="16"/>
        <v>0</v>
      </c>
      <c r="X105" s="40">
        <f t="shared" si="17"/>
        <v>0</v>
      </c>
      <c r="Y105" s="40">
        <f t="shared" si="18"/>
        <v>0</v>
      </c>
      <c r="Z105" s="40">
        <f t="shared" si="19"/>
        <v>0</v>
      </c>
      <c r="AA105" s="40">
        <f t="shared" si="20"/>
        <v>0</v>
      </c>
      <c r="AB105" s="40">
        <f t="shared" si="21"/>
        <v>0</v>
      </c>
      <c r="AC105" s="41">
        <f t="shared" si="22"/>
        <v>0</v>
      </c>
      <c r="AD105" s="49"/>
      <c r="AE105" s="50"/>
      <c r="AF105" s="49" t="s">
        <v>5</v>
      </c>
      <c r="AG105" s="50" t="s">
        <v>164</v>
      </c>
      <c r="AH105" s="49"/>
      <c r="AI105" s="50"/>
      <c r="AJ105" s="49" t="s">
        <v>5</v>
      </c>
      <c r="AK105" s="50" t="s">
        <v>206</v>
      </c>
      <c r="AL105" s="49" t="s">
        <v>5</v>
      </c>
      <c r="AM105" s="50" t="s">
        <v>153</v>
      </c>
      <c r="AN105" s="49"/>
      <c r="AO105" s="50"/>
      <c r="AP105" s="49"/>
      <c r="AQ105" s="50"/>
      <c r="AR105" s="49" t="s">
        <v>5</v>
      </c>
      <c r="AS105" s="50" t="s">
        <v>91</v>
      </c>
      <c r="AT105" s="49"/>
      <c r="AU105" s="50"/>
      <c r="AV105" s="49" t="s">
        <v>5</v>
      </c>
      <c r="AW105" s="50" t="s">
        <v>83</v>
      </c>
      <c r="AX105" s="49"/>
      <c r="AY105" s="50"/>
      <c r="AZ105" s="49"/>
      <c r="BA105" s="50"/>
      <c r="BB105" s="49"/>
      <c r="BC105" s="50"/>
      <c r="BD105" s="49"/>
      <c r="BE105" s="50"/>
      <c r="BF105" s="49"/>
      <c r="BG105" s="50"/>
      <c r="BH105" s="49" t="s">
        <v>5</v>
      </c>
      <c r="BI105" s="50" t="s">
        <v>78</v>
      </c>
      <c r="BJ105" s="49" t="s">
        <v>5</v>
      </c>
      <c r="BK105" s="50" t="s">
        <v>505</v>
      </c>
      <c r="BL105" s="49"/>
      <c r="BM105" s="50"/>
      <c r="BN105" s="49" t="s">
        <v>5</v>
      </c>
      <c r="BO105" s="50" t="s">
        <v>121</v>
      </c>
      <c r="BP105" s="49"/>
      <c r="BQ105" s="50"/>
      <c r="BR105" s="49" t="s">
        <v>5</v>
      </c>
      <c r="BS105" s="50" t="s">
        <v>123</v>
      </c>
      <c r="BT105" s="49" t="s">
        <v>5</v>
      </c>
      <c r="BU105" s="50" t="s">
        <v>457</v>
      </c>
      <c r="BV105" s="49"/>
      <c r="BW105" s="50"/>
      <c r="BX105" s="49" t="s">
        <v>1</v>
      </c>
      <c r="BY105" s="50" t="s">
        <v>130</v>
      </c>
    </row>
    <row r="106" spans="1:77" x14ac:dyDescent="0.25">
      <c r="A106" s="76">
        <v>152574</v>
      </c>
      <c r="B106" s="77" t="s">
        <v>1292</v>
      </c>
      <c r="C106" s="78" t="s">
        <v>1191</v>
      </c>
      <c r="D106" s="76" t="s">
        <v>70</v>
      </c>
      <c r="E106" s="79" t="s">
        <v>14</v>
      </c>
      <c r="F106" s="77" t="s">
        <v>71</v>
      </c>
      <c r="G106" s="79" t="s">
        <v>14</v>
      </c>
      <c r="H106" s="79" t="s">
        <v>14</v>
      </c>
      <c r="I106" s="78" t="s">
        <v>14</v>
      </c>
      <c r="J106" s="79" t="s">
        <v>14</v>
      </c>
      <c r="K106" s="142" t="s">
        <v>1850</v>
      </c>
      <c r="L106" s="149" t="s">
        <v>1845</v>
      </c>
      <c r="M106" s="150" t="s">
        <v>1852</v>
      </c>
      <c r="N106" s="151">
        <v>12</v>
      </c>
      <c r="O106" s="151">
        <v>2</v>
      </c>
      <c r="P106" s="152">
        <v>0</v>
      </c>
      <c r="Q106" s="153">
        <v>93.48</v>
      </c>
      <c r="R106" s="154">
        <v>2</v>
      </c>
      <c r="S106" s="38">
        <f t="shared" si="12"/>
        <v>0</v>
      </c>
      <c r="T106" s="39">
        <f t="shared" si="13"/>
        <v>10</v>
      </c>
      <c r="U106" s="40">
        <f t="shared" si="14"/>
        <v>0</v>
      </c>
      <c r="V106" s="40">
        <f t="shared" si="15"/>
        <v>0</v>
      </c>
      <c r="W106" s="40">
        <f t="shared" si="16"/>
        <v>0</v>
      </c>
      <c r="X106" s="40">
        <f t="shared" si="17"/>
        <v>0</v>
      </c>
      <c r="Y106" s="40">
        <f t="shared" si="18"/>
        <v>0</v>
      </c>
      <c r="Z106" s="40">
        <f t="shared" si="19"/>
        <v>0</v>
      </c>
      <c r="AA106" s="40">
        <f t="shared" si="20"/>
        <v>0</v>
      </c>
      <c r="AB106" s="40">
        <f t="shared" si="21"/>
        <v>0</v>
      </c>
      <c r="AC106" s="41">
        <f t="shared" si="22"/>
        <v>0</v>
      </c>
      <c r="AD106" s="49"/>
      <c r="AE106" s="50"/>
      <c r="AF106" s="49"/>
      <c r="AG106" s="50"/>
      <c r="AH106" s="49"/>
      <c r="AI106" s="50"/>
      <c r="AJ106" s="49"/>
      <c r="AK106" s="50"/>
      <c r="AL106" s="49"/>
      <c r="AM106" s="50"/>
      <c r="AN106" s="49"/>
      <c r="AO106" s="50"/>
      <c r="AP106" s="49" t="s">
        <v>5</v>
      </c>
      <c r="AQ106" s="50" t="s">
        <v>101</v>
      </c>
      <c r="AR106" s="49" t="s">
        <v>5</v>
      </c>
      <c r="AS106" s="50" t="s">
        <v>102</v>
      </c>
      <c r="AT106" s="49"/>
      <c r="AU106" s="50"/>
      <c r="AV106" s="49" t="s">
        <v>5</v>
      </c>
      <c r="AW106" s="50" t="s">
        <v>154</v>
      </c>
      <c r="AX106" s="49"/>
      <c r="AY106" s="50"/>
      <c r="AZ106" s="49"/>
      <c r="BA106" s="50"/>
      <c r="BB106" s="49" t="s">
        <v>5</v>
      </c>
      <c r="BC106" s="50" t="s">
        <v>436</v>
      </c>
      <c r="BD106" s="49"/>
      <c r="BE106" s="50"/>
      <c r="BF106" s="49"/>
      <c r="BG106" s="50"/>
      <c r="BH106" s="49" t="s">
        <v>5</v>
      </c>
      <c r="BI106" s="50" t="s">
        <v>78</v>
      </c>
      <c r="BJ106" s="49" t="s">
        <v>5</v>
      </c>
      <c r="BK106" s="50" t="s">
        <v>112</v>
      </c>
      <c r="BL106" s="49"/>
      <c r="BM106" s="50"/>
      <c r="BN106" s="49" t="s">
        <v>5</v>
      </c>
      <c r="BO106" s="50" t="s">
        <v>152</v>
      </c>
      <c r="BP106" s="49"/>
      <c r="BQ106" s="50"/>
      <c r="BR106" s="49"/>
      <c r="BS106" s="50"/>
      <c r="BT106" s="49" t="s">
        <v>5</v>
      </c>
      <c r="BU106" s="50" t="s">
        <v>82</v>
      </c>
      <c r="BV106" s="49" t="s">
        <v>5</v>
      </c>
      <c r="BW106" s="50" t="s">
        <v>109</v>
      </c>
      <c r="BX106" s="49" t="s">
        <v>5</v>
      </c>
      <c r="BY106" s="50" t="s">
        <v>75</v>
      </c>
    </row>
    <row r="107" spans="1:77" x14ac:dyDescent="0.25">
      <c r="A107" s="76">
        <v>152638</v>
      </c>
      <c r="B107" s="77" t="s">
        <v>1293</v>
      </c>
      <c r="C107" s="78" t="s">
        <v>1211</v>
      </c>
      <c r="D107" s="76" t="s">
        <v>70</v>
      </c>
      <c r="E107" s="79" t="s">
        <v>14</v>
      </c>
      <c r="F107" s="79" t="s">
        <v>198</v>
      </c>
      <c r="G107" s="79" t="s">
        <v>14</v>
      </c>
      <c r="H107" s="79" t="s">
        <v>87</v>
      </c>
      <c r="I107" s="78" t="s">
        <v>14</v>
      </c>
      <c r="J107" s="79" t="s">
        <v>14</v>
      </c>
      <c r="K107" s="142" t="s">
        <v>1851</v>
      </c>
      <c r="L107" s="149" t="s">
        <v>1845</v>
      </c>
      <c r="M107" s="150" t="s">
        <v>12</v>
      </c>
      <c r="N107" s="151">
        <v>10</v>
      </c>
      <c r="O107" s="151">
        <v>1</v>
      </c>
      <c r="P107" s="152">
        <v>0</v>
      </c>
      <c r="Q107" s="153">
        <v>100</v>
      </c>
      <c r="R107" s="154">
        <v>0</v>
      </c>
      <c r="S107" s="38">
        <f t="shared" si="12"/>
        <v>1</v>
      </c>
      <c r="T107" s="39">
        <f t="shared" si="13"/>
        <v>7</v>
      </c>
      <c r="U107" s="40">
        <f t="shared" si="14"/>
        <v>2</v>
      </c>
      <c r="V107" s="40">
        <f t="shared" si="15"/>
        <v>0</v>
      </c>
      <c r="W107" s="40">
        <f t="shared" si="16"/>
        <v>0</v>
      </c>
      <c r="X107" s="40">
        <f t="shared" si="17"/>
        <v>2</v>
      </c>
      <c r="Y107" s="40">
        <f t="shared" si="18"/>
        <v>0</v>
      </c>
      <c r="Z107" s="40">
        <f t="shared" si="19"/>
        <v>0</v>
      </c>
      <c r="AA107" s="40">
        <f t="shared" si="20"/>
        <v>0</v>
      </c>
      <c r="AB107" s="40">
        <f t="shared" si="21"/>
        <v>0</v>
      </c>
      <c r="AC107" s="41">
        <f t="shared" si="22"/>
        <v>0</v>
      </c>
      <c r="AD107" s="49"/>
      <c r="AE107" s="50"/>
      <c r="AF107" s="49"/>
      <c r="AG107" s="50"/>
      <c r="AH107" s="49"/>
      <c r="AI107" s="50"/>
      <c r="AJ107" s="49"/>
      <c r="AK107" s="50"/>
      <c r="AL107" s="49" t="s">
        <v>30</v>
      </c>
      <c r="AM107" s="50" t="s">
        <v>153</v>
      </c>
      <c r="AN107" s="49"/>
      <c r="AO107" s="50"/>
      <c r="AP107" s="49"/>
      <c r="AQ107" s="50"/>
      <c r="AR107" s="49" t="s">
        <v>30</v>
      </c>
      <c r="AS107" s="50" t="s">
        <v>142</v>
      </c>
      <c r="AT107" s="49" t="s">
        <v>5</v>
      </c>
      <c r="AU107" s="50" t="s">
        <v>135</v>
      </c>
      <c r="AV107" s="49" t="s">
        <v>5</v>
      </c>
      <c r="AW107" s="50" t="s">
        <v>105</v>
      </c>
      <c r="AX107" s="49"/>
      <c r="AY107" s="50"/>
      <c r="AZ107" s="49"/>
      <c r="BA107" s="50"/>
      <c r="BB107" s="49"/>
      <c r="BC107" s="50"/>
      <c r="BD107" s="49"/>
      <c r="BE107" s="50"/>
      <c r="BF107" s="49"/>
      <c r="BG107" s="50"/>
      <c r="BH107" s="49" t="s">
        <v>5</v>
      </c>
      <c r="BI107" s="50" t="s">
        <v>163</v>
      </c>
      <c r="BJ107" s="49" t="s">
        <v>1</v>
      </c>
      <c r="BK107" s="50" t="s">
        <v>112</v>
      </c>
      <c r="BL107" s="49"/>
      <c r="BM107" s="50"/>
      <c r="BN107" s="49" t="s">
        <v>5</v>
      </c>
      <c r="BO107" s="50" t="s">
        <v>121</v>
      </c>
      <c r="BP107" s="49"/>
      <c r="BQ107" s="50"/>
      <c r="BR107" s="49"/>
      <c r="BS107" s="50"/>
      <c r="BT107" s="49" t="s">
        <v>5</v>
      </c>
      <c r="BU107" s="50" t="s">
        <v>122</v>
      </c>
      <c r="BV107" s="49" t="s">
        <v>5</v>
      </c>
      <c r="BW107" s="50" t="s">
        <v>109</v>
      </c>
      <c r="BX107" s="49" t="s">
        <v>5</v>
      </c>
      <c r="BY107" s="50" t="s">
        <v>421</v>
      </c>
    </row>
    <row r="108" spans="1:77" x14ac:dyDescent="0.25">
      <c r="A108" s="76">
        <v>152691</v>
      </c>
      <c r="B108" s="77" t="s">
        <v>1294</v>
      </c>
      <c r="C108" s="78" t="s">
        <v>1183</v>
      </c>
      <c r="D108" s="76" t="s">
        <v>70</v>
      </c>
      <c r="E108" s="79" t="s">
        <v>87</v>
      </c>
      <c r="F108" s="79" t="s">
        <v>71</v>
      </c>
      <c r="G108" s="79" t="s">
        <v>14</v>
      </c>
      <c r="H108" s="79" t="s">
        <v>87</v>
      </c>
      <c r="I108" s="78" t="s">
        <v>14</v>
      </c>
      <c r="J108" s="79" t="s">
        <v>14</v>
      </c>
      <c r="K108" s="142" t="s">
        <v>1850</v>
      </c>
      <c r="L108" s="149" t="s">
        <v>1848</v>
      </c>
      <c r="M108" s="150" t="s">
        <v>1852</v>
      </c>
      <c r="N108" s="151">
        <v>1</v>
      </c>
      <c r="O108" s="151">
        <v>5</v>
      </c>
      <c r="P108" s="152">
        <v>1</v>
      </c>
      <c r="Q108" s="153">
        <v>26.09</v>
      </c>
      <c r="R108" s="154">
        <v>1</v>
      </c>
      <c r="S108" s="38">
        <f t="shared" si="12"/>
        <v>0</v>
      </c>
      <c r="T108" s="39">
        <f t="shared" si="13"/>
        <v>3</v>
      </c>
      <c r="U108" s="40">
        <f t="shared" si="14"/>
        <v>0</v>
      </c>
      <c r="V108" s="40">
        <f t="shared" si="15"/>
        <v>1</v>
      </c>
      <c r="W108" s="40">
        <f t="shared" si="16"/>
        <v>1</v>
      </c>
      <c r="X108" s="40">
        <f t="shared" si="17"/>
        <v>2</v>
      </c>
      <c r="Y108" s="40">
        <f t="shared" si="18"/>
        <v>0</v>
      </c>
      <c r="Z108" s="40">
        <f t="shared" si="19"/>
        <v>1</v>
      </c>
      <c r="AA108" s="40">
        <f t="shared" si="20"/>
        <v>0</v>
      </c>
      <c r="AB108" s="40">
        <f t="shared" si="21"/>
        <v>1</v>
      </c>
      <c r="AC108" s="41">
        <f t="shared" si="22"/>
        <v>0</v>
      </c>
      <c r="AD108" s="49"/>
      <c r="AE108" s="50"/>
      <c r="AF108" s="49" t="s">
        <v>189</v>
      </c>
      <c r="AG108" s="50" t="s">
        <v>154</v>
      </c>
      <c r="AH108" s="49"/>
      <c r="AI108" s="50"/>
      <c r="AJ108" s="49" t="s">
        <v>32</v>
      </c>
      <c r="AK108" s="50" t="s">
        <v>206</v>
      </c>
      <c r="AL108" s="49"/>
      <c r="AM108" s="50"/>
      <c r="AN108" s="49"/>
      <c r="AO108" s="50"/>
      <c r="AP108" s="49"/>
      <c r="AQ108" s="50"/>
      <c r="AR108" s="49"/>
      <c r="AS108" s="50" t="s">
        <v>102</v>
      </c>
      <c r="AT108" s="49"/>
      <c r="AU108" s="50"/>
      <c r="AV108" s="49" t="s">
        <v>31</v>
      </c>
      <c r="AW108" s="50" t="s">
        <v>436</v>
      </c>
      <c r="AX108" s="49"/>
      <c r="AY108" s="50"/>
      <c r="AZ108" s="49"/>
      <c r="BA108" s="50"/>
      <c r="BB108" s="49" t="s">
        <v>5</v>
      </c>
      <c r="BC108" s="50" t="s">
        <v>436</v>
      </c>
      <c r="BD108" s="49"/>
      <c r="BE108" s="50"/>
      <c r="BF108" s="49"/>
      <c r="BG108" s="50"/>
      <c r="BH108" s="49" t="s">
        <v>5</v>
      </c>
      <c r="BI108" s="50" t="s">
        <v>1184</v>
      </c>
      <c r="BJ108" s="49" t="s">
        <v>35</v>
      </c>
      <c r="BK108" s="50" t="s">
        <v>79</v>
      </c>
      <c r="BL108" s="49"/>
      <c r="BM108" s="50"/>
      <c r="BN108" s="49" t="s">
        <v>189</v>
      </c>
      <c r="BO108" s="50" t="s">
        <v>152</v>
      </c>
      <c r="BP108" s="49"/>
      <c r="BQ108" s="50"/>
      <c r="BR108" s="49" t="s">
        <v>5</v>
      </c>
      <c r="BS108" s="50" t="s">
        <v>140</v>
      </c>
      <c r="BT108" s="49"/>
      <c r="BU108" s="50" t="s">
        <v>457</v>
      </c>
      <c r="BV108" s="49"/>
      <c r="BW108" s="50"/>
      <c r="BX108" s="49" t="s">
        <v>189</v>
      </c>
      <c r="BY108" s="50" t="s">
        <v>75</v>
      </c>
    </row>
    <row r="109" spans="1:77" x14ac:dyDescent="0.25">
      <c r="A109" s="76">
        <v>152542</v>
      </c>
      <c r="B109" s="77" t="s">
        <v>1295</v>
      </c>
      <c r="C109" s="78" t="s">
        <v>1191</v>
      </c>
      <c r="D109" s="76" t="s">
        <v>70</v>
      </c>
      <c r="E109" s="79" t="s">
        <v>14</v>
      </c>
      <c r="F109" s="79" t="s">
        <v>71</v>
      </c>
      <c r="G109" s="79" t="s">
        <v>14</v>
      </c>
      <c r="H109" s="79" t="s">
        <v>14</v>
      </c>
      <c r="I109" s="78" t="s">
        <v>14</v>
      </c>
      <c r="J109" s="79" t="s">
        <v>14</v>
      </c>
      <c r="K109" s="142" t="s">
        <v>1850</v>
      </c>
      <c r="L109" s="149" t="s">
        <v>1842</v>
      </c>
      <c r="M109" s="150" t="s">
        <v>1853</v>
      </c>
      <c r="N109" s="151">
        <v>18</v>
      </c>
      <c r="O109" s="151">
        <v>0</v>
      </c>
      <c r="P109" s="152">
        <v>1</v>
      </c>
      <c r="Q109" s="153">
        <v>97.83</v>
      </c>
      <c r="R109" s="154">
        <v>0</v>
      </c>
      <c r="S109" s="38">
        <f t="shared" si="12"/>
        <v>2</v>
      </c>
      <c r="T109" s="39">
        <f t="shared" si="13"/>
        <v>9</v>
      </c>
      <c r="U109" s="40">
        <f t="shared" si="14"/>
        <v>0</v>
      </c>
      <c r="V109" s="40">
        <f t="shared" si="15"/>
        <v>0</v>
      </c>
      <c r="W109" s="40">
        <f t="shared" si="16"/>
        <v>0</v>
      </c>
      <c r="X109" s="40">
        <f t="shared" si="17"/>
        <v>0</v>
      </c>
      <c r="Y109" s="40">
        <f t="shared" si="18"/>
        <v>0</v>
      </c>
      <c r="Z109" s="40">
        <f t="shared" si="19"/>
        <v>0</v>
      </c>
      <c r="AA109" s="40">
        <f t="shared" si="20"/>
        <v>0</v>
      </c>
      <c r="AB109" s="40">
        <f t="shared" si="21"/>
        <v>0</v>
      </c>
      <c r="AC109" s="41">
        <f t="shared" si="22"/>
        <v>0</v>
      </c>
      <c r="AD109" s="49"/>
      <c r="AE109" s="50"/>
      <c r="AF109" s="49" t="s">
        <v>5</v>
      </c>
      <c r="AG109" s="50" t="s">
        <v>433</v>
      </c>
      <c r="AH109" s="49"/>
      <c r="AI109" s="50"/>
      <c r="AJ109" s="49" t="s">
        <v>5</v>
      </c>
      <c r="AK109" s="50" t="s">
        <v>137</v>
      </c>
      <c r="AL109" s="49"/>
      <c r="AM109" s="50"/>
      <c r="AN109" s="49"/>
      <c r="AO109" s="50"/>
      <c r="AP109" s="49"/>
      <c r="AQ109" s="50"/>
      <c r="AR109" s="49" t="s">
        <v>5</v>
      </c>
      <c r="AS109" s="50" t="s">
        <v>194</v>
      </c>
      <c r="AT109" s="49"/>
      <c r="AU109" s="50"/>
      <c r="AV109" s="49" t="s">
        <v>5</v>
      </c>
      <c r="AW109" s="50" t="s">
        <v>154</v>
      </c>
      <c r="AX109" s="49"/>
      <c r="AY109" s="50"/>
      <c r="AZ109" s="49" t="s">
        <v>5</v>
      </c>
      <c r="BA109" s="50" t="s">
        <v>144</v>
      </c>
      <c r="BB109" s="49"/>
      <c r="BC109" s="50"/>
      <c r="BD109" s="49"/>
      <c r="BE109" s="50"/>
      <c r="BF109" s="49"/>
      <c r="BG109" s="50"/>
      <c r="BH109" s="49" t="s">
        <v>5</v>
      </c>
      <c r="BI109" s="50" t="s">
        <v>78</v>
      </c>
      <c r="BJ109" s="49" t="s">
        <v>1</v>
      </c>
      <c r="BK109" s="50" t="s">
        <v>422</v>
      </c>
      <c r="BL109" s="49"/>
      <c r="BM109" s="50"/>
      <c r="BN109" s="49" t="s">
        <v>5</v>
      </c>
      <c r="BO109" s="50" t="s">
        <v>152</v>
      </c>
      <c r="BP109" s="49"/>
      <c r="BQ109" s="50"/>
      <c r="BR109" s="49" t="s">
        <v>1</v>
      </c>
      <c r="BS109" s="50" t="s">
        <v>170</v>
      </c>
      <c r="BT109" s="49" t="s">
        <v>5</v>
      </c>
      <c r="BU109" s="50" t="s">
        <v>457</v>
      </c>
      <c r="BV109" s="49"/>
      <c r="BW109" s="50"/>
      <c r="BX109" s="49" t="s">
        <v>5</v>
      </c>
      <c r="BY109" s="50" t="s">
        <v>421</v>
      </c>
    </row>
    <row r="110" spans="1:77" x14ac:dyDescent="0.25">
      <c r="A110" s="76">
        <v>152690</v>
      </c>
      <c r="B110" s="77" t="s">
        <v>1296</v>
      </c>
      <c r="C110" s="78" t="s">
        <v>1205</v>
      </c>
      <c r="D110" s="76" t="s">
        <v>12</v>
      </c>
      <c r="E110" s="79" t="s">
        <v>14</v>
      </c>
      <c r="F110" s="79" t="s">
        <v>71</v>
      </c>
      <c r="G110" s="79" t="s">
        <v>14</v>
      </c>
      <c r="H110" s="79" t="s">
        <v>14</v>
      </c>
      <c r="I110" s="78" t="s">
        <v>14</v>
      </c>
      <c r="J110" s="79" t="s">
        <v>6</v>
      </c>
      <c r="K110" s="142" t="s">
        <v>1851</v>
      </c>
      <c r="L110" s="149" t="s">
        <v>1845</v>
      </c>
      <c r="M110" s="150" t="s">
        <v>12</v>
      </c>
      <c r="N110" s="151">
        <v>5</v>
      </c>
      <c r="O110" s="151">
        <v>8</v>
      </c>
      <c r="P110" s="152">
        <v>2</v>
      </c>
      <c r="Q110" s="153">
        <v>65.22</v>
      </c>
      <c r="R110" s="154">
        <v>9</v>
      </c>
      <c r="S110" s="38">
        <f t="shared" si="12"/>
        <v>0</v>
      </c>
      <c r="T110" s="39">
        <f t="shared" si="13"/>
        <v>5</v>
      </c>
      <c r="U110" s="40">
        <f t="shared" si="14"/>
        <v>4</v>
      </c>
      <c r="V110" s="40">
        <f t="shared" si="15"/>
        <v>2</v>
      </c>
      <c r="W110" s="40">
        <f t="shared" si="16"/>
        <v>0</v>
      </c>
      <c r="X110" s="40">
        <f t="shared" si="17"/>
        <v>6</v>
      </c>
      <c r="Y110" s="40">
        <f t="shared" si="18"/>
        <v>0</v>
      </c>
      <c r="Z110" s="40">
        <f t="shared" si="19"/>
        <v>0</v>
      </c>
      <c r="AA110" s="40">
        <f t="shared" si="20"/>
        <v>0</v>
      </c>
      <c r="AB110" s="40">
        <f t="shared" si="21"/>
        <v>0</v>
      </c>
      <c r="AC110" s="41">
        <f t="shared" si="22"/>
        <v>0</v>
      </c>
      <c r="AD110" s="49"/>
      <c r="AE110" s="50"/>
      <c r="AF110" s="49" t="s">
        <v>30</v>
      </c>
      <c r="AG110" s="50" t="s">
        <v>154</v>
      </c>
      <c r="AH110" s="49"/>
      <c r="AI110" s="50"/>
      <c r="AJ110" s="49" t="s">
        <v>31</v>
      </c>
      <c r="AK110" s="50" t="s">
        <v>206</v>
      </c>
      <c r="AL110" s="49"/>
      <c r="AM110" s="50"/>
      <c r="AN110" s="49"/>
      <c r="AO110" s="50"/>
      <c r="AP110" s="49"/>
      <c r="AQ110" s="50"/>
      <c r="AR110" s="49" t="s">
        <v>5</v>
      </c>
      <c r="AS110" s="50" t="s">
        <v>102</v>
      </c>
      <c r="AT110" s="49"/>
      <c r="AU110" s="50"/>
      <c r="AV110" s="49" t="s">
        <v>5</v>
      </c>
      <c r="AW110" s="50" t="s">
        <v>152</v>
      </c>
      <c r="AX110" s="49" t="s">
        <v>30</v>
      </c>
      <c r="AY110" s="50" t="s">
        <v>103</v>
      </c>
      <c r="AZ110" s="49"/>
      <c r="BA110" s="50"/>
      <c r="BB110" s="49"/>
      <c r="BC110" s="50"/>
      <c r="BD110" s="49"/>
      <c r="BE110" s="50"/>
      <c r="BF110" s="49"/>
      <c r="BG110" s="50"/>
      <c r="BH110" s="49" t="s">
        <v>5</v>
      </c>
      <c r="BI110" s="50" t="s">
        <v>105</v>
      </c>
      <c r="BJ110" s="49" t="s">
        <v>31</v>
      </c>
      <c r="BK110" s="50" t="s">
        <v>139</v>
      </c>
      <c r="BL110" s="49"/>
      <c r="BM110" s="50"/>
      <c r="BN110" s="49" t="s">
        <v>30</v>
      </c>
      <c r="BO110" s="50" t="s">
        <v>741</v>
      </c>
      <c r="BP110" s="49" t="s">
        <v>5</v>
      </c>
      <c r="BQ110" s="50" t="s">
        <v>81</v>
      </c>
      <c r="BR110" s="49" t="s">
        <v>5</v>
      </c>
      <c r="BS110" s="50" t="s">
        <v>140</v>
      </c>
      <c r="BT110" s="49" t="s">
        <v>30</v>
      </c>
      <c r="BU110" s="50" t="s">
        <v>108</v>
      </c>
      <c r="BV110" s="49"/>
      <c r="BW110" s="50"/>
      <c r="BX110" s="49"/>
      <c r="BY110" s="50"/>
    </row>
    <row r="111" spans="1:77" x14ac:dyDescent="0.25">
      <c r="A111" s="76">
        <v>152563</v>
      </c>
      <c r="B111" s="77" t="s">
        <v>1297</v>
      </c>
      <c r="C111" s="78" t="s">
        <v>1183</v>
      </c>
      <c r="D111" s="76" t="s">
        <v>12</v>
      </c>
      <c r="E111" s="79" t="s">
        <v>14</v>
      </c>
      <c r="F111" s="79" t="s">
        <v>508</v>
      </c>
      <c r="G111" s="79" t="s">
        <v>14</v>
      </c>
      <c r="H111" s="79" t="s">
        <v>14</v>
      </c>
      <c r="I111" s="78" t="s">
        <v>14</v>
      </c>
      <c r="J111" s="79" t="s">
        <v>14</v>
      </c>
      <c r="K111" s="142" t="s">
        <v>1850</v>
      </c>
      <c r="L111" s="149" t="s">
        <v>1846</v>
      </c>
      <c r="M111" s="150" t="s">
        <v>1853</v>
      </c>
      <c r="N111" s="151">
        <v>25</v>
      </c>
      <c r="O111" s="151">
        <v>0</v>
      </c>
      <c r="P111" s="152">
        <v>0</v>
      </c>
      <c r="Q111" s="153">
        <v>100</v>
      </c>
      <c r="R111" s="154">
        <v>1</v>
      </c>
      <c r="S111" s="38">
        <f t="shared" si="12"/>
        <v>4</v>
      </c>
      <c r="T111" s="39">
        <f t="shared" si="13"/>
        <v>7</v>
      </c>
      <c r="U111" s="40">
        <f t="shared" si="14"/>
        <v>0</v>
      </c>
      <c r="V111" s="40">
        <f t="shared" si="15"/>
        <v>0</v>
      </c>
      <c r="W111" s="40">
        <f t="shared" si="16"/>
        <v>0</v>
      </c>
      <c r="X111" s="40">
        <f t="shared" si="17"/>
        <v>0</v>
      </c>
      <c r="Y111" s="40">
        <f t="shared" si="18"/>
        <v>0</v>
      </c>
      <c r="Z111" s="40">
        <f t="shared" si="19"/>
        <v>0</v>
      </c>
      <c r="AA111" s="40">
        <f t="shared" si="20"/>
        <v>0</v>
      </c>
      <c r="AB111" s="40">
        <f t="shared" si="21"/>
        <v>0</v>
      </c>
      <c r="AC111" s="41">
        <f t="shared" si="22"/>
        <v>0</v>
      </c>
      <c r="AD111" s="49"/>
      <c r="AE111" s="50"/>
      <c r="AF111" s="49" t="s">
        <v>5</v>
      </c>
      <c r="AG111" s="50" t="s">
        <v>164</v>
      </c>
      <c r="AH111" s="49"/>
      <c r="AI111" s="50"/>
      <c r="AJ111" s="49" t="s">
        <v>5</v>
      </c>
      <c r="AK111" s="50" t="s">
        <v>206</v>
      </c>
      <c r="AL111" s="49"/>
      <c r="AM111" s="50"/>
      <c r="AN111" s="49"/>
      <c r="AO111" s="50"/>
      <c r="AP111" s="49"/>
      <c r="AQ111" s="50"/>
      <c r="AR111" s="49" t="s">
        <v>5</v>
      </c>
      <c r="AS111" s="50" t="s">
        <v>91</v>
      </c>
      <c r="AT111" s="49"/>
      <c r="AU111" s="50"/>
      <c r="AV111" s="49" t="s">
        <v>5</v>
      </c>
      <c r="AW111" s="50" t="s">
        <v>436</v>
      </c>
      <c r="AX111" s="49"/>
      <c r="AY111" s="50"/>
      <c r="AZ111" s="49" t="s">
        <v>1</v>
      </c>
      <c r="BA111" s="50" t="s">
        <v>92</v>
      </c>
      <c r="BB111" s="49"/>
      <c r="BC111" s="50"/>
      <c r="BD111" s="49"/>
      <c r="BE111" s="50"/>
      <c r="BF111" s="49"/>
      <c r="BG111" s="50"/>
      <c r="BH111" s="49" t="s">
        <v>1</v>
      </c>
      <c r="BI111" s="50" t="s">
        <v>163</v>
      </c>
      <c r="BJ111" s="49" t="s">
        <v>1</v>
      </c>
      <c r="BK111" s="50" t="s">
        <v>106</v>
      </c>
      <c r="BL111" s="49"/>
      <c r="BM111" s="50"/>
      <c r="BN111" s="49" t="s">
        <v>1</v>
      </c>
      <c r="BO111" s="50" t="s">
        <v>741</v>
      </c>
      <c r="BP111" s="49"/>
      <c r="BQ111" s="50"/>
      <c r="BR111" s="49" t="s">
        <v>5</v>
      </c>
      <c r="BS111" s="50" t="s">
        <v>123</v>
      </c>
      <c r="BT111" s="49" t="s">
        <v>5</v>
      </c>
      <c r="BU111" s="50" t="s">
        <v>82</v>
      </c>
      <c r="BV111" s="49"/>
      <c r="BW111" s="50"/>
      <c r="BX111" s="49" t="s">
        <v>5</v>
      </c>
      <c r="BY111" s="50" t="s">
        <v>130</v>
      </c>
    </row>
    <row r="112" spans="1:77" x14ac:dyDescent="0.25">
      <c r="A112" s="76">
        <v>152502</v>
      </c>
      <c r="B112" s="77" t="s">
        <v>1298</v>
      </c>
      <c r="C112" s="78" t="s">
        <v>1186</v>
      </c>
      <c r="D112" s="76" t="s">
        <v>12</v>
      </c>
      <c r="E112" s="79" t="s">
        <v>87</v>
      </c>
      <c r="F112" s="79" t="s">
        <v>88</v>
      </c>
      <c r="G112" s="79" t="s">
        <v>14</v>
      </c>
      <c r="H112" s="79" t="s">
        <v>87</v>
      </c>
      <c r="I112" s="78" t="s">
        <v>14</v>
      </c>
      <c r="J112" s="79" t="s">
        <v>6</v>
      </c>
      <c r="K112" s="142" t="s">
        <v>1851</v>
      </c>
      <c r="L112" s="149" t="s">
        <v>1848</v>
      </c>
      <c r="M112" s="150" t="s">
        <v>1852</v>
      </c>
      <c r="N112" s="151">
        <v>13</v>
      </c>
      <c r="O112" s="151">
        <v>37</v>
      </c>
      <c r="P112" s="152">
        <v>2</v>
      </c>
      <c r="Q112" s="153">
        <v>80.430000000000007</v>
      </c>
      <c r="R112" s="154">
        <v>7</v>
      </c>
      <c r="S112" s="38">
        <f t="shared" si="12"/>
        <v>0</v>
      </c>
      <c r="T112" s="39">
        <f t="shared" si="13"/>
        <v>3</v>
      </c>
      <c r="U112" s="40">
        <f t="shared" si="14"/>
        <v>3</v>
      </c>
      <c r="V112" s="40">
        <f t="shared" si="15"/>
        <v>1</v>
      </c>
      <c r="W112" s="40">
        <f t="shared" si="16"/>
        <v>0</v>
      </c>
      <c r="X112" s="40">
        <f t="shared" si="17"/>
        <v>4</v>
      </c>
      <c r="Y112" s="40">
        <f t="shared" si="18"/>
        <v>1</v>
      </c>
      <c r="Z112" s="40">
        <f t="shared" si="19"/>
        <v>3</v>
      </c>
      <c r="AA112" s="40">
        <f t="shared" si="20"/>
        <v>0</v>
      </c>
      <c r="AB112" s="40">
        <f t="shared" si="21"/>
        <v>4</v>
      </c>
      <c r="AC112" s="41">
        <f t="shared" si="22"/>
        <v>0</v>
      </c>
      <c r="AD112" s="49"/>
      <c r="AE112" s="50"/>
      <c r="AF112" s="49" t="s">
        <v>35</v>
      </c>
      <c r="AG112" s="50" t="s">
        <v>154</v>
      </c>
      <c r="AH112" s="49"/>
      <c r="AI112" s="50"/>
      <c r="AJ112" s="49" t="s">
        <v>35</v>
      </c>
      <c r="AK112" s="50" t="s">
        <v>206</v>
      </c>
      <c r="AL112" s="49"/>
      <c r="AM112" s="50"/>
      <c r="AN112" s="49"/>
      <c r="AO112" s="50"/>
      <c r="AP112" s="49"/>
      <c r="AQ112" s="50"/>
      <c r="AR112" s="49" t="s">
        <v>5</v>
      </c>
      <c r="AS112" s="50" t="s">
        <v>74</v>
      </c>
      <c r="AT112" s="49"/>
      <c r="AU112" s="50"/>
      <c r="AV112" s="49" t="s">
        <v>5</v>
      </c>
      <c r="AW112" s="50" t="s">
        <v>83</v>
      </c>
      <c r="AX112" s="49"/>
      <c r="AY112" s="50"/>
      <c r="AZ112" s="49"/>
      <c r="BA112" s="50"/>
      <c r="BB112" s="49" t="s">
        <v>34</v>
      </c>
      <c r="BC112" s="50" t="s">
        <v>436</v>
      </c>
      <c r="BD112" s="49"/>
      <c r="BE112" s="50"/>
      <c r="BF112" s="49"/>
      <c r="BG112" s="50"/>
      <c r="BH112" s="49" t="s">
        <v>30</v>
      </c>
      <c r="BI112" s="50" t="s">
        <v>78</v>
      </c>
      <c r="BJ112" s="49" t="s">
        <v>35</v>
      </c>
      <c r="BK112" s="50" t="s">
        <v>139</v>
      </c>
      <c r="BL112" s="49"/>
      <c r="BM112" s="50"/>
      <c r="BN112" s="49" t="s">
        <v>30</v>
      </c>
      <c r="BO112" s="50" t="s">
        <v>741</v>
      </c>
      <c r="BP112" s="49"/>
      <c r="BQ112" s="50"/>
      <c r="BR112" s="49" t="s">
        <v>31</v>
      </c>
      <c r="BS112" s="50" t="s">
        <v>140</v>
      </c>
      <c r="BT112" s="49" t="s">
        <v>5</v>
      </c>
      <c r="BU112" s="50" t="s">
        <v>457</v>
      </c>
      <c r="BV112" s="49"/>
      <c r="BW112" s="50"/>
      <c r="BX112" s="49" t="s">
        <v>30</v>
      </c>
      <c r="BY112" s="50" t="s">
        <v>103</v>
      </c>
    </row>
    <row r="113" spans="1:77" x14ac:dyDescent="0.25">
      <c r="A113" s="76">
        <v>152505</v>
      </c>
      <c r="B113" s="77" t="s">
        <v>1299</v>
      </c>
      <c r="C113" s="78" t="s">
        <v>1193</v>
      </c>
      <c r="D113" s="76" t="s">
        <v>12</v>
      </c>
      <c r="E113" s="79" t="s">
        <v>14</v>
      </c>
      <c r="F113" s="79" t="s">
        <v>88</v>
      </c>
      <c r="G113" s="79" t="s">
        <v>14</v>
      </c>
      <c r="H113" s="79" t="s">
        <v>14</v>
      </c>
      <c r="I113" s="78" t="s">
        <v>14</v>
      </c>
      <c r="J113" s="79" t="s">
        <v>14</v>
      </c>
      <c r="K113" s="142" t="s">
        <v>1851</v>
      </c>
      <c r="L113" s="149" t="s">
        <v>1848</v>
      </c>
      <c r="M113" s="150" t="s">
        <v>1852</v>
      </c>
      <c r="N113" s="151">
        <v>15</v>
      </c>
      <c r="O113" s="151">
        <v>21</v>
      </c>
      <c r="P113" s="152">
        <v>2</v>
      </c>
      <c r="Q113" s="153">
        <v>93.48</v>
      </c>
      <c r="R113" s="154">
        <v>11</v>
      </c>
      <c r="S113" s="38">
        <f t="shared" si="12"/>
        <v>0</v>
      </c>
      <c r="T113" s="39">
        <f t="shared" si="13"/>
        <v>3</v>
      </c>
      <c r="U113" s="40">
        <f t="shared" si="14"/>
        <v>6</v>
      </c>
      <c r="V113" s="40">
        <f t="shared" si="15"/>
        <v>0</v>
      </c>
      <c r="W113" s="40">
        <f t="shared" si="16"/>
        <v>1</v>
      </c>
      <c r="X113" s="40">
        <f t="shared" si="17"/>
        <v>7</v>
      </c>
      <c r="Y113" s="40">
        <f t="shared" si="18"/>
        <v>0</v>
      </c>
      <c r="Z113" s="40">
        <f t="shared" si="19"/>
        <v>0</v>
      </c>
      <c r="AA113" s="40">
        <f t="shared" si="20"/>
        <v>0</v>
      </c>
      <c r="AB113" s="40">
        <f t="shared" si="21"/>
        <v>0</v>
      </c>
      <c r="AC113" s="41">
        <f t="shared" si="22"/>
        <v>0</v>
      </c>
      <c r="AD113" s="49"/>
      <c r="AE113" s="50"/>
      <c r="AF113" s="49"/>
      <c r="AG113" s="50"/>
      <c r="AH113" s="49" t="s">
        <v>5</v>
      </c>
      <c r="AI113" s="50" t="s">
        <v>78</v>
      </c>
      <c r="AJ113" s="49"/>
      <c r="AK113" s="50"/>
      <c r="AL113" s="49"/>
      <c r="AM113" s="50"/>
      <c r="AN113" s="49" t="s">
        <v>5</v>
      </c>
      <c r="AO113" s="50" t="s">
        <v>117</v>
      </c>
      <c r="AP113" s="49"/>
      <c r="AQ113" s="50"/>
      <c r="AR113" s="49" t="s">
        <v>30</v>
      </c>
      <c r="AS113" s="50" t="s">
        <v>142</v>
      </c>
      <c r="AT113" s="49"/>
      <c r="AU113" s="50"/>
      <c r="AV113" s="49" t="s">
        <v>32</v>
      </c>
      <c r="AW113" s="50" t="s">
        <v>82</v>
      </c>
      <c r="AX113" s="49" t="s">
        <v>30</v>
      </c>
      <c r="AY113" s="50" t="s">
        <v>84</v>
      </c>
      <c r="AZ113" s="49"/>
      <c r="BA113" s="50"/>
      <c r="BB113" s="49"/>
      <c r="BC113" s="50"/>
      <c r="BD113" s="49"/>
      <c r="BE113" s="50"/>
      <c r="BF113" s="49"/>
      <c r="BG113" s="50"/>
      <c r="BH113" s="49" t="s">
        <v>5</v>
      </c>
      <c r="BI113" s="50" t="s">
        <v>105</v>
      </c>
      <c r="BJ113" s="49" t="s">
        <v>30</v>
      </c>
      <c r="BK113" s="50" t="s">
        <v>711</v>
      </c>
      <c r="BL113" s="49"/>
      <c r="BM113" s="50"/>
      <c r="BN113" s="49" t="s">
        <v>30</v>
      </c>
      <c r="BO113" s="50" t="s">
        <v>741</v>
      </c>
      <c r="BP113" s="49"/>
      <c r="BQ113" s="50"/>
      <c r="BR113" s="49"/>
      <c r="BS113" s="50"/>
      <c r="BT113" s="49" t="s">
        <v>30</v>
      </c>
      <c r="BU113" s="50" t="s">
        <v>108</v>
      </c>
      <c r="BV113" s="49" t="s">
        <v>30</v>
      </c>
      <c r="BW113" s="50" t="s">
        <v>109</v>
      </c>
      <c r="BX113" s="49"/>
      <c r="BY113" s="50"/>
    </row>
    <row r="114" spans="1:77" x14ac:dyDescent="0.25">
      <c r="A114" s="76">
        <v>152655</v>
      </c>
      <c r="B114" s="77" t="s">
        <v>1300</v>
      </c>
      <c r="C114" s="78" t="s">
        <v>1188</v>
      </c>
      <c r="D114" s="76" t="s">
        <v>70</v>
      </c>
      <c r="E114" s="79" t="s">
        <v>14</v>
      </c>
      <c r="F114" s="79" t="s">
        <v>455</v>
      </c>
      <c r="G114" s="79" t="s">
        <v>14</v>
      </c>
      <c r="H114" s="79" t="s">
        <v>14</v>
      </c>
      <c r="I114" s="78" t="s">
        <v>14</v>
      </c>
      <c r="J114" s="79" t="s">
        <v>14</v>
      </c>
      <c r="K114" s="142" t="s">
        <v>1850</v>
      </c>
      <c r="L114" s="149" t="s">
        <v>1845</v>
      </c>
      <c r="M114" s="150" t="s">
        <v>12</v>
      </c>
      <c r="N114" s="151">
        <v>22</v>
      </c>
      <c r="O114" s="151">
        <v>0</v>
      </c>
      <c r="P114" s="152">
        <v>1</v>
      </c>
      <c r="Q114" s="153">
        <v>95.65</v>
      </c>
      <c r="R114" s="154">
        <v>0</v>
      </c>
      <c r="S114" s="38">
        <f t="shared" si="12"/>
        <v>0</v>
      </c>
      <c r="T114" s="39">
        <f t="shared" si="13"/>
        <v>11</v>
      </c>
      <c r="U114" s="40">
        <f t="shared" si="14"/>
        <v>0</v>
      </c>
      <c r="V114" s="40">
        <f t="shared" si="15"/>
        <v>0</v>
      </c>
      <c r="W114" s="40">
        <f t="shared" si="16"/>
        <v>0</v>
      </c>
      <c r="X114" s="40">
        <f t="shared" si="17"/>
        <v>0</v>
      </c>
      <c r="Y114" s="40">
        <f t="shared" si="18"/>
        <v>0</v>
      </c>
      <c r="Z114" s="40">
        <f t="shared" si="19"/>
        <v>0</v>
      </c>
      <c r="AA114" s="40">
        <f t="shared" si="20"/>
        <v>0</v>
      </c>
      <c r="AB114" s="40">
        <f t="shared" si="21"/>
        <v>0</v>
      </c>
      <c r="AC114" s="41">
        <f t="shared" si="22"/>
        <v>0</v>
      </c>
      <c r="AD114" s="49"/>
      <c r="AE114" s="50"/>
      <c r="AF114" s="49" t="s">
        <v>5</v>
      </c>
      <c r="AG114" s="50" t="s">
        <v>433</v>
      </c>
      <c r="AH114" s="49"/>
      <c r="AI114" s="50"/>
      <c r="AJ114" s="49" t="s">
        <v>5</v>
      </c>
      <c r="AK114" s="50" t="s">
        <v>137</v>
      </c>
      <c r="AL114" s="49"/>
      <c r="AM114" s="50"/>
      <c r="AN114" s="49"/>
      <c r="AO114" s="50"/>
      <c r="AP114" s="49"/>
      <c r="AQ114" s="50"/>
      <c r="AR114" s="49" t="s">
        <v>5</v>
      </c>
      <c r="AS114" s="50" t="s">
        <v>151</v>
      </c>
      <c r="AT114" s="49"/>
      <c r="AU114" s="50"/>
      <c r="AV114" s="49" t="s">
        <v>5</v>
      </c>
      <c r="AW114" s="50" t="s">
        <v>430</v>
      </c>
      <c r="AX114" s="49" t="s">
        <v>5</v>
      </c>
      <c r="AY114" s="50" t="s">
        <v>84</v>
      </c>
      <c r="AZ114" s="49"/>
      <c r="BA114" s="50"/>
      <c r="BB114" s="49" t="s">
        <v>5</v>
      </c>
      <c r="BC114" s="50" t="s">
        <v>436</v>
      </c>
      <c r="BD114" s="49"/>
      <c r="BE114" s="50"/>
      <c r="BF114" s="49"/>
      <c r="BG114" s="50"/>
      <c r="BH114" s="49" t="s">
        <v>5</v>
      </c>
      <c r="BI114" s="50" t="s">
        <v>1184</v>
      </c>
      <c r="BJ114" s="49" t="s">
        <v>5</v>
      </c>
      <c r="BK114" s="50" t="s">
        <v>995</v>
      </c>
      <c r="BL114" s="49"/>
      <c r="BM114" s="50"/>
      <c r="BN114" s="49" t="s">
        <v>5</v>
      </c>
      <c r="BO114" s="50" t="s">
        <v>152</v>
      </c>
      <c r="BP114" s="49"/>
      <c r="BQ114" s="50"/>
      <c r="BR114" s="49" t="s">
        <v>5</v>
      </c>
      <c r="BS114" s="50" t="s">
        <v>170</v>
      </c>
      <c r="BT114" s="49" t="s">
        <v>5</v>
      </c>
      <c r="BU114" s="50" t="s">
        <v>122</v>
      </c>
      <c r="BV114" s="49"/>
      <c r="BW114" s="50"/>
      <c r="BX114" s="49"/>
      <c r="BY114" s="50"/>
    </row>
    <row r="115" spans="1:77" x14ac:dyDescent="0.25">
      <c r="A115" s="76">
        <v>152694</v>
      </c>
      <c r="B115" s="77" t="s">
        <v>1301</v>
      </c>
      <c r="C115" s="78" t="s">
        <v>1191</v>
      </c>
      <c r="D115" s="76" t="s">
        <v>12</v>
      </c>
      <c r="E115" s="79" t="s">
        <v>14</v>
      </c>
      <c r="F115" s="79" t="s">
        <v>115</v>
      </c>
      <c r="G115" s="79" t="s">
        <v>14</v>
      </c>
      <c r="H115" s="79" t="s">
        <v>14</v>
      </c>
      <c r="I115" s="78" t="s">
        <v>14</v>
      </c>
      <c r="J115" s="79" t="s">
        <v>14</v>
      </c>
      <c r="K115" s="142" t="s">
        <v>1850</v>
      </c>
      <c r="L115" s="149" t="s">
        <v>1844</v>
      </c>
      <c r="M115" s="150" t="s">
        <v>12</v>
      </c>
      <c r="N115" s="151">
        <v>8</v>
      </c>
      <c r="O115" s="151">
        <v>16</v>
      </c>
      <c r="P115" s="152">
        <v>3</v>
      </c>
      <c r="Q115" s="153">
        <v>100</v>
      </c>
      <c r="R115" s="154">
        <v>3</v>
      </c>
      <c r="S115" s="38">
        <f t="shared" si="12"/>
        <v>0</v>
      </c>
      <c r="T115" s="39">
        <f t="shared" si="13"/>
        <v>5</v>
      </c>
      <c r="U115" s="40">
        <f t="shared" si="14"/>
        <v>2</v>
      </c>
      <c r="V115" s="40">
        <f t="shared" si="15"/>
        <v>2</v>
      </c>
      <c r="W115" s="40">
        <f t="shared" si="16"/>
        <v>0</v>
      </c>
      <c r="X115" s="40">
        <f t="shared" si="17"/>
        <v>4</v>
      </c>
      <c r="Y115" s="40">
        <f t="shared" si="18"/>
        <v>0</v>
      </c>
      <c r="Z115" s="40">
        <f t="shared" si="19"/>
        <v>1</v>
      </c>
      <c r="AA115" s="40">
        <f t="shared" si="20"/>
        <v>0</v>
      </c>
      <c r="AB115" s="40">
        <f t="shared" si="21"/>
        <v>1</v>
      </c>
      <c r="AC115" s="41">
        <f t="shared" si="22"/>
        <v>0</v>
      </c>
      <c r="AD115" s="49"/>
      <c r="AE115" s="50"/>
      <c r="AF115" s="49"/>
      <c r="AG115" s="50"/>
      <c r="AH115" s="49"/>
      <c r="AI115" s="50"/>
      <c r="AJ115" s="49"/>
      <c r="AK115" s="50"/>
      <c r="AL115" s="49"/>
      <c r="AM115" s="50"/>
      <c r="AN115" s="49" t="s">
        <v>5</v>
      </c>
      <c r="AO115" s="50" t="s">
        <v>117</v>
      </c>
      <c r="AP115" s="49"/>
      <c r="AQ115" s="50"/>
      <c r="AR115" s="49" t="s">
        <v>31</v>
      </c>
      <c r="AS115" s="50" t="s">
        <v>448</v>
      </c>
      <c r="AT115" s="49"/>
      <c r="AU115" s="50"/>
      <c r="AV115" s="49" t="s">
        <v>5</v>
      </c>
      <c r="AW115" s="50" t="s">
        <v>154</v>
      </c>
      <c r="AX115" s="49"/>
      <c r="AY115" s="50"/>
      <c r="AZ115" s="49"/>
      <c r="BA115" s="50"/>
      <c r="BB115" s="49"/>
      <c r="BC115" s="50"/>
      <c r="BD115" s="49"/>
      <c r="BE115" s="50"/>
      <c r="BF115" s="49" t="s">
        <v>5</v>
      </c>
      <c r="BG115" s="50" t="s">
        <v>105</v>
      </c>
      <c r="BH115" s="49" t="s">
        <v>30</v>
      </c>
      <c r="BI115" s="50" t="s">
        <v>78</v>
      </c>
      <c r="BJ115" s="49" t="s">
        <v>30</v>
      </c>
      <c r="BK115" s="50" t="s">
        <v>995</v>
      </c>
      <c r="BL115" s="49"/>
      <c r="BM115" s="50"/>
      <c r="BN115" s="49" t="s">
        <v>5</v>
      </c>
      <c r="BO115" s="50" t="s">
        <v>107</v>
      </c>
      <c r="BP115" s="49"/>
      <c r="BQ115" s="50"/>
      <c r="BR115" s="49"/>
      <c r="BS115" s="50"/>
      <c r="BT115" s="49" t="s">
        <v>5</v>
      </c>
      <c r="BU115" s="50" t="s">
        <v>108</v>
      </c>
      <c r="BV115" s="49" t="s">
        <v>31</v>
      </c>
      <c r="BW115" s="50" t="s">
        <v>98</v>
      </c>
      <c r="BX115" s="49" t="s">
        <v>35</v>
      </c>
      <c r="BY115" s="50" t="s">
        <v>75</v>
      </c>
    </row>
    <row r="116" spans="1:77" x14ac:dyDescent="0.25">
      <c r="A116" s="76">
        <v>152611</v>
      </c>
      <c r="B116" s="77" t="s">
        <v>1302</v>
      </c>
      <c r="C116" s="78" t="s">
        <v>1186</v>
      </c>
      <c r="D116" s="76" t="s">
        <v>70</v>
      </c>
      <c r="E116" s="79" t="s">
        <v>14</v>
      </c>
      <c r="F116" s="79" t="s">
        <v>126</v>
      </c>
      <c r="G116" s="79" t="s">
        <v>14</v>
      </c>
      <c r="H116" s="79" t="s">
        <v>14</v>
      </c>
      <c r="I116" s="78" t="s">
        <v>14</v>
      </c>
      <c r="J116" s="79" t="s">
        <v>14</v>
      </c>
      <c r="K116" s="142" t="s">
        <v>1850</v>
      </c>
      <c r="L116" s="149" t="s">
        <v>1842</v>
      </c>
      <c r="M116" s="150" t="s">
        <v>12</v>
      </c>
      <c r="N116" s="151">
        <v>27</v>
      </c>
      <c r="O116" s="151">
        <v>0</v>
      </c>
      <c r="P116" s="152">
        <v>0</v>
      </c>
      <c r="Q116" s="153">
        <v>100</v>
      </c>
      <c r="R116" s="154">
        <v>0</v>
      </c>
      <c r="S116" s="38">
        <f t="shared" si="12"/>
        <v>2</v>
      </c>
      <c r="T116" s="39">
        <f t="shared" si="13"/>
        <v>9</v>
      </c>
      <c r="U116" s="40">
        <f t="shared" si="14"/>
        <v>0</v>
      </c>
      <c r="V116" s="40">
        <f t="shared" si="15"/>
        <v>0</v>
      </c>
      <c r="W116" s="40">
        <f t="shared" si="16"/>
        <v>0</v>
      </c>
      <c r="X116" s="40">
        <f t="shared" si="17"/>
        <v>0</v>
      </c>
      <c r="Y116" s="40">
        <f t="shared" si="18"/>
        <v>0</v>
      </c>
      <c r="Z116" s="40">
        <f t="shared" si="19"/>
        <v>0</v>
      </c>
      <c r="AA116" s="40">
        <f t="shared" si="20"/>
        <v>0</v>
      </c>
      <c r="AB116" s="40">
        <f t="shared" si="21"/>
        <v>0</v>
      </c>
      <c r="AC116" s="41">
        <f t="shared" si="22"/>
        <v>0</v>
      </c>
      <c r="AD116" s="49"/>
      <c r="AE116" s="50"/>
      <c r="AF116" s="49" t="s">
        <v>5</v>
      </c>
      <c r="AG116" s="50" t="s">
        <v>164</v>
      </c>
      <c r="AH116" s="49"/>
      <c r="AI116" s="50"/>
      <c r="AJ116" s="49" t="s">
        <v>5</v>
      </c>
      <c r="AK116" s="50" t="s">
        <v>206</v>
      </c>
      <c r="AL116" s="49"/>
      <c r="AM116" s="50"/>
      <c r="AN116" s="49"/>
      <c r="AO116" s="50"/>
      <c r="AP116" s="49"/>
      <c r="AQ116" s="50"/>
      <c r="AR116" s="49" t="s">
        <v>5</v>
      </c>
      <c r="AS116" s="50" t="s">
        <v>91</v>
      </c>
      <c r="AT116" s="49"/>
      <c r="AU116" s="50"/>
      <c r="AV116" s="49" t="s">
        <v>5</v>
      </c>
      <c r="AW116" s="50" t="s">
        <v>83</v>
      </c>
      <c r="AX116" s="49"/>
      <c r="AY116" s="50"/>
      <c r="AZ116" s="49"/>
      <c r="BA116" s="50"/>
      <c r="BB116" s="49"/>
      <c r="BC116" s="50"/>
      <c r="BD116" s="49" t="s">
        <v>1</v>
      </c>
      <c r="BE116" s="50" t="s">
        <v>104</v>
      </c>
      <c r="BF116" s="49"/>
      <c r="BG116" s="50"/>
      <c r="BH116" s="49" t="s">
        <v>5</v>
      </c>
      <c r="BI116" s="50" t="s">
        <v>78</v>
      </c>
      <c r="BJ116" s="49" t="s">
        <v>5</v>
      </c>
      <c r="BK116" s="50" t="s">
        <v>505</v>
      </c>
      <c r="BL116" s="49"/>
      <c r="BM116" s="50"/>
      <c r="BN116" s="49" t="s">
        <v>5</v>
      </c>
      <c r="BO116" s="50" t="s">
        <v>152</v>
      </c>
      <c r="BP116" s="49"/>
      <c r="BQ116" s="50"/>
      <c r="BR116" s="49" t="s">
        <v>5</v>
      </c>
      <c r="BS116" s="50" t="s">
        <v>123</v>
      </c>
      <c r="BT116" s="49" t="s">
        <v>5</v>
      </c>
      <c r="BU116" s="50" t="s">
        <v>82</v>
      </c>
      <c r="BV116" s="49"/>
      <c r="BW116" s="50"/>
      <c r="BX116" s="49" t="s">
        <v>1</v>
      </c>
      <c r="BY116" s="50" t="s">
        <v>130</v>
      </c>
    </row>
    <row r="117" spans="1:77" x14ac:dyDescent="0.25">
      <c r="A117" s="76">
        <v>160031</v>
      </c>
      <c r="B117" s="77" t="s">
        <v>1303</v>
      </c>
      <c r="C117" s="78" t="s">
        <v>1191</v>
      </c>
      <c r="D117" s="76" t="s">
        <v>12</v>
      </c>
      <c r="E117" s="79" t="s">
        <v>14</v>
      </c>
      <c r="F117" s="79" t="s">
        <v>312</v>
      </c>
      <c r="G117" s="79" t="s">
        <v>14</v>
      </c>
      <c r="H117" s="79" t="s">
        <v>87</v>
      </c>
      <c r="I117" s="78" t="s">
        <v>14</v>
      </c>
      <c r="J117" s="79" t="s">
        <v>14</v>
      </c>
      <c r="K117" s="142" t="s">
        <v>1851</v>
      </c>
      <c r="L117" s="149" t="s">
        <v>1406</v>
      </c>
      <c r="M117" s="150" t="s">
        <v>14</v>
      </c>
      <c r="N117" s="151">
        <v>21</v>
      </c>
      <c r="O117" s="151">
        <v>0</v>
      </c>
      <c r="P117" s="152">
        <v>0</v>
      </c>
      <c r="Q117" s="153">
        <v>100</v>
      </c>
      <c r="R117" s="154">
        <v>1</v>
      </c>
      <c r="S117" s="38">
        <f t="shared" si="12"/>
        <v>3</v>
      </c>
      <c r="T117" s="39">
        <f t="shared" si="13"/>
        <v>6</v>
      </c>
      <c r="U117" s="40">
        <f t="shared" si="14"/>
        <v>0</v>
      </c>
      <c r="V117" s="40">
        <f t="shared" si="15"/>
        <v>0</v>
      </c>
      <c r="W117" s="40">
        <f t="shared" si="16"/>
        <v>0</v>
      </c>
      <c r="X117" s="40">
        <f t="shared" si="17"/>
        <v>0</v>
      </c>
      <c r="Y117" s="40">
        <f t="shared" si="18"/>
        <v>0</v>
      </c>
      <c r="Z117" s="40">
        <f t="shared" si="19"/>
        <v>0</v>
      </c>
      <c r="AA117" s="40">
        <f t="shared" si="20"/>
        <v>0</v>
      </c>
      <c r="AB117" s="40">
        <f t="shared" si="21"/>
        <v>0</v>
      </c>
      <c r="AC117" s="41">
        <f t="shared" si="22"/>
        <v>0</v>
      </c>
      <c r="AD117" s="49"/>
      <c r="AE117" s="50"/>
      <c r="AF117" s="49"/>
      <c r="AG117" s="50"/>
      <c r="AH117" s="49"/>
      <c r="AI117" s="50"/>
      <c r="AJ117" s="49"/>
      <c r="AK117" s="50"/>
      <c r="AL117" s="49"/>
      <c r="AM117" s="50"/>
      <c r="AN117" s="49"/>
      <c r="AO117" s="50"/>
      <c r="AP117" s="49"/>
      <c r="AQ117" s="50"/>
      <c r="AR117" s="49" t="s">
        <v>5</v>
      </c>
      <c r="AS117" s="50" t="s">
        <v>74</v>
      </c>
      <c r="AT117" s="49"/>
      <c r="AU117" s="50"/>
      <c r="AV117" s="49" t="s">
        <v>5</v>
      </c>
      <c r="AW117" s="50" t="s">
        <v>73</v>
      </c>
      <c r="AX117" s="49"/>
      <c r="AY117" s="50"/>
      <c r="AZ117" s="49"/>
      <c r="BA117" s="50"/>
      <c r="BB117" s="49"/>
      <c r="BC117" s="50"/>
      <c r="BD117" s="49"/>
      <c r="BE117" s="50"/>
      <c r="BF117" s="49"/>
      <c r="BG117" s="50"/>
      <c r="BH117" s="49" t="s">
        <v>5</v>
      </c>
      <c r="BI117" s="50" t="s">
        <v>163</v>
      </c>
      <c r="BJ117" s="49" t="s">
        <v>1</v>
      </c>
      <c r="BK117" s="50" t="s">
        <v>79</v>
      </c>
      <c r="BL117" s="49"/>
      <c r="BM117" s="50"/>
      <c r="BN117" s="49" t="s">
        <v>1</v>
      </c>
      <c r="BO117" s="50" t="s">
        <v>107</v>
      </c>
      <c r="BP117" s="49" t="s">
        <v>5</v>
      </c>
      <c r="BQ117" s="50" t="s">
        <v>81</v>
      </c>
      <c r="BR117" s="49"/>
      <c r="BS117" s="50"/>
      <c r="BT117" s="49" t="s">
        <v>5</v>
      </c>
      <c r="BU117" s="50" t="s">
        <v>457</v>
      </c>
      <c r="BV117" s="49" t="s">
        <v>1</v>
      </c>
      <c r="BW117" s="50" t="s">
        <v>109</v>
      </c>
      <c r="BX117" s="49" t="s">
        <v>5</v>
      </c>
      <c r="BY117" s="50" t="s">
        <v>75</v>
      </c>
    </row>
    <row r="118" spans="1:77" x14ac:dyDescent="0.25">
      <c r="A118" s="76">
        <v>160032</v>
      </c>
      <c r="B118" s="77" t="s">
        <v>1304</v>
      </c>
      <c r="C118" s="78" t="s">
        <v>1191</v>
      </c>
      <c r="D118" s="76" t="s">
        <v>70</v>
      </c>
      <c r="E118" s="79" t="s">
        <v>14</v>
      </c>
      <c r="F118" s="79" t="s">
        <v>312</v>
      </c>
      <c r="G118" s="79" t="s">
        <v>14</v>
      </c>
      <c r="H118" s="79" t="s">
        <v>87</v>
      </c>
      <c r="I118" s="78" t="s">
        <v>14</v>
      </c>
      <c r="J118" s="79" t="s">
        <v>14</v>
      </c>
      <c r="K118" s="142" t="s">
        <v>1851</v>
      </c>
      <c r="L118" s="149" t="s">
        <v>1406</v>
      </c>
      <c r="M118" s="150" t="s">
        <v>14</v>
      </c>
      <c r="N118" s="151">
        <v>20</v>
      </c>
      <c r="O118" s="151">
        <v>0</v>
      </c>
      <c r="P118" s="152">
        <v>0</v>
      </c>
      <c r="Q118" s="153">
        <v>100</v>
      </c>
      <c r="R118" s="154">
        <v>0</v>
      </c>
      <c r="S118" s="38">
        <f t="shared" si="12"/>
        <v>2</v>
      </c>
      <c r="T118" s="39">
        <f t="shared" si="13"/>
        <v>8</v>
      </c>
      <c r="U118" s="40">
        <f t="shared" si="14"/>
        <v>0</v>
      </c>
      <c r="V118" s="40">
        <f t="shared" si="15"/>
        <v>0</v>
      </c>
      <c r="W118" s="40">
        <f t="shared" si="16"/>
        <v>0</v>
      </c>
      <c r="X118" s="40">
        <f t="shared" si="17"/>
        <v>0</v>
      </c>
      <c r="Y118" s="40">
        <f t="shared" si="18"/>
        <v>0</v>
      </c>
      <c r="Z118" s="40">
        <f t="shared" si="19"/>
        <v>0</v>
      </c>
      <c r="AA118" s="40">
        <f t="shared" si="20"/>
        <v>0</v>
      </c>
      <c r="AB118" s="40">
        <f t="shared" si="21"/>
        <v>0</v>
      </c>
      <c r="AC118" s="41">
        <f t="shared" si="22"/>
        <v>0</v>
      </c>
      <c r="AD118" s="49"/>
      <c r="AE118" s="50"/>
      <c r="AF118" s="49"/>
      <c r="AG118" s="50"/>
      <c r="AH118" s="49"/>
      <c r="AI118" s="50"/>
      <c r="AJ118" s="49"/>
      <c r="AK118" s="50"/>
      <c r="AL118" s="49"/>
      <c r="AM118" s="50"/>
      <c r="AN118" s="49"/>
      <c r="AO118" s="50"/>
      <c r="AP118" s="49" t="s">
        <v>5</v>
      </c>
      <c r="AQ118" s="50" t="s">
        <v>101</v>
      </c>
      <c r="AR118" s="49" t="s">
        <v>5</v>
      </c>
      <c r="AS118" s="50" t="s">
        <v>102</v>
      </c>
      <c r="AT118" s="49"/>
      <c r="AU118" s="50"/>
      <c r="AV118" s="49" t="s">
        <v>5</v>
      </c>
      <c r="AW118" s="50" t="s">
        <v>154</v>
      </c>
      <c r="AX118" s="49"/>
      <c r="AY118" s="50"/>
      <c r="AZ118" s="49"/>
      <c r="BA118" s="50"/>
      <c r="BB118" s="49" t="s">
        <v>5</v>
      </c>
      <c r="BC118" s="50" t="s">
        <v>436</v>
      </c>
      <c r="BD118" s="49"/>
      <c r="BE118" s="50"/>
      <c r="BF118" s="49"/>
      <c r="BG118" s="50"/>
      <c r="BH118" s="49" t="s">
        <v>5</v>
      </c>
      <c r="BI118" s="50" t="s">
        <v>163</v>
      </c>
      <c r="BJ118" s="49" t="s">
        <v>1</v>
      </c>
      <c r="BK118" s="50" t="s">
        <v>112</v>
      </c>
      <c r="BL118" s="49"/>
      <c r="BM118" s="50"/>
      <c r="BN118" s="49" t="s">
        <v>5</v>
      </c>
      <c r="BO118" s="50" t="s">
        <v>152</v>
      </c>
      <c r="BP118" s="49"/>
      <c r="BQ118" s="50"/>
      <c r="BR118" s="49"/>
      <c r="BS118" s="50"/>
      <c r="BT118" s="49" t="s">
        <v>5</v>
      </c>
      <c r="BU118" s="50" t="s">
        <v>82</v>
      </c>
      <c r="BV118" s="49" t="s">
        <v>1</v>
      </c>
      <c r="BW118" s="50" t="s">
        <v>109</v>
      </c>
      <c r="BX118" s="49" t="s">
        <v>5</v>
      </c>
      <c r="BY118" s="50" t="s">
        <v>75</v>
      </c>
    </row>
    <row r="119" spans="1:77" x14ac:dyDescent="0.25">
      <c r="A119" s="76">
        <v>152595</v>
      </c>
      <c r="B119" s="77" t="s">
        <v>1305</v>
      </c>
      <c r="C119" s="78" t="s">
        <v>1183</v>
      </c>
      <c r="D119" s="76" t="s">
        <v>70</v>
      </c>
      <c r="E119" s="79" t="s">
        <v>14</v>
      </c>
      <c r="F119" s="79" t="s">
        <v>71</v>
      </c>
      <c r="G119" s="79" t="s">
        <v>14</v>
      </c>
      <c r="H119" s="79" t="s">
        <v>14</v>
      </c>
      <c r="I119" s="78" t="s">
        <v>14</v>
      </c>
      <c r="J119" s="79" t="s">
        <v>14</v>
      </c>
      <c r="K119" s="142" t="s">
        <v>1850</v>
      </c>
      <c r="L119" s="149" t="s">
        <v>1844</v>
      </c>
      <c r="M119" s="150" t="s">
        <v>12</v>
      </c>
      <c r="N119" s="151">
        <v>13</v>
      </c>
      <c r="O119" s="151">
        <v>0</v>
      </c>
      <c r="P119" s="152">
        <v>0</v>
      </c>
      <c r="Q119" s="153">
        <v>100</v>
      </c>
      <c r="R119" s="154">
        <v>1</v>
      </c>
      <c r="S119" s="38">
        <f t="shared" si="12"/>
        <v>0</v>
      </c>
      <c r="T119" s="39">
        <f t="shared" si="13"/>
        <v>10</v>
      </c>
      <c r="U119" s="40">
        <f t="shared" si="14"/>
        <v>0</v>
      </c>
      <c r="V119" s="40">
        <f t="shared" si="15"/>
        <v>0</v>
      </c>
      <c r="W119" s="40">
        <f t="shared" si="16"/>
        <v>0</v>
      </c>
      <c r="X119" s="40">
        <f t="shared" si="17"/>
        <v>0</v>
      </c>
      <c r="Y119" s="40">
        <f t="shared" si="18"/>
        <v>0</v>
      </c>
      <c r="Z119" s="40">
        <f t="shared" si="19"/>
        <v>0</v>
      </c>
      <c r="AA119" s="40">
        <f t="shared" si="20"/>
        <v>0</v>
      </c>
      <c r="AB119" s="40">
        <f t="shared" si="21"/>
        <v>0</v>
      </c>
      <c r="AC119" s="41">
        <f t="shared" si="22"/>
        <v>0</v>
      </c>
      <c r="AD119" s="49"/>
      <c r="AE119" s="50"/>
      <c r="AF119" s="49"/>
      <c r="AG119" s="50"/>
      <c r="AH119" s="49"/>
      <c r="AI119" s="50"/>
      <c r="AJ119" s="49"/>
      <c r="AK119" s="50"/>
      <c r="AL119" s="49"/>
      <c r="AM119" s="50"/>
      <c r="AN119" s="49"/>
      <c r="AO119" s="50"/>
      <c r="AP119" s="49"/>
      <c r="AQ119" s="50"/>
      <c r="AR119" s="49" t="s">
        <v>5</v>
      </c>
      <c r="AS119" s="50" t="s">
        <v>448</v>
      </c>
      <c r="AT119" s="49"/>
      <c r="AU119" s="50"/>
      <c r="AV119" s="49" t="s">
        <v>5</v>
      </c>
      <c r="AW119" s="50" t="s">
        <v>436</v>
      </c>
      <c r="AX119" s="49"/>
      <c r="AY119" s="50"/>
      <c r="AZ119" s="49" t="s">
        <v>5</v>
      </c>
      <c r="BA119" s="50" t="s">
        <v>92</v>
      </c>
      <c r="BB119" s="49"/>
      <c r="BC119" s="50"/>
      <c r="BD119" s="49"/>
      <c r="BE119" s="50"/>
      <c r="BF119" s="49"/>
      <c r="BG119" s="50"/>
      <c r="BH119" s="49" t="s">
        <v>5</v>
      </c>
      <c r="BI119" s="50" t="s">
        <v>1184</v>
      </c>
      <c r="BJ119" s="49" t="s">
        <v>5</v>
      </c>
      <c r="BK119" s="50" t="s">
        <v>711</v>
      </c>
      <c r="BL119" s="49" t="s">
        <v>5</v>
      </c>
      <c r="BM119" s="50" t="s">
        <v>116</v>
      </c>
      <c r="BN119" s="49" t="s">
        <v>5</v>
      </c>
      <c r="BO119" s="50" t="s">
        <v>152</v>
      </c>
      <c r="BP119" s="49"/>
      <c r="BQ119" s="50"/>
      <c r="BR119" s="49"/>
      <c r="BS119" s="50"/>
      <c r="BT119" s="49" t="s">
        <v>5</v>
      </c>
      <c r="BU119" s="50" t="s">
        <v>108</v>
      </c>
      <c r="BV119" s="49" t="s">
        <v>5</v>
      </c>
      <c r="BW119" s="50" t="s">
        <v>98</v>
      </c>
      <c r="BX119" s="49" t="s">
        <v>5</v>
      </c>
      <c r="BY119" s="50" t="s">
        <v>103</v>
      </c>
    </row>
    <row r="120" spans="1:77" ht="30" x14ac:dyDescent="0.25">
      <c r="A120" s="76">
        <v>152724</v>
      </c>
      <c r="B120" s="77" t="s">
        <v>1306</v>
      </c>
      <c r="C120" s="78" t="s">
        <v>1186</v>
      </c>
      <c r="D120" s="76" t="s">
        <v>12</v>
      </c>
      <c r="E120" s="79" t="s">
        <v>14</v>
      </c>
      <c r="F120" s="79" t="s">
        <v>900</v>
      </c>
      <c r="G120" s="79" t="s">
        <v>14</v>
      </c>
      <c r="H120" s="79" t="s">
        <v>14</v>
      </c>
      <c r="I120" s="78" t="s">
        <v>14</v>
      </c>
      <c r="J120" s="79" t="s">
        <v>6</v>
      </c>
      <c r="K120" s="142" t="s">
        <v>1850</v>
      </c>
      <c r="L120" s="149" t="s">
        <v>1848</v>
      </c>
      <c r="M120" s="150" t="s">
        <v>1852</v>
      </c>
      <c r="N120" s="151">
        <v>14</v>
      </c>
      <c r="O120" s="151">
        <v>7</v>
      </c>
      <c r="P120" s="152">
        <v>5</v>
      </c>
      <c r="Q120" s="153">
        <v>89.13</v>
      </c>
      <c r="R120" s="154">
        <v>4</v>
      </c>
      <c r="S120" s="38">
        <f t="shared" si="12"/>
        <v>1</v>
      </c>
      <c r="T120" s="39">
        <f t="shared" si="13"/>
        <v>4</v>
      </c>
      <c r="U120" s="40">
        <f t="shared" si="14"/>
        <v>4</v>
      </c>
      <c r="V120" s="40">
        <f t="shared" si="15"/>
        <v>1</v>
      </c>
      <c r="W120" s="40">
        <f t="shared" si="16"/>
        <v>0</v>
      </c>
      <c r="X120" s="40">
        <f t="shared" si="17"/>
        <v>5</v>
      </c>
      <c r="Y120" s="40">
        <f t="shared" si="18"/>
        <v>0</v>
      </c>
      <c r="Z120" s="40">
        <f t="shared" si="19"/>
        <v>0</v>
      </c>
      <c r="AA120" s="40">
        <f t="shared" si="20"/>
        <v>0</v>
      </c>
      <c r="AB120" s="40">
        <f t="shared" si="21"/>
        <v>0</v>
      </c>
      <c r="AC120" s="41">
        <f t="shared" si="22"/>
        <v>0</v>
      </c>
      <c r="AD120" s="49"/>
      <c r="AE120" s="50"/>
      <c r="AF120" s="49"/>
      <c r="AG120" s="50"/>
      <c r="AH120" s="49"/>
      <c r="AI120" s="50"/>
      <c r="AJ120" s="49"/>
      <c r="AK120" s="50"/>
      <c r="AL120" s="49"/>
      <c r="AM120" s="50"/>
      <c r="AN120" s="49"/>
      <c r="AO120" s="50"/>
      <c r="AP120" s="49" t="s">
        <v>5</v>
      </c>
      <c r="AQ120" s="50" t="s">
        <v>142</v>
      </c>
      <c r="AR120" s="49" t="s">
        <v>30</v>
      </c>
      <c r="AS120" s="50" t="s">
        <v>169</v>
      </c>
      <c r="AT120" s="49"/>
      <c r="AU120" s="50"/>
      <c r="AV120" s="49" t="s">
        <v>1</v>
      </c>
      <c r="AW120" s="50" t="s">
        <v>83</v>
      </c>
      <c r="AX120" s="49"/>
      <c r="AY120" s="50"/>
      <c r="AZ120" s="49" t="s">
        <v>30</v>
      </c>
      <c r="BA120" s="50" t="s">
        <v>92</v>
      </c>
      <c r="BB120" s="49"/>
      <c r="BC120" s="50"/>
      <c r="BD120" s="49"/>
      <c r="BE120" s="50"/>
      <c r="BF120" s="49"/>
      <c r="BG120" s="50"/>
      <c r="BH120" s="49" t="s">
        <v>5</v>
      </c>
      <c r="BI120" s="50" t="s">
        <v>163</v>
      </c>
      <c r="BJ120" s="49" t="s">
        <v>30</v>
      </c>
      <c r="BK120" s="50" t="s">
        <v>995</v>
      </c>
      <c r="BL120" s="49"/>
      <c r="BM120" s="50"/>
      <c r="BN120" s="49" t="s">
        <v>5</v>
      </c>
      <c r="BO120" s="50" t="s">
        <v>741</v>
      </c>
      <c r="BP120" s="49"/>
      <c r="BQ120" s="50"/>
      <c r="BR120" s="49"/>
      <c r="BS120" s="50"/>
      <c r="BT120" s="49" t="s">
        <v>30</v>
      </c>
      <c r="BU120" s="50" t="s">
        <v>82</v>
      </c>
      <c r="BV120" s="49" t="s">
        <v>31</v>
      </c>
      <c r="BW120" s="50" t="s">
        <v>109</v>
      </c>
      <c r="BX120" s="49" t="s">
        <v>5</v>
      </c>
      <c r="BY120" s="50" t="s">
        <v>103</v>
      </c>
    </row>
    <row r="121" spans="1:77" x14ac:dyDescent="0.25">
      <c r="A121" s="76">
        <v>152612</v>
      </c>
      <c r="B121" s="77" t="s">
        <v>1307</v>
      </c>
      <c r="C121" s="78" t="s">
        <v>1191</v>
      </c>
      <c r="D121" s="76" t="s">
        <v>12</v>
      </c>
      <c r="E121" s="79" t="s">
        <v>14</v>
      </c>
      <c r="F121" s="79" t="s">
        <v>900</v>
      </c>
      <c r="G121" s="79" t="s">
        <v>14</v>
      </c>
      <c r="H121" s="79" t="s">
        <v>14</v>
      </c>
      <c r="I121" s="78" t="s">
        <v>14</v>
      </c>
      <c r="J121" s="79" t="s">
        <v>14</v>
      </c>
      <c r="K121" s="142" t="s">
        <v>1850</v>
      </c>
      <c r="L121" s="149" t="s">
        <v>1842</v>
      </c>
      <c r="M121" s="150" t="s">
        <v>1853</v>
      </c>
      <c r="N121" s="151">
        <v>18</v>
      </c>
      <c r="O121" s="151">
        <v>3</v>
      </c>
      <c r="P121" s="152">
        <v>0</v>
      </c>
      <c r="Q121" s="153">
        <v>100</v>
      </c>
      <c r="R121" s="154">
        <v>2</v>
      </c>
      <c r="S121" s="38">
        <f t="shared" si="12"/>
        <v>1</v>
      </c>
      <c r="T121" s="39">
        <f t="shared" si="13"/>
        <v>9</v>
      </c>
      <c r="U121" s="40">
        <f t="shared" si="14"/>
        <v>1</v>
      </c>
      <c r="V121" s="40">
        <f t="shared" si="15"/>
        <v>0</v>
      </c>
      <c r="W121" s="40">
        <f t="shared" si="16"/>
        <v>0</v>
      </c>
      <c r="X121" s="40">
        <f t="shared" si="17"/>
        <v>1</v>
      </c>
      <c r="Y121" s="40">
        <f t="shared" si="18"/>
        <v>0</v>
      </c>
      <c r="Z121" s="40">
        <f t="shared" si="19"/>
        <v>0</v>
      </c>
      <c r="AA121" s="40">
        <f t="shared" si="20"/>
        <v>0</v>
      </c>
      <c r="AB121" s="40">
        <f t="shared" si="21"/>
        <v>0</v>
      </c>
      <c r="AC121" s="41">
        <f t="shared" si="22"/>
        <v>0</v>
      </c>
      <c r="AD121" s="49"/>
      <c r="AE121" s="50"/>
      <c r="AF121" s="49" t="s">
        <v>5</v>
      </c>
      <c r="AG121" s="50" t="s">
        <v>164</v>
      </c>
      <c r="AH121" s="49" t="s">
        <v>5</v>
      </c>
      <c r="AI121" s="50" t="s">
        <v>78</v>
      </c>
      <c r="AJ121" s="49" t="s">
        <v>5</v>
      </c>
      <c r="AK121" s="50" t="s">
        <v>206</v>
      </c>
      <c r="AL121" s="49"/>
      <c r="AM121" s="50"/>
      <c r="AN121" s="49"/>
      <c r="AO121" s="50"/>
      <c r="AP121" s="49"/>
      <c r="AQ121" s="50"/>
      <c r="AR121" s="49" t="s">
        <v>5</v>
      </c>
      <c r="AS121" s="50" t="s">
        <v>91</v>
      </c>
      <c r="AT121" s="49"/>
      <c r="AU121" s="50"/>
      <c r="AV121" s="49" t="s">
        <v>5</v>
      </c>
      <c r="AW121" s="50" t="s">
        <v>154</v>
      </c>
      <c r="AX121" s="49"/>
      <c r="AY121" s="50"/>
      <c r="AZ121" s="49"/>
      <c r="BA121" s="50"/>
      <c r="BB121" s="49"/>
      <c r="BC121" s="50"/>
      <c r="BD121" s="49"/>
      <c r="BE121" s="50"/>
      <c r="BF121" s="49"/>
      <c r="BG121" s="50"/>
      <c r="BH121" s="49" t="s">
        <v>5</v>
      </c>
      <c r="BI121" s="50" t="s">
        <v>163</v>
      </c>
      <c r="BJ121" s="49" t="s">
        <v>1</v>
      </c>
      <c r="BK121" s="50" t="s">
        <v>94</v>
      </c>
      <c r="BL121" s="49"/>
      <c r="BM121" s="50"/>
      <c r="BN121" s="49" t="s">
        <v>30</v>
      </c>
      <c r="BO121" s="50" t="s">
        <v>741</v>
      </c>
      <c r="BP121" s="49"/>
      <c r="BQ121" s="50"/>
      <c r="BR121" s="49" t="s">
        <v>5</v>
      </c>
      <c r="BS121" s="50" t="s">
        <v>123</v>
      </c>
      <c r="BT121" s="49" t="s">
        <v>5</v>
      </c>
      <c r="BU121" s="50" t="s">
        <v>97</v>
      </c>
      <c r="BV121" s="49"/>
      <c r="BW121" s="50"/>
      <c r="BX121" s="49" t="s">
        <v>5</v>
      </c>
      <c r="BY121" s="50" t="s">
        <v>103</v>
      </c>
    </row>
    <row r="122" spans="1:77" x14ac:dyDescent="0.25">
      <c r="A122" s="76">
        <v>152706</v>
      </c>
      <c r="B122" s="77" t="s">
        <v>1308</v>
      </c>
      <c r="C122" s="78" t="s">
        <v>1211</v>
      </c>
      <c r="D122" s="76" t="s">
        <v>12</v>
      </c>
      <c r="E122" s="79" t="s">
        <v>14</v>
      </c>
      <c r="F122" s="79" t="s">
        <v>220</v>
      </c>
      <c r="G122" s="79" t="s">
        <v>14</v>
      </c>
      <c r="H122" s="79" t="s">
        <v>14</v>
      </c>
      <c r="I122" s="78" t="s">
        <v>14</v>
      </c>
      <c r="J122" s="79" t="s">
        <v>14</v>
      </c>
      <c r="K122" s="142" t="s">
        <v>1850</v>
      </c>
      <c r="L122" s="149" t="s">
        <v>1841</v>
      </c>
      <c r="M122" s="150" t="s">
        <v>1853</v>
      </c>
      <c r="N122" s="151">
        <v>24</v>
      </c>
      <c r="O122" s="151">
        <v>0</v>
      </c>
      <c r="P122" s="152">
        <v>0</v>
      </c>
      <c r="Q122" s="153">
        <v>100</v>
      </c>
      <c r="R122" s="154">
        <v>0</v>
      </c>
      <c r="S122" s="38">
        <f t="shared" si="12"/>
        <v>1</v>
      </c>
      <c r="T122" s="39">
        <f t="shared" si="13"/>
        <v>10</v>
      </c>
      <c r="U122" s="40">
        <f t="shared" si="14"/>
        <v>0</v>
      </c>
      <c r="V122" s="40">
        <f t="shared" si="15"/>
        <v>0</v>
      </c>
      <c r="W122" s="40">
        <f t="shared" si="16"/>
        <v>0</v>
      </c>
      <c r="X122" s="40">
        <f t="shared" si="17"/>
        <v>0</v>
      </c>
      <c r="Y122" s="40">
        <f t="shared" si="18"/>
        <v>0</v>
      </c>
      <c r="Z122" s="40">
        <f t="shared" si="19"/>
        <v>0</v>
      </c>
      <c r="AA122" s="40">
        <f t="shared" si="20"/>
        <v>0</v>
      </c>
      <c r="AB122" s="40">
        <f t="shared" si="21"/>
        <v>0</v>
      </c>
      <c r="AC122" s="41">
        <f t="shared" si="22"/>
        <v>0</v>
      </c>
      <c r="AD122" s="49"/>
      <c r="AE122" s="50"/>
      <c r="AF122" s="49" t="s">
        <v>5</v>
      </c>
      <c r="AG122" s="50" t="s">
        <v>154</v>
      </c>
      <c r="AH122" s="49" t="s">
        <v>5</v>
      </c>
      <c r="AI122" s="50" t="s">
        <v>78</v>
      </c>
      <c r="AJ122" s="49" t="s">
        <v>5</v>
      </c>
      <c r="AK122" s="50" t="s">
        <v>137</v>
      </c>
      <c r="AL122" s="49"/>
      <c r="AM122" s="50"/>
      <c r="AN122" s="49"/>
      <c r="AO122" s="50"/>
      <c r="AP122" s="49"/>
      <c r="AQ122" s="50"/>
      <c r="AR122" s="49" t="s">
        <v>5</v>
      </c>
      <c r="AS122" s="50" t="s">
        <v>91</v>
      </c>
      <c r="AT122" s="49"/>
      <c r="AU122" s="50"/>
      <c r="AV122" s="49" t="s">
        <v>1</v>
      </c>
      <c r="AW122" s="50" t="s">
        <v>105</v>
      </c>
      <c r="AX122" s="49"/>
      <c r="AY122" s="50"/>
      <c r="AZ122" s="49"/>
      <c r="BA122" s="50"/>
      <c r="BB122" s="49"/>
      <c r="BC122" s="50"/>
      <c r="BD122" s="49"/>
      <c r="BE122" s="50"/>
      <c r="BF122" s="49"/>
      <c r="BG122" s="50"/>
      <c r="BH122" s="49" t="s">
        <v>5</v>
      </c>
      <c r="BI122" s="50" t="s">
        <v>163</v>
      </c>
      <c r="BJ122" s="49" t="s">
        <v>5</v>
      </c>
      <c r="BK122" s="50" t="s">
        <v>106</v>
      </c>
      <c r="BL122" s="49"/>
      <c r="BM122" s="50"/>
      <c r="BN122" s="49" t="s">
        <v>5</v>
      </c>
      <c r="BO122" s="50" t="s">
        <v>741</v>
      </c>
      <c r="BP122" s="49"/>
      <c r="BQ122" s="50"/>
      <c r="BR122" s="49" t="s">
        <v>5</v>
      </c>
      <c r="BS122" s="50" t="s">
        <v>98</v>
      </c>
      <c r="BT122" s="49" t="s">
        <v>5</v>
      </c>
      <c r="BU122" s="50" t="s">
        <v>82</v>
      </c>
      <c r="BV122" s="49"/>
      <c r="BW122" s="50"/>
      <c r="BX122" s="49" t="s">
        <v>5</v>
      </c>
      <c r="BY122" s="50" t="s">
        <v>421</v>
      </c>
    </row>
    <row r="123" spans="1:77" x14ac:dyDescent="0.25">
      <c r="A123" s="76">
        <v>152630</v>
      </c>
      <c r="B123" s="77" t="s">
        <v>1309</v>
      </c>
      <c r="C123" s="78" t="s">
        <v>1186</v>
      </c>
      <c r="D123" s="76" t="s">
        <v>12</v>
      </c>
      <c r="E123" s="79" t="s">
        <v>14</v>
      </c>
      <c r="F123" s="79" t="s">
        <v>71</v>
      </c>
      <c r="G123" s="79" t="s">
        <v>14</v>
      </c>
      <c r="H123" s="79" t="s">
        <v>14</v>
      </c>
      <c r="I123" s="78" t="s">
        <v>14</v>
      </c>
      <c r="J123" s="79" t="s">
        <v>14</v>
      </c>
      <c r="K123" s="142" t="s">
        <v>1850</v>
      </c>
      <c r="L123" s="149" t="s">
        <v>1845</v>
      </c>
      <c r="M123" s="150" t="s">
        <v>12</v>
      </c>
      <c r="N123" s="151">
        <v>17</v>
      </c>
      <c r="O123" s="151">
        <v>14</v>
      </c>
      <c r="P123" s="152">
        <v>3</v>
      </c>
      <c r="Q123" s="153">
        <v>100</v>
      </c>
      <c r="R123" s="154">
        <v>4</v>
      </c>
      <c r="S123" s="38">
        <f t="shared" si="12"/>
        <v>0</v>
      </c>
      <c r="T123" s="39">
        <f t="shared" si="13"/>
        <v>4</v>
      </c>
      <c r="U123" s="40">
        <f t="shared" si="14"/>
        <v>3</v>
      </c>
      <c r="V123" s="40">
        <f t="shared" si="15"/>
        <v>3</v>
      </c>
      <c r="W123" s="40">
        <f t="shared" si="16"/>
        <v>0</v>
      </c>
      <c r="X123" s="40">
        <f t="shared" si="17"/>
        <v>6</v>
      </c>
      <c r="Y123" s="40">
        <f t="shared" si="18"/>
        <v>0</v>
      </c>
      <c r="Z123" s="40">
        <f t="shared" si="19"/>
        <v>0</v>
      </c>
      <c r="AA123" s="40">
        <f t="shared" si="20"/>
        <v>0</v>
      </c>
      <c r="AB123" s="40">
        <f t="shared" si="21"/>
        <v>0</v>
      </c>
      <c r="AC123" s="41">
        <f t="shared" si="22"/>
        <v>0</v>
      </c>
      <c r="AD123" s="49"/>
      <c r="AE123" s="50"/>
      <c r="AF123" s="49"/>
      <c r="AG123" s="50"/>
      <c r="AH123" s="49"/>
      <c r="AI123" s="50"/>
      <c r="AJ123" s="49"/>
      <c r="AK123" s="50"/>
      <c r="AL123" s="49"/>
      <c r="AM123" s="50"/>
      <c r="AN123" s="49"/>
      <c r="AO123" s="50"/>
      <c r="AP123" s="49" t="s">
        <v>5</v>
      </c>
      <c r="AQ123" s="50" t="s">
        <v>101</v>
      </c>
      <c r="AR123" s="49" t="s">
        <v>31</v>
      </c>
      <c r="AS123" s="50" t="s">
        <v>448</v>
      </c>
      <c r="AT123" s="49"/>
      <c r="AU123" s="50"/>
      <c r="AV123" s="49" t="s">
        <v>5</v>
      </c>
      <c r="AW123" s="50" t="s">
        <v>83</v>
      </c>
      <c r="AX123" s="49"/>
      <c r="AY123" s="50"/>
      <c r="AZ123" s="49"/>
      <c r="BA123" s="50"/>
      <c r="BB123" s="49"/>
      <c r="BC123" s="50"/>
      <c r="BD123" s="49"/>
      <c r="BE123" s="50"/>
      <c r="BF123" s="49"/>
      <c r="BG123" s="50"/>
      <c r="BH123" s="49" t="s">
        <v>30</v>
      </c>
      <c r="BI123" s="50" t="s">
        <v>78</v>
      </c>
      <c r="BJ123" s="49" t="s">
        <v>31</v>
      </c>
      <c r="BK123" s="50" t="s">
        <v>139</v>
      </c>
      <c r="BL123" s="49"/>
      <c r="BM123" s="50"/>
      <c r="BN123" s="49" t="s">
        <v>5</v>
      </c>
      <c r="BO123" s="50" t="s">
        <v>107</v>
      </c>
      <c r="BP123" s="49" t="s">
        <v>5</v>
      </c>
      <c r="BQ123" s="50" t="s">
        <v>81</v>
      </c>
      <c r="BR123" s="49"/>
      <c r="BS123" s="50"/>
      <c r="BT123" s="49" t="s">
        <v>30</v>
      </c>
      <c r="BU123" s="50" t="s">
        <v>82</v>
      </c>
      <c r="BV123" s="49" t="s">
        <v>31</v>
      </c>
      <c r="BW123" s="50" t="s">
        <v>98</v>
      </c>
      <c r="BX123" s="49" t="s">
        <v>30</v>
      </c>
      <c r="BY123" s="50" t="s">
        <v>103</v>
      </c>
    </row>
    <row r="124" spans="1:77" x14ac:dyDescent="0.25">
      <c r="A124" s="76">
        <v>152566</v>
      </c>
      <c r="B124" s="77" t="s">
        <v>1310</v>
      </c>
      <c r="C124" s="78" t="s">
        <v>1191</v>
      </c>
      <c r="D124" s="76" t="s">
        <v>12</v>
      </c>
      <c r="E124" s="79" t="s">
        <v>14</v>
      </c>
      <c r="F124" s="79" t="s">
        <v>71</v>
      </c>
      <c r="G124" s="79" t="s">
        <v>14</v>
      </c>
      <c r="H124" s="79" t="s">
        <v>14</v>
      </c>
      <c r="I124" s="78" t="s">
        <v>14</v>
      </c>
      <c r="J124" s="79" t="s">
        <v>14</v>
      </c>
      <c r="K124" s="142" t="s">
        <v>1850</v>
      </c>
      <c r="L124" s="149" t="s">
        <v>1845</v>
      </c>
      <c r="M124" s="150" t="s">
        <v>12</v>
      </c>
      <c r="N124" s="151">
        <v>14</v>
      </c>
      <c r="O124" s="151">
        <v>8</v>
      </c>
      <c r="P124" s="152">
        <v>3</v>
      </c>
      <c r="Q124" s="153">
        <v>91.3</v>
      </c>
      <c r="R124" s="154">
        <v>0</v>
      </c>
      <c r="S124" s="38">
        <f t="shared" si="12"/>
        <v>0</v>
      </c>
      <c r="T124" s="39">
        <f t="shared" si="13"/>
        <v>8</v>
      </c>
      <c r="U124" s="40">
        <f t="shared" si="14"/>
        <v>2</v>
      </c>
      <c r="V124" s="40">
        <f t="shared" si="15"/>
        <v>0</v>
      </c>
      <c r="W124" s="40">
        <f t="shared" si="16"/>
        <v>0</v>
      </c>
      <c r="X124" s="40">
        <f t="shared" si="17"/>
        <v>2</v>
      </c>
      <c r="Y124" s="40">
        <f t="shared" si="18"/>
        <v>0</v>
      </c>
      <c r="Z124" s="40">
        <f t="shared" si="19"/>
        <v>0</v>
      </c>
      <c r="AA124" s="40">
        <f t="shared" si="20"/>
        <v>0</v>
      </c>
      <c r="AB124" s="40">
        <f t="shared" si="21"/>
        <v>0</v>
      </c>
      <c r="AC124" s="41">
        <f t="shared" si="22"/>
        <v>0</v>
      </c>
      <c r="AD124" s="49"/>
      <c r="AE124" s="50"/>
      <c r="AF124" s="49"/>
      <c r="AG124" s="50"/>
      <c r="AH124" s="49"/>
      <c r="AI124" s="50"/>
      <c r="AJ124" s="49"/>
      <c r="AK124" s="50"/>
      <c r="AL124" s="49"/>
      <c r="AM124" s="50"/>
      <c r="AN124" s="49"/>
      <c r="AO124" s="50"/>
      <c r="AP124" s="49" t="s">
        <v>5</v>
      </c>
      <c r="AQ124" s="50" t="s">
        <v>101</v>
      </c>
      <c r="AR124" s="49" t="s">
        <v>5</v>
      </c>
      <c r="AS124" s="50" t="s">
        <v>151</v>
      </c>
      <c r="AT124" s="49"/>
      <c r="AU124" s="50"/>
      <c r="AV124" s="49" t="s">
        <v>5</v>
      </c>
      <c r="AW124" s="50" t="s">
        <v>154</v>
      </c>
      <c r="AX124" s="49"/>
      <c r="AY124" s="50"/>
      <c r="AZ124" s="49"/>
      <c r="BA124" s="50"/>
      <c r="BB124" s="49"/>
      <c r="BC124" s="50"/>
      <c r="BD124" s="49" t="s">
        <v>5</v>
      </c>
      <c r="BE124" s="50" t="s">
        <v>104</v>
      </c>
      <c r="BF124" s="49"/>
      <c r="BG124" s="50"/>
      <c r="BH124" s="49" t="s">
        <v>5</v>
      </c>
      <c r="BI124" s="50" t="s">
        <v>163</v>
      </c>
      <c r="BJ124" s="49" t="s">
        <v>5</v>
      </c>
      <c r="BK124" s="50" t="s">
        <v>112</v>
      </c>
      <c r="BL124" s="49"/>
      <c r="BM124" s="50"/>
      <c r="BN124" s="49" t="s">
        <v>5</v>
      </c>
      <c r="BO124" s="50" t="s">
        <v>741</v>
      </c>
      <c r="BP124" s="49"/>
      <c r="BQ124" s="50"/>
      <c r="BR124" s="49"/>
      <c r="BS124" s="50"/>
      <c r="BT124" s="49" t="s">
        <v>30</v>
      </c>
      <c r="BU124" s="50" t="s">
        <v>82</v>
      </c>
      <c r="BV124" s="49" t="s">
        <v>5</v>
      </c>
      <c r="BW124" s="50" t="s">
        <v>98</v>
      </c>
      <c r="BX124" s="49" t="s">
        <v>30</v>
      </c>
      <c r="BY124" s="50" t="s">
        <v>75</v>
      </c>
    </row>
    <row r="125" spans="1:77" x14ac:dyDescent="0.25">
      <c r="A125" s="76">
        <v>152674</v>
      </c>
      <c r="B125" s="77" t="s">
        <v>1311</v>
      </c>
      <c r="C125" s="78" t="s">
        <v>1183</v>
      </c>
      <c r="D125" s="76" t="s">
        <v>12</v>
      </c>
      <c r="E125" s="79" t="s">
        <v>14</v>
      </c>
      <c r="F125" s="79" t="s">
        <v>71</v>
      </c>
      <c r="G125" s="79" t="s">
        <v>14</v>
      </c>
      <c r="H125" s="79" t="s">
        <v>14</v>
      </c>
      <c r="I125" s="78" t="s">
        <v>14</v>
      </c>
      <c r="J125" s="79" t="s">
        <v>6</v>
      </c>
      <c r="K125" s="142" t="s">
        <v>1850</v>
      </c>
      <c r="L125" s="149" t="s">
        <v>1845</v>
      </c>
      <c r="M125" s="150" t="s">
        <v>12</v>
      </c>
      <c r="N125" s="151">
        <v>5</v>
      </c>
      <c r="O125" s="151">
        <v>9</v>
      </c>
      <c r="P125" s="152">
        <v>0</v>
      </c>
      <c r="Q125" s="153">
        <v>73.91</v>
      </c>
      <c r="R125" s="154">
        <v>1</v>
      </c>
      <c r="S125" s="38">
        <f t="shared" si="12"/>
        <v>0</v>
      </c>
      <c r="T125" s="39">
        <f t="shared" si="13"/>
        <v>4</v>
      </c>
      <c r="U125" s="40">
        <f t="shared" si="14"/>
        <v>4</v>
      </c>
      <c r="V125" s="40">
        <f t="shared" si="15"/>
        <v>1</v>
      </c>
      <c r="W125" s="40">
        <f t="shared" si="16"/>
        <v>0</v>
      </c>
      <c r="X125" s="40">
        <f t="shared" si="17"/>
        <v>5</v>
      </c>
      <c r="Y125" s="40">
        <f t="shared" si="18"/>
        <v>1</v>
      </c>
      <c r="Z125" s="40">
        <f t="shared" si="19"/>
        <v>0</v>
      </c>
      <c r="AA125" s="40">
        <f t="shared" si="20"/>
        <v>0</v>
      </c>
      <c r="AB125" s="40">
        <f t="shared" si="21"/>
        <v>1</v>
      </c>
      <c r="AC125" s="41">
        <f t="shared" si="22"/>
        <v>0</v>
      </c>
      <c r="AD125" s="49"/>
      <c r="AE125" s="50"/>
      <c r="AF125" s="49"/>
      <c r="AG125" s="50"/>
      <c r="AH125" s="49"/>
      <c r="AI125" s="50"/>
      <c r="AJ125" s="49"/>
      <c r="AK125" s="50"/>
      <c r="AL125" s="49"/>
      <c r="AM125" s="50"/>
      <c r="AN125" s="49"/>
      <c r="AO125" s="50"/>
      <c r="AP125" s="49"/>
      <c r="AQ125" s="50"/>
      <c r="AR125" s="49" t="s">
        <v>30</v>
      </c>
      <c r="AS125" s="50" t="s">
        <v>448</v>
      </c>
      <c r="AT125" s="49" t="s">
        <v>5</v>
      </c>
      <c r="AU125" s="50" t="s">
        <v>135</v>
      </c>
      <c r="AV125" s="49" t="s">
        <v>30</v>
      </c>
      <c r="AW125" s="50" t="s">
        <v>436</v>
      </c>
      <c r="AX125" s="49"/>
      <c r="AY125" s="50"/>
      <c r="AZ125" s="49"/>
      <c r="BA125" s="50"/>
      <c r="BB125" s="49"/>
      <c r="BC125" s="50"/>
      <c r="BD125" s="49" t="s">
        <v>5</v>
      </c>
      <c r="BE125" s="50" t="s">
        <v>104</v>
      </c>
      <c r="BF125" s="49"/>
      <c r="BG125" s="50"/>
      <c r="BH125" s="49" t="s">
        <v>30</v>
      </c>
      <c r="BI125" s="50" t="s">
        <v>1184</v>
      </c>
      <c r="BJ125" s="49" t="s">
        <v>34</v>
      </c>
      <c r="BK125" s="50" t="s">
        <v>112</v>
      </c>
      <c r="BL125" s="49"/>
      <c r="BM125" s="50"/>
      <c r="BN125" s="49" t="s">
        <v>5</v>
      </c>
      <c r="BO125" s="50" t="s">
        <v>741</v>
      </c>
      <c r="BP125" s="49"/>
      <c r="BQ125" s="50"/>
      <c r="BR125" s="49"/>
      <c r="BS125" s="50"/>
      <c r="BT125" s="49" t="s">
        <v>31</v>
      </c>
      <c r="BU125" s="50" t="s">
        <v>457</v>
      </c>
      <c r="BV125" s="49" t="s">
        <v>30</v>
      </c>
      <c r="BW125" s="50" t="s">
        <v>109</v>
      </c>
      <c r="BX125" s="49" t="s">
        <v>5</v>
      </c>
      <c r="BY125" s="50" t="s">
        <v>75</v>
      </c>
    </row>
    <row r="126" spans="1:77" x14ac:dyDescent="0.25">
      <c r="A126" s="76">
        <v>152666</v>
      </c>
      <c r="B126" s="77" t="s">
        <v>1312</v>
      </c>
      <c r="C126" s="78" t="s">
        <v>1186</v>
      </c>
      <c r="D126" s="76" t="s">
        <v>12</v>
      </c>
      <c r="E126" s="79" t="s">
        <v>14</v>
      </c>
      <c r="F126" s="79" t="s">
        <v>71</v>
      </c>
      <c r="G126" s="79" t="s">
        <v>14</v>
      </c>
      <c r="H126" s="79" t="s">
        <v>14</v>
      </c>
      <c r="I126" s="78" t="s">
        <v>14</v>
      </c>
      <c r="J126" s="79" t="s">
        <v>14</v>
      </c>
      <c r="K126" s="142" t="s">
        <v>1850</v>
      </c>
      <c r="L126" s="149" t="s">
        <v>1841</v>
      </c>
      <c r="M126" s="150" t="s">
        <v>1853</v>
      </c>
      <c r="N126" s="151">
        <v>32</v>
      </c>
      <c r="O126" s="151">
        <v>0</v>
      </c>
      <c r="P126" s="152">
        <v>0</v>
      </c>
      <c r="Q126" s="153">
        <v>100</v>
      </c>
      <c r="R126" s="154">
        <v>0</v>
      </c>
      <c r="S126" s="38">
        <f t="shared" si="12"/>
        <v>2</v>
      </c>
      <c r="T126" s="39">
        <f t="shared" si="13"/>
        <v>8</v>
      </c>
      <c r="U126" s="40">
        <f t="shared" si="14"/>
        <v>0</v>
      </c>
      <c r="V126" s="40">
        <f t="shared" si="15"/>
        <v>0</v>
      </c>
      <c r="W126" s="40">
        <f t="shared" si="16"/>
        <v>0</v>
      </c>
      <c r="X126" s="40">
        <f t="shared" si="17"/>
        <v>0</v>
      </c>
      <c r="Y126" s="40">
        <f t="shared" si="18"/>
        <v>0</v>
      </c>
      <c r="Z126" s="40">
        <f t="shared" si="19"/>
        <v>0</v>
      </c>
      <c r="AA126" s="40">
        <f t="shared" si="20"/>
        <v>0</v>
      </c>
      <c r="AB126" s="40">
        <f t="shared" si="21"/>
        <v>0</v>
      </c>
      <c r="AC126" s="41">
        <f t="shared" si="22"/>
        <v>0</v>
      </c>
      <c r="AD126" s="49" t="s">
        <v>5</v>
      </c>
      <c r="AE126" s="50" t="s">
        <v>72</v>
      </c>
      <c r="AF126" s="49"/>
      <c r="AG126" s="50"/>
      <c r="AH126" s="49"/>
      <c r="AI126" s="50"/>
      <c r="AJ126" s="49"/>
      <c r="AK126" s="50"/>
      <c r="AL126" s="49"/>
      <c r="AM126" s="50"/>
      <c r="AN126" s="49"/>
      <c r="AO126" s="50"/>
      <c r="AP126" s="49" t="s">
        <v>5</v>
      </c>
      <c r="AQ126" s="50" t="s">
        <v>142</v>
      </c>
      <c r="AR126" s="49" t="s">
        <v>5</v>
      </c>
      <c r="AS126" s="50" t="s">
        <v>194</v>
      </c>
      <c r="AT126" s="49"/>
      <c r="AU126" s="50"/>
      <c r="AV126" s="49" t="s">
        <v>5</v>
      </c>
      <c r="AW126" s="50" t="s">
        <v>83</v>
      </c>
      <c r="AX126" s="49"/>
      <c r="AY126" s="50"/>
      <c r="AZ126" s="49"/>
      <c r="BA126" s="50"/>
      <c r="BB126" s="49"/>
      <c r="BC126" s="50"/>
      <c r="BD126" s="49"/>
      <c r="BE126" s="50"/>
      <c r="BF126" s="49"/>
      <c r="BG126" s="50"/>
      <c r="BH126" s="49" t="s">
        <v>5</v>
      </c>
      <c r="BI126" s="50" t="s">
        <v>78</v>
      </c>
      <c r="BJ126" s="49" t="s">
        <v>1</v>
      </c>
      <c r="BK126" s="50" t="s">
        <v>94</v>
      </c>
      <c r="BL126" s="49"/>
      <c r="BM126" s="50"/>
      <c r="BN126" s="49" t="s">
        <v>5</v>
      </c>
      <c r="BO126" s="50" t="s">
        <v>741</v>
      </c>
      <c r="BP126" s="49"/>
      <c r="BQ126" s="50"/>
      <c r="BR126" s="49"/>
      <c r="BS126" s="50"/>
      <c r="BT126" s="49" t="s">
        <v>5</v>
      </c>
      <c r="BU126" s="50" t="s">
        <v>82</v>
      </c>
      <c r="BV126" s="49" t="s">
        <v>1</v>
      </c>
      <c r="BW126" s="50" t="s">
        <v>98</v>
      </c>
      <c r="BX126" s="49" t="s">
        <v>5</v>
      </c>
      <c r="BY126" s="50" t="s">
        <v>130</v>
      </c>
    </row>
    <row r="127" spans="1:77" x14ac:dyDescent="0.25">
      <c r="A127" s="76">
        <v>152521</v>
      </c>
      <c r="B127" s="77" t="s">
        <v>1313</v>
      </c>
      <c r="C127" s="78" t="s">
        <v>1181</v>
      </c>
      <c r="D127" s="76" t="s">
        <v>70</v>
      </c>
      <c r="E127" s="79" t="s">
        <v>14</v>
      </c>
      <c r="F127" s="79" t="s">
        <v>71</v>
      </c>
      <c r="G127" s="79" t="s">
        <v>14</v>
      </c>
      <c r="H127" s="79" t="s">
        <v>14</v>
      </c>
      <c r="I127" s="78" t="s">
        <v>14</v>
      </c>
      <c r="J127" s="79" t="s">
        <v>14</v>
      </c>
      <c r="K127" s="142" t="s">
        <v>1850</v>
      </c>
      <c r="L127" s="149" t="s">
        <v>1845</v>
      </c>
      <c r="M127" s="150" t="s">
        <v>12</v>
      </c>
      <c r="N127" s="151">
        <v>13</v>
      </c>
      <c r="O127" s="151">
        <v>0</v>
      </c>
      <c r="P127" s="152">
        <v>1</v>
      </c>
      <c r="Q127" s="153">
        <v>58.7</v>
      </c>
      <c r="R127" s="154">
        <v>1</v>
      </c>
      <c r="S127" s="38">
        <f t="shared" si="12"/>
        <v>1</v>
      </c>
      <c r="T127" s="39">
        <f t="shared" si="13"/>
        <v>9</v>
      </c>
      <c r="U127" s="40">
        <f t="shared" si="14"/>
        <v>0</v>
      </c>
      <c r="V127" s="40">
        <f t="shared" si="15"/>
        <v>0</v>
      </c>
      <c r="W127" s="40">
        <f t="shared" si="16"/>
        <v>0</v>
      </c>
      <c r="X127" s="40">
        <f t="shared" si="17"/>
        <v>0</v>
      </c>
      <c r="Y127" s="40">
        <f t="shared" si="18"/>
        <v>0</v>
      </c>
      <c r="Z127" s="40">
        <f t="shared" si="19"/>
        <v>0</v>
      </c>
      <c r="AA127" s="40">
        <f t="shared" si="20"/>
        <v>0</v>
      </c>
      <c r="AB127" s="40">
        <f t="shared" si="21"/>
        <v>0</v>
      </c>
      <c r="AC127" s="41">
        <f t="shared" si="22"/>
        <v>0</v>
      </c>
      <c r="AD127" s="49" t="s">
        <v>5</v>
      </c>
      <c r="AE127" s="50" t="s">
        <v>89</v>
      </c>
      <c r="AF127" s="49"/>
      <c r="AG127" s="50"/>
      <c r="AH127" s="49"/>
      <c r="AI127" s="50"/>
      <c r="AJ127" s="49"/>
      <c r="AK127" s="50"/>
      <c r="AL127" s="49"/>
      <c r="AM127" s="50"/>
      <c r="AN127" s="49"/>
      <c r="AO127" s="50"/>
      <c r="AP127" s="49"/>
      <c r="AQ127" s="50"/>
      <c r="AR127" s="49" t="s">
        <v>5</v>
      </c>
      <c r="AS127" s="50" t="s">
        <v>151</v>
      </c>
      <c r="AT127" s="49"/>
      <c r="AU127" s="50"/>
      <c r="AV127" s="49" t="s">
        <v>5</v>
      </c>
      <c r="AW127" s="50" t="s">
        <v>104</v>
      </c>
      <c r="AX127" s="49" t="s">
        <v>5</v>
      </c>
      <c r="AY127" s="50" t="s">
        <v>103</v>
      </c>
      <c r="AZ127" s="49" t="s">
        <v>5</v>
      </c>
      <c r="BA127" s="50" t="s">
        <v>92</v>
      </c>
      <c r="BB127" s="49"/>
      <c r="BC127" s="50"/>
      <c r="BD127" s="49"/>
      <c r="BE127" s="50"/>
      <c r="BF127" s="49"/>
      <c r="BG127" s="50"/>
      <c r="BH127" s="49" t="s">
        <v>5</v>
      </c>
      <c r="BI127" s="50" t="s">
        <v>1184</v>
      </c>
      <c r="BJ127" s="49" t="s">
        <v>1</v>
      </c>
      <c r="BK127" s="50" t="s">
        <v>94</v>
      </c>
      <c r="BL127" s="49"/>
      <c r="BM127" s="50"/>
      <c r="BN127" s="49" t="s">
        <v>5</v>
      </c>
      <c r="BO127" s="50" t="s">
        <v>152</v>
      </c>
      <c r="BP127" s="49"/>
      <c r="BQ127" s="50"/>
      <c r="BR127" s="49"/>
      <c r="BS127" s="50"/>
      <c r="BT127" s="49" t="s">
        <v>5</v>
      </c>
      <c r="BU127" s="50" t="s">
        <v>122</v>
      </c>
      <c r="BV127" s="49" t="s">
        <v>5</v>
      </c>
      <c r="BW127" s="50" t="s">
        <v>98</v>
      </c>
      <c r="BX127" s="49"/>
      <c r="BY127" s="50"/>
    </row>
    <row r="128" spans="1:77" x14ac:dyDescent="0.25">
      <c r="A128" s="76">
        <v>152518</v>
      </c>
      <c r="B128" s="77" t="s">
        <v>1314</v>
      </c>
      <c r="C128" s="78" t="s">
        <v>1191</v>
      </c>
      <c r="D128" s="76" t="s">
        <v>12</v>
      </c>
      <c r="E128" s="79" t="s">
        <v>14</v>
      </c>
      <c r="F128" s="79" t="s">
        <v>88</v>
      </c>
      <c r="G128" s="79" t="s">
        <v>14</v>
      </c>
      <c r="H128" s="79" t="s">
        <v>14</v>
      </c>
      <c r="I128" s="78" t="s">
        <v>14</v>
      </c>
      <c r="J128" s="79" t="s">
        <v>14</v>
      </c>
      <c r="K128" s="142" t="s">
        <v>1850</v>
      </c>
      <c r="L128" s="149" t="s">
        <v>1845</v>
      </c>
      <c r="M128" s="150" t="s">
        <v>12</v>
      </c>
      <c r="N128" s="151">
        <v>9</v>
      </c>
      <c r="O128" s="151">
        <v>8</v>
      </c>
      <c r="P128" s="152">
        <v>3</v>
      </c>
      <c r="Q128" s="153">
        <v>100</v>
      </c>
      <c r="R128" s="154">
        <v>8</v>
      </c>
      <c r="S128" s="38">
        <f t="shared" si="12"/>
        <v>0</v>
      </c>
      <c r="T128" s="39">
        <f t="shared" si="13"/>
        <v>7</v>
      </c>
      <c r="U128" s="40">
        <f t="shared" si="14"/>
        <v>2</v>
      </c>
      <c r="V128" s="40">
        <f t="shared" si="15"/>
        <v>1</v>
      </c>
      <c r="W128" s="40">
        <f t="shared" si="16"/>
        <v>0</v>
      </c>
      <c r="X128" s="40">
        <f t="shared" si="17"/>
        <v>3</v>
      </c>
      <c r="Y128" s="40">
        <f t="shared" si="18"/>
        <v>0</v>
      </c>
      <c r="Z128" s="40">
        <f t="shared" si="19"/>
        <v>0</v>
      </c>
      <c r="AA128" s="40">
        <f t="shared" si="20"/>
        <v>0</v>
      </c>
      <c r="AB128" s="40">
        <f t="shared" si="21"/>
        <v>0</v>
      </c>
      <c r="AC128" s="41">
        <f t="shared" si="22"/>
        <v>0</v>
      </c>
      <c r="AD128" s="49"/>
      <c r="AE128" s="50"/>
      <c r="AF128" s="49"/>
      <c r="AG128" s="50"/>
      <c r="AH128" s="49"/>
      <c r="AI128" s="50"/>
      <c r="AJ128" s="49"/>
      <c r="AK128" s="50"/>
      <c r="AL128" s="49"/>
      <c r="AM128" s="50"/>
      <c r="AN128" s="49"/>
      <c r="AO128" s="50"/>
      <c r="AP128" s="49" t="s">
        <v>5</v>
      </c>
      <c r="AQ128" s="50" t="s">
        <v>101</v>
      </c>
      <c r="AR128" s="49" t="s">
        <v>31</v>
      </c>
      <c r="AS128" s="50" t="s">
        <v>448</v>
      </c>
      <c r="AT128" s="49"/>
      <c r="AU128" s="50"/>
      <c r="AV128" s="49" t="s">
        <v>5</v>
      </c>
      <c r="AW128" s="50" t="s">
        <v>154</v>
      </c>
      <c r="AX128" s="49"/>
      <c r="AY128" s="50"/>
      <c r="AZ128" s="49"/>
      <c r="BA128" s="50"/>
      <c r="BB128" s="49"/>
      <c r="BC128" s="50"/>
      <c r="BD128" s="49" t="s">
        <v>5</v>
      </c>
      <c r="BE128" s="50" t="s">
        <v>104</v>
      </c>
      <c r="BF128" s="49"/>
      <c r="BG128" s="50"/>
      <c r="BH128" s="49" t="s">
        <v>5</v>
      </c>
      <c r="BI128" s="50" t="s">
        <v>163</v>
      </c>
      <c r="BJ128" s="49" t="s">
        <v>30</v>
      </c>
      <c r="BK128" s="50" t="s">
        <v>711</v>
      </c>
      <c r="BL128" s="49"/>
      <c r="BM128" s="50"/>
      <c r="BN128" s="49" t="s">
        <v>5</v>
      </c>
      <c r="BO128" s="50" t="s">
        <v>107</v>
      </c>
      <c r="BP128" s="49"/>
      <c r="BQ128" s="50"/>
      <c r="BR128" s="49"/>
      <c r="BS128" s="50"/>
      <c r="BT128" s="49" t="s">
        <v>30</v>
      </c>
      <c r="BU128" s="50" t="s">
        <v>82</v>
      </c>
      <c r="BV128" s="49" t="s">
        <v>5</v>
      </c>
      <c r="BW128" s="50" t="s">
        <v>98</v>
      </c>
      <c r="BX128" s="49" t="s">
        <v>5</v>
      </c>
      <c r="BY128" s="50" t="s">
        <v>75</v>
      </c>
    </row>
    <row r="129" spans="1:77" x14ac:dyDescent="0.25">
      <c r="A129" s="76">
        <v>152685</v>
      </c>
      <c r="B129" s="77" t="s">
        <v>1315</v>
      </c>
      <c r="C129" s="78" t="s">
        <v>1205</v>
      </c>
      <c r="D129" s="76" t="s">
        <v>12</v>
      </c>
      <c r="E129" s="79" t="s">
        <v>14</v>
      </c>
      <c r="F129" s="79" t="s">
        <v>71</v>
      </c>
      <c r="G129" s="79" t="s">
        <v>14</v>
      </c>
      <c r="H129" s="79" t="s">
        <v>14</v>
      </c>
      <c r="I129" s="78" t="s">
        <v>14</v>
      </c>
      <c r="J129" s="79" t="s">
        <v>14</v>
      </c>
      <c r="K129" s="142" t="s">
        <v>1851</v>
      </c>
      <c r="L129" s="149" t="s">
        <v>1845</v>
      </c>
      <c r="M129" s="150" t="s">
        <v>12</v>
      </c>
      <c r="N129" s="151">
        <v>16</v>
      </c>
      <c r="O129" s="151">
        <v>0</v>
      </c>
      <c r="P129" s="152">
        <v>0</v>
      </c>
      <c r="Q129" s="153">
        <v>100</v>
      </c>
      <c r="R129" s="154">
        <v>1</v>
      </c>
      <c r="S129" s="38">
        <f t="shared" si="12"/>
        <v>1</v>
      </c>
      <c r="T129" s="39">
        <f t="shared" si="13"/>
        <v>9</v>
      </c>
      <c r="U129" s="40">
        <f t="shared" si="14"/>
        <v>0</v>
      </c>
      <c r="V129" s="40">
        <f t="shared" si="15"/>
        <v>0</v>
      </c>
      <c r="W129" s="40">
        <f t="shared" si="16"/>
        <v>0</v>
      </c>
      <c r="X129" s="40">
        <f t="shared" si="17"/>
        <v>0</v>
      </c>
      <c r="Y129" s="40">
        <f t="shared" si="18"/>
        <v>0</v>
      </c>
      <c r="Z129" s="40">
        <f t="shared" si="19"/>
        <v>0</v>
      </c>
      <c r="AA129" s="40">
        <f t="shared" si="20"/>
        <v>0</v>
      </c>
      <c r="AB129" s="40">
        <f t="shared" si="21"/>
        <v>0</v>
      </c>
      <c r="AC129" s="41">
        <f t="shared" si="22"/>
        <v>0</v>
      </c>
      <c r="AD129" s="49"/>
      <c r="AE129" s="50"/>
      <c r="AF129" s="49"/>
      <c r="AG129" s="50"/>
      <c r="AH129" s="49"/>
      <c r="AI129" s="50"/>
      <c r="AJ129" s="49"/>
      <c r="AK129" s="50"/>
      <c r="AL129" s="49"/>
      <c r="AM129" s="50"/>
      <c r="AN129" s="49"/>
      <c r="AO129" s="50"/>
      <c r="AP129" s="49" t="s">
        <v>5</v>
      </c>
      <c r="AQ129" s="50" t="s">
        <v>101</v>
      </c>
      <c r="AR129" s="49" t="s">
        <v>5</v>
      </c>
      <c r="AS129" s="50" t="s">
        <v>722</v>
      </c>
      <c r="AT129" s="49"/>
      <c r="AU129" s="50"/>
      <c r="AV129" s="49" t="s">
        <v>5</v>
      </c>
      <c r="AW129" s="50" t="s">
        <v>152</v>
      </c>
      <c r="AX129" s="49" t="s">
        <v>5</v>
      </c>
      <c r="AY129" s="50" t="s">
        <v>84</v>
      </c>
      <c r="AZ129" s="49" t="s">
        <v>5</v>
      </c>
      <c r="BA129" s="50" t="s">
        <v>92</v>
      </c>
      <c r="BB129" s="49"/>
      <c r="BC129" s="50"/>
      <c r="BD129" s="49"/>
      <c r="BE129" s="50"/>
      <c r="BF129" s="49"/>
      <c r="BG129" s="50"/>
      <c r="BH129" s="49" t="s">
        <v>5</v>
      </c>
      <c r="BI129" s="50" t="s">
        <v>105</v>
      </c>
      <c r="BJ129" s="49" t="s">
        <v>5</v>
      </c>
      <c r="BK129" s="50" t="s">
        <v>711</v>
      </c>
      <c r="BL129" s="49"/>
      <c r="BM129" s="50"/>
      <c r="BN129" s="49" t="s">
        <v>1</v>
      </c>
      <c r="BO129" s="50" t="s">
        <v>96</v>
      </c>
      <c r="BP129" s="49"/>
      <c r="BQ129" s="50"/>
      <c r="BR129" s="49"/>
      <c r="BS129" s="50"/>
      <c r="BT129" s="49" t="s">
        <v>5</v>
      </c>
      <c r="BU129" s="50" t="s">
        <v>122</v>
      </c>
      <c r="BV129" s="49" t="s">
        <v>5</v>
      </c>
      <c r="BW129" s="50" t="s">
        <v>98</v>
      </c>
      <c r="BX129" s="49"/>
      <c r="BY129" s="50"/>
    </row>
    <row r="130" spans="1:77" x14ac:dyDescent="0.25">
      <c r="A130" s="76">
        <v>152668</v>
      </c>
      <c r="B130" s="77" t="s">
        <v>1316</v>
      </c>
      <c r="C130" s="78" t="s">
        <v>1181</v>
      </c>
      <c r="D130" s="76" t="s">
        <v>12</v>
      </c>
      <c r="E130" s="79" t="s">
        <v>14</v>
      </c>
      <c r="F130" s="79" t="s">
        <v>71</v>
      </c>
      <c r="G130" s="79" t="s">
        <v>14</v>
      </c>
      <c r="H130" s="79" t="s">
        <v>14</v>
      </c>
      <c r="I130" s="78" t="s">
        <v>14</v>
      </c>
      <c r="J130" s="79" t="s">
        <v>14</v>
      </c>
      <c r="K130" s="142" t="s">
        <v>1850</v>
      </c>
      <c r="L130" s="149" t="s">
        <v>1842</v>
      </c>
      <c r="M130" s="150" t="s">
        <v>1853</v>
      </c>
      <c r="N130" s="151">
        <v>39</v>
      </c>
      <c r="O130" s="151">
        <v>0</v>
      </c>
      <c r="P130" s="152">
        <v>0</v>
      </c>
      <c r="Q130" s="153">
        <v>91.3</v>
      </c>
      <c r="R130" s="154">
        <v>1</v>
      </c>
      <c r="S130" s="38">
        <f t="shared" ref="S130:S193" si="23">COUNTIF($AD130:$BY130,"Outstanding")</f>
        <v>2</v>
      </c>
      <c r="T130" s="39">
        <f t="shared" ref="T130:T193" si="24">COUNTIF($AD130:$BY130,"Good")</f>
        <v>8</v>
      </c>
      <c r="U130" s="40">
        <f t="shared" ref="U130:U193" si="25">COUNTIF($AD130:$BY130,"N2Improve - Engagement")</f>
        <v>0</v>
      </c>
      <c r="V130" s="40">
        <f t="shared" ref="V130:V193" si="26">COUNTIF($AD130:$BY130,"N2Improve - Community Conduct")</f>
        <v>0</v>
      </c>
      <c r="W130" s="40">
        <f t="shared" ref="W130:W193" si="27">COUNTIF($AD130:$BY130,"N2Improve - Personal Org.")</f>
        <v>0</v>
      </c>
      <c r="X130" s="40">
        <f t="shared" ref="X130:X193" si="28">SUM(U130:W130)</f>
        <v>0</v>
      </c>
      <c r="Y130" s="40">
        <f t="shared" ref="Y130:Y193" si="29">COUNTIF($AD130:$BY130,"Serious Conc - Engagement")</f>
        <v>0</v>
      </c>
      <c r="Z130" s="40">
        <f t="shared" ref="Z130:Z193" si="30">COUNTIF($AD130:$BY130,"Serious Conc - Comm. Concern")</f>
        <v>0</v>
      </c>
      <c r="AA130" s="40">
        <f t="shared" ref="AA130:AA193" si="31">COUNTIF($AD130:$BY130,"Serious Conc - Personal Org.")</f>
        <v>0</v>
      </c>
      <c r="AB130" s="40">
        <f t="shared" si="21"/>
        <v>0</v>
      </c>
      <c r="AC130" s="41">
        <f t="shared" si="22"/>
        <v>0</v>
      </c>
      <c r="AD130" s="49"/>
      <c r="AE130" s="50"/>
      <c r="AF130" s="49"/>
      <c r="AG130" s="50"/>
      <c r="AH130" s="49"/>
      <c r="AI130" s="50"/>
      <c r="AJ130" s="49"/>
      <c r="AK130" s="50"/>
      <c r="AL130" s="49"/>
      <c r="AM130" s="50"/>
      <c r="AN130" s="49"/>
      <c r="AO130" s="50"/>
      <c r="AP130" s="49" t="s">
        <v>5</v>
      </c>
      <c r="AQ130" s="50" t="s">
        <v>142</v>
      </c>
      <c r="AR130" s="49" t="s">
        <v>5</v>
      </c>
      <c r="AS130" s="50" t="s">
        <v>722</v>
      </c>
      <c r="AT130" s="49"/>
      <c r="AU130" s="50"/>
      <c r="AV130" s="49" t="s">
        <v>5</v>
      </c>
      <c r="AW130" s="50" t="s">
        <v>104</v>
      </c>
      <c r="AX130" s="49" t="s">
        <v>5</v>
      </c>
      <c r="AY130" s="50" t="s">
        <v>84</v>
      </c>
      <c r="AZ130" s="49"/>
      <c r="BA130" s="50"/>
      <c r="BB130" s="49"/>
      <c r="BC130" s="50"/>
      <c r="BD130" s="49" t="s">
        <v>5</v>
      </c>
      <c r="BE130" s="50" t="s">
        <v>104</v>
      </c>
      <c r="BF130" s="49"/>
      <c r="BG130" s="50"/>
      <c r="BH130" s="49" t="s">
        <v>5</v>
      </c>
      <c r="BI130" s="50" t="s">
        <v>1184</v>
      </c>
      <c r="BJ130" s="49" t="s">
        <v>1</v>
      </c>
      <c r="BK130" s="50" t="s">
        <v>422</v>
      </c>
      <c r="BL130" s="49"/>
      <c r="BM130" s="50"/>
      <c r="BN130" s="49" t="s">
        <v>1</v>
      </c>
      <c r="BO130" s="50" t="s">
        <v>96</v>
      </c>
      <c r="BP130" s="49"/>
      <c r="BQ130" s="50"/>
      <c r="BR130" s="49"/>
      <c r="BS130" s="50"/>
      <c r="BT130" s="49" t="s">
        <v>5</v>
      </c>
      <c r="BU130" s="50" t="s">
        <v>82</v>
      </c>
      <c r="BV130" s="49" t="s">
        <v>5</v>
      </c>
      <c r="BW130" s="50" t="s">
        <v>98</v>
      </c>
      <c r="BX130" s="49"/>
      <c r="BY130" s="50"/>
    </row>
    <row r="131" spans="1:77" x14ac:dyDescent="0.25">
      <c r="A131" s="76">
        <v>152589</v>
      </c>
      <c r="B131" s="77" t="s">
        <v>1317</v>
      </c>
      <c r="C131" s="78" t="s">
        <v>1186</v>
      </c>
      <c r="D131" s="76" t="s">
        <v>70</v>
      </c>
      <c r="E131" s="79" t="s">
        <v>14</v>
      </c>
      <c r="F131" s="79" t="s">
        <v>71</v>
      </c>
      <c r="G131" s="79" t="s">
        <v>14</v>
      </c>
      <c r="H131" s="79" t="s">
        <v>14</v>
      </c>
      <c r="I131" s="78" t="s">
        <v>14</v>
      </c>
      <c r="J131" s="79" t="s">
        <v>14</v>
      </c>
      <c r="K131" s="142" t="s">
        <v>1850</v>
      </c>
      <c r="L131" s="149" t="s">
        <v>1841</v>
      </c>
      <c r="M131" s="150" t="s">
        <v>1853</v>
      </c>
      <c r="N131" s="151">
        <v>31</v>
      </c>
      <c r="O131" s="151">
        <v>0</v>
      </c>
      <c r="P131" s="152">
        <v>0</v>
      </c>
      <c r="Q131" s="153">
        <v>100</v>
      </c>
      <c r="R131" s="154">
        <v>0</v>
      </c>
      <c r="S131" s="38">
        <f t="shared" si="23"/>
        <v>4</v>
      </c>
      <c r="T131" s="39">
        <f t="shared" si="24"/>
        <v>6</v>
      </c>
      <c r="U131" s="40">
        <f t="shared" si="25"/>
        <v>0</v>
      </c>
      <c r="V131" s="40">
        <f t="shared" si="26"/>
        <v>0</v>
      </c>
      <c r="W131" s="40">
        <f t="shared" si="27"/>
        <v>0</v>
      </c>
      <c r="X131" s="40">
        <f t="shared" si="28"/>
        <v>0</v>
      </c>
      <c r="Y131" s="40">
        <f t="shared" si="29"/>
        <v>0</v>
      </c>
      <c r="Z131" s="40">
        <f t="shared" si="30"/>
        <v>0</v>
      </c>
      <c r="AA131" s="40">
        <f t="shared" si="31"/>
        <v>0</v>
      </c>
      <c r="AB131" s="40">
        <f t="shared" ref="AB131:AB194" si="32">SUM(Y131:AA131)</f>
        <v>0</v>
      </c>
      <c r="AC131" s="41">
        <f t="shared" ref="AC131:AC194" si="33">COUNTIF(AD131:BY131,"*still*")</f>
        <v>0</v>
      </c>
      <c r="AD131" s="49"/>
      <c r="AE131" s="50"/>
      <c r="AF131" s="49"/>
      <c r="AG131" s="50"/>
      <c r="AH131" s="49"/>
      <c r="AI131" s="50"/>
      <c r="AJ131" s="49"/>
      <c r="AK131" s="50"/>
      <c r="AL131" s="49"/>
      <c r="AM131" s="50"/>
      <c r="AN131" s="49"/>
      <c r="AO131" s="50"/>
      <c r="AP131" s="49"/>
      <c r="AQ131" s="50"/>
      <c r="AR131" s="49" t="s">
        <v>5</v>
      </c>
      <c r="AS131" s="50" t="s">
        <v>722</v>
      </c>
      <c r="AT131" s="49" t="s">
        <v>5</v>
      </c>
      <c r="AU131" s="50" t="s">
        <v>135</v>
      </c>
      <c r="AV131" s="49" t="s">
        <v>1</v>
      </c>
      <c r="AW131" s="50" t="s">
        <v>83</v>
      </c>
      <c r="AX131" s="49"/>
      <c r="AY131" s="50"/>
      <c r="AZ131" s="49" t="s">
        <v>1</v>
      </c>
      <c r="BA131" s="50" t="s">
        <v>92</v>
      </c>
      <c r="BB131" s="49"/>
      <c r="BC131" s="50"/>
      <c r="BD131" s="49"/>
      <c r="BE131" s="50"/>
      <c r="BF131" s="49"/>
      <c r="BG131" s="50"/>
      <c r="BH131" s="49" t="s">
        <v>5</v>
      </c>
      <c r="BI131" s="50" t="s">
        <v>78</v>
      </c>
      <c r="BJ131" s="49" t="s">
        <v>1</v>
      </c>
      <c r="BK131" s="50" t="s">
        <v>106</v>
      </c>
      <c r="BL131" s="49"/>
      <c r="BM131" s="50"/>
      <c r="BN131" s="49" t="s">
        <v>5</v>
      </c>
      <c r="BO131" s="50" t="s">
        <v>152</v>
      </c>
      <c r="BP131" s="49"/>
      <c r="BQ131" s="50"/>
      <c r="BR131" s="49"/>
      <c r="BS131" s="50"/>
      <c r="BT131" s="49" t="s">
        <v>5</v>
      </c>
      <c r="BU131" s="50" t="s">
        <v>82</v>
      </c>
      <c r="BV131" s="49" t="s">
        <v>1</v>
      </c>
      <c r="BW131" s="50" t="s">
        <v>98</v>
      </c>
      <c r="BX131" s="49" t="s">
        <v>5</v>
      </c>
      <c r="BY131" s="50" t="s">
        <v>130</v>
      </c>
    </row>
    <row r="132" spans="1:77" x14ac:dyDescent="0.25">
      <c r="A132" s="76">
        <v>152577</v>
      </c>
      <c r="B132" s="77" t="s">
        <v>1318</v>
      </c>
      <c r="C132" s="78" t="s">
        <v>1181</v>
      </c>
      <c r="D132" s="76" t="s">
        <v>12</v>
      </c>
      <c r="E132" s="79" t="s">
        <v>14</v>
      </c>
      <c r="F132" s="79" t="s">
        <v>88</v>
      </c>
      <c r="G132" s="79" t="s">
        <v>14</v>
      </c>
      <c r="H132" s="79" t="s">
        <v>14</v>
      </c>
      <c r="I132" s="78" t="s">
        <v>14</v>
      </c>
      <c r="J132" s="79" t="s">
        <v>14</v>
      </c>
      <c r="K132" s="142" t="s">
        <v>1850</v>
      </c>
      <c r="L132" s="149" t="s">
        <v>1844</v>
      </c>
      <c r="M132" s="150" t="s">
        <v>12</v>
      </c>
      <c r="N132" s="151">
        <v>26</v>
      </c>
      <c r="O132" s="151">
        <v>0</v>
      </c>
      <c r="P132" s="152">
        <v>2</v>
      </c>
      <c r="Q132" s="153">
        <v>97.83</v>
      </c>
      <c r="R132" s="154">
        <v>4</v>
      </c>
      <c r="S132" s="38">
        <f t="shared" si="23"/>
        <v>1</v>
      </c>
      <c r="T132" s="39">
        <f t="shared" si="24"/>
        <v>9</v>
      </c>
      <c r="U132" s="40">
        <f t="shared" si="25"/>
        <v>0</v>
      </c>
      <c r="V132" s="40">
        <f t="shared" si="26"/>
        <v>0</v>
      </c>
      <c r="W132" s="40">
        <f t="shared" si="27"/>
        <v>0</v>
      </c>
      <c r="X132" s="40">
        <f t="shared" si="28"/>
        <v>0</v>
      </c>
      <c r="Y132" s="40">
        <f t="shared" si="29"/>
        <v>0</v>
      </c>
      <c r="Z132" s="40">
        <f t="shared" si="30"/>
        <v>0</v>
      </c>
      <c r="AA132" s="40">
        <f t="shared" si="31"/>
        <v>0</v>
      </c>
      <c r="AB132" s="40">
        <f t="shared" si="32"/>
        <v>0</v>
      </c>
      <c r="AC132" s="41">
        <f t="shared" si="33"/>
        <v>0</v>
      </c>
      <c r="AD132" s="49"/>
      <c r="AE132" s="50"/>
      <c r="AF132" s="49"/>
      <c r="AG132" s="50"/>
      <c r="AH132" s="49"/>
      <c r="AI132" s="50"/>
      <c r="AJ132" s="49"/>
      <c r="AK132" s="50"/>
      <c r="AL132" s="49"/>
      <c r="AM132" s="50"/>
      <c r="AN132" s="49"/>
      <c r="AO132" s="50"/>
      <c r="AP132" s="49" t="s">
        <v>5</v>
      </c>
      <c r="AQ132" s="50" t="s">
        <v>101</v>
      </c>
      <c r="AR132" s="49" t="s">
        <v>5</v>
      </c>
      <c r="AS132" s="50" t="s">
        <v>722</v>
      </c>
      <c r="AT132" s="49"/>
      <c r="AU132" s="50"/>
      <c r="AV132" s="49" t="s">
        <v>5</v>
      </c>
      <c r="AW132" s="50" t="s">
        <v>104</v>
      </c>
      <c r="AX132" s="49" t="s">
        <v>5</v>
      </c>
      <c r="AY132" s="50" t="s">
        <v>84</v>
      </c>
      <c r="AZ132" s="49"/>
      <c r="BA132" s="50"/>
      <c r="BB132" s="49"/>
      <c r="BC132" s="50"/>
      <c r="BD132" s="49" t="s">
        <v>5</v>
      </c>
      <c r="BE132" s="50" t="s">
        <v>104</v>
      </c>
      <c r="BF132" s="49"/>
      <c r="BG132" s="50"/>
      <c r="BH132" s="49" t="s">
        <v>5</v>
      </c>
      <c r="BI132" s="50" t="s">
        <v>1184</v>
      </c>
      <c r="BJ132" s="49" t="s">
        <v>1</v>
      </c>
      <c r="BK132" s="50" t="s">
        <v>94</v>
      </c>
      <c r="BL132" s="49"/>
      <c r="BM132" s="50"/>
      <c r="BN132" s="49" t="s">
        <v>5</v>
      </c>
      <c r="BO132" s="50" t="s">
        <v>741</v>
      </c>
      <c r="BP132" s="49"/>
      <c r="BQ132" s="50"/>
      <c r="BR132" s="49"/>
      <c r="BS132" s="50"/>
      <c r="BT132" s="49" t="s">
        <v>5</v>
      </c>
      <c r="BU132" s="50" t="s">
        <v>457</v>
      </c>
      <c r="BV132" s="49" t="s">
        <v>5</v>
      </c>
      <c r="BW132" s="50" t="s">
        <v>98</v>
      </c>
      <c r="BX132" s="49"/>
      <c r="BY132" s="50"/>
    </row>
    <row r="133" spans="1:77" ht="30" x14ac:dyDescent="0.25">
      <c r="A133" s="76">
        <v>152651</v>
      </c>
      <c r="B133" s="77" t="s">
        <v>1319</v>
      </c>
      <c r="C133" s="78" t="s">
        <v>1186</v>
      </c>
      <c r="D133" s="76" t="s">
        <v>70</v>
      </c>
      <c r="E133" s="79" t="s">
        <v>14</v>
      </c>
      <c r="F133" s="79" t="s">
        <v>71</v>
      </c>
      <c r="G133" s="79" t="s">
        <v>14</v>
      </c>
      <c r="H133" s="79" t="s">
        <v>14</v>
      </c>
      <c r="I133" s="78" t="s">
        <v>14</v>
      </c>
      <c r="J133" s="79" t="s">
        <v>14</v>
      </c>
      <c r="K133" s="142" t="s">
        <v>1850</v>
      </c>
      <c r="L133" s="149" t="s">
        <v>1841</v>
      </c>
      <c r="M133" s="150" t="s">
        <v>1853</v>
      </c>
      <c r="N133" s="151">
        <v>26</v>
      </c>
      <c r="O133" s="151">
        <v>0</v>
      </c>
      <c r="P133" s="152">
        <v>0</v>
      </c>
      <c r="Q133" s="153">
        <v>95.65</v>
      </c>
      <c r="R133" s="154">
        <v>0</v>
      </c>
      <c r="S133" s="38">
        <f t="shared" si="23"/>
        <v>1</v>
      </c>
      <c r="T133" s="39">
        <f t="shared" si="24"/>
        <v>10</v>
      </c>
      <c r="U133" s="40">
        <f t="shared" si="25"/>
        <v>0</v>
      </c>
      <c r="V133" s="40">
        <f t="shared" si="26"/>
        <v>0</v>
      </c>
      <c r="W133" s="40">
        <f t="shared" si="27"/>
        <v>0</v>
      </c>
      <c r="X133" s="40">
        <f t="shared" si="28"/>
        <v>0</v>
      </c>
      <c r="Y133" s="40">
        <f t="shared" si="29"/>
        <v>0</v>
      </c>
      <c r="Z133" s="40">
        <f t="shared" si="30"/>
        <v>0</v>
      </c>
      <c r="AA133" s="40">
        <f t="shared" si="31"/>
        <v>0</v>
      </c>
      <c r="AB133" s="40">
        <f t="shared" si="32"/>
        <v>0</v>
      </c>
      <c r="AC133" s="41">
        <f t="shared" si="33"/>
        <v>0</v>
      </c>
      <c r="AD133" s="49" t="s">
        <v>5</v>
      </c>
      <c r="AE133" s="50" t="s">
        <v>72</v>
      </c>
      <c r="AF133" s="49" t="s">
        <v>5</v>
      </c>
      <c r="AG133" s="50" t="s">
        <v>164</v>
      </c>
      <c r="AH133" s="49"/>
      <c r="AI133" s="50"/>
      <c r="AJ133" s="49" t="s">
        <v>5</v>
      </c>
      <c r="AK133" s="50" t="s">
        <v>206</v>
      </c>
      <c r="AL133" s="49"/>
      <c r="AM133" s="50"/>
      <c r="AN133" s="49"/>
      <c r="AO133" s="50"/>
      <c r="AP133" s="49"/>
      <c r="AQ133" s="50"/>
      <c r="AR133" s="49" t="s">
        <v>5</v>
      </c>
      <c r="AS133" s="50" t="s">
        <v>722</v>
      </c>
      <c r="AT133" s="49"/>
      <c r="AU133" s="50"/>
      <c r="AV133" s="49" t="s">
        <v>5</v>
      </c>
      <c r="AW133" s="50" t="s">
        <v>83</v>
      </c>
      <c r="AX133" s="49"/>
      <c r="AY133" s="50"/>
      <c r="AZ133" s="49"/>
      <c r="BA133" s="50"/>
      <c r="BB133" s="49"/>
      <c r="BC133" s="50"/>
      <c r="BD133" s="49"/>
      <c r="BE133" s="50"/>
      <c r="BF133" s="49"/>
      <c r="BG133" s="50"/>
      <c r="BH133" s="49" t="s">
        <v>5</v>
      </c>
      <c r="BI133" s="50" t="s">
        <v>78</v>
      </c>
      <c r="BJ133" s="49" t="s">
        <v>5</v>
      </c>
      <c r="BK133" s="50" t="s">
        <v>505</v>
      </c>
      <c r="BL133" s="49"/>
      <c r="BM133" s="50"/>
      <c r="BN133" s="49" t="s">
        <v>5</v>
      </c>
      <c r="BO133" s="50" t="s">
        <v>121</v>
      </c>
      <c r="BP133" s="49"/>
      <c r="BQ133" s="50"/>
      <c r="BR133" s="49" t="s">
        <v>5</v>
      </c>
      <c r="BS133" s="50" t="s">
        <v>123</v>
      </c>
      <c r="BT133" s="49" t="s">
        <v>5</v>
      </c>
      <c r="BU133" s="50" t="s">
        <v>82</v>
      </c>
      <c r="BV133" s="49"/>
      <c r="BW133" s="50"/>
      <c r="BX133" s="49" t="s">
        <v>1</v>
      </c>
      <c r="BY133" s="50" t="s">
        <v>130</v>
      </c>
    </row>
    <row r="134" spans="1:77" x14ac:dyDescent="0.25">
      <c r="A134" s="76">
        <v>152583</v>
      </c>
      <c r="B134" s="77" t="s">
        <v>1320</v>
      </c>
      <c r="C134" s="78" t="s">
        <v>1211</v>
      </c>
      <c r="D134" s="76" t="s">
        <v>70</v>
      </c>
      <c r="E134" s="79" t="s">
        <v>14</v>
      </c>
      <c r="F134" s="79" t="s">
        <v>88</v>
      </c>
      <c r="G134" s="79" t="s">
        <v>14</v>
      </c>
      <c r="H134" s="79" t="s">
        <v>14</v>
      </c>
      <c r="I134" s="78" t="s">
        <v>14</v>
      </c>
      <c r="J134" s="79" t="s">
        <v>14</v>
      </c>
      <c r="K134" s="142" t="s">
        <v>1850</v>
      </c>
      <c r="L134" s="149" t="s">
        <v>1842</v>
      </c>
      <c r="M134" s="150" t="s">
        <v>1853</v>
      </c>
      <c r="N134" s="151">
        <v>16</v>
      </c>
      <c r="O134" s="151">
        <v>0</v>
      </c>
      <c r="P134" s="152">
        <v>1</v>
      </c>
      <c r="Q134" s="153">
        <v>100</v>
      </c>
      <c r="R134" s="154">
        <v>1</v>
      </c>
      <c r="S134" s="38">
        <f t="shared" si="23"/>
        <v>1</v>
      </c>
      <c r="T134" s="39">
        <f t="shared" si="24"/>
        <v>10</v>
      </c>
      <c r="U134" s="40">
        <f t="shared" si="25"/>
        <v>0</v>
      </c>
      <c r="V134" s="40">
        <f t="shared" si="26"/>
        <v>0</v>
      </c>
      <c r="W134" s="40">
        <f t="shared" si="27"/>
        <v>0</v>
      </c>
      <c r="X134" s="40">
        <f t="shared" si="28"/>
        <v>0</v>
      </c>
      <c r="Y134" s="40">
        <f t="shared" si="29"/>
        <v>0</v>
      </c>
      <c r="Z134" s="40">
        <f t="shared" si="30"/>
        <v>0</v>
      </c>
      <c r="AA134" s="40">
        <f t="shared" si="31"/>
        <v>0</v>
      </c>
      <c r="AB134" s="40">
        <f t="shared" si="32"/>
        <v>0</v>
      </c>
      <c r="AC134" s="41">
        <f t="shared" si="33"/>
        <v>0</v>
      </c>
      <c r="AD134" s="49"/>
      <c r="AE134" s="50"/>
      <c r="AF134" s="49" t="s">
        <v>5</v>
      </c>
      <c r="AG134" s="50" t="s">
        <v>154</v>
      </c>
      <c r="AH134" s="49"/>
      <c r="AI134" s="50"/>
      <c r="AJ134" s="49" t="s">
        <v>5</v>
      </c>
      <c r="AK134" s="50" t="s">
        <v>137</v>
      </c>
      <c r="AL134" s="49"/>
      <c r="AM134" s="50"/>
      <c r="AN134" s="49"/>
      <c r="AO134" s="50"/>
      <c r="AP134" s="49"/>
      <c r="AQ134" s="50"/>
      <c r="AR134" s="49" t="s">
        <v>5</v>
      </c>
      <c r="AS134" s="50" t="s">
        <v>722</v>
      </c>
      <c r="AT134" s="49"/>
      <c r="AU134" s="50"/>
      <c r="AV134" s="49" t="s">
        <v>5</v>
      </c>
      <c r="AW134" s="50" t="s">
        <v>105</v>
      </c>
      <c r="AX134" s="49"/>
      <c r="AY134" s="50"/>
      <c r="AZ134" s="49"/>
      <c r="BA134" s="50"/>
      <c r="BB134" s="49"/>
      <c r="BC134" s="50"/>
      <c r="BD134" s="49" t="s">
        <v>5</v>
      </c>
      <c r="BE134" s="50" t="s">
        <v>104</v>
      </c>
      <c r="BF134" s="49"/>
      <c r="BG134" s="50"/>
      <c r="BH134" s="49" t="s">
        <v>5</v>
      </c>
      <c r="BI134" s="50" t="s">
        <v>163</v>
      </c>
      <c r="BJ134" s="49" t="s">
        <v>1</v>
      </c>
      <c r="BK134" s="50" t="s">
        <v>422</v>
      </c>
      <c r="BL134" s="49"/>
      <c r="BM134" s="50"/>
      <c r="BN134" s="49" t="s">
        <v>5</v>
      </c>
      <c r="BO134" s="50" t="s">
        <v>152</v>
      </c>
      <c r="BP134" s="49"/>
      <c r="BQ134" s="50"/>
      <c r="BR134" s="49" t="s">
        <v>5</v>
      </c>
      <c r="BS134" s="50" t="s">
        <v>98</v>
      </c>
      <c r="BT134" s="49" t="s">
        <v>5</v>
      </c>
      <c r="BU134" s="50" t="s">
        <v>82</v>
      </c>
      <c r="BV134" s="49"/>
      <c r="BW134" s="50"/>
      <c r="BX134" s="49" t="s">
        <v>5</v>
      </c>
      <c r="BY134" s="50" t="s">
        <v>421</v>
      </c>
    </row>
    <row r="135" spans="1:77" x14ac:dyDescent="0.25">
      <c r="A135" s="76">
        <v>152538</v>
      </c>
      <c r="B135" s="77" t="s">
        <v>1321</v>
      </c>
      <c r="C135" s="78" t="s">
        <v>1205</v>
      </c>
      <c r="D135" s="76" t="s">
        <v>70</v>
      </c>
      <c r="E135" s="79" t="s">
        <v>14</v>
      </c>
      <c r="F135" s="79" t="s">
        <v>71</v>
      </c>
      <c r="G135" s="79" t="s">
        <v>14</v>
      </c>
      <c r="H135" s="79" t="s">
        <v>14</v>
      </c>
      <c r="I135" s="78" t="s">
        <v>14</v>
      </c>
      <c r="J135" s="79" t="s">
        <v>14</v>
      </c>
      <c r="K135" s="142" t="s">
        <v>1850</v>
      </c>
      <c r="L135" s="149" t="s">
        <v>1844</v>
      </c>
      <c r="M135" s="150" t="s">
        <v>12</v>
      </c>
      <c r="N135" s="151">
        <v>13</v>
      </c>
      <c r="O135" s="151">
        <v>1</v>
      </c>
      <c r="P135" s="152">
        <v>3</v>
      </c>
      <c r="Q135" s="153">
        <v>95.65</v>
      </c>
      <c r="R135" s="154">
        <v>1</v>
      </c>
      <c r="S135" s="38">
        <f t="shared" si="23"/>
        <v>0</v>
      </c>
      <c r="T135" s="39">
        <f t="shared" si="24"/>
        <v>8</v>
      </c>
      <c r="U135" s="40">
        <f t="shared" si="25"/>
        <v>1</v>
      </c>
      <c r="V135" s="40">
        <f t="shared" si="26"/>
        <v>1</v>
      </c>
      <c r="W135" s="40">
        <f t="shared" si="27"/>
        <v>0</v>
      </c>
      <c r="X135" s="40">
        <f t="shared" si="28"/>
        <v>2</v>
      </c>
      <c r="Y135" s="40">
        <f t="shared" si="29"/>
        <v>0</v>
      </c>
      <c r="Z135" s="40">
        <f t="shared" si="30"/>
        <v>0</v>
      </c>
      <c r="AA135" s="40">
        <f t="shared" si="31"/>
        <v>0</v>
      </c>
      <c r="AB135" s="40">
        <f t="shared" si="32"/>
        <v>0</v>
      </c>
      <c r="AC135" s="41">
        <f t="shared" si="33"/>
        <v>0</v>
      </c>
      <c r="AD135" s="49"/>
      <c r="AE135" s="50"/>
      <c r="AF135" s="49"/>
      <c r="AG135" s="50"/>
      <c r="AH135" s="49"/>
      <c r="AI135" s="50"/>
      <c r="AJ135" s="49"/>
      <c r="AK135" s="50"/>
      <c r="AL135" s="49"/>
      <c r="AM135" s="50"/>
      <c r="AN135" s="49"/>
      <c r="AO135" s="50"/>
      <c r="AP135" s="49" t="s">
        <v>5</v>
      </c>
      <c r="AQ135" s="50" t="s">
        <v>101</v>
      </c>
      <c r="AR135" s="49" t="s">
        <v>5</v>
      </c>
      <c r="AS135" s="50" t="s">
        <v>151</v>
      </c>
      <c r="AT135" s="49"/>
      <c r="AU135" s="50"/>
      <c r="AV135" s="49" t="s">
        <v>5</v>
      </c>
      <c r="AW135" s="50" t="s">
        <v>152</v>
      </c>
      <c r="AX135" s="49" t="s">
        <v>5</v>
      </c>
      <c r="AY135" s="50" t="s">
        <v>103</v>
      </c>
      <c r="AZ135" s="49"/>
      <c r="BA135" s="50"/>
      <c r="BB135" s="49"/>
      <c r="BC135" s="50"/>
      <c r="BD135" s="49" t="s">
        <v>5</v>
      </c>
      <c r="BE135" s="50" t="s">
        <v>104</v>
      </c>
      <c r="BF135" s="49"/>
      <c r="BG135" s="50"/>
      <c r="BH135" s="49" t="s">
        <v>5</v>
      </c>
      <c r="BI135" s="50" t="s">
        <v>105</v>
      </c>
      <c r="BJ135" s="49" t="s">
        <v>5</v>
      </c>
      <c r="BK135" s="50" t="s">
        <v>995</v>
      </c>
      <c r="BL135" s="49"/>
      <c r="BM135" s="50"/>
      <c r="BN135" s="49" t="s">
        <v>5</v>
      </c>
      <c r="BO135" s="50" t="s">
        <v>152</v>
      </c>
      <c r="BP135" s="49"/>
      <c r="BQ135" s="50"/>
      <c r="BR135" s="49"/>
      <c r="BS135" s="50"/>
      <c r="BT135" s="49" t="s">
        <v>31</v>
      </c>
      <c r="BU135" s="50" t="s">
        <v>122</v>
      </c>
      <c r="BV135" s="49" t="s">
        <v>30</v>
      </c>
      <c r="BW135" s="50" t="s">
        <v>109</v>
      </c>
      <c r="BX135" s="49"/>
      <c r="BY135" s="50"/>
    </row>
    <row r="136" spans="1:77" x14ac:dyDescent="0.25">
      <c r="A136" s="76">
        <v>152642</v>
      </c>
      <c r="B136" s="77" t="s">
        <v>1322</v>
      </c>
      <c r="C136" s="78" t="s">
        <v>1193</v>
      </c>
      <c r="D136" s="76" t="s">
        <v>70</v>
      </c>
      <c r="E136" s="79" t="s">
        <v>14</v>
      </c>
      <c r="F136" s="79" t="s">
        <v>71</v>
      </c>
      <c r="G136" s="79" t="s">
        <v>14</v>
      </c>
      <c r="H136" s="79" t="s">
        <v>14</v>
      </c>
      <c r="I136" s="78" t="s">
        <v>14</v>
      </c>
      <c r="J136" s="79" t="s">
        <v>14</v>
      </c>
      <c r="K136" s="142" t="s">
        <v>1850</v>
      </c>
      <c r="L136" s="149" t="s">
        <v>1844</v>
      </c>
      <c r="M136" s="150" t="s">
        <v>12</v>
      </c>
      <c r="N136" s="151">
        <v>19</v>
      </c>
      <c r="O136" s="151">
        <v>0</v>
      </c>
      <c r="P136" s="152">
        <v>1</v>
      </c>
      <c r="Q136" s="153">
        <v>95.65</v>
      </c>
      <c r="R136" s="154">
        <v>0</v>
      </c>
      <c r="S136" s="38">
        <f t="shared" si="23"/>
        <v>2</v>
      </c>
      <c r="T136" s="39">
        <f t="shared" si="24"/>
        <v>8</v>
      </c>
      <c r="U136" s="40">
        <f t="shared" si="25"/>
        <v>0</v>
      </c>
      <c r="V136" s="40">
        <f t="shared" si="26"/>
        <v>0</v>
      </c>
      <c r="W136" s="40">
        <f t="shared" si="27"/>
        <v>0</v>
      </c>
      <c r="X136" s="40">
        <f t="shared" si="28"/>
        <v>0</v>
      </c>
      <c r="Y136" s="40">
        <f t="shared" si="29"/>
        <v>0</v>
      </c>
      <c r="Z136" s="40">
        <f t="shared" si="30"/>
        <v>0</v>
      </c>
      <c r="AA136" s="40">
        <f t="shared" si="31"/>
        <v>0</v>
      </c>
      <c r="AB136" s="40">
        <f t="shared" si="32"/>
        <v>0</v>
      </c>
      <c r="AC136" s="41">
        <f t="shared" si="33"/>
        <v>0</v>
      </c>
      <c r="AD136" s="49"/>
      <c r="AE136" s="50"/>
      <c r="AF136" s="49"/>
      <c r="AG136" s="50"/>
      <c r="AH136" s="49"/>
      <c r="AI136" s="50"/>
      <c r="AJ136" s="49"/>
      <c r="AK136" s="50"/>
      <c r="AL136" s="49"/>
      <c r="AM136" s="50"/>
      <c r="AN136" s="49"/>
      <c r="AO136" s="50"/>
      <c r="AP136" s="49" t="s">
        <v>5</v>
      </c>
      <c r="AQ136" s="50" t="s">
        <v>101</v>
      </c>
      <c r="AR136" s="49" t="s">
        <v>5</v>
      </c>
      <c r="AS136" s="50" t="s">
        <v>722</v>
      </c>
      <c r="AT136" s="49"/>
      <c r="AU136" s="50"/>
      <c r="AV136" s="49" t="s">
        <v>5</v>
      </c>
      <c r="AW136" s="50" t="s">
        <v>82</v>
      </c>
      <c r="AX136" s="49" t="s">
        <v>5</v>
      </c>
      <c r="AY136" s="50" t="s">
        <v>130</v>
      </c>
      <c r="AZ136" s="49"/>
      <c r="BA136" s="50"/>
      <c r="BB136" s="49"/>
      <c r="BC136" s="50"/>
      <c r="BD136" s="49" t="s">
        <v>1</v>
      </c>
      <c r="BE136" s="50" t="s">
        <v>104</v>
      </c>
      <c r="BF136" s="49"/>
      <c r="BG136" s="50"/>
      <c r="BH136" s="49" t="s">
        <v>5</v>
      </c>
      <c r="BI136" s="50" t="s">
        <v>105</v>
      </c>
      <c r="BJ136" s="49" t="s">
        <v>1</v>
      </c>
      <c r="BK136" s="50" t="s">
        <v>94</v>
      </c>
      <c r="BL136" s="49"/>
      <c r="BM136" s="50"/>
      <c r="BN136" s="49" t="s">
        <v>5</v>
      </c>
      <c r="BO136" s="50" t="s">
        <v>121</v>
      </c>
      <c r="BP136" s="49"/>
      <c r="BQ136" s="50"/>
      <c r="BR136" s="49"/>
      <c r="BS136" s="50"/>
      <c r="BT136" s="49" t="s">
        <v>5</v>
      </c>
      <c r="BU136" s="50" t="s">
        <v>108</v>
      </c>
      <c r="BV136" s="49" t="s">
        <v>5</v>
      </c>
      <c r="BW136" s="50" t="s">
        <v>98</v>
      </c>
      <c r="BX136" s="49"/>
      <c r="BY136" s="50"/>
    </row>
    <row r="137" spans="1:77" x14ac:dyDescent="0.25">
      <c r="A137" s="76">
        <v>152635</v>
      </c>
      <c r="B137" s="77" t="s">
        <v>1323</v>
      </c>
      <c r="C137" s="78" t="s">
        <v>1181</v>
      </c>
      <c r="D137" s="76" t="s">
        <v>12</v>
      </c>
      <c r="E137" s="79" t="s">
        <v>87</v>
      </c>
      <c r="F137" s="79" t="s">
        <v>88</v>
      </c>
      <c r="G137" s="79" t="s">
        <v>14</v>
      </c>
      <c r="H137" s="79" t="s">
        <v>87</v>
      </c>
      <c r="I137" s="78" t="s">
        <v>14</v>
      </c>
      <c r="J137" s="79" t="s">
        <v>14</v>
      </c>
      <c r="K137" s="142" t="s">
        <v>1850</v>
      </c>
      <c r="L137" s="149" t="s">
        <v>1841</v>
      </c>
      <c r="M137" s="150" t="s">
        <v>1853</v>
      </c>
      <c r="N137" s="151">
        <v>28</v>
      </c>
      <c r="O137" s="151">
        <v>1</v>
      </c>
      <c r="P137" s="152">
        <v>1</v>
      </c>
      <c r="Q137" s="153">
        <v>95.65</v>
      </c>
      <c r="R137" s="154">
        <v>1</v>
      </c>
      <c r="S137" s="38">
        <f t="shared" si="23"/>
        <v>2</v>
      </c>
      <c r="T137" s="39">
        <f t="shared" si="24"/>
        <v>9</v>
      </c>
      <c r="U137" s="40">
        <f t="shared" si="25"/>
        <v>0</v>
      </c>
      <c r="V137" s="40">
        <f t="shared" si="26"/>
        <v>0</v>
      </c>
      <c r="W137" s="40">
        <f t="shared" si="27"/>
        <v>0</v>
      </c>
      <c r="X137" s="40">
        <f t="shared" si="28"/>
        <v>0</v>
      </c>
      <c r="Y137" s="40">
        <f t="shared" si="29"/>
        <v>0</v>
      </c>
      <c r="Z137" s="40">
        <f t="shared" si="30"/>
        <v>0</v>
      </c>
      <c r="AA137" s="40">
        <f t="shared" si="31"/>
        <v>0</v>
      </c>
      <c r="AB137" s="40">
        <f t="shared" si="32"/>
        <v>0</v>
      </c>
      <c r="AC137" s="41">
        <f t="shared" si="33"/>
        <v>0</v>
      </c>
      <c r="AD137" s="49"/>
      <c r="AE137" s="50"/>
      <c r="AF137" s="49" t="s">
        <v>5</v>
      </c>
      <c r="AG137" s="50" t="s">
        <v>154</v>
      </c>
      <c r="AH137" s="49"/>
      <c r="AI137" s="50"/>
      <c r="AJ137" s="49" t="s">
        <v>5</v>
      </c>
      <c r="AK137" s="50" t="s">
        <v>137</v>
      </c>
      <c r="AL137" s="49"/>
      <c r="AM137" s="50"/>
      <c r="AN137" s="49"/>
      <c r="AO137" s="50"/>
      <c r="AP137" s="49"/>
      <c r="AQ137" s="50"/>
      <c r="AR137" s="49" t="s">
        <v>5</v>
      </c>
      <c r="AS137" s="50" t="s">
        <v>194</v>
      </c>
      <c r="AT137" s="49"/>
      <c r="AU137" s="50"/>
      <c r="AV137" s="49" t="s">
        <v>1</v>
      </c>
      <c r="AW137" s="50" t="s">
        <v>104</v>
      </c>
      <c r="AX137" s="49" t="s">
        <v>5</v>
      </c>
      <c r="AY137" s="50" t="s">
        <v>84</v>
      </c>
      <c r="AZ137" s="49"/>
      <c r="BA137" s="50"/>
      <c r="BB137" s="49"/>
      <c r="BC137" s="50"/>
      <c r="BD137" s="49"/>
      <c r="BE137" s="50"/>
      <c r="BF137" s="49"/>
      <c r="BG137" s="50"/>
      <c r="BH137" s="49" t="s">
        <v>5</v>
      </c>
      <c r="BI137" s="50" t="s">
        <v>163</v>
      </c>
      <c r="BJ137" s="49" t="s">
        <v>5</v>
      </c>
      <c r="BK137" s="50" t="s">
        <v>106</v>
      </c>
      <c r="BL137" s="49"/>
      <c r="BM137" s="50"/>
      <c r="BN137" s="49" t="s">
        <v>1</v>
      </c>
      <c r="BO137" s="50" t="s">
        <v>107</v>
      </c>
      <c r="BP137" s="49" t="s">
        <v>5</v>
      </c>
      <c r="BQ137" s="50" t="s">
        <v>81</v>
      </c>
      <c r="BR137" s="49" t="s">
        <v>5</v>
      </c>
      <c r="BS137" s="50" t="s">
        <v>98</v>
      </c>
      <c r="BT137" s="49" t="s">
        <v>5</v>
      </c>
      <c r="BU137" s="50" t="s">
        <v>97</v>
      </c>
      <c r="BV137" s="49"/>
      <c r="BW137" s="50"/>
      <c r="BX137" s="49"/>
      <c r="BY137" s="50"/>
    </row>
    <row r="138" spans="1:77" x14ac:dyDescent="0.25">
      <c r="A138" s="76">
        <v>152662</v>
      </c>
      <c r="B138" s="77" t="s">
        <v>1324</v>
      </c>
      <c r="C138" s="78" t="s">
        <v>1186</v>
      </c>
      <c r="D138" s="76" t="s">
        <v>70</v>
      </c>
      <c r="E138" s="79" t="s">
        <v>14</v>
      </c>
      <c r="F138" s="79" t="s">
        <v>71</v>
      </c>
      <c r="G138" s="79" t="s">
        <v>14</v>
      </c>
      <c r="H138" s="79" t="s">
        <v>14</v>
      </c>
      <c r="I138" s="78" t="s">
        <v>14</v>
      </c>
      <c r="J138" s="79" t="s">
        <v>14</v>
      </c>
      <c r="K138" s="142" t="s">
        <v>1850</v>
      </c>
      <c r="L138" s="149" t="s">
        <v>1842</v>
      </c>
      <c r="M138" s="150" t="s">
        <v>1853</v>
      </c>
      <c r="N138" s="151">
        <v>23</v>
      </c>
      <c r="O138" s="151">
        <v>0</v>
      </c>
      <c r="P138" s="152">
        <v>0</v>
      </c>
      <c r="Q138" s="153">
        <v>100</v>
      </c>
      <c r="R138" s="154">
        <v>0</v>
      </c>
      <c r="S138" s="38">
        <f t="shared" si="23"/>
        <v>2</v>
      </c>
      <c r="T138" s="39">
        <f t="shared" si="24"/>
        <v>9</v>
      </c>
      <c r="U138" s="40">
        <f t="shared" si="25"/>
        <v>0</v>
      </c>
      <c r="V138" s="40">
        <f t="shared" si="26"/>
        <v>0</v>
      </c>
      <c r="W138" s="40">
        <f t="shared" si="27"/>
        <v>0</v>
      </c>
      <c r="X138" s="40">
        <f t="shared" si="28"/>
        <v>0</v>
      </c>
      <c r="Y138" s="40">
        <f t="shared" si="29"/>
        <v>0</v>
      </c>
      <c r="Z138" s="40">
        <f t="shared" si="30"/>
        <v>0</v>
      </c>
      <c r="AA138" s="40">
        <f t="shared" si="31"/>
        <v>0</v>
      </c>
      <c r="AB138" s="40">
        <f t="shared" si="32"/>
        <v>0</v>
      </c>
      <c r="AC138" s="41">
        <f t="shared" si="33"/>
        <v>0</v>
      </c>
      <c r="AD138" s="49"/>
      <c r="AE138" s="50"/>
      <c r="AF138" s="49" t="s">
        <v>5</v>
      </c>
      <c r="AG138" s="50" t="s">
        <v>154</v>
      </c>
      <c r="AH138" s="49"/>
      <c r="AI138" s="50"/>
      <c r="AJ138" s="49" t="s">
        <v>5</v>
      </c>
      <c r="AK138" s="50" t="s">
        <v>137</v>
      </c>
      <c r="AL138" s="49"/>
      <c r="AM138" s="50"/>
      <c r="AN138" s="49"/>
      <c r="AO138" s="50"/>
      <c r="AP138" s="49"/>
      <c r="AQ138" s="50"/>
      <c r="AR138" s="49" t="s">
        <v>5</v>
      </c>
      <c r="AS138" s="50" t="s">
        <v>91</v>
      </c>
      <c r="AT138" s="49"/>
      <c r="AU138" s="50"/>
      <c r="AV138" s="49" t="s">
        <v>5</v>
      </c>
      <c r="AW138" s="50" t="s">
        <v>83</v>
      </c>
      <c r="AX138" s="49"/>
      <c r="AY138" s="50"/>
      <c r="AZ138" s="49"/>
      <c r="BA138" s="50"/>
      <c r="BB138" s="49" t="s">
        <v>1</v>
      </c>
      <c r="BC138" s="50" t="s">
        <v>436</v>
      </c>
      <c r="BD138" s="49"/>
      <c r="BE138" s="50"/>
      <c r="BF138" s="49"/>
      <c r="BG138" s="50"/>
      <c r="BH138" s="49" t="s">
        <v>5</v>
      </c>
      <c r="BI138" s="50" t="s">
        <v>78</v>
      </c>
      <c r="BJ138" s="49" t="s">
        <v>1</v>
      </c>
      <c r="BK138" s="50" t="s">
        <v>422</v>
      </c>
      <c r="BL138" s="49"/>
      <c r="BM138" s="50"/>
      <c r="BN138" s="49" t="s">
        <v>5</v>
      </c>
      <c r="BO138" s="50" t="s">
        <v>121</v>
      </c>
      <c r="BP138" s="49"/>
      <c r="BQ138" s="50"/>
      <c r="BR138" s="49" t="s">
        <v>5</v>
      </c>
      <c r="BS138" s="50" t="s">
        <v>98</v>
      </c>
      <c r="BT138" s="49" t="s">
        <v>5</v>
      </c>
      <c r="BU138" s="50" t="s">
        <v>82</v>
      </c>
      <c r="BV138" s="49"/>
      <c r="BW138" s="50"/>
      <c r="BX138" s="49" t="s">
        <v>5</v>
      </c>
      <c r="BY138" s="50" t="s">
        <v>421</v>
      </c>
    </row>
    <row r="139" spans="1:77" x14ac:dyDescent="0.25">
      <c r="A139" s="76">
        <v>152572</v>
      </c>
      <c r="B139" s="77" t="s">
        <v>1325</v>
      </c>
      <c r="C139" s="78" t="s">
        <v>1188</v>
      </c>
      <c r="D139" s="76" t="s">
        <v>70</v>
      </c>
      <c r="E139" s="79" t="s">
        <v>14</v>
      </c>
      <c r="F139" s="79" t="s">
        <v>88</v>
      </c>
      <c r="G139" s="79" t="s">
        <v>14</v>
      </c>
      <c r="H139" s="79" t="s">
        <v>14</v>
      </c>
      <c r="I139" s="78" t="s">
        <v>14</v>
      </c>
      <c r="J139" s="79" t="s">
        <v>14</v>
      </c>
      <c r="K139" s="142" t="s">
        <v>1851</v>
      </c>
      <c r="L139" s="149" t="s">
        <v>1843</v>
      </c>
      <c r="M139" s="150" t="s">
        <v>1852</v>
      </c>
      <c r="N139" s="151">
        <v>16</v>
      </c>
      <c r="O139" s="151">
        <v>0</v>
      </c>
      <c r="P139" s="152">
        <v>0</v>
      </c>
      <c r="Q139" s="153">
        <v>95.65</v>
      </c>
      <c r="R139" s="154">
        <v>0</v>
      </c>
      <c r="S139" s="38">
        <f t="shared" si="23"/>
        <v>1</v>
      </c>
      <c r="T139" s="39">
        <f t="shared" si="24"/>
        <v>9</v>
      </c>
      <c r="U139" s="40">
        <f t="shared" si="25"/>
        <v>0</v>
      </c>
      <c r="V139" s="40">
        <f t="shared" si="26"/>
        <v>0</v>
      </c>
      <c r="W139" s="40">
        <f t="shared" si="27"/>
        <v>0</v>
      </c>
      <c r="X139" s="40">
        <f t="shared" si="28"/>
        <v>0</v>
      </c>
      <c r="Y139" s="40">
        <f t="shared" si="29"/>
        <v>0</v>
      </c>
      <c r="Z139" s="40">
        <f t="shared" si="30"/>
        <v>0</v>
      </c>
      <c r="AA139" s="40">
        <f t="shared" si="31"/>
        <v>0</v>
      </c>
      <c r="AB139" s="40">
        <f t="shared" si="32"/>
        <v>0</v>
      </c>
      <c r="AC139" s="41">
        <f t="shared" si="33"/>
        <v>0</v>
      </c>
      <c r="AD139" s="49" t="s">
        <v>5</v>
      </c>
      <c r="AE139" s="50" t="s">
        <v>89</v>
      </c>
      <c r="AF139" s="49"/>
      <c r="AG139" s="50"/>
      <c r="AH139" s="49"/>
      <c r="AI139" s="50"/>
      <c r="AJ139" s="49"/>
      <c r="AK139" s="50"/>
      <c r="AL139" s="49"/>
      <c r="AM139" s="50"/>
      <c r="AN139" s="49"/>
      <c r="AO139" s="50"/>
      <c r="AP139" s="49"/>
      <c r="AQ139" s="50"/>
      <c r="AR139" s="49" t="s">
        <v>5</v>
      </c>
      <c r="AS139" s="50" t="s">
        <v>169</v>
      </c>
      <c r="AT139" s="49"/>
      <c r="AU139" s="50"/>
      <c r="AV139" s="49" t="s">
        <v>5</v>
      </c>
      <c r="AW139" s="50" t="s">
        <v>430</v>
      </c>
      <c r="AX139" s="49" t="s">
        <v>5</v>
      </c>
      <c r="AY139" s="50" t="s">
        <v>103</v>
      </c>
      <c r="AZ139" s="49"/>
      <c r="BA139" s="50"/>
      <c r="BB139" s="49"/>
      <c r="BC139" s="50"/>
      <c r="BD139" s="49"/>
      <c r="BE139" s="50"/>
      <c r="BF139" s="49" t="s">
        <v>5</v>
      </c>
      <c r="BG139" s="50" t="s">
        <v>105</v>
      </c>
      <c r="BH139" s="49" t="s">
        <v>5</v>
      </c>
      <c r="BI139" s="50" t="s">
        <v>1184</v>
      </c>
      <c r="BJ139" s="49" t="s">
        <v>1</v>
      </c>
      <c r="BK139" s="50" t="s">
        <v>711</v>
      </c>
      <c r="BL139" s="49"/>
      <c r="BM139" s="50"/>
      <c r="BN139" s="49" t="s">
        <v>5</v>
      </c>
      <c r="BO139" s="50" t="s">
        <v>152</v>
      </c>
      <c r="BP139" s="49"/>
      <c r="BQ139" s="50"/>
      <c r="BR139" s="49"/>
      <c r="BS139" s="50"/>
      <c r="BT139" s="49" t="s">
        <v>5</v>
      </c>
      <c r="BU139" s="50" t="s">
        <v>108</v>
      </c>
      <c r="BV139" s="49" t="s">
        <v>5</v>
      </c>
      <c r="BW139" s="50" t="s">
        <v>98</v>
      </c>
      <c r="BX139" s="49"/>
      <c r="BY139" s="50"/>
    </row>
    <row r="140" spans="1:77" x14ac:dyDescent="0.25">
      <c r="A140" s="76">
        <v>152599</v>
      </c>
      <c r="B140" s="77" t="s">
        <v>1326</v>
      </c>
      <c r="C140" s="78" t="s">
        <v>1181</v>
      </c>
      <c r="D140" s="76" t="s">
        <v>70</v>
      </c>
      <c r="E140" s="79" t="s">
        <v>14</v>
      </c>
      <c r="F140" s="79" t="s">
        <v>88</v>
      </c>
      <c r="G140" s="79" t="s">
        <v>14</v>
      </c>
      <c r="H140" s="79" t="s">
        <v>14</v>
      </c>
      <c r="I140" s="78" t="s">
        <v>14</v>
      </c>
      <c r="J140" s="79" t="s">
        <v>14</v>
      </c>
      <c r="K140" s="142" t="s">
        <v>1850</v>
      </c>
      <c r="L140" s="149" t="s">
        <v>1845</v>
      </c>
      <c r="M140" s="150" t="s">
        <v>12</v>
      </c>
      <c r="N140" s="151">
        <v>31</v>
      </c>
      <c r="O140" s="151">
        <v>0</v>
      </c>
      <c r="P140" s="152">
        <v>1</v>
      </c>
      <c r="Q140" s="153">
        <v>100</v>
      </c>
      <c r="R140" s="154">
        <v>0</v>
      </c>
      <c r="S140" s="38">
        <f t="shared" si="23"/>
        <v>2</v>
      </c>
      <c r="T140" s="39">
        <f t="shared" si="24"/>
        <v>9</v>
      </c>
      <c r="U140" s="40">
        <f t="shared" si="25"/>
        <v>0</v>
      </c>
      <c r="V140" s="40">
        <f t="shared" si="26"/>
        <v>0</v>
      </c>
      <c r="W140" s="40">
        <f t="shared" si="27"/>
        <v>0</v>
      </c>
      <c r="X140" s="40">
        <f t="shared" si="28"/>
        <v>0</v>
      </c>
      <c r="Y140" s="40">
        <f t="shared" si="29"/>
        <v>0</v>
      </c>
      <c r="Z140" s="40">
        <f t="shared" si="30"/>
        <v>0</v>
      </c>
      <c r="AA140" s="40">
        <f t="shared" si="31"/>
        <v>0</v>
      </c>
      <c r="AB140" s="40">
        <f t="shared" si="32"/>
        <v>0</v>
      </c>
      <c r="AC140" s="41">
        <f t="shared" si="33"/>
        <v>0</v>
      </c>
      <c r="AD140" s="49" t="s">
        <v>5</v>
      </c>
      <c r="AE140" s="50" t="s">
        <v>72</v>
      </c>
      <c r="AF140" s="49" t="s">
        <v>5</v>
      </c>
      <c r="AG140" s="50" t="s">
        <v>154</v>
      </c>
      <c r="AH140" s="49"/>
      <c r="AI140" s="50"/>
      <c r="AJ140" s="49" t="s">
        <v>5</v>
      </c>
      <c r="AK140" s="50" t="s">
        <v>137</v>
      </c>
      <c r="AL140" s="49"/>
      <c r="AM140" s="50"/>
      <c r="AN140" s="49"/>
      <c r="AO140" s="50"/>
      <c r="AP140" s="49"/>
      <c r="AQ140" s="50"/>
      <c r="AR140" s="49" t="s">
        <v>5</v>
      </c>
      <c r="AS140" s="50" t="s">
        <v>448</v>
      </c>
      <c r="AT140" s="49"/>
      <c r="AU140" s="50"/>
      <c r="AV140" s="49" t="s">
        <v>1</v>
      </c>
      <c r="AW140" s="50" t="s">
        <v>104</v>
      </c>
      <c r="AX140" s="49" t="s">
        <v>5</v>
      </c>
      <c r="AY140" s="50" t="s">
        <v>84</v>
      </c>
      <c r="AZ140" s="49"/>
      <c r="BA140" s="50"/>
      <c r="BB140" s="49"/>
      <c r="BC140" s="50"/>
      <c r="BD140" s="49"/>
      <c r="BE140" s="50"/>
      <c r="BF140" s="49"/>
      <c r="BG140" s="50"/>
      <c r="BH140" s="49" t="s">
        <v>5</v>
      </c>
      <c r="BI140" s="50" t="s">
        <v>1184</v>
      </c>
      <c r="BJ140" s="49" t="s">
        <v>5</v>
      </c>
      <c r="BK140" s="50" t="s">
        <v>995</v>
      </c>
      <c r="BL140" s="49"/>
      <c r="BM140" s="50"/>
      <c r="BN140" s="49" t="s">
        <v>5</v>
      </c>
      <c r="BO140" s="50" t="s">
        <v>152</v>
      </c>
      <c r="BP140" s="49"/>
      <c r="BQ140" s="50"/>
      <c r="BR140" s="49" t="s">
        <v>1</v>
      </c>
      <c r="BS140" s="50" t="s">
        <v>98</v>
      </c>
      <c r="BT140" s="49" t="s">
        <v>5</v>
      </c>
      <c r="BU140" s="50" t="s">
        <v>122</v>
      </c>
      <c r="BV140" s="49"/>
      <c r="BW140" s="50"/>
      <c r="BX140" s="49"/>
      <c r="BY140" s="50"/>
    </row>
    <row r="141" spans="1:77" x14ac:dyDescent="0.25">
      <c r="A141" s="76">
        <v>152564</v>
      </c>
      <c r="B141" s="77" t="s">
        <v>1327</v>
      </c>
      <c r="C141" s="78" t="s">
        <v>1211</v>
      </c>
      <c r="D141" s="76" t="s">
        <v>12</v>
      </c>
      <c r="E141" s="79" t="s">
        <v>14</v>
      </c>
      <c r="F141" s="79" t="s">
        <v>71</v>
      </c>
      <c r="G141" s="79" t="s">
        <v>14</v>
      </c>
      <c r="H141" s="79" t="s">
        <v>14</v>
      </c>
      <c r="I141" s="78" t="s">
        <v>14</v>
      </c>
      <c r="J141" s="79" t="s">
        <v>14</v>
      </c>
      <c r="K141" s="142" t="s">
        <v>1850</v>
      </c>
      <c r="L141" s="149" t="s">
        <v>1844</v>
      </c>
      <c r="M141" s="150" t="s">
        <v>12</v>
      </c>
      <c r="N141" s="151">
        <v>14</v>
      </c>
      <c r="O141" s="151">
        <v>5</v>
      </c>
      <c r="P141" s="152">
        <v>1</v>
      </c>
      <c r="Q141" s="153">
        <v>93.48</v>
      </c>
      <c r="R141" s="154">
        <v>0</v>
      </c>
      <c r="S141" s="38">
        <f t="shared" si="23"/>
        <v>1</v>
      </c>
      <c r="T141" s="39">
        <f t="shared" si="24"/>
        <v>6</v>
      </c>
      <c r="U141" s="40">
        <f t="shared" si="25"/>
        <v>3</v>
      </c>
      <c r="V141" s="40">
        <f t="shared" si="26"/>
        <v>0</v>
      </c>
      <c r="W141" s="40">
        <f t="shared" si="27"/>
        <v>0</v>
      </c>
      <c r="X141" s="40">
        <f t="shared" si="28"/>
        <v>3</v>
      </c>
      <c r="Y141" s="40">
        <f t="shared" si="29"/>
        <v>0</v>
      </c>
      <c r="Z141" s="40">
        <f t="shared" si="30"/>
        <v>0</v>
      </c>
      <c r="AA141" s="40">
        <f t="shared" si="31"/>
        <v>0</v>
      </c>
      <c r="AB141" s="40">
        <f t="shared" si="32"/>
        <v>0</v>
      </c>
      <c r="AC141" s="41">
        <f t="shared" si="33"/>
        <v>0</v>
      </c>
      <c r="AD141" s="49"/>
      <c r="AE141" s="50"/>
      <c r="AF141" s="49"/>
      <c r="AG141" s="50"/>
      <c r="AH141" s="49"/>
      <c r="AI141" s="50"/>
      <c r="AJ141" s="49"/>
      <c r="AK141" s="50"/>
      <c r="AL141" s="49"/>
      <c r="AM141" s="50"/>
      <c r="AN141" s="49" t="s">
        <v>5</v>
      </c>
      <c r="AO141" s="50" t="s">
        <v>117</v>
      </c>
      <c r="AP141" s="49"/>
      <c r="AQ141" s="50"/>
      <c r="AR141" s="49" t="s">
        <v>5</v>
      </c>
      <c r="AS141" s="50" t="s">
        <v>722</v>
      </c>
      <c r="AT141" s="49"/>
      <c r="AU141" s="50"/>
      <c r="AV141" s="49" t="s">
        <v>30</v>
      </c>
      <c r="AW141" s="50" t="s">
        <v>105</v>
      </c>
      <c r="AX141" s="49"/>
      <c r="AY141" s="50"/>
      <c r="AZ141" s="49"/>
      <c r="BA141" s="50"/>
      <c r="BB141" s="49"/>
      <c r="BC141" s="50"/>
      <c r="BD141" s="49"/>
      <c r="BE141" s="50"/>
      <c r="BF141" s="49"/>
      <c r="BG141" s="50"/>
      <c r="BH141" s="49" t="s">
        <v>30</v>
      </c>
      <c r="BI141" s="50" t="s">
        <v>1184</v>
      </c>
      <c r="BJ141" s="49" t="s">
        <v>1</v>
      </c>
      <c r="BK141" s="50" t="s">
        <v>94</v>
      </c>
      <c r="BL141" s="49"/>
      <c r="BM141" s="50"/>
      <c r="BN141" s="49" t="s">
        <v>5</v>
      </c>
      <c r="BO141" s="50" t="s">
        <v>741</v>
      </c>
      <c r="BP141" s="49" t="s">
        <v>5</v>
      </c>
      <c r="BQ141" s="50" t="s">
        <v>81</v>
      </c>
      <c r="BR141" s="49"/>
      <c r="BS141" s="50"/>
      <c r="BT141" s="49" t="s">
        <v>5</v>
      </c>
      <c r="BU141" s="50" t="s">
        <v>97</v>
      </c>
      <c r="BV141" s="49" t="s">
        <v>5</v>
      </c>
      <c r="BW141" s="50" t="s">
        <v>98</v>
      </c>
      <c r="BX141" s="49" t="s">
        <v>30</v>
      </c>
      <c r="BY141" s="50" t="s">
        <v>103</v>
      </c>
    </row>
    <row r="142" spans="1:77" x14ac:dyDescent="0.25">
      <c r="A142" s="76">
        <v>152523</v>
      </c>
      <c r="B142" s="77" t="s">
        <v>1328</v>
      </c>
      <c r="C142" s="78" t="s">
        <v>1186</v>
      </c>
      <c r="D142" s="76" t="s">
        <v>12</v>
      </c>
      <c r="E142" s="79" t="s">
        <v>14</v>
      </c>
      <c r="F142" s="79" t="s">
        <v>71</v>
      </c>
      <c r="G142" s="79" t="s">
        <v>14</v>
      </c>
      <c r="H142" s="79" t="s">
        <v>87</v>
      </c>
      <c r="I142" s="78" t="s">
        <v>14</v>
      </c>
      <c r="J142" s="79" t="s">
        <v>14</v>
      </c>
      <c r="K142" s="142" t="s">
        <v>1850</v>
      </c>
      <c r="L142" s="149" t="s">
        <v>1844</v>
      </c>
      <c r="M142" s="150" t="s">
        <v>12</v>
      </c>
      <c r="N142" s="151">
        <v>18</v>
      </c>
      <c r="O142" s="151">
        <v>1</v>
      </c>
      <c r="P142" s="152">
        <v>2</v>
      </c>
      <c r="Q142" s="153">
        <v>100</v>
      </c>
      <c r="R142" s="154">
        <v>0</v>
      </c>
      <c r="S142" s="38">
        <f t="shared" si="23"/>
        <v>1</v>
      </c>
      <c r="T142" s="39">
        <f t="shared" si="24"/>
        <v>10</v>
      </c>
      <c r="U142" s="40">
        <f t="shared" si="25"/>
        <v>0</v>
      </c>
      <c r="V142" s="40">
        <f t="shared" si="26"/>
        <v>0</v>
      </c>
      <c r="W142" s="40">
        <f t="shared" si="27"/>
        <v>0</v>
      </c>
      <c r="X142" s="40">
        <f t="shared" si="28"/>
        <v>0</v>
      </c>
      <c r="Y142" s="40">
        <f t="shared" si="29"/>
        <v>0</v>
      </c>
      <c r="Z142" s="40">
        <f t="shared" si="30"/>
        <v>0</v>
      </c>
      <c r="AA142" s="40">
        <f t="shared" si="31"/>
        <v>0</v>
      </c>
      <c r="AB142" s="40">
        <f t="shared" si="32"/>
        <v>0</v>
      </c>
      <c r="AC142" s="41">
        <f t="shared" si="33"/>
        <v>0</v>
      </c>
      <c r="AD142" s="49"/>
      <c r="AE142" s="50"/>
      <c r="AF142" s="49" t="s">
        <v>5</v>
      </c>
      <c r="AG142" s="50" t="s">
        <v>154</v>
      </c>
      <c r="AH142" s="49"/>
      <c r="AI142" s="50"/>
      <c r="AJ142" s="49" t="s">
        <v>5</v>
      </c>
      <c r="AK142" s="50" t="s">
        <v>206</v>
      </c>
      <c r="AL142" s="49"/>
      <c r="AM142" s="50"/>
      <c r="AN142" s="49"/>
      <c r="AO142" s="50"/>
      <c r="AP142" s="49"/>
      <c r="AQ142" s="50"/>
      <c r="AR142" s="49" t="s">
        <v>5</v>
      </c>
      <c r="AS142" s="50" t="s">
        <v>722</v>
      </c>
      <c r="AT142" s="49"/>
      <c r="AU142" s="50"/>
      <c r="AV142" s="49" t="s">
        <v>5</v>
      </c>
      <c r="AW142" s="50" t="s">
        <v>83</v>
      </c>
      <c r="AX142" s="49"/>
      <c r="AY142" s="50"/>
      <c r="AZ142" s="49" t="s">
        <v>5</v>
      </c>
      <c r="BA142" s="50" t="s">
        <v>92</v>
      </c>
      <c r="BB142" s="49"/>
      <c r="BC142" s="50"/>
      <c r="BD142" s="49"/>
      <c r="BE142" s="50"/>
      <c r="BF142" s="49"/>
      <c r="BG142" s="50"/>
      <c r="BH142" s="49" t="s">
        <v>5</v>
      </c>
      <c r="BI142" s="50" t="s">
        <v>78</v>
      </c>
      <c r="BJ142" s="49" t="s">
        <v>5</v>
      </c>
      <c r="BK142" s="50" t="s">
        <v>995</v>
      </c>
      <c r="BL142" s="49"/>
      <c r="BM142" s="50"/>
      <c r="BN142" s="49" t="s">
        <v>1</v>
      </c>
      <c r="BO142" s="50" t="s">
        <v>107</v>
      </c>
      <c r="BP142" s="49"/>
      <c r="BQ142" s="50"/>
      <c r="BR142" s="49" t="s">
        <v>5</v>
      </c>
      <c r="BS142" s="50" t="s">
        <v>140</v>
      </c>
      <c r="BT142" s="49" t="s">
        <v>5</v>
      </c>
      <c r="BU142" s="50" t="s">
        <v>82</v>
      </c>
      <c r="BV142" s="49"/>
      <c r="BW142" s="50"/>
      <c r="BX142" s="49" t="s">
        <v>5</v>
      </c>
      <c r="BY142" s="50" t="s">
        <v>75</v>
      </c>
    </row>
    <row r="143" spans="1:77" x14ac:dyDescent="0.25">
      <c r="A143" s="76">
        <v>152576</v>
      </c>
      <c r="B143" s="77" t="s">
        <v>1329</v>
      </c>
      <c r="C143" s="78" t="s">
        <v>1191</v>
      </c>
      <c r="D143" s="76" t="s">
        <v>70</v>
      </c>
      <c r="E143" s="79" t="s">
        <v>14</v>
      </c>
      <c r="F143" s="79" t="s">
        <v>88</v>
      </c>
      <c r="G143" s="79" t="s">
        <v>14</v>
      </c>
      <c r="H143" s="79" t="s">
        <v>14</v>
      </c>
      <c r="I143" s="78" t="s">
        <v>14</v>
      </c>
      <c r="J143" s="79" t="s">
        <v>14</v>
      </c>
      <c r="K143" s="142" t="s">
        <v>1850</v>
      </c>
      <c r="L143" s="149" t="s">
        <v>1846</v>
      </c>
      <c r="M143" s="150" t="s">
        <v>1853</v>
      </c>
      <c r="N143" s="151">
        <v>13</v>
      </c>
      <c r="O143" s="151">
        <v>1</v>
      </c>
      <c r="P143" s="152">
        <v>0</v>
      </c>
      <c r="Q143" s="153">
        <v>97.83</v>
      </c>
      <c r="R143" s="154">
        <v>1</v>
      </c>
      <c r="S143" s="38">
        <f t="shared" si="23"/>
        <v>0</v>
      </c>
      <c r="T143" s="39">
        <f t="shared" si="24"/>
        <v>11</v>
      </c>
      <c r="U143" s="40">
        <f t="shared" si="25"/>
        <v>0</v>
      </c>
      <c r="V143" s="40">
        <f t="shared" si="26"/>
        <v>0</v>
      </c>
      <c r="W143" s="40">
        <f t="shared" si="27"/>
        <v>0</v>
      </c>
      <c r="X143" s="40">
        <f t="shared" si="28"/>
        <v>0</v>
      </c>
      <c r="Y143" s="40">
        <f t="shared" si="29"/>
        <v>0</v>
      </c>
      <c r="Z143" s="40">
        <f t="shared" si="30"/>
        <v>0</v>
      </c>
      <c r="AA143" s="40">
        <f t="shared" si="31"/>
        <v>0</v>
      </c>
      <c r="AB143" s="40">
        <f t="shared" si="32"/>
        <v>0</v>
      </c>
      <c r="AC143" s="41">
        <f t="shared" si="33"/>
        <v>0</v>
      </c>
      <c r="AD143" s="49"/>
      <c r="AE143" s="50"/>
      <c r="AF143" s="49" t="s">
        <v>5</v>
      </c>
      <c r="AG143" s="50" t="s">
        <v>154</v>
      </c>
      <c r="AH143" s="49"/>
      <c r="AI143" s="50"/>
      <c r="AJ143" s="49" t="s">
        <v>5</v>
      </c>
      <c r="AK143" s="50" t="s">
        <v>137</v>
      </c>
      <c r="AL143" s="49"/>
      <c r="AM143" s="50"/>
      <c r="AN143" s="49"/>
      <c r="AO143" s="50"/>
      <c r="AP143" s="49"/>
      <c r="AQ143" s="50"/>
      <c r="AR143" s="49" t="s">
        <v>5</v>
      </c>
      <c r="AS143" s="50" t="s">
        <v>448</v>
      </c>
      <c r="AT143" s="49"/>
      <c r="AU143" s="50"/>
      <c r="AV143" s="49" t="s">
        <v>5</v>
      </c>
      <c r="AW143" s="50" t="s">
        <v>154</v>
      </c>
      <c r="AX143" s="49"/>
      <c r="AY143" s="50"/>
      <c r="AZ143" s="49" t="s">
        <v>5</v>
      </c>
      <c r="BA143" s="50" t="s">
        <v>92</v>
      </c>
      <c r="BB143" s="49"/>
      <c r="BC143" s="50"/>
      <c r="BD143" s="49"/>
      <c r="BE143" s="50"/>
      <c r="BF143" s="49"/>
      <c r="BG143" s="50"/>
      <c r="BH143" s="49" t="s">
        <v>5</v>
      </c>
      <c r="BI143" s="50" t="s">
        <v>163</v>
      </c>
      <c r="BJ143" s="49" t="s">
        <v>5</v>
      </c>
      <c r="BK143" s="50" t="s">
        <v>106</v>
      </c>
      <c r="BL143" s="49"/>
      <c r="BM143" s="50"/>
      <c r="BN143" s="49" t="s">
        <v>5</v>
      </c>
      <c r="BO143" s="50" t="s">
        <v>152</v>
      </c>
      <c r="BP143" s="49"/>
      <c r="BQ143" s="50"/>
      <c r="BR143" s="49" t="s">
        <v>5</v>
      </c>
      <c r="BS143" s="50" t="s">
        <v>98</v>
      </c>
      <c r="BT143" s="49" t="s">
        <v>5</v>
      </c>
      <c r="BU143" s="50" t="s">
        <v>97</v>
      </c>
      <c r="BV143" s="49"/>
      <c r="BW143" s="50"/>
      <c r="BX143" s="49" t="s">
        <v>5</v>
      </c>
      <c r="BY143" s="50" t="s">
        <v>103</v>
      </c>
    </row>
    <row r="144" spans="1:77" x14ac:dyDescent="0.25">
      <c r="A144" s="76">
        <v>152573</v>
      </c>
      <c r="B144" s="77" t="s">
        <v>1330</v>
      </c>
      <c r="C144" s="78" t="s">
        <v>1181</v>
      </c>
      <c r="D144" s="76" t="s">
        <v>70</v>
      </c>
      <c r="E144" s="79" t="s">
        <v>87</v>
      </c>
      <c r="F144" s="79" t="s">
        <v>88</v>
      </c>
      <c r="G144" s="79" t="s">
        <v>14</v>
      </c>
      <c r="H144" s="79" t="s">
        <v>87</v>
      </c>
      <c r="I144" s="78" t="s">
        <v>14</v>
      </c>
      <c r="J144" s="79" t="s">
        <v>14</v>
      </c>
      <c r="K144" s="142" t="s">
        <v>1850</v>
      </c>
      <c r="L144" s="149" t="s">
        <v>1845</v>
      </c>
      <c r="M144" s="150" t="s">
        <v>12</v>
      </c>
      <c r="N144" s="151">
        <v>36</v>
      </c>
      <c r="O144" s="151">
        <v>0</v>
      </c>
      <c r="P144" s="152">
        <v>2</v>
      </c>
      <c r="Q144" s="153">
        <v>100</v>
      </c>
      <c r="R144" s="154">
        <v>1</v>
      </c>
      <c r="S144" s="38">
        <f t="shared" si="23"/>
        <v>1</v>
      </c>
      <c r="T144" s="39">
        <f t="shared" si="24"/>
        <v>10</v>
      </c>
      <c r="U144" s="40">
        <f t="shared" si="25"/>
        <v>0</v>
      </c>
      <c r="V144" s="40">
        <f t="shared" si="26"/>
        <v>0</v>
      </c>
      <c r="W144" s="40">
        <f t="shared" si="27"/>
        <v>0</v>
      </c>
      <c r="X144" s="40">
        <f t="shared" si="28"/>
        <v>0</v>
      </c>
      <c r="Y144" s="40">
        <f t="shared" si="29"/>
        <v>0</v>
      </c>
      <c r="Z144" s="40">
        <f t="shared" si="30"/>
        <v>0</v>
      </c>
      <c r="AA144" s="40">
        <f t="shared" si="31"/>
        <v>0</v>
      </c>
      <c r="AB144" s="40">
        <f t="shared" si="32"/>
        <v>0</v>
      </c>
      <c r="AC144" s="41">
        <f t="shared" si="33"/>
        <v>0</v>
      </c>
      <c r="AD144" s="49"/>
      <c r="AE144" s="50"/>
      <c r="AF144" s="49" t="s">
        <v>5</v>
      </c>
      <c r="AG144" s="50" t="s">
        <v>154</v>
      </c>
      <c r="AH144" s="49" t="s">
        <v>5</v>
      </c>
      <c r="AI144" s="50" t="s">
        <v>78</v>
      </c>
      <c r="AJ144" s="49" t="s">
        <v>5</v>
      </c>
      <c r="AK144" s="50" t="s">
        <v>206</v>
      </c>
      <c r="AL144" s="49"/>
      <c r="AM144" s="50"/>
      <c r="AN144" s="49"/>
      <c r="AO144" s="50"/>
      <c r="AP144" s="49"/>
      <c r="AQ144" s="50"/>
      <c r="AR144" s="49" t="s">
        <v>5</v>
      </c>
      <c r="AS144" s="50" t="s">
        <v>142</v>
      </c>
      <c r="AT144" s="49"/>
      <c r="AU144" s="50"/>
      <c r="AV144" s="49" t="s">
        <v>1</v>
      </c>
      <c r="AW144" s="50" t="s">
        <v>104</v>
      </c>
      <c r="AX144" s="49" t="s">
        <v>5</v>
      </c>
      <c r="AY144" s="50" t="s">
        <v>130</v>
      </c>
      <c r="AZ144" s="49"/>
      <c r="BA144" s="50"/>
      <c r="BB144" s="49"/>
      <c r="BC144" s="50"/>
      <c r="BD144" s="49"/>
      <c r="BE144" s="50"/>
      <c r="BF144" s="49"/>
      <c r="BG144" s="50"/>
      <c r="BH144" s="49" t="s">
        <v>5</v>
      </c>
      <c r="BI144" s="50" t="s">
        <v>163</v>
      </c>
      <c r="BJ144" s="49" t="s">
        <v>5</v>
      </c>
      <c r="BK144" s="50" t="s">
        <v>139</v>
      </c>
      <c r="BL144" s="49"/>
      <c r="BM144" s="50"/>
      <c r="BN144" s="49" t="s">
        <v>5</v>
      </c>
      <c r="BO144" s="50" t="s">
        <v>121</v>
      </c>
      <c r="BP144" s="49"/>
      <c r="BQ144" s="50"/>
      <c r="BR144" s="49" t="s">
        <v>5</v>
      </c>
      <c r="BS144" s="50" t="s">
        <v>140</v>
      </c>
      <c r="BT144" s="49" t="s">
        <v>5</v>
      </c>
      <c r="BU144" s="50" t="s">
        <v>108</v>
      </c>
      <c r="BV144" s="49"/>
      <c r="BW144" s="50"/>
      <c r="BX144" s="49"/>
      <c r="BY144" s="50"/>
    </row>
    <row r="145" spans="1:77" x14ac:dyDescent="0.25">
      <c r="A145" s="76">
        <v>152636</v>
      </c>
      <c r="B145" s="77" t="s">
        <v>1331</v>
      </c>
      <c r="C145" s="78" t="s">
        <v>1188</v>
      </c>
      <c r="D145" s="76" t="s">
        <v>12</v>
      </c>
      <c r="E145" s="79" t="s">
        <v>87</v>
      </c>
      <c r="F145" s="79" t="s">
        <v>88</v>
      </c>
      <c r="G145" s="79" t="s">
        <v>14</v>
      </c>
      <c r="H145" s="79" t="s">
        <v>87</v>
      </c>
      <c r="I145" s="78" t="s">
        <v>14</v>
      </c>
      <c r="J145" s="79" t="s">
        <v>14</v>
      </c>
      <c r="K145" s="142" t="s">
        <v>1850</v>
      </c>
      <c r="L145" s="149" t="s">
        <v>1845</v>
      </c>
      <c r="M145" s="150" t="s">
        <v>12</v>
      </c>
      <c r="N145" s="151">
        <v>20</v>
      </c>
      <c r="O145" s="151">
        <v>3</v>
      </c>
      <c r="P145" s="152">
        <v>2</v>
      </c>
      <c r="Q145" s="153">
        <v>91.3</v>
      </c>
      <c r="R145" s="154">
        <v>6</v>
      </c>
      <c r="S145" s="38">
        <f t="shared" si="23"/>
        <v>1</v>
      </c>
      <c r="T145" s="39">
        <f t="shared" si="24"/>
        <v>8</v>
      </c>
      <c r="U145" s="40">
        <f t="shared" si="25"/>
        <v>1</v>
      </c>
      <c r="V145" s="40">
        <f t="shared" si="26"/>
        <v>1</v>
      </c>
      <c r="W145" s="40">
        <f t="shared" si="27"/>
        <v>0</v>
      </c>
      <c r="X145" s="40">
        <f t="shared" si="28"/>
        <v>2</v>
      </c>
      <c r="Y145" s="40">
        <f t="shared" si="29"/>
        <v>0</v>
      </c>
      <c r="Z145" s="40">
        <f t="shared" si="30"/>
        <v>0</v>
      </c>
      <c r="AA145" s="40">
        <f t="shared" si="31"/>
        <v>0</v>
      </c>
      <c r="AB145" s="40">
        <f t="shared" si="32"/>
        <v>0</v>
      </c>
      <c r="AC145" s="41">
        <f t="shared" si="33"/>
        <v>0</v>
      </c>
      <c r="AD145" s="49"/>
      <c r="AE145" s="50"/>
      <c r="AF145" s="49" t="s">
        <v>31</v>
      </c>
      <c r="AG145" s="50" t="s">
        <v>433</v>
      </c>
      <c r="AH145" s="49"/>
      <c r="AI145" s="50"/>
      <c r="AJ145" s="49" t="s">
        <v>5</v>
      </c>
      <c r="AK145" s="50" t="s">
        <v>137</v>
      </c>
      <c r="AL145" s="49"/>
      <c r="AM145" s="50"/>
      <c r="AN145" s="49"/>
      <c r="AO145" s="50"/>
      <c r="AP145" s="49"/>
      <c r="AQ145" s="50"/>
      <c r="AR145" s="49" t="s">
        <v>30</v>
      </c>
      <c r="AS145" s="50" t="s">
        <v>102</v>
      </c>
      <c r="AT145" s="49"/>
      <c r="AU145" s="50"/>
      <c r="AV145" s="49" t="s">
        <v>5</v>
      </c>
      <c r="AW145" s="50" t="s">
        <v>430</v>
      </c>
      <c r="AX145" s="49" t="s">
        <v>5</v>
      </c>
      <c r="AY145" s="50" t="s">
        <v>84</v>
      </c>
      <c r="AZ145" s="49"/>
      <c r="BA145" s="50"/>
      <c r="BB145" s="49" t="s">
        <v>5</v>
      </c>
      <c r="BC145" s="50" t="s">
        <v>436</v>
      </c>
      <c r="BD145" s="49"/>
      <c r="BE145" s="50"/>
      <c r="BF145" s="49"/>
      <c r="BG145" s="50"/>
      <c r="BH145" s="49" t="s">
        <v>5</v>
      </c>
      <c r="BI145" s="50" t="s">
        <v>1184</v>
      </c>
      <c r="BJ145" s="49" t="s">
        <v>5</v>
      </c>
      <c r="BK145" s="50" t="s">
        <v>139</v>
      </c>
      <c r="BL145" s="49"/>
      <c r="BM145" s="50"/>
      <c r="BN145" s="49" t="s">
        <v>1</v>
      </c>
      <c r="BO145" s="50" t="s">
        <v>96</v>
      </c>
      <c r="BP145" s="49"/>
      <c r="BQ145" s="50"/>
      <c r="BR145" s="49" t="s">
        <v>5</v>
      </c>
      <c r="BS145" s="50" t="s">
        <v>170</v>
      </c>
      <c r="BT145" s="49" t="s">
        <v>5</v>
      </c>
      <c r="BU145" s="50" t="s">
        <v>122</v>
      </c>
      <c r="BV145" s="49"/>
      <c r="BW145" s="50"/>
      <c r="BX145" s="49"/>
      <c r="BY145" s="50"/>
    </row>
    <row r="146" spans="1:77" x14ac:dyDescent="0.25">
      <c r="A146" s="76">
        <v>152569</v>
      </c>
      <c r="B146" s="77" t="s">
        <v>1332</v>
      </c>
      <c r="C146" s="78" t="s">
        <v>1188</v>
      </c>
      <c r="D146" s="76" t="s">
        <v>70</v>
      </c>
      <c r="E146" s="79" t="s">
        <v>87</v>
      </c>
      <c r="F146" s="79" t="s">
        <v>503</v>
      </c>
      <c r="G146" s="79" t="s">
        <v>14</v>
      </c>
      <c r="H146" s="79" t="s">
        <v>87</v>
      </c>
      <c r="I146" s="78" t="s">
        <v>14</v>
      </c>
      <c r="J146" s="79" t="s">
        <v>14</v>
      </c>
      <c r="K146" s="142" t="s">
        <v>1850</v>
      </c>
      <c r="L146" s="149" t="s">
        <v>1848</v>
      </c>
      <c r="M146" s="150" t="s">
        <v>1852</v>
      </c>
      <c r="N146" s="151">
        <v>26</v>
      </c>
      <c r="O146" s="151">
        <v>2</v>
      </c>
      <c r="P146" s="152">
        <v>0</v>
      </c>
      <c r="Q146" s="153">
        <v>100</v>
      </c>
      <c r="R146" s="154">
        <v>1</v>
      </c>
      <c r="S146" s="38">
        <f t="shared" si="23"/>
        <v>0</v>
      </c>
      <c r="T146" s="39">
        <f t="shared" si="24"/>
        <v>10</v>
      </c>
      <c r="U146" s="40">
        <f t="shared" si="25"/>
        <v>0</v>
      </c>
      <c r="V146" s="40">
        <f t="shared" si="26"/>
        <v>1</v>
      </c>
      <c r="W146" s="40">
        <f t="shared" si="27"/>
        <v>0</v>
      </c>
      <c r="X146" s="40">
        <f t="shared" si="28"/>
        <v>1</v>
      </c>
      <c r="Y146" s="40">
        <f t="shared" si="29"/>
        <v>0</v>
      </c>
      <c r="Z146" s="40">
        <f t="shared" si="30"/>
        <v>0</v>
      </c>
      <c r="AA146" s="40">
        <f t="shared" si="31"/>
        <v>0</v>
      </c>
      <c r="AB146" s="40">
        <f t="shared" si="32"/>
        <v>0</v>
      </c>
      <c r="AC146" s="41">
        <f t="shared" si="33"/>
        <v>0</v>
      </c>
      <c r="AD146" s="49"/>
      <c r="AE146" s="50"/>
      <c r="AF146" s="49" t="s">
        <v>5</v>
      </c>
      <c r="AG146" s="50" t="s">
        <v>164</v>
      </c>
      <c r="AH146" s="49"/>
      <c r="AI146" s="50"/>
      <c r="AJ146" s="49" t="s">
        <v>5</v>
      </c>
      <c r="AK146" s="50" t="s">
        <v>419</v>
      </c>
      <c r="AL146" s="49"/>
      <c r="AM146" s="50"/>
      <c r="AN146" s="49"/>
      <c r="AO146" s="50"/>
      <c r="AP146" s="49"/>
      <c r="AQ146" s="50"/>
      <c r="AR146" s="49" t="s">
        <v>5</v>
      </c>
      <c r="AS146" s="50" t="s">
        <v>102</v>
      </c>
      <c r="AT146" s="49"/>
      <c r="AU146" s="50"/>
      <c r="AV146" s="49" t="s">
        <v>5</v>
      </c>
      <c r="AW146" s="50" t="s">
        <v>430</v>
      </c>
      <c r="AX146" s="49" t="s">
        <v>5</v>
      </c>
      <c r="AY146" s="50" t="s">
        <v>84</v>
      </c>
      <c r="AZ146" s="49"/>
      <c r="BA146" s="50"/>
      <c r="BB146" s="49" t="s">
        <v>5</v>
      </c>
      <c r="BC146" s="50" t="s">
        <v>436</v>
      </c>
      <c r="BD146" s="49"/>
      <c r="BE146" s="50"/>
      <c r="BF146" s="49"/>
      <c r="BG146" s="50"/>
      <c r="BH146" s="49" t="s">
        <v>5</v>
      </c>
      <c r="BI146" s="50" t="s">
        <v>1184</v>
      </c>
      <c r="BJ146" s="49" t="s">
        <v>5</v>
      </c>
      <c r="BK146" s="50" t="s">
        <v>139</v>
      </c>
      <c r="BL146" s="49"/>
      <c r="BM146" s="50"/>
      <c r="BN146" s="49" t="s">
        <v>5</v>
      </c>
      <c r="BO146" s="50" t="s">
        <v>121</v>
      </c>
      <c r="BP146" s="49"/>
      <c r="BQ146" s="50"/>
      <c r="BR146" s="49" t="s">
        <v>5</v>
      </c>
      <c r="BS146" s="50" t="s">
        <v>170</v>
      </c>
      <c r="BT146" s="49" t="s">
        <v>31</v>
      </c>
      <c r="BU146" s="50" t="s">
        <v>122</v>
      </c>
      <c r="BV146" s="49"/>
      <c r="BW146" s="50"/>
      <c r="BX146" s="49"/>
      <c r="BY146" s="50"/>
    </row>
    <row r="147" spans="1:77" x14ac:dyDescent="0.25">
      <c r="A147" s="76">
        <v>152654</v>
      </c>
      <c r="B147" s="77" t="s">
        <v>1333</v>
      </c>
      <c r="C147" s="78" t="s">
        <v>1191</v>
      </c>
      <c r="D147" s="76" t="s">
        <v>12</v>
      </c>
      <c r="E147" s="79" t="s">
        <v>14</v>
      </c>
      <c r="F147" s="79" t="s">
        <v>503</v>
      </c>
      <c r="G147" s="79" t="s">
        <v>14</v>
      </c>
      <c r="H147" s="79" t="s">
        <v>14</v>
      </c>
      <c r="I147" s="78" t="s">
        <v>14</v>
      </c>
      <c r="J147" s="79" t="s">
        <v>14</v>
      </c>
      <c r="K147" s="142" t="s">
        <v>1850</v>
      </c>
      <c r="L147" s="149" t="s">
        <v>1845</v>
      </c>
      <c r="M147" s="150" t="s">
        <v>1852</v>
      </c>
      <c r="N147" s="151">
        <v>15</v>
      </c>
      <c r="O147" s="151">
        <v>1</v>
      </c>
      <c r="P147" s="152">
        <v>2</v>
      </c>
      <c r="Q147" s="153">
        <v>97.83</v>
      </c>
      <c r="R147" s="154">
        <v>9</v>
      </c>
      <c r="S147" s="38">
        <f t="shared" si="23"/>
        <v>1</v>
      </c>
      <c r="T147" s="39">
        <f t="shared" si="24"/>
        <v>10</v>
      </c>
      <c r="U147" s="40">
        <f t="shared" si="25"/>
        <v>0</v>
      </c>
      <c r="V147" s="40">
        <f t="shared" si="26"/>
        <v>0</v>
      </c>
      <c r="W147" s="40">
        <f t="shared" si="27"/>
        <v>0</v>
      </c>
      <c r="X147" s="40">
        <f t="shared" si="28"/>
        <v>0</v>
      </c>
      <c r="Y147" s="40">
        <f t="shared" si="29"/>
        <v>0</v>
      </c>
      <c r="Z147" s="40">
        <f t="shared" si="30"/>
        <v>0</v>
      </c>
      <c r="AA147" s="40">
        <f t="shared" si="31"/>
        <v>0</v>
      </c>
      <c r="AB147" s="40">
        <f t="shared" si="32"/>
        <v>0</v>
      </c>
      <c r="AC147" s="41">
        <f t="shared" si="33"/>
        <v>0</v>
      </c>
      <c r="AD147" s="49"/>
      <c r="AE147" s="50"/>
      <c r="AF147" s="49" t="s">
        <v>5</v>
      </c>
      <c r="AG147" s="50" t="s">
        <v>164</v>
      </c>
      <c r="AH147" s="49"/>
      <c r="AI147" s="50"/>
      <c r="AJ147" s="49" t="s">
        <v>5</v>
      </c>
      <c r="AK147" s="50" t="s">
        <v>419</v>
      </c>
      <c r="AL147" s="49"/>
      <c r="AM147" s="50"/>
      <c r="AN147" s="49"/>
      <c r="AO147" s="50"/>
      <c r="AP147" s="49"/>
      <c r="AQ147" s="50"/>
      <c r="AR147" s="49" t="s">
        <v>5</v>
      </c>
      <c r="AS147" s="50" t="s">
        <v>151</v>
      </c>
      <c r="AT147" s="49"/>
      <c r="AU147" s="50"/>
      <c r="AV147" s="49" t="s">
        <v>5</v>
      </c>
      <c r="AW147" s="50" t="s">
        <v>154</v>
      </c>
      <c r="AX147" s="49"/>
      <c r="AY147" s="50"/>
      <c r="AZ147" s="49"/>
      <c r="BA147" s="50"/>
      <c r="BB147" s="49"/>
      <c r="BC147" s="50"/>
      <c r="BD147" s="49"/>
      <c r="BE147" s="50"/>
      <c r="BF147" s="49"/>
      <c r="BG147" s="50"/>
      <c r="BH147" s="49" t="s">
        <v>5</v>
      </c>
      <c r="BI147" s="50" t="s">
        <v>163</v>
      </c>
      <c r="BJ147" s="49" t="s">
        <v>5</v>
      </c>
      <c r="BK147" s="50" t="s">
        <v>112</v>
      </c>
      <c r="BL147" s="49"/>
      <c r="BM147" s="50"/>
      <c r="BN147" s="49" t="s">
        <v>1</v>
      </c>
      <c r="BO147" s="50" t="s">
        <v>107</v>
      </c>
      <c r="BP147" s="49" t="s">
        <v>5</v>
      </c>
      <c r="BQ147" s="50" t="s">
        <v>81</v>
      </c>
      <c r="BR147" s="49" t="s">
        <v>5</v>
      </c>
      <c r="BS147" s="50" t="s">
        <v>170</v>
      </c>
      <c r="BT147" s="49" t="s">
        <v>5</v>
      </c>
      <c r="BU147" s="50" t="s">
        <v>82</v>
      </c>
      <c r="BV147" s="49"/>
      <c r="BW147" s="50"/>
      <c r="BX147" s="49" t="s">
        <v>5</v>
      </c>
      <c r="BY147" s="50" t="s">
        <v>75</v>
      </c>
    </row>
    <row r="148" spans="1:77" x14ac:dyDescent="0.25">
      <c r="A148" s="76">
        <v>152610</v>
      </c>
      <c r="B148" s="77" t="s">
        <v>1334</v>
      </c>
      <c r="C148" s="78" t="s">
        <v>1193</v>
      </c>
      <c r="D148" s="76" t="s">
        <v>70</v>
      </c>
      <c r="E148" s="79" t="s">
        <v>14</v>
      </c>
      <c r="F148" s="79" t="s">
        <v>71</v>
      </c>
      <c r="G148" s="79" t="s">
        <v>14</v>
      </c>
      <c r="H148" s="79" t="s">
        <v>14</v>
      </c>
      <c r="I148" s="78" t="s">
        <v>14</v>
      </c>
      <c r="J148" s="79" t="s">
        <v>14</v>
      </c>
      <c r="K148" s="142" t="s">
        <v>1851</v>
      </c>
      <c r="L148" s="149" t="s">
        <v>1844</v>
      </c>
      <c r="M148" s="150" t="s">
        <v>12</v>
      </c>
      <c r="N148" s="151">
        <v>19</v>
      </c>
      <c r="O148" s="151">
        <v>0</v>
      </c>
      <c r="P148" s="152">
        <v>1</v>
      </c>
      <c r="Q148" s="153">
        <v>100</v>
      </c>
      <c r="R148" s="154">
        <v>1</v>
      </c>
      <c r="S148" s="38">
        <f t="shared" si="23"/>
        <v>0</v>
      </c>
      <c r="T148" s="39">
        <f t="shared" si="24"/>
        <v>10</v>
      </c>
      <c r="U148" s="40">
        <f t="shared" si="25"/>
        <v>0</v>
      </c>
      <c r="V148" s="40">
        <f t="shared" si="26"/>
        <v>0</v>
      </c>
      <c r="W148" s="40">
        <f t="shared" si="27"/>
        <v>0</v>
      </c>
      <c r="X148" s="40">
        <f t="shared" si="28"/>
        <v>0</v>
      </c>
      <c r="Y148" s="40">
        <f t="shared" si="29"/>
        <v>0</v>
      </c>
      <c r="Z148" s="40">
        <f t="shared" si="30"/>
        <v>0</v>
      </c>
      <c r="AA148" s="40">
        <f t="shared" si="31"/>
        <v>0</v>
      </c>
      <c r="AB148" s="40">
        <f t="shared" si="32"/>
        <v>0</v>
      </c>
      <c r="AC148" s="41">
        <f t="shared" si="33"/>
        <v>0</v>
      </c>
      <c r="AD148" s="49"/>
      <c r="AE148" s="50"/>
      <c r="AF148" s="49"/>
      <c r="AG148" s="50"/>
      <c r="AH148" s="49"/>
      <c r="AI148" s="50"/>
      <c r="AJ148" s="49"/>
      <c r="AK148" s="50"/>
      <c r="AL148" s="49"/>
      <c r="AM148" s="50"/>
      <c r="AN148" s="49"/>
      <c r="AO148" s="50"/>
      <c r="AP148" s="49"/>
      <c r="AQ148" s="50"/>
      <c r="AR148" s="49" t="s">
        <v>5</v>
      </c>
      <c r="AS148" s="50" t="s">
        <v>151</v>
      </c>
      <c r="AT148" s="49"/>
      <c r="AU148" s="50"/>
      <c r="AV148" s="49" t="s">
        <v>5</v>
      </c>
      <c r="AW148" s="50" t="s">
        <v>82</v>
      </c>
      <c r="AX148" s="49" t="s">
        <v>5</v>
      </c>
      <c r="AY148" s="50" t="s">
        <v>84</v>
      </c>
      <c r="AZ148" s="49"/>
      <c r="BA148" s="50"/>
      <c r="BB148" s="49"/>
      <c r="BC148" s="50"/>
      <c r="BD148" s="49"/>
      <c r="BE148" s="50"/>
      <c r="BF148" s="49"/>
      <c r="BG148" s="50"/>
      <c r="BH148" s="49" t="s">
        <v>5</v>
      </c>
      <c r="BI148" s="50" t="s">
        <v>105</v>
      </c>
      <c r="BJ148" s="49" t="s">
        <v>5</v>
      </c>
      <c r="BK148" s="50" t="s">
        <v>995</v>
      </c>
      <c r="BL148" s="49" t="s">
        <v>5</v>
      </c>
      <c r="BM148" s="50" t="s">
        <v>116</v>
      </c>
      <c r="BN148" s="49" t="s">
        <v>5</v>
      </c>
      <c r="BO148" s="50" t="s">
        <v>121</v>
      </c>
      <c r="BP148" s="49" t="s">
        <v>5</v>
      </c>
      <c r="BQ148" s="50" t="s">
        <v>81</v>
      </c>
      <c r="BR148" s="49"/>
      <c r="BS148" s="50"/>
      <c r="BT148" s="49" t="s">
        <v>5</v>
      </c>
      <c r="BU148" s="50" t="s">
        <v>122</v>
      </c>
      <c r="BV148" s="49" t="s">
        <v>5</v>
      </c>
      <c r="BW148" s="50" t="s">
        <v>98</v>
      </c>
      <c r="BX148" s="49"/>
      <c r="BY148" s="50"/>
    </row>
    <row r="149" spans="1:77" x14ac:dyDescent="0.25">
      <c r="A149" s="76">
        <v>152575</v>
      </c>
      <c r="B149" s="77" t="s">
        <v>1335</v>
      </c>
      <c r="C149" s="78" t="s">
        <v>1193</v>
      </c>
      <c r="D149" s="76" t="s">
        <v>12</v>
      </c>
      <c r="E149" s="79" t="s">
        <v>87</v>
      </c>
      <c r="F149" s="79" t="s">
        <v>150</v>
      </c>
      <c r="G149" s="79" t="s">
        <v>87</v>
      </c>
      <c r="H149" s="79" t="s">
        <v>87</v>
      </c>
      <c r="I149" s="78" t="s">
        <v>14</v>
      </c>
      <c r="J149" s="79" t="s">
        <v>14</v>
      </c>
      <c r="K149" s="142" t="s">
        <v>1851</v>
      </c>
      <c r="L149" s="149" t="s">
        <v>1843</v>
      </c>
      <c r="M149" s="150" t="s">
        <v>1852</v>
      </c>
      <c r="N149" s="151">
        <v>13</v>
      </c>
      <c r="O149" s="151">
        <v>0</v>
      </c>
      <c r="P149" s="152">
        <v>1</v>
      </c>
      <c r="Q149" s="153">
        <v>89.13</v>
      </c>
      <c r="R149" s="154">
        <v>3</v>
      </c>
      <c r="S149" s="38">
        <f t="shared" si="23"/>
        <v>0</v>
      </c>
      <c r="T149" s="39">
        <f t="shared" si="24"/>
        <v>10</v>
      </c>
      <c r="U149" s="40">
        <f t="shared" si="25"/>
        <v>1</v>
      </c>
      <c r="V149" s="40">
        <f t="shared" si="26"/>
        <v>0</v>
      </c>
      <c r="W149" s="40">
        <f t="shared" si="27"/>
        <v>0</v>
      </c>
      <c r="X149" s="40">
        <f t="shared" si="28"/>
        <v>1</v>
      </c>
      <c r="Y149" s="40">
        <f t="shared" si="29"/>
        <v>0</v>
      </c>
      <c r="Z149" s="40">
        <f t="shared" si="30"/>
        <v>0</v>
      </c>
      <c r="AA149" s="40">
        <f t="shared" si="31"/>
        <v>0</v>
      </c>
      <c r="AB149" s="40">
        <f t="shared" si="32"/>
        <v>0</v>
      </c>
      <c r="AC149" s="41">
        <f t="shared" si="33"/>
        <v>0</v>
      </c>
      <c r="AD149" s="49"/>
      <c r="AE149" s="50"/>
      <c r="AF149" s="49" t="s">
        <v>5</v>
      </c>
      <c r="AG149" s="50" t="s">
        <v>164</v>
      </c>
      <c r="AH149" s="49"/>
      <c r="AI149" s="50"/>
      <c r="AJ149" s="49" t="s">
        <v>5</v>
      </c>
      <c r="AK149" s="50" t="s">
        <v>419</v>
      </c>
      <c r="AL149" s="49"/>
      <c r="AM149" s="50"/>
      <c r="AN149" s="49"/>
      <c r="AO149" s="50"/>
      <c r="AP149" s="49"/>
      <c r="AQ149" s="50"/>
      <c r="AR149" s="49" t="s">
        <v>5</v>
      </c>
      <c r="AS149" s="50" t="s">
        <v>74</v>
      </c>
      <c r="AT149" s="49"/>
      <c r="AU149" s="50"/>
      <c r="AV149" s="49" t="s">
        <v>5</v>
      </c>
      <c r="AW149" s="50" t="s">
        <v>82</v>
      </c>
      <c r="AX149" s="49" t="s">
        <v>5</v>
      </c>
      <c r="AY149" s="50" t="s">
        <v>103</v>
      </c>
      <c r="AZ149" s="49" t="s">
        <v>30</v>
      </c>
      <c r="BA149" s="50" t="s">
        <v>92</v>
      </c>
      <c r="BB149" s="49"/>
      <c r="BC149" s="50"/>
      <c r="BD149" s="49"/>
      <c r="BE149" s="50"/>
      <c r="BF149" s="49"/>
      <c r="BG149" s="50"/>
      <c r="BH149" s="49" t="s">
        <v>5</v>
      </c>
      <c r="BI149" s="50" t="s">
        <v>105</v>
      </c>
      <c r="BJ149" s="49" t="s">
        <v>5</v>
      </c>
      <c r="BK149" s="50" t="s">
        <v>79</v>
      </c>
      <c r="BL149" s="49"/>
      <c r="BM149" s="50"/>
      <c r="BN149" s="49" t="s">
        <v>5</v>
      </c>
      <c r="BO149" s="50" t="s">
        <v>96</v>
      </c>
      <c r="BP149" s="49"/>
      <c r="BQ149" s="50"/>
      <c r="BR149" s="49" t="s">
        <v>5</v>
      </c>
      <c r="BS149" s="50" t="s">
        <v>170</v>
      </c>
      <c r="BT149" s="49" t="s">
        <v>5</v>
      </c>
      <c r="BU149" s="50" t="s">
        <v>108</v>
      </c>
      <c r="BV149" s="49"/>
      <c r="BW149" s="50"/>
      <c r="BX149" s="49"/>
      <c r="BY149" s="50"/>
    </row>
    <row r="150" spans="1:77" x14ac:dyDescent="0.25">
      <c r="A150" s="76">
        <v>152519</v>
      </c>
      <c r="B150" s="77" t="s">
        <v>1336</v>
      </c>
      <c r="C150" s="78" t="s">
        <v>1186</v>
      </c>
      <c r="D150" s="76" t="s">
        <v>70</v>
      </c>
      <c r="E150" s="79" t="s">
        <v>14</v>
      </c>
      <c r="F150" s="79" t="s">
        <v>71</v>
      </c>
      <c r="G150" s="79" t="s">
        <v>14</v>
      </c>
      <c r="H150" s="79" t="s">
        <v>14</v>
      </c>
      <c r="I150" s="78" t="s">
        <v>14</v>
      </c>
      <c r="J150" s="79" t="s">
        <v>14</v>
      </c>
      <c r="K150" s="142" t="s">
        <v>1850</v>
      </c>
      <c r="L150" s="149" t="s">
        <v>1844</v>
      </c>
      <c r="M150" s="150" t="s">
        <v>12</v>
      </c>
      <c r="N150" s="151">
        <v>25</v>
      </c>
      <c r="O150" s="151">
        <v>0</v>
      </c>
      <c r="P150" s="152">
        <v>0</v>
      </c>
      <c r="Q150" s="153">
        <v>97.83</v>
      </c>
      <c r="R150" s="154">
        <v>0</v>
      </c>
      <c r="S150" s="38">
        <f t="shared" si="23"/>
        <v>2</v>
      </c>
      <c r="T150" s="39">
        <f t="shared" si="24"/>
        <v>9</v>
      </c>
      <c r="U150" s="40">
        <f t="shared" si="25"/>
        <v>0</v>
      </c>
      <c r="V150" s="40">
        <f t="shared" si="26"/>
        <v>0</v>
      </c>
      <c r="W150" s="40">
        <f t="shared" si="27"/>
        <v>0</v>
      </c>
      <c r="X150" s="40">
        <f t="shared" si="28"/>
        <v>0</v>
      </c>
      <c r="Y150" s="40">
        <f t="shared" si="29"/>
        <v>0</v>
      </c>
      <c r="Z150" s="40">
        <f t="shared" si="30"/>
        <v>0</v>
      </c>
      <c r="AA150" s="40">
        <f t="shared" si="31"/>
        <v>0</v>
      </c>
      <c r="AB150" s="40">
        <f t="shared" si="32"/>
        <v>0</v>
      </c>
      <c r="AC150" s="41">
        <f t="shared" si="33"/>
        <v>0</v>
      </c>
      <c r="AD150" s="49"/>
      <c r="AE150" s="50"/>
      <c r="AF150" s="49" t="s">
        <v>5</v>
      </c>
      <c r="AG150" s="50" t="s">
        <v>154</v>
      </c>
      <c r="AH150" s="49"/>
      <c r="AI150" s="50"/>
      <c r="AJ150" s="49" t="s">
        <v>5</v>
      </c>
      <c r="AK150" s="50" t="s">
        <v>137</v>
      </c>
      <c r="AL150" s="49"/>
      <c r="AM150" s="50"/>
      <c r="AN150" s="49"/>
      <c r="AO150" s="50"/>
      <c r="AP150" s="49"/>
      <c r="AQ150" s="50"/>
      <c r="AR150" s="49" t="s">
        <v>5</v>
      </c>
      <c r="AS150" s="50" t="s">
        <v>151</v>
      </c>
      <c r="AT150" s="49"/>
      <c r="AU150" s="50"/>
      <c r="AV150" s="49" t="s">
        <v>5</v>
      </c>
      <c r="AW150" s="50" t="s">
        <v>83</v>
      </c>
      <c r="AX150" s="49"/>
      <c r="AY150" s="50"/>
      <c r="AZ150" s="49"/>
      <c r="BA150" s="50"/>
      <c r="BB150" s="49"/>
      <c r="BC150" s="50"/>
      <c r="BD150" s="49" t="s">
        <v>1</v>
      </c>
      <c r="BE150" s="50" t="s">
        <v>104</v>
      </c>
      <c r="BF150" s="49"/>
      <c r="BG150" s="50"/>
      <c r="BH150" s="49" t="s">
        <v>5</v>
      </c>
      <c r="BI150" s="50" t="s">
        <v>78</v>
      </c>
      <c r="BJ150" s="49" t="s">
        <v>1</v>
      </c>
      <c r="BK150" s="50" t="s">
        <v>422</v>
      </c>
      <c r="BL150" s="49"/>
      <c r="BM150" s="50"/>
      <c r="BN150" s="49" t="s">
        <v>5</v>
      </c>
      <c r="BO150" s="50" t="s">
        <v>121</v>
      </c>
      <c r="BP150" s="49"/>
      <c r="BQ150" s="50"/>
      <c r="BR150" s="49" t="s">
        <v>5</v>
      </c>
      <c r="BS150" s="50" t="s">
        <v>98</v>
      </c>
      <c r="BT150" s="49" t="s">
        <v>5</v>
      </c>
      <c r="BU150" s="50" t="s">
        <v>82</v>
      </c>
      <c r="BV150" s="49"/>
      <c r="BW150" s="50"/>
      <c r="BX150" s="49" t="s">
        <v>5</v>
      </c>
      <c r="BY150" s="50" t="s">
        <v>421</v>
      </c>
    </row>
    <row r="151" spans="1:77" x14ac:dyDescent="0.25">
      <c r="A151" s="76">
        <v>160142</v>
      </c>
      <c r="B151" s="77" t="s">
        <v>1337</v>
      </c>
      <c r="C151" s="78" t="s">
        <v>1183</v>
      </c>
      <c r="D151" s="76" t="s">
        <v>70</v>
      </c>
      <c r="E151" s="79" t="s">
        <v>14</v>
      </c>
      <c r="F151" s="79" t="s">
        <v>71</v>
      </c>
      <c r="G151" s="79" t="s">
        <v>14</v>
      </c>
      <c r="H151" s="79" t="s">
        <v>14</v>
      </c>
      <c r="I151" s="78" t="s">
        <v>14</v>
      </c>
      <c r="J151" s="79" t="s">
        <v>14</v>
      </c>
      <c r="K151" s="142" t="s">
        <v>1850</v>
      </c>
      <c r="L151" s="149" t="s">
        <v>1406</v>
      </c>
      <c r="M151" s="150" t="s">
        <v>14</v>
      </c>
      <c r="N151" s="151">
        <v>18</v>
      </c>
      <c r="O151" s="151">
        <v>0</v>
      </c>
      <c r="P151" s="152">
        <v>0</v>
      </c>
      <c r="Q151" s="153">
        <v>100</v>
      </c>
      <c r="R151" s="154">
        <v>0</v>
      </c>
      <c r="S151" s="38">
        <f t="shared" si="23"/>
        <v>0</v>
      </c>
      <c r="T151" s="39">
        <f t="shared" si="24"/>
        <v>11</v>
      </c>
      <c r="U151" s="40">
        <f t="shared" si="25"/>
        <v>0</v>
      </c>
      <c r="V151" s="40">
        <f t="shared" si="26"/>
        <v>0</v>
      </c>
      <c r="W151" s="40">
        <f t="shared" si="27"/>
        <v>0</v>
      </c>
      <c r="X151" s="40">
        <f t="shared" si="28"/>
        <v>0</v>
      </c>
      <c r="Y151" s="40">
        <f t="shared" si="29"/>
        <v>0</v>
      </c>
      <c r="Z151" s="40">
        <f t="shared" si="30"/>
        <v>0</v>
      </c>
      <c r="AA151" s="40">
        <f t="shared" si="31"/>
        <v>0</v>
      </c>
      <c r="AB151" s="40">
        <f t="shared" si="32"/>
        <v>0</v>
      </c>
      <c r="AC151" s="41">
        <f t="shared" si="33"/>
        <v>0</v>
      </c>
      <c r="AD151" s="49"/>
      <c r="AE151" s="50"/>
      <c r="AF151" s="49" t="s">
        <v>5</v>
      </c>
      <c r="AG151" s="50" t="s">
        <v>164</v>
      </c>
      <c r="AH151" s="49"/>
      <c r="AI151" s="50"/>
      <c r="AJ151" s="49" t="s">
        <v>5</v>
      </c>
      <c r="AK151" s="50" t="s">
        <v>206</v>
      </c>
      <c r="AL151" s="49"/>
      <c r="AM151" s="50"/>
      <c r="AN151" s="49"/>
      <c r="AO151" s="50"/>
      <c r="AP151" s="49"/>
      <c r="AQ151" s="50"/>
      <c r="AR151" s="49" t="s">
        <v>5</v>
      </c>
      <c r="AS151" s="50" t="s">
        <v>91</v>
      </c>
      <c r="AT151" s="49"/>
      <c r="AU151" s="50"/>
      <c r="AV151" s="49" t="s">
        <v>5</v>
      </c>
      <c r="AW151" s="50" t="s">
        <v>436</v>
      </c>
      <c r="AX151" s="49"/>
      <c r="AY151" s="50"/>
      <c r="AZ151" s="49" t="s">
        <v>5</v>
      </c>
      <c r="BA151" s="50" t="s">
        <v>92</v>
      </c>
      <c r="BB151" s="49"/>
      <c r="BC151" s="50"/>
      <c r="BD151" s="49"/>
      <c r="BE151" s="50"/>
      <c r="BF151" s="49"/>
      <c r="BG151" s="50"/>
      <c r="BH151" s="49" t="s">
        <v>5</v>
      </c>
      <c r="BI151" s="50" t="s">
        <v>163</v>
      </c>
      <c r="BJ151" s="49" t="s">
        <v>5</v>
      </c>
      <c r="BK151" s="50" t="s">
        <v>505</v>
      </c>
      <c r="BL151" s="49"/>
      <c r="BM151" s="50"/>
      <c r="BN151" s="49" t="s">
        <v>5</v>
      </c>
      <c r="BO151" s="50" t="s">
        <v>152</v>
      </c>
      <c r="BP151" s="49"/>
      <c r="BQ151" s="50"/>
      <c r="BR151" s="49" t="s">
        <v>5</v>
      </c>
      <c r="BS151" s="50" t="s">
        <v>123</v>
      </c>
      <c r="BT151" s="49" t="s">
        <v>5</v>
      </c>
      <c r="BU151" s="50" t="s">
        <v>457</v>
      </c>
      <c r="BV151" s="49"/>
      <c r="BW151" s="50"/>
      <c r="BX151" s="49" t="s">
        <v>5</v>
      </c>
      <c r="BY151" s="50" t="s">
        <v>130</v>
      </c>
    </row>
    <row r="152" spans="1:77" x14ac:dyDescent="0.25">
      <c r="A152" s="76">
        <v>152540</v>
      </c>
      <c r="B152" s="77" t="s">
        <v>1338</v>
      </c>
      <c r="C152" s="78" t="s">
        <v>1186</v>
      </c>
      <c r="D152" s="76" t="s">
        <v>70</v>
      </c>
      <c r="E152" s="79" t="s">
        <v>87</v>
      </c>
      <c r="F152" s="79" t="s">
        <v>450</v>
      </c>
      <c r="G152" s="79" t="s">
        <v>14</v>
      </c>
      <c r="H152" s="79" t="s">
        <v>87</v>
      </c>
      <c r="I152" s="78" t="s">
        <v>14</v>
      </c>
      <c r="J152" s="79" t="s">
        <v>14</v>
      </c>
      <c r="K152" s="142" t="s">
        <v>1850</v>
      </c>
      <c r="L152" s="149" t="s">
        <v>1845</v>
      </c>
      <c r="M152" s="150" t="s">
        <v>12</v>
      </c>
      <c r="N152" s="151">
        <v>27</v>
      </c>
      <c r="O152" s="151">
        <v>0</v>
      </c>
      <c r="P152" s="152">
        <v>0</v>
      </c>
      <c r="Q152" s="153">
        <v>100</v>
      </c>
      <c r="R152" s="154">
        <v>1</v>
      </c>
      <c r="S152" s="38">
        <f t="shared" si="23"/>
        <v>2</v>
      </c>
      <c r="T152" s="39">
        <f t="shared" si="24"/>
        <v>7</v>
      </c>
      <c r="U152" s="40">
        <f t="shared" si="25"/>
        <v>1</v>
      </c>
      <c r="V152" s="40">
        <f t="shared" si="26"/>
        <v>1</v>
      </c>
      <c r="W152" s="40">
        <f t="shared" si="27"/>
        <v>0</v>
      </c>
      <c r="X152" s="40">
        <f t="shared" si="28"/>
        <v>2</v>
      </c>
      <c r="Y152" s="40">
        <f t="shared" si="29"/>
        <v>0</v>
      </c>
      <c r="Z152" s="40">
        <f t="shared" si="30"/>
        <v>0</v>
      </c>
      <c r="AA152" s="40">
        <f t="shared" si="31"/>
        <v>0</v>
      </c>
      <c r="AB152" s="40">
        <f t="shared" si="32"/>
        <v>0</v>
      </c>
      <c r="AC152" s="41">
        <f t="shared" si="33"/>
        <v>0</v>
      </c>
      <c r="AD152" s="49"/>
      <c r="AE152" s="50"/>
      <c r="AF152" s="49" t="s">
        <v>5</v>
      </c>
      <c r="AG152" s="50" t="s">
        <v>433</v>
      </c>
      <c r="AH152" s="49"/>
      <c r="AI152" s="50"/>
      <c r="AJ152" s="49" t="s">
        <v>5</v>
      </c>
      <c r="AK152" s="50" t="s">
        <v>137</v>
      </c>
      <c r="AL152" s="49"/>
      <c r="AM152" s="50"/>
      <c r="AN152" s="49"/>
      <c r="AO152" s="50"/>
      <c r="AP152" s="49"/>
      <c r="AQ152" s="50"/>
      <c r="AR152" s="49" t="s">
        <v>5</v>
      </c>
      <c r="AS152" s="50" t="s">
        <v>151</v>
      </c>
      <c r="AT152" s="49"/>
      <c r="AU152" s="50"/>
      <c r="AV152" s="49" t="s">
        <v>5</v>
      </c>
      <c r="AW152" s="50" t="s">
        <v>83</v>
      </c>
      <c r="AX152" s="49"/>
      <c r="AY152" s="50"/>
      <c r="AZ152" s="49" t="s">
        <v>1</v>
      </c>
      <c r="BA152" s="50" t="s">
        <v>92</v>
      </c>
      <c r="BB152" s="49"/>
      <c r="BC152" s="50"/>
      <c r="BD152" s="49"/>
      <c r="BE152" s="50"/>
      <c r="BF152" s="49"/>
      <c r="BG152" s="50"/>
      <c r="BH152" s="49" t="s">
        <v>5</v>
      </c>
      <c r="BI152" s="50" t="s">
        <v>78</v>
      </c>
      <c r="BJ152" s="49" t="s">
        <v>1</v>
      </c>
      <c r="BK152" s="50" t="s">
        <v>94</v>
      </c>
      <c r="BL152" s="49"/>
      <c r="BM152" s="50"/>
      <c r="BN152" s="49" t="s">
        <v>5</v>
      </c>
      <c r="BO152" s="50" t="s">
        <v>121</v>
      </c>
      <c r="BP152" s="49"/>
      <c r="BQ152" s="50"/>
      <c r="BR152" s="49" t="s">
        <v>30</v>
      </c>
      <c r="BS152" s="50" t="s">
        <v>170</v>
      </c>
      <c r="BT152" s="49" t="s">
        <v>31</v>
      </c>
      <c r="BU152" s="50" t="s">
        <v>122</v>
      </c>
      <c r="BV152" s="49"/>
      <c r="BW152" s="50"/>
      <c r="BX152" s="49" t="s">
        <v>5</v>
      </c>
      <c r="BY152" s="50" t="s">
        <v>421</v>
      </c>
    </row>
    <row r="153" spans="1:77" x14ac:dyDescent="0.25">
      <c r="A153" s="76">
        <v>152650</v>
      </c>
      <c r="B153" s="77" t="s">
        <v>1339</v>
      </c>
      <c r="C153" s="78" t="s">
        <v>1193</v>
      </c>
      <c r="D153" s="76" t="s">
        <v>12</v>
      </c>
      <c r="E153" s="79" t="s">
        <v>14</v>
      </c>
      <c r="F153" s="79" t="s">
        <v>508</v>
      </c>
      <c r="G153" s="79" t="s">
        <v>14</v>
      </c>
      <c r="H153" s="79" t="s">
        <v>14</v>
      </c>
      <c r="I153" s="78" t="s">
        <v>14</v>
      </c>
      <c r="J153" s="79" t="s">
        <v>14</v>
      </c>
      <c r="K153" s="142" t="s">
        <v>1850</v>
      </c>
      <c r="L153" s="149" t="s">
        <v>1846</v>
      </c>
      <c r="M153" s="150" t="s">
        <v>1853</v>
      </c>
      <c r="N153" s="151">
        <v>38</v>
      </c>
      <c r="O153" s="151">
        <v>1</v>
      </c>
      <c r="P153" s="152">
        <v>0</v>
      </c>
      <c r="Q153" s="153">
        <v>95.65</v>
      </c>
      <c r="R153" s="154">
        <v>0</v>
      </c>
      <c r="S153" s="38">
        <f t="shared" si="23"/>
        <v>1</v>
      </c>
      <c r="T153" s="39">
        <f t="shared" si="24"/>
        <v>10</v>
      </c>
      <c r="U153" s="40">
        <f t="shared" si="25"/>
        <v>0</v>
      </c>
      <c r="V153" s="40">
        <f t="shared" si="26"/>
        <v>0</v>
      </c>
      <c r="W153" s="40">
        <f t="shared" si="27"/>
        <v>0</v>
      </c>
      <c r="X153" s="40">
        <f t="shared" si="28"/>
        <v>0</v>
      </c>
      <c r="Y153" s="40">
        <f t="shared" si="29"/>
        <v>0</v>
      </c>
      <c r="Z153" s="40">
        <f t="shared" si="30"/>
        <v>0</v>
      </c>
      <c r="AA153" s="40">
        <f t="shared" si="31"/>
        <v>0</v>
      </c>
      <c r="AB153" s="40">
        <f t="shared" si="32"/>
        <v>0</v>
      </c>
      <c r="AC153" s="41">
        <f t="shared" si="33"/>
        <v>0</v>
      </c>
      <c r="AD153" s="49"/>
      <c r="AE153" s="50"/>
      <c r="AF153" s="49" t="s">
        <v>5</v>
      </c>
      <c r="AG153" s="50" t="s">
        <v>164</v>
      </c>
      <c r="AH153" s="49" t="s">
        <v>5</v>
      </c>
      <c r="AI153" s="50" t="s">
        <v>78</v>
      </c>
      <c r="AJ153" s="49" t="s">
        <v>5</v>
      </c>
      <c r="AK153" s="50" t="s">
        <v>206</v>
      </c>
      <c r="AL153" s="49"/>
      <c r="AM153" s="50"/>
      <c r="AN153" s="49"/>
      <c r="AO153" s="50"/>
      <c r="AP153" s="49"/>
      <c r="AQ153" s="50"/>
      <c r="AR153" s="49" t="s">
        <v>5</v>
      </c>
      <c r="AS153" s="50" t="s">
        <v>91</v>
      </c>
      <c r="AT153" s="49"/>
      <c r="AU153" s="50"/>
      <c r="AV153" s="49" t="s">
        <v>5</v>
      </c>
      <c r="AW153" s="50" t="s">
        <v>82</v>
      </c>
      <c r="AX153" s="49" t="s">
        <v>5</v>
      </c>
      <c r="AY153" s="50" t="s">
        <v>84</v>
      </c>
      <c r="AZ153" s="49"/>
      <c r="BA153" s="50"/>
      <c r="BB153" s="49"/>
      <c r="BC153" s="50"/>
      <c r="BD153" s="49"/>
      <c r="BE153" s="50"/>
      <c r="BF153" s="49"/>
      <c r="BG153" s="50"/>
      <c r="BH153" s="49" t="s">
        <v>5</v>
      </c>
      <c r="BI153" s="50" t="s">
        <v>105</v>
      </c>
      <c r="BJ153" s="49" t="s">
        <v>5</v>
      </c>
      <c r="BK153" s="50" t="s">
        <v>106</v>
      </c>
      <c r="BL153" s="49"/>
      <c r="BM153" s="50"/>
      <c r="BN153" s="49" t="s">
        <v>1</v>
      </c>
      <c r="BO153" s="50" t="s">
        <v>107</v>
      </c>
      <c r="BP153" s="49"/>
      <c r="BQ153" s="50"/>
      <c r="BR153" s="49" t="s">
        <v>5</v>
      </c>
      <c r="BS153" s="50" t="s">
        <v>123</v>
      </c>
      <c r="BT153" s="49" t="s">
        <v>5</v>
      </c>
      <c r="BU153" s="50" t="s">
        <v>97</v>
      </c>
      <c r="BV153" s="49"/>
      <c r="BW153" s="50"/>
      <c r="BX153" s="49"/>
      <c r="BY153" s="50"/>
    </row>
    <row r="154" spans="1:77" x14ac:dyDescent="0.25">
      <c r="A154" s="76">
        <v>152504</v>
      </c>
      <c r="B154" s="77" t="s">
        <v>1340</v>
      </c>
      <c r="C154" s="78" t="s">
        <v>1193</v>
      </c>
      <c r="D154" s="76" t="s">
        <v>70</v>
      </c>
      <c r="E154" s="79" t="s">
        <v>14</v>
      </c>
      <c r="F154" s="79" t="s">
        <v>71</v>
      </c>
      <c r="G154" s="79" t="s">
        <v>14</v>
      </c>
      <c r="H154" s="79" t="s">
        <v>14</v>
      </c>
      <c r="I154" s="78" t="s">
        <v>14</v>
      </c>
      <c r="J154" s="79" t="s">
        <v>14</v>
      </c>
      <c r="K154" s="142" t="s">
        <v>1850</v>
      </c>
      <c r="L154" s="149" t="s">
        <v>1842</v>
      </c>
      <c r="M154" s="150" t="s">
        <v>12</v>
      </c>
      <c r="N154" s="151">
        <v>32</v>
      </c>
      <c r="O154" s="151">
        <v>0</v>
      </c>
      <c r="P154" s="152">
        <v>0</v>
      </c>
      <c r="Q154" s="153">
        <v>100</v>
      </c>
      <c r="R154" s="154">
        <v>0</v>
      </c>
      <c r="S154" s="38">
        <f t="shared" si="23"/>
        <v>0</v>
      </c>
      <c r="T154" s="39">
        <f t="shared" si="24"/>
        <v>10</v>
      </c>
      <c r="U154" s="40">
        <f t="shared" si="25"/>
        <v>0</v>
      </c>
      <c r="V154" s="40">
        <f t="shared" si="26"/>
        <v>0</v>
      </c>
      <c r="W154" s="40">
        <f t="shared" si="27"/>
        <v>0</v>
      </c>
      <c r="X154" s="40">
        <f t="shared" si="28"/>
        <v>0</v>
      </c>
      <c r="Y154" s="40">
        <f t="shared" si="29"/>
        <v>0</v>
      </c>
      <c r="Z154" s="40">
        <f t="shared" si="30"/>
        <v>0</v>
      </c>
      <c r="AA154" s="40">
        <f t="shared" si="31"/>
        <v>0</v>
      </c>
      <c r="AB154" s="40">
        <f t="shared" si="32"/>
        <v>0</v>
      </c>
      <c r="AC154" s="41">
        <f t="shared" si="33"/>
        <v>0</v>
      </c>
      <c r="AD154" s="49"/>
      <c r="AE154" s="50"/>
      <c r="AF154" s="49"/>
      <c r="AG154" s="50"/>
      <c r="AH154" s="49"/>
      <c r="AI154" s="50"/>
      <c r="AJ154" s="49"/>
      <c r="AK154" s="50"/>
      <c r="AL154" s="49"/>
      <c r="AM154" s="50"/>
      <c r="AN154" s="49"/>
      <c r="AO154" s="50"/>
      <c r="AP154" s="49"/>
      <c r="AQ154" s="50"/>
      <c r="AR154" s="49" t="s">
        <v>5</v>
      </c>
      <c r="AS154" s="50" t="s">
        <v>722</v>
      </c>
      <c r="AT154" s="49" t="s">
        <v>5</v>
      </c>
      <c r="AU154" s="50" t="s">
        <v>135</v>
      </c>
      <c r="AV154" s="49" t="s">
        <v>5</v>
      </c>
      <c r="AW154" s="50" t="s">
        <v>82</v>
      </c>
      <c r="AX154" s="49" t="s">
        <v>5</v>
      </c>
      <c r="AY154" s="50" t="s">
        <v>84</v>
      </c>
      <c r="AZ154" s="49"/>
      <c r="BA154" s="50"/>
      <c r="BB154" s="49"/>
      <c r="BC154" s="50"/>
      <c r="BD154" s="49"/>
      <c r="BE154" s="50"/>
      <c r="BF154" s="49"/>
      <c r="BG154" s="50"/>
      <c r="BH154" s="49" t="s">
        <v>5</v>
      </c>
      <c r="BI154" s="50" t="s">
        <v>105</v>
      </c>
      <c r="BJ154" s="49" t="s">
        <v>5</v>
      </c>
      <c r="BK154" s="50" t="s">
        <v>505</v>
      </c>
      <c r="BL154" s="49"/>
      <c r="BM154" s="50"/>
      <c r="BN154" s="49" t="s">
        <v>5</v>
      </c>
      <c r="BO154" s="50" t="s">
        <v>121</v>
      </c>
      <c r="BP154" s="49" t="s">
        <v>5</v>
      </c>
      <c r="BQ154" s="50" t="s">
        <v>81</v>
      </c>
      <c r="BR154" s="49"/>
      <c r="BS154" s="50"/>
      <c r="BT154" s="49" t="s">
        <v>5</v>
      </c>
      <c r="BU154" s="50" t="s">
        <v>82</v>
      </c>
      <c r="BV154" s="49" t="s">
        <v>5</v>
      </c>
      <c r="BW154" s="50" t="s">
        <v>98</v>
      </c>
      <c r="BX154" s="49"/>
      <c r="BY154" s="50"/>
    </row>
    <row r="155" spans="1:77" x14ac:dyDescent="0.25">
      <c r="A155" s="76">
        <v>152709</v>
      </c>
      <c r="B155" s="77" t="s">
        <v>1341</v>
      </c>
      <c r="C155" s="78" t="s">
        <v>1183</v>
      </c>
      <c r="D155" s="76" t="s">
        <v>70</v>
      </c>
      <c r="E155" s="79" t="s">
        <v>14</v>
      </c>
      <c r="F155" s="79" t="s">
        <v>71</v>
      </c>
      <c r="G155" s="79" t="s">
        <v>14</v>
      </c>
      <c r="H155" s="79" t="s">
        <v>14</v>
      </c>
      <c r="I155" s="78" t="s">
        <v>14</v>
      </c>
      <c r="J155" s="79" t="s">
        <v>14</v>
      </c>
      <c r="K155" s="142" t="s">
        <v>1850</v>
      </c>
      <c r="L155" s="149" t="s">
        <v>1848</v>
      </c>
      <c r="M155" s="150" t="s">
        <v>1853</v>
      </c>
      <c r="N155" s="151">
        <v>20</v>
      </c>
      <c r="O155" s="151">
        <v>0</v>
      </c>
      <c r="P155" s="152">
        <v>0</v>
      </c>
      <c r="Q155" s="153">
        <v>100</v>
      </c>
      <c r="R155" s="154">
        <v>0</v>
      </c>
      <c r="S155" s="38">
        <f t="shared" si="23"/>
        <v>0</v>
      </c>
      <c r="T155" s="39">
        <f t="shared" si="24"/>
        <v>10</v>
      </c>
      <c r="U155" s="40">
        <f t="shared" si="25"/>
        <v>0</v>
      </c>
      <c r="V155" s="40">
        <f t="shared" si="26"/>
        <v>0</v>
      </c>
      <c r="W155" s="40">
        <f t="shared" si="27"/>
        <v>0</v>
      </c>
      <c r="X155" s="40">
        <f t="shared" si="28"/>
        <v>0</v>
      </c>
      <c r="Y155" s="40">
        <f t="shared" si="29"/>
        <v>0</v>
      </c>
      <c r="Z155" s="40">
        <f t="shared" si="30"/>
        <v>0</v>
      </c>
      <c r="AA155" s="40">
        <f t="shared" si="31"/>
        <v>0</v>
      </c>
      <c r="AB155" s="40">
        <f t="shared" si="32"/>
        <v>0</v>
      </c>
      <c r="AC155" s="41">
        <f t="shared" si="33"/>
        <v>0</v>
      </c>
      <c r="AD155" s="49"/>
      <c r="AE155" s="50"/>
      <c r="AF155" s="49"/>
      <c r="AG155" s="50"/>
      <c r="AH155" s="49"/>
      <c r="AI155" s="50"/>
      <c r="AJ155" s="49"/>
      <c r="AK155" s="50"/>
      <c r="AL155" s="49"/>
      <c r="AM155" s="50"/>
      <c r="AN155" s="49"/>
      <c r="AO155" s="50"/>
      <c r="AP155" s="49" t="s">
        <v>5</v>
      </c>
      <c r="AQ155" s="50" t="s">
        <v>142</v>
      </c>
      <c r="AR155" s="49" t="s">
        <v>5</v>
      </c>
      <c r="AS155" s="50" t="s">
        <v>102</v>
      </c>
      <c r="AT155" s="49"/>
      <c r="AU155" s="50"/>
      <c r="AV155" s="49" t="s">
        <v>5</v>
      </c>
      <c r="AW155" s="50" t="s">
        <v>436</v>
      </c>
      <c r="AX155" s="49"/>
      <c r="AY155" s="50"/>
      <c r="AZ155" s="49"/>
      <c r="BA155" s="50"/>
      <c r="BB155" s="49" t="s">
        <v>5</v>
      </c>
      <c r="BC155" s="50" t="s">
        <v>436</v>
      </c>
      <c r="BD155" s="49"/>
      <c r="BE155" s="50"/>
      <c r="BF155" s="49"/>
      <c r="BG155" s="50"/>
      <c r="BH155" s="49" t="s">
        <v>5</v>
      </c>
      <c r="BI155" s="50" t="s">
        <v>1184</v>
      </c>
      <c r="BJ155" s="49" t="s">
        <v>5</v>
      </c>
      <c r="BK155" s="50" t="s">
        <v>112</v>
      </c>
      <c r="BL155" s="49"/>
      <c r="BM155" s="50"/>
      <c r="BN155" s="49" t="s">
        <v>5</v>
      </c>
      <c r="BO155" s="50" t="s">
        <v>121</v>
      </c>
      <c r="BP155" s="49"/>
      <c r="BQ155" s="50"/>
      <c r="BR155" s="49"/>
      <c r="BS155" s="50"/>
      <c r="BT155" s="49" t="s">
        <v>5</v>
      </c>
      <c r="BU155" s="50" t="s">
        <v>457</v>
      </c>
      <c r="BV155" s="49" t="s">
        <v>5</v>
      </c>
      <c r="BW155" s="50" t="s">
        <v>98</v>
      </c>
      <c r="BX155" s="49" t="s">
        <v>5</v>
      </c>
      <c r="BY155" s="50" t="s">
        <v>103</v>
      </c>
    </row>
    <row r="156" spans="1:77" x14ac:dyDescent="0.25">
      <c r="A156" s="76">
        <v>152699</v>
      </c>
      <c r="B156" s="77" t="s">
        <v>1342</v>
      </c>
      <c r="C156" s="78" t="s">
        <v>1205</v>
      </c>
      <c r="D156" s="76" t="s">
        <v>70</v>
      </c>
      <c r="E156" s="79" t="s">
        <v>14</v>
      </c>
      <c r="F156" s="79" t="s">
        <v>508</v>
      </c>
      <c r="G156" s="79" t="s">
        <v>14</v>
      </c>
      <c r="H156" s="79" t="s">
        <v>14</v>
      </c>
      <c r="I156" s="78" t="s">
        <v>14</v>
      </c>
      <c r="J156" s="79" t="s">
        <v>14</v>
      </c>
      <c r="K156" s="142" t="s">
        <v>1850</v>
      </c>
      <c r="L156" s="149" t="s">
        <v>1845</v>
      </c>
      <c r="M156" s="150" t="s">
        <v>12</v>
      </c>
      <c r="N156" s="151">
        <v>20</v>
      </c>
      <c r="O156" s="151">
        <v>5</v>
      </c>
      <c r="P156" s="152">
        <v>2</v>
      </c>
      <c r="Q156" s="153">
        <v>91.3</v>
      </c>
      <c r="R156" s="154">
        <v>4</v>
      </c>
      <c r="S156" s="38">
        <f t="shared" si="23"/>
        <v>0</v>
      </c>
      <c r="T156" s="39">
        <f t="shared" si="24"/>
        <v>9</v>
      </c>
      <c r="U156" s="40">
        <f t="shared" si="25"/>
        <v>0</v>
      </c>
      <c r="V156" s="40">
        <f t="shared" si="26"/>
        <v>1</v>
      </c>
      <c r="W156" s="40">
        <f t="shared" si="27"/>
        <v>0</v>
      </c>
      <c r="X156" s="40">
        <f t="shared" si="28"/>
        <v>1</v>
      </c>
      <c r="Y156" s="40">
        <f t="shared" si="29"/>
        <v>0</v>
      </c>
      <c r="Z156" s="40">
        <f t="shared" si="30"/>
        <v>0</v>
      </c>
      <c r="AA156" s="40">
        <f t="shared" si="31"/>
        <v>0</v>
      </c>
      <c r="AB156" s="40">
        <f t="shared" si="32"/>
        <v>0</v>
      </c>
      <c r="AC156" s="41">
        <f t="shared" si="33"/>
        <v>0</v>
      </c>
      <c r="AD156" s="49"/>
      <c r="AE156" s="50"/>
      <c r="AF156" s="49"/>
      <c r="AG156" s="50"/>
      <c r="AH156" s="49"/>
      <c r="AI156" s="50"/>
      <c r="AJ156" s="49"/>
      <c r="AK156" s="50"/>
      <c r="AL156" s="49"/>
      <c r="AM156" s="50"/>
      <c r="AN156" s="49"/>
      <c r="AO156" s="50"/>
      <c r="AP156" s="49"/>
      <c r="AQ156" s="50"/>
      <c r="AR156" s="49" t="s">
        <v>5</v>
      </c>
      <c r="AS156" s="50" t="s">
        <v>151</v>
      </c>
      <c r="AT156" s="49" t="s">
        <v>5</v>
      </c>
      <c r="AU156" s="50" t="s">
        <v>135</v>
      </c>
      <c r="AV156" s="49" t="s">
        <v>5</v>
      </c>
      <c r="AW156" s="50" t="s">
        <v>152</v>
      </c>
      <c r="AX156" s="49" t="s">
        <v>5</v>
      </c>
      <c r="AY156" s="50" t="s">
        <v>130</v>
      </c>
      <c r="AZ156" s="49" t="s">
        <v>5</v>
      </c>
      <c r="BA156" s="50" t="s">
        <v>92</v>
      </c>
      <c r="BB156" s="49"/>
      <c r="BC156" s="50"/>
      <c r="BD156" s="49"/>
      <c r="BE156" s="50"/>
      <c r="BF156" s="49"/>
      <c r="BG156" s="50"/>
      <c r="BH156" s="49" t="s">
        <v>5</v>
      </c>
      <c r="BI156" s="50" t="s">
        <v>78</v>
      </c>
      <c r="BJ156" s="49" t="s">
        <v>31</v>
      </c>
      <c r="BK156" s="50" t="s">
        <v>112</v>
      </c>
      <c r="BL156" s="49"/>
      <c r="BM156" s="50"/>
      <c r="BN156" s="49" t="s">
        <v>5</v>
      </c>
      <c r="BO156" s="50" t="s">
        <v>121</v>
      </c>
      <c r="BP156" s="49"/>
      <c r="BQ156" s="50"/>
      <c r="BR156" s="49"/>
      <c r="BS156" s="50"/>
      <c r="BT156" s="49" t="s">
        <v>5</v>
      </c>
      <c r="BU156" s="50" t="s">
        <v>82</v>
      </c>
      <c r="BV156" s="49" t="s">
        <v>5</v>
      </c>
      <c r="BW156" s="50" t="s">
        <v>98</v>
      </c>
      <c r="BX156" s="49"/>
      <c r="BY156" s="50"/>
    </row>
    <row r="157" spans="1:77" ht="30" x14ac:dyDescent="0.25">
      <c r="A157" s="76">
        <v>100357</v>
      </c>
      <c r="B157" s="77" t="s">
        <v>1343</v>
      </c>
      <c r="C157" s="78" t="s">
        <v>1181</v>
      </c>
      <c r="D157" s="76" t="s">
        <v>70</v>
      </c>
      <c r="E157" s="79" t="s">
        <v>87</v>
      </c>
      <c r="F157" s="79" t="s">
        <v>71</v>
      </c>
      <c r="G157" s="79" t="s">
        <v>14</v>
      </c>
      <c r="H157" s="79" t="s">
        <v>87</v>
      </c>
      <c r="I157" s="78" t="s">
        <v>14</v>
      </c>
      <c r="J157" s="79" t="s">
        <v>14</v>
      </c>
      <c r="K157" s="142" t="s">
        <v>1850</v>
      </c>
      <c r="L157" s="149" t="s">
        <v>1844</v>
      </c>
      <c r="M157" s="150" t="s">
        <v>12</v>
      </c>
      <c r="N157" s="151">
        <v>5</v>
      </c>
      <c r="O157" s="151">
        <v>0</v>
      </c>
      <c r="P157" s="152">
        <v>0</v>
      </c>
      <c r="Q157" s="153"/>
      <c r="R157" s="154">
        <v>0</v>
      </c>
      <c r="S157" s="38">
        <f t="shared" si="23"/>
        <v>1</v>
      </c>
      <c r="T157" s="39">
        <f t="shared" si="24"/>
        <v>6</v>
      </c>
      <c r="U157" s="40">
        <f t="shared" si="25"/>
        <v>0</v>
      </c>
      <c r="V157" s="40">
        <f t="shared" si="26"/>
        <v>0</v>
      </c>
      <c r="W157" s="40">
        <f t="shared" si="27"/>
        <v>0</v>
      </c>
      <c r="X157" s="40">
        <f t="shared" si="28"/>
        <v>0</v>
      </c>
      <c r="Y157" s="40">
        <f t="shared" si="29"/>
        <v>0</v>
      </c>
      <c r="Z157" s="40">
        <f t="shared" si="30"/>
        <v>0</v>
      </c>
      <c r="AA157" s="40">
        <f t="shared" si="31"/>
        <v>0</v>
      </c>
      <c r="AB157" s="40">
        <f t="shared" si="32"/>
        <v>0</v>
      </c>
      <c r="AC157" s="41">
        <f t="shared" si="33"/>
        <v>0</v>
      </c>
      <c r="AD157" s="49"/>
      <c r="AE157" s="50"/>
      <c r="AF157" s="49"/>
      <c r="AG157" s="50"/>
      <c r="AH157" s="49"/>
      <c r="AI157" s="50"/>
      <c r="AJ157" s="49"/>
      <c r="AK157" s="50"/>
      <c r="AL157" s="49"/>
      <c r="AM157" s="50"/>
      <c r="AN157" s="49"/>
      <c r="AO157" s="50"/>
      <c r="AP157" s="49" t="s">
        <v>5</v>
      </c>
      <c r="AQ157" s="50" t="s">
        <v>101</v>
      </c>
      <c r="AR157" s="49" t="s">
        <v>189</v>
      </c>
      <c r="AS157" s="50" t="s">
        <v>448</v>
      </c>
      <c r="AT157" s="49"/>
      <c r="AU157" s="50"/>
      <c r="AV157" s="49" t="s">
        <v>5</v>
      </c>
      <c r="AW157" s="50" t="s">
        <v>104</v>
      </c>
      <c r="AX157" s="49" t="s">
        <v>189</v>
      </c>
      <c r="AY157" s="50" t="s">
        <v>103</v>
      </c>
      <c r="AZ157" s="49" t="s">
        <v>5</v>
      </c>
      <c r="BA157" s="50" t="s">
        <v>92</v>
      </c>
      <c r="BB157" s="49"/>
      <c r="BC157" s="50"/>
      <c r="BD157" s="49"/>
      <c r="BE157" s="50"/>
      <c r="BF157" s="49"/>
      <c r="BG157" s="50"/>
      <c r="BH157" s="49" t="s">
        <v>5</v>
      </c>
      <c r="BI157" s="50" t="s">
        <v>1184</v>
      </c>
      <c r="BJ157" s="49" t="s">
        <v>1</v>
      </c>
      <c r="BK157" s="50" t="s">
        <v>94</v>
      </c>
      <c r="BL157" s="49"/>
      <c r="BM157" s="50"/>
      <c r="BN157" s="49" t="s">
        <v>5</v>
      </c>
      <c r="BO157" s="50" t="s">
        <v>152</v>
      </c>
      <c r="BP157" s="49"/>
      <c r="BQ157" s="50"/>
      <c r="BR157" s="49"/>
      <c r="BS157" s="50"/>
      <c r="BT157" s="49"/>
      <c r="BU157" s="50" t="s">
        <v>457</v>
      </c>
      <c r="BV157" s="49" t="s">
        <v>5</v>
      </c>
      <c r="BW157" s="50" t="s">
        <v>98</v>
      </c>
      <c r="BX157" s="49"/>
      <c r="BY157" s="50"/>
    </row>
    <row r="158" spans="1:77" x14ac:dyDescent="0.25">
      <c r="A158" s="76">
        <v>152537</v>
      </c>
      <c r="B158" s="77" t="s">
        <v>1344</v>
      </c>
      <c r="C158" s="78" t="s">
        <v>1205</v>
      </c>
      <c r="D158" s="76" t="s">
        <v>70</v>
      </c>
      <c r="E158" s="79" t="s">
        <v>14</v>
      </c>
      <c r="F158" s="79" t="s">
        <v>71</v>
      </c>
      <c r="G158" s="79" t="s">
        <v>14</v>
      </c>
      <c r="H158" s="79" t="s">
        <v>14</v>
      </c>
      <c r="I158" s="78" t="s">
        <v>14</v>
      </c>
      <c r="J158" s="79" t="s">
        <v>14</v>
      </c>
      <c r="K158" s="142" t="s">
        <v>1850</v>
      </c>
      <c r="L158" s="149" t="s">
        <v>1841</v>
      </c>
      <c r="M158" s="150" t="s">
        <v>1853</v>
      </c>
      <c r="N158" s="151">
        <v>24</v>
      </c>
      <c r="O158" s="151">
        <v>0</v>
      </c>
      <c r="P158" s="152">
        <v>0</v>
      </c>
      <c r="Q158" s="153">
        <v>95.65</v>
      </c>
      <c r="R158" s="154">
        <v>0</v>
      </c>
      <c r="S158" s="38">
        <f t="shared" si="23"/>
        <v>1</v>
      </c>
      <c r="T158" s="39">
        <f t="shared" si="24"/>
        <v>10</v>
      </c>
      <c r="U158" s="40">
        <f t="shared" si="25"/>
        <v>0</v>
      </c>
      <c r="V158" s="40">
        <f t="shared" si="26"/>
        <v>0</v>
      </c>
      <c r="W158" s="40">
        <f t="shared" si="27"/>
        <v>0</v>
      </c>
      <c r="X158" s="40">
        <f t="shared" si="28"/>
        <v>0</v>
      </c>
      <c r="Y158" s="40">
        <f t="shared" si="29"/>
        <v>0</v>
      </c>
      <c r="Z158" s="40">
        <f t="shared" si="30"/>
        <v>0</v>
      </c>
      <c r="AA158" s="40">
        <f t="shared" si="31"/>
        <v>0</v>
      </c>
      <c r="AB158" s="40">
        <f t="shared" si="32"/>
        <v>0</v>
      </c>
      <c r="AC158" s="41">
        <f t="shared" si="33"/>
        <v>0</v>
      </c>
      <c r="AD158" s="49"/>
      <c r="AE158" s="50"/>
      <c r="AF158" s="49" t="s">
        <v>5</v>
      </c>
      <c r="AG158" s="50" t="s">
        <v>154</v>
      </c>
      <c r="AH158" s="49"/>
      <c r="AI158" s="50"/>
      <c r="AJ158" s="49" t="s">
        <v>5</v>
      </c>
      <c r="AK158" s="50" t="s">
        <v>137</v>
      </c>
      <c r="AL158" s="49"/>
      <c r="AM158" s="50"/>
      <c r="AN158" s="49"/>
      <c r="AO158" s="50"/>
      <c r="AP158" s="49"/>
      <c r="AQ158" s="50"/>
      <c r="AR158" s="49" t="s">
        <v>5</v>
      </c>
      <c r="AS158" s="50" t="s">
        <v>722</v>
      </c>
      <c r="AT158" s="49"/>
      <c r="AU158" s="50"/>
      <c r="AV158" s="49" t="s">
        <v>5</v>
      </c>
      <c r="AW158" s="50" t="s">
        <v>152</v>
      </c>
      <c r="AX158" s="49" t="s">
        <v>5</v>
      </c>
      <c r="AY158" s="50" t="s">
        <v>84</v>
      </c>
      <c r="AZ158" s="49" t="s">
        <v>5</v>
      </c>
      <c r="BA158" s="50" t="s">
        <v>92</v>
      </c>
      <c r="BB158" s="49"/>
      <c r="BC158" s="50"/>
      <c r="BD158" s="49"/>
      <c r="BE158" s="50"/>
      <c r="BF158" s="49"/>
      <c r="BG158" s="50"/>
      <c r="BH158" s="49" t="s">
        <v>5</v>
      </c>
      <c r="BI158" s="50" t="s">
        <v>78</v>
      </c>
      <c r="BJ158" s="49" t="s">
        <v>5</v>
      </c>
      <c r="BK158" s="50" t="s">
        <v>505</v>
      </c>
      <c r="BL158" s="49"/>
      <c r="BM158" s="50"/>
      <c r="BN158" s="49" t="s">
        <v>1</v>
      </c>
      <c r="BO158" s="50" t="s">
        <v>121</v>
      </c>
      <c r="BP158" s="49"/>
      <c r="BQ158" s="50"/>
      <c r="BR158" s="49" t="s">
        <v>5</v>
      </c>
      <c r="BS158" s="50" t="s">
        <v>98</v>
      </c>
      <c r="BT158" s="49" t="s">
        <v>5</v>
      </c>
      <c r="BU158" s="50" t="s">
        <v>97</v>
      </c>
      <c r="BV158" s="49"/>
      <c r="BW158" s="50"/>
      <c r="BX158" s="49"/>
      <c r="BY158" s="50"/>
    </row>
    <row r="159" spans="1:77" x14ac:dyDescent="0.25">
      <c r="A159" s="76">
        <v>152586</v>
      </c>
      <c r="B159" s="77" t="s">
        <v>1345</v>
      </c>
      <c r="C159" s="78" t="s">
        <v>1181</v>
      </c>
      <c r="D159" s="76" t="s">
        <v>70</v>
      </c>
      <c r="E159" s="79" t="s">
        <v>14</v>
      </c>
      <c r="F159" s="79" t="s">
        <v>71</v>
      </c>
      <c r="G159" s="79" t="s">
        <v>14</v>
      </c>
      <c r="H159" s="79" t="s">
        <v>14</v>
      </c>
      <c r="I159" s="78" t="s">
        <v>14</v>
      </c>
      <c r="J159" s="79" t="s">
        <v>14</v>
      </c>
      <c r="K159" s="142" t="s">
        <v>1850</v>
      </c>
      <c r="L159" s="149" t="s">
        <v>1842</v>
      </c>
      <c r="M159" s="150" t="s">
        <v>1853</v>
      </c>
      <c r="N159" s="151">
        <v>21</v>
      </c>
      <c r="O159" s="151">
        <v>2</v>
      </c>
      <c r="P159" s="152">
        <v>2</v>
      </c>
      <c r="Q159" s="153">
        <v>95.65</v>
      </c>
      <c r="R159" s="154">
        <v>0</v>
      </c>
      <c r="S159" s="38">
        <f t="shared" si="23"/>
        <v>0</v>
      </c>
      <c r="T159" s="39">
        <f t="shared" si="24"/>
        <v>9</v>
      </c>
      <c r="U159" s="40">
        <f t="shared" si="25"/>
        <v>1</v>
      </c>
      <c r="V159" s="40">
        <f t="shared" si="26"/>
        <v>1</v>
      </c>
      <c r="W159" s="40">
        <f t="shared" si="27"/>
        <v>0</v>
      </c>
      <c r="X159" s="40">
        <f t="shared" si="28"/>
        <v>2</v>
      </c>
      <c r="Y159" s="40">
        <f t="shared" si="29"/>
        <v>0</v>
      </c>
      <c r="Z159" s="40">
        <f t="shared" si="30"/>
        <v>0</v>
      </c>
      <c r="AA159" s="40">
        <f t="shared" si="31"/>
        <v>0</v>
      </c>
      <c r="AB159" s="40">
        <f t="shared" si="32"/>
        <v>0</v>
      </c>
      <c r="AC159" s="41">
        <f t="shared" si="33"/>
        <v>0</v>
      </c>
      <c r="AD159" s="49"/>
      <c r="AE159" s="50"/>
      <c r="AF159" s="49" t="s">
        <v>5</v>
      </c>
      <c r="AG159" s="50" t="s">
        <v>154</v>
      </c>
      <c r="AH159" s="49" t="s">
        <v>5</v>
      </c>
      <c r="AI159" s="50" t="s">
        <v>78</v>
      </c>
      <c r="AJ159" s="49" t="s">
        <v>31</v>
      </c>
      <c r="AK159" s="50" t="s">
        <v>206</v>
      </c>
      <c r="AL159" s="49"/>
      <c r="AM159" s="50"/>
      <c r="AN159" s="49"/>
      <c r="AO159" s="50"/>
      <c r="AP159" s="49"/>
      <c r="AQ159" s="50"/>
      <c r="AR159" s="49" t="s">
        <v>5</v>
      </c>
      <c r="AS159" s="50" t="s">
        <v>722</v>
      </c>
      <c r="AT159" s="49"/>
      <c r="AU159" s="50"/>
      <c r="AV159" s="49" t="s">
        <v>5</v>
      </c>
      <c r="AW159" s="50" t="s">
        <v>104</v>
      </c>
      <c r="AX159" s="49" t="s">
        <v>30</v>
      </c>
      <c r="AY159" s="50" t="s">
        <v>130</v>
      </c>
      <c r="AZ159" s="49"/>
      <c r="BA159" s="50"/>
      <c r="BB159" s="49"/>
      <c r="BC159" s="50"/>
      <c r="BD159" s="49"/>
      <c r="BE159" s="50"/>
      <c r="BF159" s="49"/>
      <c r="BG159" s="50"/>
      <c r="BH159" s="49" t="s">
        <v>5</v>
      </c>
      <c r="BI159" s="50" t="s">
        <v>163</v>
      </c>
      <c r="BJ159" s="49" t="s">
        <v>5</v>
      </c>
      <c r="BK159" s="50" t="s">
        <v>995</v>
      </c>
      <c r="BL159" s="49"/>
      <c r="BM159" s="50"/>
      <c r="BN159" s="49" t="s">
        <v>5</v>
      </c>
      <c r="BO159" s="50" t="s">
        <v>152</v>
      </c>
      <c r="BP159" s="49"/>
      <c r="BQ159" s="50"/>
      <c r="BR159" s="49" t="s">
        <v>5</v>
      </c>
      <c r="BS159" s="50" t="s">
        <v>140</v>
      </c>
      <c r="BT159" s="49" t="s">
        <v>5</v>
      </c>
      <c r="BU159" s="50" t="s">
        <v>108</v>
      </c>
      <c r="BV159" s="49"/>
      <c r="BW159" s="50"/>
      <c r="BX159" s="49"/>
      <c r="BY159" s="50"/>
    </row>
    <row r="160" spans="1:77" x14ac:dyDescent="0.25">
      <c r="A160" s="76">
        <v>152541</v>
      </c>
      <c r="B160" s="77" t="s">
        <v>1346</v>
      </c>
      <c r="C160" s="78" t="s">
        <v>1186</v>
      </c>
      <c r="D160" s="76" t="s">
        <v>12</v>
      </c>
      <c r="E160" s="79" t="s">
        <v>14</v>
      </c>
      <c r="F160" s="79" t="s">
        <v>71</v>
      </c>
      <c r="G160" s="79" t="s">
        <v>14</v>
      </c>
      <c r="H160" s="79" t="s">
        <v>14</v>
      </c>
      <c r="I160" s="78" t="s">
        <v>14</v>
      </c>
      <c r="J160" s="79" t="s">
        <v>14</v>
      </c>
      <c r="K160" s="142" t="s">
        <v>1850</v>
      </c>
      <c r="L160" s="149" t="s">
        <v>1841</v>
      </c>
      <c r="M160" s="150" t="s">
        <v>1853</v>
      </c>
      <c r="N160" s="151">
        <v>31</v>
      </c>
      <c r="O160" s="151">
        <v>0</v>
      </c>
      <c r="P160" s="152">
        <v>0</v>
      </c>
      <c r="Q160" s="153">
        <v>100</v>
      </c>
      <c r="R160" s="154">
        <v>1</v>
      </c>
      <c r="S160" s="38">
        <f t="shared" si="23"/>
        <v>0</v>
      </c>
      <c r="T160" s="39">
        <f t="shared" si="24"/>
        <v>11</v>
      </c>
      <c r="U160" s="40">
        <f t="shared" si="25"/>
        <v>0</v>
      </c>
      <c r="V160" s="40">
        <f t="shared" si="26"/>
        <v>0</v>
      </c>
      <c r="W160" s="40">
        <f t="shared" si="27"/>
        <v>0</v>
      </c>
      <c r="X160" s="40">
        <f t="shared" si="28"/>
        <v>0</v>
      </c>
      <c r="Y160" s="40">
        <f t="shared" si="29"/>
        <v>0</v>
      </c>
      <c r="Z160" s="40">
        <f t="shared" si="30"/>
        <v>0</v>
      </c>
      <c r="AA160" s="40">
        <f t="shared" si="31"/>
        <v>0</v>
      </c>
      <c r="AB160" s="40">
        <f t="shared" si="32"/>
        <v>0</v>
      </c>
      <c r="AC160" s="41">
        <f t="shared" si="33"/>
        <v>0</v>
      </c>
      <c r="AD160" s="49"/>
      <c r="AE160" s="50"/>
      <c r="AF160" s="49" t="s">
        <v>5</v>
      </c>
      <c r="AG160" s="50" t="s">
        <v>164</v>
      </c>
      <c r="AH160" s="49"/>
      <c r="AI160" s="50"/>
      <c r="AJ160" s="49" t="s">
        <v>5</v>
      </c>
      <c r="AK160" s="50" t="s">
        <v>206</v>
      </c>
      <c r="AL160" s="49"/>
      <c r="AM160" s="50"/>
      <c r="AN160" s="49"/>
      <c r="AO160" s="50"/>
      <c r="AP160" s="49"/>
      <c r="AQ160" s="50"/>
      <c r="AR160" s="49" t="s">
        <v>5</v>
      </c>
      <c r="AS160" s="50" t="s">
        <v>194</v>
      </c>
      <c r="AT160" s="49"/>
      <c r="AU160" s="50"/>
      <c r="AV160" s="49" t="s">
        <v>5</v>
      </c>
      <c r="AW160" s="50" t="s">
        <v>83</v>
      </c>
      <c r="AX160" s="49"/>
      <c r="AY160" s="50"/>
      <c r="AZ160" s="49" t="s">
        <v>5</v>
      </c>
      <c r="BA160" s="50" t="s">
        <v>92</v>
      </c>
      <c r="BB160" s="49"/>
      <c r="BC160" s="50"/>
      <c r="BD160" s="49"/>
      <c r="BE160" s="50"/>
      <c r="BF160" s="49"/>
      <c r="BG160" s="50"/>
      <c r="BH160" s="49" t="s">
        <v>5</v>
      </c>
      <c r="BI160" s="50" t="s">
        <v>78</v>
      </c>
      <c r="BJ160" s="49" t="s">
        <v>5</v>
      </c>
      <c r="BK160" s="50" t="s">
        <v>106</v>
      </c>
      <c r="BL160" s="49"/>
      <c r="BM160" s="50"/>
      <c r="BN160" s="49" t="s">
        <v>5</v>
      </c>
      <c r="BO160" s="50" t="s">
        <v>741</v>
      </c>
      <c r="BP160" s="49"/>
      <c r="BQ160" s="50"/>
      <c r="BR160" s="49" t="s">
        <v>5</v>
      </c>
      <c r="BS160" s="50" t="s">
        <v>123</v>
      </c>
      <c r="BT160" s="49" t="s">
        <v>5</v>
      </c>
      <c r="BU160" s="50" t="s">
        <v>82</v>
      </c>
      <c r="BV160" s="49"/>
      <c r="BW160" s="50"/>
      <c r="BX160" s="49" t="s">
        <v>5</v>
      </c>
      <c r="BY160" s="50" t="s">
        <v>130</v>
      </c>
    </row>
    <row r="161" spans="1:77" ht="30" x14ac:dyDescent="0.25">
      <c r="A161" s="76">
        <v>152643</v>
      </c>
      <c r="B161" s="77" t="s">
        <v>1347</v>
      </c>
      <c r="C161" s="78" t="s">
        <v>1186</v>
      </c>
      <c r="D161" s="76" t="s">
        <v>12</v>
      </c>
      <c r="E161" s="79" t="s">
        <v>14</v>
      </c>
      <c r="F161" s="79" t="s">
        <v>71</v>
      </c>
      <c r="G161" s="79" t="s">
        <v>14</v>
      </c>
      <c r="H161" s="79" t="s">
        <v>14</v>
      </c>
      <c r="I161" s="78" t="s">
        <v>14</v>
      </c>
      <c r="J161" s="79" t="s">
        <v>14</v>
      </c>
      <c r="K161" s="142" t="s">
        <v>1850</v>
      </c>
      <c r="L161" s="149" t="s">
        <v>1841</v>
      </c>
      <c r="M161" s="150" t="s">
        <v>1853</v>
      </c>
      <c r="N161" s="151">
        <v>29</v>
      </c>
      <c r="O161" s="151">
        <v>0</v>
      </c>
      <c r="P161" s="152">
        <v>0</v>
      </c>
      <c r="Q161" s="153">
        <v>100</v>
      </c>
      <c r="R161" s="154">
        <v>0</v>
      </c>
      <c r="S161" s="38">
        <f t="shared" si="23"/>
        <v>0</v>
      </c>
      <c r="T161" s="39">
        <f t="shared" si="24"/>
        <v>10</v>
      </c>
      <c r="U161" s="40">
        <f t="shared" si="25"/>
        <v>0</v>
      </c>
      <c r="V161" s="40">
        <f t="shared" si="26"/>
        <v>0</v>
      </c>
      <c r="W161" s="40">
        <f t="shared" si="27"/>
        <v>0</v>
      </c>
      <c r="X161" s="40">
        <f t="shared" si="28"/>
        <v>0</v>
      </c>
      <c r="Y161" s="40">
        <f t="shared" si="29"/>
        <v>0</v>
      </c>
      <c r="Z161" s="40">
        <f t="shared" si="30"/>
        <v>0</v>
      </c>
      <c r="AA161" s="40">
        <f t="shared" si="31"/>
        <v>0</v>
      </c>
      <c r="AB161" s="40">
        <f t="shared" si="32"/>
        <v>0</v>
      </c>
      <c r="AC161" s="41">
        <f t="shared" si="33"/>
        <v>0</v>
      </c>
      <c r="AD161" s="49"/>
      <c r="AE161" s="50"/>
      <c r="AF161" s="49"/>
      <c r="AG161" s="50"/>
      <c r="AH161" s="49"/>
      <c r="AI161" s="50"/>
      <c r="AJ161" s="49"/>
      <c r="AK161" s="50"/>
      <c r="AL161" s="49"/>
      <c r="AM161" s="50"/>
      <c r="AN161" s="49"/>
      <c r="AO161" s="50"/>
      <c r="AP161" s="49"/>
      <c r="AQ161" s="50"/>
      <c r="AR161" s="49" t="s">
        <v>5</v>
      </c>
      <c r="AS161" s="50" t="s">
        <v>194</v>
      </c>
      <c r="AT161" s="49" t="s">
        <v>5</v>
      </c>
      <c r="AU161" s="50" t="s">
        <v>135</v>
      </c>
      <c r="AV161" s="49" t="s">
        <v>5</v>
      </c>
      <c r="AW161" s="50" t="s">
        <v>83</v>
      </c>
      <c r="AX161" s="49"/>
      <c r="AY161" s="50"/>
      <c r="AZ161" s="49" t="s">
        <v>5</v>
      </c>
      <c r="BA161" s="50" t="s">
        <v>92</v>
      </c>
      <c r="BB161" s="49"/>
      <c r="BC161" s="50"/>
      <c r="BD161" s="49"/>
      <c r="BE161" s="50"/>
      <c r="BF161" s="49"/>
      <c r="BG161" s="50"/>
      <c r="BH161" s="49" t="s">
        <v>5</v>
      </c>
      <c r="BI161" s="50" t="s">
        <v>78</v>
      </c>
      <c r="BJ161" s="49" t="s">
        <v>5</v>
      </c>
      <c r="BK161" s="50" t="s">
        <v>106</v>
      </c>
      <c r="BL161" s="49"/>
      <c r="BM161" s="50"/>
      <c r="BN161" s="49" t="s">
        <v>5</v>
      </c>
      <c r="BO161" s="50" t="s">
        <v>741</v>
      </c>
      <c r="BP161" s="49"/>
      <c r="BQ161" s="50"/>
      <c r="BR161" s="49"/>
      <c r="BS161" s="50"/>
      <c r="BT161" s="49" t="s">
        <v>5</v>
      </c>
      <c r="BU161" s="50" t="s">
        <v>82</v>
      </c>
      <c r="BV161" s="49" t="s">
        <v>5</v>
      </c>
      <c r="BW161" s="50" t="s">
        <v>98</v>
      </c>
      <c r="BX161" s="49" t="s">
        <v>5</v>
      </c>
      <c r="BY161" s="50" t="s">
        <v>130</v>
      </c>
    </row>
    <row r="162" spans="1:77" x14ac:dyDescent="0.25">
      <c r="A162" s="76">
        <v>152501</v>
      </c>
      <c r="B162" s="77" t="s">
        <v>1348</v>
      </c>
      <c r="C162" s="78" t="s">
        <v>1191</v>
      </c>
      <c r="D162" s="76" t="s">
        <v>12</v>
      </c>
      <c r="E162" s="79" t="s">
        <v>14</v>
      </c>
      <c r="F162" s="79" t="s">
        <v>71</v>
      </c>
      <c r="G162" s="79" t="s">
        <v>14</v>
      </c>
      <c r="H162" s="79" t="s">
        <v>14</v>
      </c>
      <c r="I162" s="78" t="s">
        <v>14</v>
      </c>
      <c r="J162" s="79" t="s">
        <v>14</v>
      </c>
      <c r="K162" s="142" t="s">
        <v>1850</v>
      </c>
      <c r="L162" s="149" t="s">
        <v>1844</v>
      </c>
      <c r="M162" s="150" t="s">
        <v>12</v>
      </c>
      <c r="N162" s="151">
        <v>14</v>
      </c>
      <c r="O162" s="151">
        <v>0</v>
      </c>
      <c r="P162" s="152">
        <v>0</v>
      </c>
      <c r="Q162" s="153">
        <v>100</v>
      </c>
      <c r="R162" s="154">
        <v>0</v>
      </c>
      <c r="S162" s="38">
        <f t="shared" si="23"/>
        <v>2</v>
      </c>
      <c r="T162" s="39">
        <f t="shared" si="24"/>
        <v>8</v>
      </c>
      <c r="U162" s="40">
        <f t="shared" si="25"/>
        <v>0</v>
      </c>
      <c r="V162" s="40">
        <f t="shared" si="26"/>
        <v>0</v>
      </c>
      <c r="W162" s="40">
        <f t="shared" si="27"/>
        <v>0</v>
      </c>
      <c r="X162" s="40">
        <f t="shared" si="28"/>
        <v>0</v>
      </c>
      <c r="Y162" s="40">
        <f t="shared" si="29"/>
        <v>0</v>
      </c>
      <c r="Z162" s="40">
        <f t="shared" si="30"/>
        <v>0</v>
      </c>
      <c r="AA162" s="40">
        <f t="shared" si="31"/>
        <v>0</v>
      </c>
      <c r="AB162" s="40">
        <f t="shared" si="32"/>
        <v>0</v>
      </c>
      <c r="AC162" s="41">
        <f t="shared" si="33"/>
        <v>0</v>
      </c>
      <c r="AD162" s="49" t="s">
        <v>5</v>
      </c>
      <c r="AE162" s="50" t="s">
        <v>72</v>
      </c>
      <c r="AF162" s="49"/>
      <c r="AG162" s="50"/>
      <c r="AH162" s="49"/>
      <c r="AI162" s="50"/>
      <c r="AJ162" s="49"/>
      <c r="AK162" s="50"/>
      <c r="AL162" s="49"/>
      <c r="AM162" s="50"/>
      <c r="AN162" s="49" t="s">
        <v>5</v>
      </c>
      <c r="AO162" s="50" t="s">
        <v>117</v>
      </c>
      <c r="AP162" s="49"/>
      <c r="AQ162" s="50"/>
      <c r="AR162" s="49" t="s">
        <v>5</v>
      </c>
      <c r="AS162" s="50" t="s">
        <v>722</v>
      </c>
      <c r="AT162" s="49"/>
      <c r="AU162" s="50"/>
      <c r="AV162" s="49" t="s">
        <v>5</v>
      </c>
      <c r="AW162" s="50" t="s">
        <v>154</v>
      </c>
      <c r="AX162" s="49"/>
      <c r="AY162" s="50"/>
      <c r="AZ162" s="49"/>
      <c r="BA162" s="50"/>
      <c r="BB162" s="49"/>
      <c r="BC162" s="50"/>
      <c r="BD162" s="49"/>
      <c r="BE162" s="50"/>
      <c r="BF162" s="49"/>
      <c r="BG162" s="50"/>
      <c r="BH162" s="49" t="s">
        <v>5</v>
      </c>
      <c r="BI162" s="50" t="s">
        <v>163</v>
      </c>
      <c r="BJ162" s="49" t="s">
        <v>5</v>
      </c>
      <c r="BK162" s="50" t="s">
        <v>995</v>
      </c>
      <c r="BL162" s="49"/>
      <c r="BM162" s="50"/>
      <c r="BN162" s="49" t="s">
        <v>1</v>
      </c>
      <c r="BO162" s="50" t="s">
        <v>107</v>
      </c>
      <c r="BP162" s="49"/>
      <c r="BQ162" s="50"/>
      <c r="BR162" s="49"/>
      <c r="BS162" s="50"/>
      <c r="BT162" s="49" t="s">
        <v>5</v>
      </c>
      <c r="BU162" s="50" t="s">
        <v>82</v>
      </c>
      <c r="BV162" s="49" t="s">
        <v>1</v>
      </c>
      <c r="BW162" s="50" t="s">
        <v>98</v>
      </c>
      <c r="BX162" s="49" t="s">
        <v>5</v>
      </c>
      <c r="BY162" s="50" t="s">
        <v>103</v>
      </c>
    </row>
    <row r="163" spans="1:77" x14ac:dyDescent="0.25">
      <c r="A163" s="76">
        <v>152696</v>
      </c>
      <c r="B163" s="77" t="s">
        <v>1349</v>
      </c>
      <c r="C163" s="78" t="s">
        <v>1186</v>
      </c>
      <c r="D163" s="76" t="s">
        <v>12</v>
      </c>
      <c r="E163" s="79" t="s">
        <v>87</v>
      </c>
      <c r="F163" s="79" t="s">
        <v>126</v>
      </c>
      <c r="G163" s="79" t="s">
        <v>14</v>
      </c>
      <c r="H163" s="79" t="s">
        <v>87</v>
      </c>
      <c r="I163" s="78" t="s">
        <v>14</v>
      </c>
      <c r="J163" s="79" t="s">
        <v>14</v>
      </c>
      <c r="K163" s="142" t="s">
        <v>1850</v>
      </c>
      <c r="L163" s="149" t="s">
        <v>1845</v>
      </c>
      <c r="M163" s="150" t="s">
        <v>12</v>
      </c>
      <c r="N163" s="151">
        <v>6</v>
      </c>
      <c r="O163" s="151">
        <v>15</v>
      </c>
      <c r="P163" s="152">
        <v>3</v>
      </c>
      <c r="Q163" s="153">
        <v>95.65</v>
      </c>
      <c r="R163" s="154">
        <v>7</v>
      </c>
      <c r="S163" s="38">
        <f t="shared" si="23"/>
        <v>0</v>
      </c>
      <c r="T163" s="39">
        <f t="shared" si="24"/>
        <v>8</v>
      </c>
      <c r="U163" s="40">
        <f t="shared" si="25"/>
        <v>1</v>
      </c>
      <c r="V163" s="40">
        <f t="shared" si="26"/>
        <v>0</v>
      </c>
      <c r="W163" s="40">
        <f t="shared" si="27"/>
        <v>0</v>
      </c>
      <c r="X163" s="40">
        <f t="shared" si="28"/>
        <v>1</v>
      </c>
      <c r="Y163" s="40">
        <f t="shared" si="29"/>
        <v>0</v>
      </c>
      <c r="Z163" s="40">
        <f t="shared" si="30"/>
        <v>1</v>
      </c>
      <c r="AA163" s="40">
        <f t="shared" si="31"/>
        <v>0</v>
      </c>
      <c r="AB163" s="40">
        <f t="shared" si="32"/>
        <v>1</v>
      </c>
      <c r="AC163" s="41">
        <f t="shared" si="33"/>
        <v>0</v>
      </c>
      <c r="AD163" s="49" t="s">
        <v>5</v>
      </c>
      <c r="AE163" s="50" t="s">
        <v>72</v>
      </c>
      <c r="AF163" s="49"/>
      <c r="AG163" s="50"/>
      <c r="AH163" s="49"/>
      <c r="AI163" s="50"/>
      <c r="AJ163" s="49"/>
      <c r="AK163" s="50"/>
      <c r="AL163" s="49"/>
      <c r="AM163" s="50"/>
      <c r="AN163" s="49"/>
      <c r="AO163" s="50"/>
      <c r="AP163" s="49"/>
      <c r="AQ163" s="50"/>
      <c r="AR163" s="49" t="s">
        <v>5</v>
      </c>
      <c r="AS163" s="50" t="s">
        <v>102</v>
      </c>
      <c r="AT163" s="49"/>
      <c r="AU163" s="50"/>
      <c r="AV163" s="49" t="s">
        <v>5</v>
      </c>
      <c r="AW163" s="50" t="s">
        <v>83</v>
      </c>
      <c r="AX163" s="49"/>
      <c r="AY163" s="50"/>
      <c r="AZ163" s="49"/>
      <c r="BA163" s="50"/>
      <c r="BB163" s="49"/>
      <c r="BC163" s="50"/>
      <c r="BD163" s="49"/>
      <c r="BE163" s="50"/>
      <c r="BF163" s="49"/>
      <c r="BG163" s="50"/>
      <c r="BH163" s="49" t="s">
        <v>5</v>
      </c>
      <c r="BI163" s="50" t="s">
        <v>78</v>
      </c>
      <c r="BJ163" s="49" t="s">
        <v>30</v>
      </c>
      <c r="BK163" s="50" t="s">
        <v>995</v>
      </c>
      <c r="BL163" s="49" t="s">
        <v>5</v>
      </c>
      <c r="BM163" s="50" t="s">
        <v>116</v>
      </c>
      <c r="BN163" s="49" t="s">
        <v>5</v>
      </c>
      <c r="BO163" s="50" t="s">
        <v>107</v>
      </c>
      <c r="BP163" s="49"/>
      <c r="BQ163" s="50"/>
      <c r="BR163" s="49"/>
      <c r="BS163" s="50"/>
      <c r="BT163" s="49" t="s">
        <v>5</v>
      </c>
      <c r="BU163" s="50" t="s">
        <v>82</v>
      </c>
      <c r="BV163" s="49" t="s">
        <v>5</v>
      </c>
      <c r="BW163" s="50" t="s">
        <v>98</v>
      </c>
      <c r="BX163" s="49" t="s">
        <v>35</v>
      </c>
      <c r="BY163" s="50" t="s">
        <v>75</v>
      </c>
    </row>
    <row r="164" spans="1:77" x14ac:dyDescent="0.25">
      <c r="A164" s="76">
        <v>152669</v>
      </c>
      <c r="B164" s="77" t="s">
        <v>1350</v>
      </c>
      <c r="C164" s="78" t="s">
        <v>1188</v>
      </c>
      <c r="D164" s="76" t="s">
        <v>12</v>
      </c>
      <c r="E164" s="79" t="s">
        <v>14</v>
      </c>
      <c r="F164" s="79" t="s">
        <v>71</v>
      </c>
      <c r="G164" s="79" t="s">
        <v>14</v>
      </c>
      <c r="H164" s="79" t="s">
        <v>14</v>
      </c>
      <c r="I164" s="78" t="s">
        <v>14</v>
      </c>
      <c r="J164" s="79" t="s">
        <v>4</v>
      </c>
      <c r="K164" s="142" t="s">
        <v>1850</v>
      </c>
      <c r="L164" s="149" t="s">
        <v>1847</v>
      </c>
      <c r="M164" s="150" t="s">
        <v>1852</v>
      </c>
      <c r="N164" s="151">
        <v>6</v>
      </c>
      <c r="O164" s="151">
        <v>0</v>
      </c>
      <c r="P164" s="152">
        <v>0</v>
      </c>
      <c r="Q164" s="153">
        <v>91.3</v>
      </c>
      <c r="R164" s="154">
        <v>3</v>
      </c>
      <c r="S164" s="38">
        <f t="shared" si="23"/>
        <v>0</v>
      </c>
      <c r="T164" s="39">
        <f t="shared" si="24"/>
        <v>8</v>
      </c>
      <c r="U164" s="40">
        <f t="shared" si="25"/>
        <v>0</v>
      </c>
      <c r="V164" s="40">
        <f t="shared" si="26"/>
        <v>0</v>
      </c>
      <c r="W164" s="40">
        <f t="shared" si="27"/>
        <v>0</v>
      </c>
      <c r="X164" s="40">
        <f t="shared" si="28"/>
        <v>0</v>
      </c>
      <c r="Y164" s="40">
        <f t="shared" si="29"/>
        <v>0</v>
      </c>
      <c r="Z164" s="40">
        <f t="shared" si="30"/>
        <v>0</v>
      </c>
      <c r="AA164" s="40">
        <f t="shared" si="31"/>
        <v>0</v>
      </c>
      <c r="AB164" s="40">
        <f t="shared" si="32"/>
        <v>0</v>
      </c>
      <c r="AC164" s="41">
        <f t="shared" si="33"/>
        <v>0</v>
      </c>
      <c r="AD164" s="49" t="s">
        <v>5</v>
      </c>
      <c r="AE164" s="50" t="s">
        <v>72</v>
      </c>
      <c r="AF164" s="49"/>
      <c r="AG164" s="50"/>
      <c r="AH164" s="49"/>
      <c r="AI164" s="50"/>
      <c r="AJ164" s="49"/>
      <c r="AK164" s="50"/>
      <c r="AL164" s="49"/>
      <c r="AM164" s="50"/>
      <c r="AN164" s="49"/>
      <c r="AO164" s="50"/>
      <c r="AP164" s="49"/>
      <c r="AQ164" s="50"/>
      <c r="AR164" s="49" t="s">
        <v>5</v>
      </c>
      <c r="AS164" s="50" t="s">
        <v>74</v>
      </c>
      <c r="AT164" s="49"/>
      <c r="AU164" s="50"/>
      <c r="AV164" s="49" t="s">
        <v>5</v>
      </c>
      <c r="AW164" s="50" t="s">
        <v>73</v>
      </c>
      <c r="AX164" s="49"/>
      <c r="AY164" s="50" t="s">
        <v>103</v>
      </c>
      <c r="AZ164" s="49"/>
      <c r="BA164" s="50"/>
      <c r="BB164" s="49"/>
      <c r="BC164" s="50"/>
      <c r="BD164" s="49"/>
      <c r="BE164" s="50"/>
      <c r="BF164" s="49"/>
      <c r="BG164" s="50"/>
      <c r="BH164" s="49" t="s">
        <v>5</v>
      </c>
      <c r="BI164" s="50" t="s">
        <v>1184</v>
      </c>
      <c r="BJ164" s="49" t="s">
        <v>5</v>
      </c>
      <c r="BK164" s="50" t="s">
        <v>79</v>
      </c>
      <c r="BL164" s="49"/>
      <c r="BM164" s="50"/>
      <c r="BN164" s="49" t="s">
        <v>5</v>
      </c>
      <c r="BO164" s="50" t="s">
        <v>96</v>
      </c>
      <c r="BP164" s="49"/>
      <c r="BQ164" s="50"/>
      <c r="BR164" s="49"/>
      <c r="BS164" s="50"/>
      <c r="BT164" s="49" t="s">
        <v>5</v>
      </c>
      <c r="BU164" s="50" t="s">
        <v>108</v>
      </c>
      <c r="BV164" s="49" t="s">
        <v>5</v>
      </c>
      <c r="BW164" s="50" t="s">
        <v>109</v>
      </c>
      <c r="BX164" s="49"/>
      <c r="BY164" s="50"/>
    </row>
    <row r="165" spans="1:77" x14ac:dyDescent="0.25">
      <c r="A165" s="76">
        <v>152672</v>
      </c>
      <c r="B165" s="77" t="s">
        <v>1351</v>
      </c>
      <c r="C165" s="78" t="s">
        <v>1193</v>
      </c>
      <c r="D165" s="76" t="s">
        <v>70</v>
      </c>
      <c r="E165" s="79" t="s">
        <v>14</v>
      </c>
      <c r="F165" s="79" t="s">
        <v>71</v>
      </c>
      <c r="G165" s="79" t="s">
        <v>14</v>
      </c>
      <c r="H165" s="79" t="s">
        <v>87</v>
      </c>
      <c r="I165" s="78" t="s">
        <v>14</v>
      </c>
      <c r="J165" s="79" t="s">
        <v>6</v>
      </c>
      <c r="K165" s="142" t="s">
        <v>1850</v>
      </c>
      <c r="L165" s="149" t="s">
        <v>1845</v>
      </c>
      <c r="M165" s="150" t="s">
        <v>12</v>
      </c>
      <c r="N165" s="151">
        <v>28</v>
      </c>
      <c r="O165" s="151">
        <v>0</v>
      </c>
      <c r="P165" s="152">
        <v>1</v>
      </c>
      <c r="Q165" s="153">
        <v>100</v>
      </c>
      <c r="R165" s="154">
        <v>2</v>
      </c>
      <c r="S165" s="38">
        <f t="shared" si="23"/>
        <v>1</v>
      </c>
      <c r="T165" s="39">
        <f t="shared" si="24"/>
        <v>8</v>
      </c>
      <c r="U165" s="40">
        <f t="shared" si="25"/>
        <v>0</v>
      </c>
      <c r="V165" s="40">
        <f t="shared" si="26"/>
        <v>0</v>
      </c>
      <c r="W165" s="40">
        <f t="shared" si="27"/>
        <v>0</v>
      </c>
      <c r="X165" s="40">
        <f t="shared" si="28"/>
        <v>0</v>
      </c>
      <c r="Y165" s="40">
        <f t="shared" si="29"/>
        <v>0</v>
      </c>
      <c r="Z165" s="40">
        <f t="shared" si="30"/>
        <v>0</v>
      </c>
      <c r="AA165" s="40">
        <f t="shared" si="31"/>
        <v>0</v>
      </c>
      <c r="AB165" s="40">
        <f t="shared" si="32"/>
        <v>0</v>
      </c>
      <c r="AC165" s="41">
        <f t="shared" si="33"/>
        <v>0</v>
      </c>
      <c r="AD165" s="49"/>
      <c r="AE165" s="50"/>
      <c r="AF165" s="49"/>
      <c r="AG165" s="50"/>
      <c r="AH165" s="49"/>
      <c r="AI165" s="50"/>
      <c r="AJ165" s="49"/>
      <c r="AK165" s="50"/>
      <c r="AL165" s="49"/>
      <c r="AM165" s="50"/>
      <c r="AN165" s="49"/>
      <c r="AO165" s="50"/>
      <c r="AP165" s="49" t="s">
        <v>5</v>
      </c>
      <c r="AQ165" s="50" t="s">
        <v>142</v>
      </c>
      <c r="AR165" s="49" t="s">
        <v>5</v>
      </c>
      <c r="AS165" s="50" t="s">
        <v>194</v>
      </c>
      <c r="AT165" s="49"/>
      <c r="AU165" s="50"/>
      <c r="AV165" s="49" t="s">
        <v>5</v>
      </c>
      <c r="AW165" s="50" t="s">
        <v>82</v>
      </c>
      <c r="AX165" s="49"/>
      <c r="AY165" s="50" t="s">
        <v>130</v>
      </c>
      <c r="AZ165" s="49"/>
      <c r="BA165" s="50"/>
      <c r="BB165" s="49"/>
      <c r="BC165" s="50"/>
      <c r="BD165" s="49"/>
      <c r="BE165" s="50"/>
      <c r="BF165" s="49"/>
      <c r="BG165" s="50"/>
      <c r="BH165" s="49" t="s">
        <v>5</v>
      </c>
      <c r="BI165" s="50" t="s">
        <v>78</v>
      </c>
      <c r="BJ165" s="49" t="s">
        <v>5</v>
      </c>
      <c r="BK165" s="50" t="s">
        <v>139</v>
      </c>
      <c r="BL165" s="49"/>
      <c r="BM165" s="50"/>
      <c r="BN165" s="49" t="s">
        <v>5</v>
      </c>
      <c r="BO165" s="50" t="s">
        <v>152</v>
      </c>
      <c r="BP165" s="49" t="s">
        <v>5</v>
      </c>
      <c r="BQ165" s="50" t="s">
        <v>81</v>
      </c>
      <c r="BR165" s="49"/>
      <c r="BS165" s="50"/>
      <c r="BT165" s="49" t="s">
        <v>5</v>
      </c>
      <c r="BU165" s="50" t="s">
        <v>82</v>
      </c>
      <c r="BV165" s="49" t="s">
        <v>1</v>
      </c>
      <c r="BW165" s="50" t="s">
        <v>98</v>
      </c>
      <c r="BX165" s="49"/>
      <c r="BY165" s="50"/>
    </row>
    <row r="166" spans="1:77" x14ac:dyDescent="0.25">
      <c r="A166" s="76">
        <v>152673</v>
      </c>
      <c r="B166" s="77" t="s">
        <v>1352</v>
      </c>
      <c r="C166" s="78" t="s">
        <v>1186</v>
      </c>
      <c r="D166" s="76" t="s">
        <v>70</v>
      </c>
      <c r="E166" s="79" t="s">
        <v>14</v>
      </c>
      <c r="F166" s="79" t="s">
        <v>71</v>
      </c>
      <c r="G166" s="79" t="s">
        <v>14</v>
      </c>
      <c r="H166" s="79" t="s">
        <v>14</v>
      </c>
      <c r="I166" s="78" t="s">
        <v>14</v>
      </c>
      <c r="J166" s="79" t="s">
        <v>14</v>
      </c>
      <c r="K166" s="142" t="s">
        <v>1850</v>
      </c>
      <c r="L166" s="149" t="s">
        <v>1844</v>
      </c>
      <c r="M166" s="150" t="s">
        <v>12</v>
      </c>
      <c r="N166" s="151">
        <v>20</v>
      </c>
      <c r="O166" s="151">
        <v>0</v>
      </c>
      <c r="P166" s="152">
        <v>0</v>
      </c>
      <c r="Q166" s="153">
        <v>91.3</v>
      </c>
      <c r="R166" s="154">
        <v>0</v>
      </c>
      <c r="S166" s="38">
        <f t="shared" si="23"/>
        <v>1</v>
      </c>
      <c r="T166" s="39">
        <f t="shared" si="24"/>
        <v>9</v>
      </c>
      <c r="U166" s="40">
        <f t="shared" si="25"/>
        <v>0</v>
      </c>
      <c r="V166" s="40">
        <f t="shared" si="26"/>
        <v>0</v>
      </c>
      <c r="W166" s="40">
        <f t="shared" si="27"/>
        <v>0</v>
      </c>
      <c r="X166" s="40">
        <f t="shared" si="28"/>
        <v>0</v>
      </c>
      <c r="Y166" s="40">
        <f t="shared" si="29"/>
        <v>0</v>
      </c>
      <c r="Z166" s="40">
        <f t="shared" si="30"/>
        <v>0</v>
      </c>
      <c r="AA166" s="40">
        <f t="shared" si="31"/>
        <v>0</v>
      </c>
      <c r="AB166" s="40">
        <f t="shared" si="32"/>
        <v>0</v>
      </c>
      <c r="AC166" s="41">
        <f t="shared" si="33"/>
        <v>0</v>
      </c>
      <c r="AD166" s="49"/>
      <c r="AE166" s="50"/>
      <c r="AF166" s="49"/>
      <c r="AG166" s="50"/>
      <c r="AH166" s="49"/>
      <c r="AI166" s="50"/>
      <c r="AJ166" s="49"/>
      <c r="AK166" s="50"/>
      <c r="AL166" s="49"/>
      <c r="AM166" s="50"/>
      <c r="AN166" s="49"/>
      <c r="AO166" s="50"/>
      <c r="AP166" s="49" t="s">
        <v>5</v>
      </c>
      <c r="AQ166" s="50" t="s">
        <v>142</v>
      </c>
      <c r="AR166" s="49" t="s">
        <v>5</v>
      </c>
      <c r="AS166" s="50" t="s">
        <v>722</v>
      </c>
      <c r="AT166" s="49"/>
      <c r="AU166" s="50"/>
      <c r="AV166" s="49" t="s">
        <v>5</v>
      </c>
      <c r="AW166" s="50" t="s">
        <v>83</v>
      </c>
      <c r="AX166" s="49"/>
      <c r="AY166" s="50"/>
      <c r="AZ166" s="49"/>
      <c r="BA166" s="50"/>
      <c r="BB166" s="49"/>
      <c r="BC166" s="50"/>
      <c r="BD166" s="49"/>
      <c r="BE166" s="50"/>
      <c r="BF166" s="49"/>
      <c r="BG166" s="50"/>
      <c r="BH166" s="49" t="s">
        <v>5</v>
      </c>
      <c r="BI166" s="50" t="s">
        <v>78</v>
      </c>
      <c r="BJ166" s="49" t="s">
        <v>1</v>
      </c>
      <c r="BK166" s="50" t="s">
        <v>422</v>
      </c>
      <c r="BL166" s="49"/>
      <c r="BM166" s="50"/>
      <c r="BN166" s="49" t="s">
        <v>5</v>
      </c>
      <c r="BO166" s="50" t="s">
        <v>121</v>
      </c>
      <c r="BP166" s="49" t="s">
        <v>5</v>
      </c>
      <c r="BQ166" s="50" t="s">
        <v>81</v>
      </c>
      <c r="BR166" s="49"/>
      <c r="BS166" s="50"/>
      <c r="BT166" s="49" t="s">
        <v>5</v>
      </c>
      <c r="BU166" s="50" t="s">
        <v>457</v>
      </c>
      <c r="BV166" s="49" t="s">
        <v>5</v>
      </c>
      <c r="BW166" s="50" t="s">
        <v>98</v>
      </c>
      <c r="BX166" s="49" t="s">
        <v>5</v>
      </c>
      <c r="BY166" s="50" t="s">
        <v>130</v>
      </c>
    </row>
    <row r="167" spans="1:77" x14ac:dyDescent="0.25">
      <c r="A167" s="76">
        <v>152698</v>
      </c>
      <c r="B167" s="77" t="s">
        <v>1353</v>
      </c>
      <c r="C167" s="78" t="s">
        <v>1188</v>
      </c>
      <c r="D167" s="76" t="s">
        <v>70</v>
      </c>
      <c r="E167" s="79" t="s">
        <v>14</v>
      </c>
      <c r="F167" s="79" t="s">
        <v>71</v>
      </c>
      <c r="G167" s="79" t="s">
        <v>14</v>
      </c>
      <c r="H167" s="79" t="s">
        <v>14</v>
      </c>
      <c r="I167" s="78" t="s">
        <v>14</v>
      </c>
      <c r="J167" s="79" t="s">
        <v>14</v>
      </c>
      <c r="K167" s="142" t="s">
        <v>1850</v>
      </c>
      <c r="L167" s="149" t="s">
        <v>1843</v>
      </c>
      <c r="M167" s="150" t="s">
        <v>1852</v>
      </c>
      <c r="N167" s="151">
        <v>20</v>
      </c>
      <c r="O167" s="151">
        <v>0</v>
      </c>
      <c r="P167" s="152">
        <v>0</v>
      </c>
      <c r="Q167" s="153">
        <v>95.65</v>
      </c>
      <c r="R167" s="154">
        <v>0</v>
      </c>
      <c r="S167" s="38">
        <f t="shared" si="23"/>
        <v>2</v>
      </c>
      <c r="T167" s="39">
        <f t="shared" si="24"/>
        <v>8</v>
      </c>
      <c r="U167" s="40">
        <f t="shared" si="25"/>
        <v>0</v>
      </c>
      <c r="V167" s="40">
        <f t="shared" si="26"/>
        <v>0</v>
      </c>
      <c r="W167" s="40">
        <f t="shared" si="27"/>
        <v>0</v>
      </c>
      <c r="X167" s="40">
        <f t="shared" si="28"/>
        <v>0</v>
      </c>
      <c r="Y167" s="40">
        <f t="shared" si="29"/>
        <v>0</v>
      </c>
      <c r="Z167" s="40">
        <f t="shared" si="30"/>
        <v>0</v>
      </c>
      <c r="AA167" s="40">
        <f t="shared" si="31"/>
        <v>0</v>
      </c>
      <c r="AB167" s="40">
        <f t="shared" si="32"/>
        <v>0</v>
      </c>
      <c r="AC167" s="41">
        <f t="shared" si="33"/>
        <v>0</v>
      </c>
      <c r="AD167" s="49"/>
      <c r="AE167" s="50"/>
      <c r="AF167" s="49"/>
      <c r="AG167" s="50"/>
      <c r="AH167" s="49"/>
      <c r="AI167" s="50"/>
      <c r="AJ167" s="49"/>
      <c r="AK167" s="50"/>
      <c r="AL167" s="49" t="s">
        <v>5</v>
      </c>
      <c r="AM167" s="50" t="s">
        <v>153</v>
      </c>
      <c r="AN167" s="49"/>
      <c r="AO167" s="50"/>
      <c r="AP167" s="49"/>
      <c r="AQ167" s="50"/>
      <c r="AR167" s="49" t="s">
        <v>5</v>
      </c>
      <c r="AS167" s="50" t="s">
        <v>169</v>
      </c>
      <c r="AT167" s="49"/>
      <c r="AU167" s="50"/>
      <c r="AV167" s="49" t="s">
        <v>1</v>
      </c>
      <c r="AW167" s="50" t="s">
        <v>430</v>
      </c>
      <c r="AX167" s="49" t="s">
        <v>5</v>
      </c>
      <c r="AY167" s="50" t="s">
        <v>103</v>
      </c>
      <c r="AZ167" s="49"/>
      <c r="BA167" s="50"/>
      <c r="BB167" s="49"/>
      <c r="BC167" s="50"/>
      <c r="BD167" s="49"/>
      <c r="BE167" s="50"/>
      <c r="BF167" s="49"/>
      <c r="BG167" s="50"/>
      <c r="BH167" s="49" t="s">
        <v>5</v>
      </c>
      <c r="BI167" s="50" t="s">
        <v>1184</v>
      </c>
      <c r="BJ167" s="49" t="s">
        <v>5</v>
      </c>
      <c r="BK167" s="50" t="s">
        <v>139</v>
      </c>
      <c r="BL167" s="49" t="s">
        <v>5</v>
      </c>
      <c r="BM167" s="50" t="s">
        <v>116</v>
      </c>
      <c r="BN167" s="49" t="s">
        <v>5</v>
      </c>
      <c r="BO167" s="50" t="s">
        <v>152</v>
      </c>
      <c r="BP167" s="49"/>
      <c r="BQ167" s="50"/>
      <c r="BR167" s="49"/>
      <c r="BS167" s="50"/>
      <c r="BT167" s="49" t="s">
        <v>5</v>
      </c>
      <c r="BU167" s="50" t="s">
        <v>108</v>
      </c>
      <c r="BV167" s="49" t="s">
        <v>1</v>
      </c>
      <c r="BW167" s="50" t="s">
        <v>109</v>
      </c>
      <c r="BX167" s="49"/>
      <c r="BY167" s="50"/>
    </row>
    <row r="168" spans="1:77" x14ac:dyDescent="0.25">
      <c r="A168" s="76">
        <v>152500</v>
      </c>
      <c r="B168" s="77" t="s">
        <v>1354</v>
      </c>
      <c r="C168" s="78" t="s">
        <v>1181</v>
      </c>
      <c r="D168" s="76" t="s">
        <v>70</v>
      </c>
      <c r="E168" s="79" t="s">
        <v>14</v>
      </c>
      <c r="F168" s="79" t="s">
        <v>150</v>
      </c>
      <c r="G168" s="79" t="s">
        <v>87</v>
      </c>
      <c r="H168" s="79" t="s">
        <v>14</v>
      </c>
      <c r="I168" s="78" t="s">
        <v>14</v>
      </c>
      <c r="J168" s="79" t="s">
        <v>14</v>
      </c>
      <c r="K168" s="142" t="s">
        <v>1850</v>
      </c>
      <c r="L168" s="149" t="s">
        <v>1844</v>
      </c>
      <c r="M168" s="150" t="s">
        <v>12</v>
      </c>
      <c r="N168" s="151">
        <v>25</v>
      </c>
      <c r="O168" s="151">
        <v>0</v>
      </c>
      <c r="P168" s="152">
        <v>0</v>
      </c>
      <c r="Q168" s="153">
        <v>97.83</v>
      </c>
      <c r="R168" s="154">
        <v>0</v>
      </c>
      <c r="S168" s="38">
        <f t="shared" si="23"/>
        <v>1</v>
      </c>
      <c r="T168" s="39">
        <f t="shared" si="24"/>
        <v>10</v>
      </c>
      <c r="U168" s="40">
        <f t="shared" si="25"/>
        <v>0</v>
      </c>
      <c r="V168" s="40">
        <f t="shared" si="26"/>
        <v>0</v>
      </c>
      <c r="W168" s="40">
        <f t="shared" si="27"/>
        <v>0</v>
      </c>
      <c r="X168" s="40">
        <f t="shared" si="28"/>
        <v>0</v>
      </c>
      <c r="Y168" s="40">
        <f t="shared" si="29"/>
        <v>0</v>
      </c>
      <c r="Z168" s="40">
        <f t="shared" si="30"/>
        <v>0</v>
      </c>
      <c r="AA168" s="40">
        <f t="shared" si="31"/>
        <v>0</v>
      </c>
      <c r="AB168" s="40">
        <f t="shared" si="32"/>
        <v>0</v>
      </c>
      <c r="AC168" s="41">
        <f t="shared" si="33"/>
        <v>0</v>
      </c>
      <c r="AD168" s="49" t="s">
        <v>5</v>
      </c>
      <c r="AE168" s="50" t="s">
        <v>72</v>
      </c>
      <c r="AF168" s="49" t="s">
        <v>5</v>
      </c>
      <c r="AG168" s="50" t="s">
        <v>433</v>
      </c>
      <c r="AH168" s="49"/>
      <c r="AI168" s="50"/>
      <c r="AJ168" s="49" t="s">
        <v>5</v>
      </c>
      <c r="AK168" s="50" t="s">
        <v>137</v>
      </c>
      <c r="AL168" s="49"/>
      <c r="AM168" s="50"/>
      <c r="AN168" s="49"/>
      <c r="AO168" s="50"/>
      <c r="AP168" s="49"/>
      <c r="AQ168" s="50"/>
      <c r="AR168" s="49" t="s">
        <v>5</v>
      </c>
      <c r="AS168" s="50" t="s">
        <v>194</v>
      </c>
      <c r="AT168" s="49"/>
      <c r="AU168" s="50"/>
      <c r="AV168" s="49" t="s">
        <v>5</v>
      </c>
      <c r="AW168" s="50" t="s">
        <v>104</v>
      </c>
      <c r="AX168" s="49" t="s">
        <v>5</v>
      </c>
      <c r="AY168" s="50" t="s">
        <v>130</v>
      </c>
      <c r="AZ168" s="49"/>
      <c r="BA168" s="50"/>
      <c r="BB168" s="49"/>
      <c r="BC168" s="50"/>
      <c r="BD168" s="49"/>
      <c r="BE168" s="50"/>
      <c r="BF168" s="49"/>
      <c r="BG168" s="50"/>
      <c r="BH168" s="49" t="s">
        <v>5</v>
      </c>
      <c r="BI168" s="50" t="s">
        <v>163</v>
      </c>
      <c r="BJ168" s="49" t="s">
        <v>5</v>
      </c>
      <c r="BK168" s="50" t="s">
        <v>422</v>
      </c>
      <c r="BL168" s="49"/>
      <c r="BM168" s="50"/>
      <c r="BN168" s="49" t="s">
        <v>1</v>
      </c>
      <c r="BO168" s="50" t="s">
        <v>121</v>
      </c>
      <c r="BP168" s="49"/>
      <c r="BQ168" s="50"/>
      <c r="BR168" s="49" t="s">
        <v>5</v>
      </c>
      <c r="BS168" s="50" t="s">
        <v>170</v>
      </c>
      <c r="BT168" s="49" t="s">
        <v>5</v>
      </c>
      <c r="BU168" s="50" t="s">
        <v>97</v>
      </c>
      <c r="BV168" s="49"/>
      <c r="BW168" s="50"/>
      <c r="BX168" s="49"/>
      <c r="BY168" s="50"/>
    </row>
    <row r="169" spans="1:77" x14ac:dyDescent="0.25">
      <c r="A169" s="76">
        <v>152509</v>
      </c>
      <c r="B169" s="77" t="s">
        <v>1355</v>
      </c>
      <c r="C169" s="78" t="s">
        <v>1188</v>
      </c>
      <c r="D169" s="76" t="s">
        <v>12</v>
      </c>
      <c r="E169" s="79" t="s">
        <v>87</v>
      </c>
      <c r="F169" s="79" t="s">
        <v>71</v>
      </c>
      <c r="G169" s="79" t="s">
        <v>14</v>
      </c>
      <c r="H169" s="79" t="s">
        <v>87</v>
      </c>
      <c r="I169" s="78" t="s">
        <v>14</v>
      </c>
      <c r="J169" s="79" t="s">
        <v>14</v>
      </c>
      <c r="K169" s="142" t="s">
        <v>1850</v>
      </c>
      <c r="L169" s="149" t="s">
        <v>1848</v>
      </c>
      <c r="M169" s="150" t="s">
        <v>12</v>
      </c>
      <c r="N169" s="151">
        <v>13</v>
      </c>
      <c r="O169" s="151">
        <v>1</v>
      </c>
      <c r="P169" s="152">
        <v>0</v>
      </c>
      <c r="Q169" s="153">
        <v>100</v>
      </c>
      <c r="R169" s="154">
        <v>7</v>
      </c>
      <c r="S169" s="38">
        <f t="shared" si="23"/>
        <v>0</v>
      </c>
      <c r="T169" s="39">
        <f t="shared" si="24"/>
        <v>9</v>
      </c>
      <c r="U169" s="40">
        <f t="shared" si="25"/>
        <v>1</v>
      </c>
      <c r="V169" s="40">
        <f t="shared" si="26"/>
        <v>1</v>
      </c>
      <c r="W169" s="40">
        <f t="shared" si="27"/>
        <v>0</v>
      </c>
      <c r="X169" s="40">
        <f t="shared" si="28"/>
        <v>2</v>
      </c>
      <c r="Y169" s="40">
        <f t="shared" si="29"/>
        <v>0</v>
      </c>
      <c r="Z169" s="40">
        <f t="shared" si="30"/>
        <v>0</v>
      </c>
      <c r="AA169" s="40">
        <f t="shared" si="31"/>
        <v>0</v>
      </c>
      <c r="AB169" s="40">
        <f t="shared" si="32"/>
        <v>0</v>
      </c>
      <c r="AC169" s="41">
        <f t="shared" si="33"/>
        <v>0</v>
      </c>
      <c r="AD169" s="49"/>
      <c r="AE169" s="50"/>
      <c r="AF169" s="49" t="s">
        <v>5</v>
      </c>
      <c r="AG169" s="50" t="s">
        <v>164</v>
      </c>
      <c r="AH169" s="49"/>
      <c r="AI169" s="50"/>
      <c r="AJ169" s="49" t="s">
        <v>31</v>
      </c>
      <c r="AK169" s="50" t="s">
        <v>419</v>
      </c>
      <c r="AL169" s="49"/>
      <c r="AM169" s="50"/>
      <c r="AN169" s="49"/>
      <c r="AO169" s="50"/>
      <c r="AP169" s="49"/>
      <c r="AQ169" s="50"/>
      <c r="AR169" s="49" t="s">
        <v>5</v>
      </c>
      <c r="AS169" s="50" t="s">
        <v>142</v>
      </c>
      <c r="AT169" s="49"/>
      <c r="AU169" s="50"/>
      <c r="AV169" s="49" t="s">
        <v>5</v>
      </c>
      <c r="AW169" s="50" t="s">
        <v>430</v>
      </c>
      <c r="AX169" s="49" t="s">
        <v>5</v>
      </c>
      <c r="AY169" s="50" t="s">
        <v>84</v>
      </c>
      <c r="AZ169" s="49"/>
      <c r="BA169" s="50"/>
      <c r="BB169" s="49"/>
      <c r="BC169" s="50"/>
      <c r="BD169" s="49"/>
      <c r="BE169" s="50"/>
      <c r="BF169" s="49"/>
      <c r="BG169" s="50"/>
      <c r="BH169" s="49" t="s">
        <v>5</v>
      </c>
      <c r="BI169" s="50" t="s">
        <v>1184</v>
      </c>
      <c r="BJ169" s="49" t="s">
        <v>5</v>
      </c>
      <c r="BK169" s="50" t="s">
        <v>139</v>
      </c>
      <c r="BL169" s="49"/>
      <c r="BM169" s="50"/>
      <c r="BN169" s="49" t="s">
        <v>5</v>
      </c>
      <c r="BO169" s="50" t="s">
        <v>741</v>
      </c>
      <c r="BP169" s="49" t="s">
        <v>5</v>
      </c>
      <c r="BQ169" s="50" t="s">
        <v>81</v>
      </c>
      <c r="BR169" s="49" t="s">
        <v>30</v>
      </c>
      <c r="BS169" s="50" t="s">
        <v>170</v>
      </c>
      <c r="BT169" s="49" t="s">
        <v>5</v>
      </c>
      <c r="BU169" s="50" t="s">
        <v>108</v>
      </c>
      <c r="BV169" s="49"/>
      <c r="BW169" s="50"/>
      <c r="BX169" s="49"/>
      <c r="BY169" s="50"/>
    </row>
    <row r="170" spans="1:77" x14ac:dyDescent="0.25">
      <c r="A170" s="76">
        <v>152555</v>
      </c>
      <c r="B170" s="77" t="s">
        <v>1356</v>
      </c>
      <c r="C170" s="78" t="s">
        <v>1193</v>
      </c>
      <c r="D170" s="76" t="s">
        <v>12</v>
      </c>
      <c r="E170" s="79" t="s">
        <v>14</v>
      </c>
      <c r="F170" s="79" t="s">
        <v>71</v>
      </c>
      <c r="G170" s="79" t="s">
        <v>14</v>
      </c>
      <c r="H170" s="79" t="s">
        <v>14</v>
      </c>
      <c r="I170" s="78" t="s">
        <v>14</v>
      </c>
      <c r="J170" s="79" t="s">
        <v>14</v>
      </c>
      <c r="K170" s="142" t="s">
        <v>1850</v>
      </c>
      <c r="L170" s="149" t="s">
        <v>1842</v>
      </c>
      <c r="M170" s="150" t="s">
        <v>12</v>
      </c>
      <c r="N170" s="151">
        <v>25</v>
      </c>
      <c r="O170" s="151">
        <v>0</v>
      </c>
      <c r="P170" s="152">
        <v>0</v>
      </c>
      <c r="Q170" s="153">
        <v>95.65</v>
      </c>
      <c r="R170" s="154">
        <v>0</v>
      </c>
      <c r="S170" s="38">
        <f t="shared" si="23"/>
        <v>1</v>
      </c>
      <c r="T170" s="39">
        <f t="shared" si="24"/>
        <v>10</v>
      </c>
      <c r="U170" s="40">
        <f t="shared" si="25"/>
        <v>0</v>
      </c>
      <c r="V170" s="40">
        <f t="shared" si="26"/>
        <v>0</v>
      </c>
      <c r="W170" s="40">
        <f t="shared" si="27"/>
        <v>0</v>
      </c>
      <c r="X170" s="40">
        <f t="shared" si="28"/>
        <v>0</v>
      </c>
      <c r="Y170" s="40">
        <f t="shared" si="29"/>
        <v>0</v>
      </c>
      <c r="Z170" s="40">
        <f t="shared" si="30"/>
        <v>0</v>
      </c>
      <c r="AA170" s="40">
        <f t="shared" si="31"/>
        <v>0</v>
      </c>
      <c r="AB170" s="40">
        <f t="shared" si="32"/>
        <v>0</v>
      </c>
      <c r="AC170" s="41">
        <f t="shared" si="33"/>
        <v>0</v>
      </c>
      <c r="AD170" s="49"/>
      <c r="AE170" s="50"/>
      <c r="AF170" s="49" t="s">
        <v>5</v>
      </c>
      <c r="AG170" s="50" t="s">
        <v>164</v>
      </c>
      <c r="AH170" s="49"/>
      <c r="AI170" s="50"/>
      <c r="AJ170" s="49" t="s">
        <v>5</v>
      </c>
      <c r="AK170" s="50" t="s">
        <v>206</v>
      </c>
      <c r="AL170" s="49"/>
      <c r="AM170" s="50"/>
      <c r="AN170" s="49"/>
      <c r="AO170" s="50"/>
      <c r="AP170" s="49"/>
      <c r="AQ170" s="50"/>
      <c r="AR170" s="49" t="s">
        <v>5</v>
      </c>
      <c r="AS170" s="50" t="s">
        <v>194</v>
      </c>
      <c r="AT170" s="49"/>
      <c r="AU170" s="50"/>
      <c r="AV170" s="49" t="s">
        <v>5</v>
      </c>
      <c r="AW170" s="50" t="s">
        <v>82</v>
      </c>
      <c r="AX170" s="49" t="s">
        <v>5</v>
      </c>
      <c r="AY170" s="50" t="s">
        <v>84</v>
      </c>
      <c r="AZ170" s="49"/>
      <c r="BA170" s="50"/>
      <c r="BB170" s="49"/>
      <c r="BC170" s="50"/>
      <c r="BD170" s="49"/>
      <c r="BE170" s="50"/>
      <c r="BF170" s="49"/>
      <c r="BG170" s="50"/>
      <c r="BH170" s="49" t="s">
        <v>5</v>
      </c>
      <c r="BI170" s="50" t="s">
        <v>105</v>
      </c>
      <c r="BJ170" s="49" t="s">
        <v>5</v>
      </c>
      <c r="BK170" s="50" t="s">
        <v>505</v>
      </c>
      <c r="BL170" s="49"/>
      <c r="BM170" s="50"/>
      <c r="BN170" s="49" t="s">
        <v>1</v>
      </c>
      <c r="BO170" s="50" t="s">
        <v>741</v>
      </c>
      <c r="BP170" s="49" t="s">
        <v>5</v>
      </c>
      <c r="BQ170" s="50" t="s">
        <v>81</v>
      </c>
      <c r="BR170" s="49" t="s">
        <v>5</v>
      </c>
      <c r="BS170" s="50" t="s">
        <v>123</v>
      </c>
      <c r="BT170" s="49" t="s">
        <v>5</v>
      </c>
      <c r="BU170" s="50" t="s">
        <v>108</v>
      </c>
      <c r="BV170" s="49"/>
      <c r="BW170" s="50"/>
      <c r="BX170" s="49"/>
      <c r="BY170" s="50"/>
    </row>
    <row r="171" spans="1:77" x14ac:dyDescent="0.25">
      <c r="A171" s="76">
        <v>152628</v>
      </c>
      <c r="B171" s="77" t="s">
        <v>1357</v>
      </c>
      <c r="C171" s="78" t="s">
        <v>1188</v>
      </c>
      <c r="D171" s="76" t="s">
        <v>70</v>
      </c>
      <c r="E171" s="79" t="s">
        <v>14</v>
      </c>
      <c r="F171" s="79" t="s">
        <v>71</v>
      </c>
      <c r="G171" s="79" t="s">
        <v>14</v>
      </c>
      <c r="H171" s="79" t="s">
        <v>14</v>
      </c>
      <c r="I171" s="78" t="s">
        <v>14</v>
      </c>
      <c r="J171" s="79" t="s">
        <v>14</v>
      </c>
      <c r="K171" s="142" t="s">
        <v>1850</v>
      </c>
      <c r="L171" s="149" t="s">
        <v>1842</v>
      </c>
      <c r="M171" s="150" t="s">
        <v>12</v>
      </c>
      <c r="N171" s="151">
        <v>19</v>
      </c>
      <c r="O171" s="151">
        <v>0</v>
      </c>
      <c r="P171" s="152">
        <v>0</v>
      </c>
      <c r="Q171" s="153">
        <v>95.65</v>
      </c>
      <c r="R171" s="154">
        <v>0</v>
      </c>
      <c r="S171" s="38">
        <f t="shared" si="23"/>
        <v>0</v>
      </c>
      <c r="T171" s="39">
        <f t="shared" si="24"/>
        <v>11</v>
      </c>
      <c r="U171" s="40">
        <f t="shared" si="25"/>
        <v>0</v>
      </c>
      <c r="V171" s="40">
        <f t="shared" si="26"/>
        <v>0</v>
      </c>
      <c r="W171" s="40">
        <f t="shared" si="27"/>
        <v>0</v>
      </c>
      <c r="X171" s="40">
        <f t="shared" si="28"/>
        <v>0</v>
      </c>
      <c r="Y171" s="40">
        <f t="shared" si="29"/>
        <v>0</v>
      </c>
      <c r="Z171" s="40">
        <f t="shared" si="30"/>
        <v>0</v>
      </c>
      <c r="AA171" s="40">
        <f t="shared" si="31"/>
        <v>0</v>
      </c>
      <c r="AB171" s="40">
        <f t="shared" si="32"/>
        <v>0</v>
      </c>
      <c r="AC171" s="41">
        <f t="shared" si="33"/>
        <v>0</v>
      </c>
      <c r="AD171" s="49"/>
      <c r="AE171" s="50"/>
      <c r="AF171" s="49" t="s">
        <v>5</v>
      </c>
      <c r="AG171" s="50" t="s">
        <v>154</v>
      </c>
      <c r="AH171" s="49"/>
      <c r="AI171" s="50"/>
      <c r="AJ171" s="49" t="s">
        <v>5</v>
      </c>
      <c r="AK171" s="50" t="s">
        <v>137</v>
      </c>
      <c r="AL171" s="49"/>
      <c r="AM171" s="50"/>
      <c r="AN171" s="49"/>
      <c r="AO171" s="50"/>
      <c r="AP171" s="49"/>
      <c r="AQ171" s="50"/>
      <c r="AR171" s="49" t="s">
        <v>5</v>
      </c>
      <c r="AS171" s="50" t="s">
        <v>194</v>
      </c>
      <c r="AT171" s="49"/>
      <c r="AU171" s="50"/>
      <c r="AV171" s="49" t="s">
        <v>5</v>
      </c>
      <c r="AW171" s="50" t="s">
        <v>430</v>
      </c>
      <c r="AX171" s="49" t="s">
        <v>5</v>
      </c>
      <c r="AY171" s="50" t="s">
        <v>130</v>
      </c>
      <c r="AZ171" s="49" t="s">
        <v>5</v>
      </c>
      <c r="BA171" s="50" t="s">
        <v>92</v>
      </c>
      <c r="BB171" s="49"/>
      <c r="BC171" s="50"/>
      <c r="BD171" s="49"/>
      <c r="BE171" s="50"/>
      <c r="BF171" s="49"/>
      <c r="BG171" s="50"/>
      <c r="BH171" s="49" t="s">
        <v>5</v>
      </c>
      <c r="BI171" s="50" t="s">
        <v>1184</v>
      </c>
      <c r="BJ171" s="49" t="s">
        <v>5</v>
      </c>
      <c r="BK171" s="50" t="s">
        <v>505</v>
      </c>
      <c r="BL171" s="49"/>
      <c r="BM171" s="50"/>
      <c r="BN171" s="49" t="s">
        <v>5</v>
      </c>
      <c r="BO171" s="50" t="s">
        <v>152</v>
      </c>
      <c r="BP171" s="49"/>
      <c r="BQ171" s="50"/>
      <c r="BR171" s="49" t="s">
        <v>5</v>
      </c>
      <c r="BS171" s="50" t="s">
        <v>98</v>
      </c>
      <c r="BT171" s="49" t="s">
        <v>5</v>
      </c>
      <c r="BU171" s="50" t="s">
        <v>97</v>
      </c>
      <c r="BV171" s="49"/>
      <c r="BW171" s="50"/>
      <c r="BX171" s="49"/>
      <c r="BY171" s="50"/>
    </row>
    <row r="172" spans="1:77" x14ac:dyDescent="0.25">
      <c r="A172" s="76">
        <v>152652</v>
      </c>
      <c r="B172" s="77" t="s">
        <v>1358</v>
      </c>
      <c r="C172" s="78" t="s">
        <v>1183</v>
      </c>
      <c r="D172" s="76" t="s">
        <v>70</v>
      </c>
      <c r="E172" s="79" t="s">
        <v>14</v>
      </c>
      <c r="F172" s="79" t="s">
        <v>71</v>
      </c>
      <c r="G172" s="79" t="s">
        <v>14</v>
      </c>
      <c r="H172" s="79" t="s">
        <v>14</v>
      </c>
      <c r="I172" s="78" t="s">
        <v>14</v>
      </c>
      <c r="J172" s="79" t="s">
        <v>14</v>
      </c>
      <c r="K172" s="142" t="s">
        <v>1850</v>
      </c>
      <c r="L172" s="149" t="s">
        <v>1845</v>
      </c>
      <c r="M172" s="150" t="s">
        <v>1853</v>
      </c>
      <c r="N172" s="151">
        <v>23</v>
      </c>
      <c r="O172" s="151">
        <v>0</v>
      </c>
      <c r="P172" s="152">
        <v>0</v>
      </c>
      <c r="Q172" s="153">
        <v>91.3</v>
      </c>
      <c r="R172" s="154">
        <v>1</v>
      </c>
      <c r="S172" s="38">
        <f t="shared" si="23"/>
        <v>1</v>
      </c>
      <c r="T172" s="39">
        <f t="shared" si="24"/>
        <v>9</v>
      </c>
      <c r="U172" s="40">
        <f t="shared" si="25"/>
        <v>0</v>
      </c>
      <c r="V172" s="40">
        <f t="shared" si="26"/>
        <v>0</v>
      </c>
      <c r="W172" s="40">
        <f t="shared" si="27"/>
        <v>0</v>
      </c>
      <c r="X172" s="40">
        <f t="shared" si="28"/>
        <v>0</v>
      </c>
      <c r="Y172" s="40">
        <f t="shared" si="29"/>
        <v>0</v>
      </c>
      <c r="Z172" s="40">
        <f t="shared" si="30"/>
        <v>0</v>
      </c>
      <c r="AA172" s="40">
        <f t="shared" si="31"/>
        <v>0</v>
      </c>
      <c r="AB172" s="40">
        <f t="shared" si="32"/>
        <v>0</v>
      </c>
      <c r="AC172" s="41">
        <f t="shared" si="33"/>
        <v>0</v>
      </c>
      <c r="AD172" s="49"/>
      <c r="AE172" s="50"/>
      <c r="AF172" s="49"/>
      <c r="AG172" s="50"/>
      <c r="AH172" s="49"/>
      <c r="AI172" s="50"/>
      <c r="AJ172" s="49"/>
      <c r="AK172" s="50"/>
      <c r="AL172" s="49"/>
      <c r="AM172" s="50"/>
      <c r="AN172" s="49"/>
      <c r="AO172" s="50"/>
      <c r="AP172" s="49"/>
      <c r="AQ172" s="50"/>
      <c r="AR172" s="49" t="s">
        <v>5</v>
      </c>
      <c r="AS172" s="50" t="s">
        <v>151</v>
      </c>
      <c r="AT172" s="49" t="s">
        <v>5</v>
      </c>
      <c r="AU172" s="50" t="s">
        <v>135</v>
      </c>
      <c r="AV172" s="49" t="s">
        <v>5</v>
      </c>
      <c r="AW172" s="50" t="s">
        <v>436</v>
      </c>
      <c r="AX172" s="49"/>
      <c r="AY172" s="50"/>
      <c r="AZ172" s="49" t="s">
        <v>1</v>
      </c>
      <c r="BA172" s="50" t="s">
        <v>92</v>
      </c>
      <c r="BB172" s="49"/>
      <c r="BC172" s="50"/>
      <c r="BD172" s="49"/>
      <c r="BE172" s="50"/>
      <c r="BF172" s="49"/>
      <c r="BG172" s="50"/>
      <c r="BH172" s="49" t="s">
        <v>5</v>
      </c>
      <c r="BI172" s="50" t="s">
        <v>1184</v>
      </c>
      <c r="BJ172" s="49" t="s">
        <v>5</v>
      </c>
      <c r="BK172" s="50" t="s">
        <v>711</v>
      </c>
      <c r="BL172" s="49"/>
      <c r="BM172" s="50"/>
      <c r="BN172" s="49" t="s">
        <v>5</v>
      </c>
      <c r="BO172" s="50" t="s">
        <v>121</v>
      </c>
      <c r="BP172" s="49"/>
      <c r="BQ172" s="50"/>
      <c r="BR172" s="49"/>
      <c r="BS172" s="50"/>
      <c r="BT172" s="49" t="s">
        <v>5</v>
      </c>
      <c r="BU172" s="50" t="s">
        <v>82</v>
      </c>
      <c r="BV172" s="49" t="s">
        <v>5</v>
      </c>
      <c r="BW172" s="50" t="s">
        <v>98</v>
      </c>
      <c r="BX172" s="49" t="s">
        <v>5</v>
      </c>
      <c r="BY172" s="50" t="s">
        <v>103</v>
      </c>
    </row>
    <row r="173" spans="1:77" x14ac:dyDescent="0.25">
      <c r="A173" s="76">
        <v>152525</v>
      </c>
      <c r="B173" s="77" t="s">
        <v>1359</v>
      </c>
      <c r="C173" s="78" t="s">
        <v>1183</v>
      </c>
      <c r="D173" s="76" t="s">
        <v>12</v>
      </c>
      <c r="E173" s="79" t="s">
        <v>14</v>
      </c>
      <c r="F173" s="79" t="s">
        <v>71</v>
      </c>
      <c r="G173" s="79" t="s">
        <v>14</v>
      </c>
      <c r="H173" s="79" t="s">
        <v>14</v>
      </c>
      <c r="I173" s="78" t="s">
        <v>14</v>
      </c>
      <c r="J173" s="79" t="s">
        <v>14</v>
      </c>
      <c r="K173" s="142" t="s">
        <v>1851</v>
      </c>
      <c r="L173" s="149" t="s">
        <v>1845</v>
      </c>
      <c r="M173" s="150" t="s">
        <v>12</v>
      </c>
      <c r="N173" s="151">
        <v>21</v>
      </c>
      <c r="O173" s="151">
        <v>3</v>
      </c>
      <c r="P173" s="152">
        <v>1</v>
      </c>
      <c r="Q173" s="153">
        <v>100</v>
      </c>
      <c r="R173" s="154">
        <v>4</v>
      </c>
      <c r="S173" s="38">
        <f t="shared" si="23"/>
        <v>1</v>
      </c>
      <c r="T173" s="39">
        <f t="shared" si="24"/>
        <v>9</v>
      </c>
      <c r="U173" s="40">
        <f t="shared" si="25"/>
        <v>1</v>
      </c>
      <c r="V173" s="40">
        <f t="shared" si="26"/>
        <v>0</v>
      </c>
      <c r="W173" s="40">
        <f t="shared" si="27"/>
        <v>0</v>
      </c>
      <c r="X173" s="40">
        <f t="shared" si="28"/>
        <v>1</v>
      </c>
      <c r="Y173" s="40">
        <f t="shared" si="29"/>
        <v>0</v>
      </c>
      <c r="Z173" s="40">
        <f t="shared" si="30"/>
        <v>0</v>
      </c>
      <c r="AA173" s="40">
        <f t="shared" si="31"/>
        <v>0</v>
      </c>
      <c r="AB173" s="40">
        <f t="shared" si="32"/>
        <v>0</v>
      </c>
      <c r="AC173" s="41">
        <f t="shared" si="33"/>
        <v>0</v>
      </c>
      <c r="AD173" s="49"/>
      <c r="AE173" s="50"/>
      <c r="AF173" s="49" t="s">
        <v>5</v>
      </c>
      <c r="AG173" s="50" t="s">
        <v>433</v>
      </c>
      <c r="AH173" s="49"/>
      <c r="AI173" s="50"/>
      <c r="AJ173" s="49" t="s">
        <v>5</v>
      </c>
      <c r="AK173" s="50" t="s">
        <v>137</v>
      </c>
      <c r="AL173" s="49"/>
      <c r="AM173" s="50"/>
      <c r="AN173" s="49"/>
      <c r="AO173" s="50"/>
      <c r="AP173" s="49"/>
      <c r="AQ173" s="50"/>
      <c r="AR173" s="49" t="s">
        <v>5</v>
      </c>
      <c r="AS173" s="50" t="s">
        <v>142</v>
      </c>
      <c r="AT173" s="49"/>
      <c r="AU173" s="50"/>
      <c r="AV173" s="49" t="s">
        <v>30</v>
      </c>
      <c r="AW173" s="50" t="s">
        <v>436</v>
      </c>
      <c r="AX173" s="49"/>
      <c r="AY173" s="50"/>
      <c r="AZ173" s="49"/>
      <c r="BA173" s="50"/>
      <c r="BB173" s="49"/>
      <c r="BC173" s="50"/>
      <c r="BD173" s="49"/>
      <c r="BE173" s="50"/>
      <c r="BF173" s="49"/>
      <c r="BG173" s="50"/>
      <c r="BH173" s="49" t="s">
        <v>5</v>
      </c>
      <c r="BI173" s="50" t="s">
        <v>1184</v>
      </c>
      <c r="BJ173" s="49" t="s">
        <v>5</v>
      </c>
      <c r="BK173" s="50" t="s">
        <v>995</v>
      </c>
      <c r="BL173" s="49"/>
      <c r="BM173" s="50"/>
      <c r="BN173" s="49" t="s">
        <v>1</v>
      </c>
      <c r="BO173" s="50" t="s">
        <v>107</v>
      </c>
      <c r="BP173" s="49" t="s">
        <v>5</v>
      </c>
      <c r="BQ173" s="50" t="s">
        <v>81</v>
      </c>
      <c r="BR173" s="49" t="s">
        <v>5</v>
      </c>
      <c r="BS173" s="50" t="s">
        <v>170</v>
      </c>
      <c r="BT173" s="49" t="s">
        <v>5</v>
      </c>
      <c r="BU173" s="50" t="s">
        <v>82</v>
      </c>
      <c r="BV173" s="49"/>
      <c r="BW173" s="50"/>
      <c r="BX173" s="49" t="s">
        <v>5</v>
      </c>
      <c r="BY173" s="50" t="s">
        <v>103</v>
      </c>
    </row>
    <row r="174" spans="1:77" x14ac:dyDescent="0.25">
      <c r="A174" s="76">
        <v>152571</v>
      </c>
      <c r="B174" s="77" t="s">
        <v>1360</v>
      </c>
      <c r="C174" s="78" t="s">
        <v>1186</v>
      </c>
      <c r="D174" s="76" t="s">
        <v>70</v>
      </c>
      <c r="E174" s="79" t="s">
        <v>14</v>
      </c>
      <c r="F174" s="79" t="s">
        <v>220</v>
      </c>
      <c r="G174" s="79" t="s">
        <v>87</v>
      </c>
      <c r="H174" s="79" t="s">
        <v>14</v>
      </c>
      <c r="I174" s="78" t="s">
        <v>14</v>
      </c>
      <c r="J174" s="79" t="s">
        <v>14</v>
      </c>
      <c r="K174" s="142" t="s">
        <v>1850</v>
      </c>
      <c r="L174" s="149" t="s">
        <v>1844</v>
      </c>
      <c r="M174" s="150" t="s">
        <v>12</v>
      </c>
      <c r="N174" s="151">
        <v>22</v>
      </c>
      <c r="O174" s="151">
        <v>1</v>
      </c>
      <c r="P174" s="152">
        <v>0</v>
      </c>
      <c r="Q174" s="153">
        <v>100</v>
      </c>
      <c r="R174" s="154">
        <v>0</v>
      </c>
      <c r="S174" s="38">
        <f t="shared" si="23"/>
        <v>3</v>
      </c>
      <c r="T174" s="39">
        <f t="shared" si="24"/>
        <v>8</v>
      </c>
      <c r="U174" s="40">
        <f t="shared" si="25"/>
        <v>0</v>
      </c>
      <c r="V174" s="40">
        <f t="shared" si="26"/>
        <v>0</v>
      </c>
      <c r="W174" s="40">
        <f t="shared" si="27"/>
        <v>0</v>
      </c>
      <c r="X174" s="40">
        <f t="shared" si="28"/>
        <v>0</v>
      </c>
      <c r="Y174" s="40">
        <f t="shared" si="29"/>
        <v>0</v>
      </c>
      <c r="Z174" s="40">
        <f t="shared" si="30"/>
        <v>0</v>
      </c>
      <c r="AA174" s="40">
        <f t="shared" si="31"/>
        <v>0</v>
      </c>
      <c r="AB174" s="40">
        <f t="shared" si="32"/>
        <v>0</v>
      </c>
      <c r="AC174" s="41">
        <f t="shared" si="33"/>
        <v>0</v>
      </c>
      <c r="AD174" s="49"/>
      <c r="AE174" s="50"/>
      <c r="AF174" s="49" t="s">
        <v>5</v>
      </c>
      <c r="AG174" s="50" t="s">
        <v>433</v>
      </c>
      <c r="AH174" s="49"/>
      <c r="AI174" s="50"/>
      <c r="AJ174" s="49" t="s">
        <v>5</v>
      </c>
      <c r="AK174" s="50" t="s">
        <v>137</v>
      </c>
      <c r="AL174" s="49"/>
      <c r="AM174" s="50"/>
      <c r="AN174" s="49"/>
      <c r="AO174" s="50"/>
      <c r="AP174" s="49"/>
      <c r="AQ174" s="50"/>
      <c r="AR174" s="49" t="s">
        <v>5</v>
      </c>
      <c r="AS174" s="50" t="s">
        <v>448</v>
      </c>
      <c r="AT174" s="49"/>
      <c r="AU174" s="50"/>
      <c r="AV174" s="49" t="s">
        <v>5</v>
      </c>
      <c r="AW174" s="50" t="s">
        <v>83</v>
      </c>
      <c r="AX174" s="49"/>
      <c r="AY174" s="50"/>
      <c r="AZ174" s="49"/>
      <c r="BA174" s="50"/>
      <c r="BB174" s="49" t="s">
        <v>1</v>
      </c>
      <c r="BC174" s="50" t="s">
        <v>436</v>
      </c>
      <c r="BD174" s="49"/>
      <c r="BE174" s="50"/>
      <c r="BF174" s="49"/>
      <c r="BG174" s="50"/>
      <c r="BH174" s="49" t="s">
        <v>5</v>
      </c>
      <c r="BI174" s="50" t="s">
        <v>78</v>
      </c>
      <c r="BJ174" s="49" t="s">
        <v>1</v>
      </c>
      <c r="BK174" s="50" t="s">
        <v>94</v>
      </c>
      <c r="BL174" s="49"/>
      <c r="BM174" s="50"/>
      <c r="BN174" s="49" t="s">
        <v>1</v>
      </c>
      <c r="BO174" s="50" t="s">
        <v>121</v>
      </c>
      <c r="BP174" s="49"/>
      <c r="BQ174" s="50"/>
      <c r="BR174" s="49" t="s">
        <v>5</v>
      </c>
      <c r="BS174" s="50" t="s">
        <v>170</v>
      </c>
      <c r="BT174" s="49" t="s">
        <v>5</v>
      </c>
      <c r="BU174" s="50" t="s">
        <v>108</v>
      </c>
      <c r="BV174" s="49"/>
      <c r="BW174" s="50"/>
      <c r="BX174" s="49" t="s">
        <v>5</v>
      </c>
      <c r="BY174" s="50" t="s">
        <v>75</v>
      </c>
    </row>
    <row r="175" spans="1:77" x14ac:dyDescent="0.25">
      <c r="A175" s="76">
        <v>152647</v>
      </c>
      <c r="B175" s="77" t="s">
        <v>1361</v>
      </c>
      <c r="C175" s="78" t="s">
        <v>1193</v>
      </c>
      <c r="D175" s="76" t="s">
        <v>70</v>
      </c>
      <c r="E175" s="79" t="s">
        <v>14</v>
      </c>
      <c r="F175" s="79" t="s">
        <v>71</v>
      </c>
      <c r="G175" s="79" t="s">
        <v>14</v>
      </c>
      <c r="H175" s="79" t="s">
        <v>14</v>
      </c>
      <c r="I175" s="78" t="s">
        <v>14</v>
      </c>
      <c r="J175" s="79" t="s">
        <v>14</v>
      </c>
      <c r="K175" s="142" t="s">
        <v>1850</v>
      </c>
      <c r="L175" s="149" t="s">
        <v>1844</v>
      </c>
      <c r="M175" s="150" t="s">
        <v>12</v>
      </c>
      <c r="N175" s="151">
        <v>32</v>
      </c>
      <c r="O175" s="151">
        <v>0</v>
      </c>
      <c r="P175" s="152">
        <v>0</v>
      </c>
      <c r="Q175" s="153">
        <v>100</v>
      </c>
      <c r="R175" s="154">
        <v>0</v>
      </c>
      <c r="S175" s="38">
        <f t="shared" si="23"/>
        <v>1</v>
      </c>
      <c r="T175" s="39">
        <f t="shared" si="24"/>
        <v>10</v>
      </c>
      <c r="U175" s="40">
        <f t="shared" si="25"/>
        <v>0</v>
      </c>
      <c r="V175" s="40">
        <f t="shared" si="26"/>
        <v>0</v>
      </c>
      <c r="W175" s="40">
        <f t="shared" si="27"/>
        <v>0</v>
      </c>
      <c r="X175" s="40">
        <f t="shared" si="28"/>
        <v>0</v>
      </c>
      <c r="Y175" s="40">
        <f t="shared" si="29"/>
        <v>0</v>
      </c>
      <c r="Z175" s="40">
        <f t="shared" si="30"/>
        <v>0</v>
      </c>
      <c r="AA175" s="40">
        <f t="shared" si="31"/>
        <v>0</v>
      </c>
      <c r="AB175" s="40">
        <f t="shared" si="32"/>
        <v>0</v>
      </c>
      <c r="AC175" s="41">
        <f t="shared" si="33"/>
        <v>0</v>
      </c>
      <c r="AD175" s="49"/>
      <c r="AE175" s="50"/>
      <c r="AF175" s="49" t="s">
        <v>5</v>
      </c>
      <c r="AG175" s="50" t="s">
        <v>154</v>
      </c>
      <c r="AH175" s="49"/>
      <c r="AI175" s="50"/>
      <c r="AJ175" s="49" t="s">
        <v>5</v>
      </c>
      <c r="AK175" s="50" t="s">
        <v>137</v>
      </c>
      <c r="AL175" s="49"/>
      <c r="AM175" s="50"/>
      <c r="AN175" s="49"/>
      <c r="AO175" s="50"/>
      <c r="AP175" s="49"/>
      <c r="AQ175" s="50"/>
      <c r="AR175" s="49" t="s">
        <v>5</v>
      </c>
      <c r="AS175" s="50" t="s">
        <v>194</v>
      </c>
      <c r="AT175" s="49"/>
      <c r="AU175" s="50"/>
      <c r="AV175" s="49" t="s">
        <v>5</v>
      </c>
      <c r="AW175" s="50" t="s">
        <v>82</v>
      </c>
      <c r="AX175" s="49" t="s">
        <v>5</v>
      </c>
      <c r="AY175" s="50" t="s">
        <v>84</v>
      </c>
      <c r="AZ175" s="49"/>
      <c r="BA175" s="50"/>
      <c r="BB175" s="49"/>
      <c r="BC175" s="50"/>
      <c r="BD175" s="49" t="s">
        <v>1</v>
      </c>
      <c r="BE175" s="50" t="s">
        <v>104</v>
      </c>
      <c r="BF175" s="49"/>
      <c r="BG175" s="50"/>
      <c r="BH175" s="49" t="s">
        <v>5</v>
      </c>
      <c r="BI175" s="50" t="s">
        <v>105</v>
      </c>
      <c r="BJ175" s="49" t="s">
        <v>5</v>
      </c>
      <c r="BK175" s="50" t="s">
        <v>711</v>
      </c>
      <c r="BL175" s="49"/>
      <c r="BM175" s="50"/>
      <c r="BN175" s="49" t="s">
        <v>5</v>
      </c>
      <c r="BO175" s="50" t="s">
        <v>152</v>
      </c>
      <c r="BP175" s="49"/>
      <c r="BQ175" s="50"/>
      <c r="BR175" s="49" t="s">
        <v>5</v>
      </c>
      <c r="BS175" s="50" t="s">
        <v>98</v>
      </c>
      <c r="BT175" s="49" t="s">
        <v>5</v>
      </c>
      <c r="BU175" s="50" t="s">
        <v>82</v>
      </c>
      <c r="BV175" s="49"/>
      <c r="BW175" s="50"/>
      <c r="BX175" s="49"/>
      <c r="BY175" s="50"/>
    </row>
    <row r="176" spans="1:77" x14ac:dyDescent="0.25">
      <c r="A176" s="76">
        <v>152546</v>
      </c>
      <c r="B176" s="77" t="s">
        <v>1362</v>
      </c>
      <c r="C176" s="78" t="s">
        <v>1186</v>
      </c>
      <c r="D176" s="76" t="s">
        <v>12</v>
      </c>
      <c r="E176" s="79" t="s">
        <v>14</v>
      </c>
      <c r="F176" s="79" t="s">
        <v>71</v>
      </c>
      <c r="G176" s="79" t="s">
        <v>14</v>
      </c>
      <c r="H176" s="79" t="s">
        <v>14</v>
      </c>
      <c r="I176" s="78" t="s">
        <v>14</v>
      </c>
      <c r="J176" s="79" t="s">
        <v>14</v>
      </c>
      <c r="K176" s="142" t="s">
        <v>1850</v>
      </c>
      <c r="L176" s="149" t="s">
        <v>1845</v>
      </c>
      <c r="M176" s="150" t="s">
        <v>12</v>
      </c>
      <c r="N176" s="151">
        <v>22</v>
      </c>
      <c r="O176" s="151">
        <v>0</v>
      </c>
      <c r="P176" s="152">
        <v>0</v>
      </c>
      <c r="Q176" s="153">
        <v>100</v>
      </c>
      <c r="R176" s="154">
        <v>0</v>
      </c>
      <c r="S176" s="38">
        <f t="shared" si="23"/>
        <v>3</v>
      </c>
      <c r="T176" s="39">
        <f t="shared" si="24"/>
        <v>7</v>
      </c>
      <c r="U176" s="40">
        <f t="shared" si="25"/>
        <v>0</v>
      </c>
      <c r="V176" s="40">
        <f t="shared" si="26"/>
        <v>0</v>
      </c>
      <c r="W176" s="40">
        <f t="shared" si="27"/>
        <v>0</v>
      </c>
      <c r="X176" s="40">
        <f t="shared" si="28"/>
        <v>0</v>
      </c>
      <c r="Y176" s="40">
        <f t="shared" si="29"/>
        <v>0</v>
      </c>
      <c r="Z176" s="40">
        <f t="shared" si="30"/>
        <v>0</v>
      </c>
      <c r="AA176" s="40">
        <f t="shared" si="31"/>
        <v>0</v>
      </c>
      <c r="AB176" s="40">
        <f t="shared" si="32"/>
        <v>0</v>
      </c>
      <c r="AC176" s="41">
        <f t="shared" si="33"/>
        <v>0</v>
      </c>
      <c r="AD176" s="49"/>
      <c r="AE176" s="50"/>
      <c r="AF176" s="49"/>
      <c r="AG176" s="50"/>
      <c r="AH176" s="49"/>
      <c r="AI176" s="50"/>
      <c r="AJ176" s="49"/>
      <c r="AK176" s="50"/>
      <c r="AL176" s="49"/>
      <c r="AM176" s="50"/>
      <c r="AN176" s="49"/>
      <c r="AO176" s="50"/>
      <c r="AP176" s="49" t="s">
        <v>5</v>
      </c>
      <c r="AQ176" s="50" t="s">
        <v>101</v>
      </c>
      <c r="AR176" s="49" t="s">
        <v>5</v>
      </c>
      <c r="AS176" s="50" t="s">
        <v>151</v>
      </c>
      <c r="AT176" s="49"/>
      <c r="AU176" s="50"/>
      <c r="AV176" s="49" t="s">
        <v>5</v>
      </c>
      <c r="AW176" s="50" t="s">
        <v>83</v>
      </c>
      <c r="AX176" s="49"/>
      <c r="AY176" s="50"/>
      <c r="AZ176" s="49" t="s">
        <v>1</v>
      </c>
      <c r="BA176" s="50" t="s">
        <v>92</v>
      </c>
      <c r="BB176" s="49"/>
      <c r="BC176" s="50"/>
      <c r="BD176" s="49"/>
      <c r="BE176" s="50"/>
      <c r="BF176" s="49"/>
      <c r="BG176" s="50"/>
      <c r="BH176" s="49" t="s">
        <v>5</v>
      </c>
      <c r="BI176" s="50" t="s">
        <v>78</v>
      </c>
      <c r="BJ176" s="49" t="s">
        <v>1</v>
      </c>
      <c r="BK176" s="50" t="s">
        <v>995</v>
      </c>
      <c r="BL176" s="49"/>
      <c r="BM176" s="50"/>
      <c r="BN176" s="49" t="s">
        <v>1</v>
      </c>
      <c r="BO176" s="50" t="s">
        <v>107</v>
      </c>
      <c r="BP176" s="49"/>
      <c r="BQ176" s="50"/>
      <c r="BR176" s="49"/>
      <c r="BS176" s="50"/>
      <c r="BT176" s="49" t="s">
        <v>5</v>
      </c>
      <c r="BU176" s="50" t="s">
        <v>108</v>
      </c>
      <c r="BV176" s="49" t="s">
        <v>5</v>
      </c>
      <c r="BW176" s="50" t="s">
        <v>98</v>
      </c>
      <c r="BX176" s="49" t="s">
        <v>5</v>
      </c>
      <c r="BY176" s="50" t="s">
        <v>103</v>
      </c>
    </row>
    <row r="177" spans="1:77" x14ac:dyDescent="0.25">
      <c r="A177" s="76">
        <v>152663</v>
      </c>
      <c r="B177" s="77" t="s">
        <v>1363</v>
      </c>
      <c r="C177" s="78" t="s">
        <v>1193</v>
      </c>
      <c r="D177" s="76" t="s">
        <v>12</v>
      </c>
      <c r="E177" s="79" t="s">
        <v>14</v>
      </c>
      <c r="F177" s="79" t="s">
        <v>71</v>
      </c>
      <c r="G177" s="79" t="s">
        <v>14</v>
      </c>
      <c r="H177" s="79" t="s">
        <v>14</v>
      </c>
      <c r="I177" s="78" t="s">
        <v>14</v>
      </c>
      <c r="J177" s="79" t="s">
        <v>14</v>
      </c>
      <c r="K177" s="142" t="s">
        <v>1850</v>
      </c>
      <c r="L177" s="149" t="s">
        <v>1844</v>
      </c>
      <c r="M177" s="150" t="s">
        <v>12</v>
      </c>
      <c r="N177" s="151">
        <v>28</v>
      </c>
      <c r="O177" s="151">
        <v>0</v>
      </c>
      <c r="P177" s="152">
        <v>0</v>
      </c>
      <c r="Q177" s="153">
        <v>95.65</v>
      </c>
      <c r="R177" s="154">
        <v>0</v>
      </c>
      <c r="S177" s="38">
        <f t="shared" si="23"/>
        <v>3</v>
      </c>
      <c r="T177" s="39">
        <f t="shared" si="24"/>
        <v>7</v>
      </c>
      <c r="U177" s="40">
        <f t="shared" si="25"/>
        <v>0</v>
      </c>
      <c r="V177" s="40">
        <f t="shared" si="26"/>
        <v>0</v>
      </c>
      <c r="W177" s="40">
        <f t="shared" si="27"/>
        <v>0</v>
      </c>
      <c r="X177" s="40">
        <f t="shared" si="28"/>
        <v>0</v>
      </c>
      <c r="Y177" s="40">
        <f t="shared" si="29"/>
        <v>0</v>
      </c>
      <c r="Z177" s="40">
        <f t="shared" si="30"/>
        <v>0</v>
      </c>
      <c r="AA177" s="40">
        <f t="shared" si="31"/>
        <v>0</v>
      </c>
      <c r="AB177" s="40">
        <f t="shared" si="32"/>
        <v>0</v>
      </c>
      <c r="AC177" s="41">
        <f t="shared" si="33"/>
        <v>0</v>
      </c>
      <c r="AD177" s="49"/>
      <c r="AE177" s="50"/>
      <c r="AF177" s="49"/>
      <c r="AG177" s="50"/>
      <c r="AH177" s="49"/>
      <c r="AI177" s="50"/>
      <c r="AJ177" s="49"/>
      <c r="AK177" s="50"/>
      <c r="AL177" s="49"/>
      <c r="AM177" s="50"/>
      <c r="AN177" s="49"/>
      <c r="AO177" s="50"/>
      <c r="AP177" s="49"/>
      <c r="AQ177" s="50"/>
      <c r="AR177" s="49" t="s">
        <v>5</v>
      </c>
      <c r="AS177" s="50" t="s">
        <v>448</v>
      </c>
      <c r="AT177" s="49"/>
      <c r="AU177" s="50"/>
      <c r="AV177" s="49" t="s">
        <v>5</v>
      </c>
      <c r="AW177" s="50" t="s">
        <v>82</v>
      </c>
      <c r="AX177" s="49" t="s">
        <v>5</v>
      </c>
      <c r="AY177" s="50" t="s">
        <v>84</v>
      </c>
      <c r="AZ177" s="49"/>
      <c r="BA177" s="50"/>
      <c r="BB177" s="49"/>
      <c r="BC177" s="50"/>
      <c r="BD177" s="49"/>
      <c r="BE177" s="50"/>
      <c r="BF177" s="49" t="s">
        <v>5</v>
      </c>
      <c r="BG177" s="50" t="s">
        <v>105</v>
      </c>
      <c r="BH177" s="49" t="s">
        <v>1</v>
      </c>
      <c r="BI177" s="50" t="s">
        <v>105</v>
      </c>
      <c r="BJ177" s="49" t="s">
        <v>1</v>
      </c>
      <c r="BK177" s="50" t="s">
        <v>94</v>
      </c>
      <c r="BL177" s="49" t="s">
        <v>5</v>
      </c>
      <c r="BM177" s="50" t="s">
        <v>116</v>
      </c>
      <c r="BN177" s="49" t="s">
        <v>1</v>
      </c>
      <c r="BO177" s="50" t="s">
        <v>741</v>
      </c>
      <c r="BP177" s="49"/>
      <c r="BQ177" s="50"/>
      <c r="BR177" s="49"/>
      <c r="BS177" s="50"/>
      <c r="BT177" s="49" t="s">
        <v>5</v>
      </c>
      <c r="BU177" s="50" t="s">
        <v>108</v>
      </c>
      <c r="BV177" s="49" t="s">
        <v>5</v>
      </c>
      <c r="BW177" s="50" t="s">
        <v>98</v>
      </c>
      <c r="BX177" s="49"/>
      <c r="BY177" s="50"/>
    </row>
    <row r="178" spans="1:77" x14ac:dyDescent="0.25">
      <c r="A178" s="76">
        <v>152710</v>
      </c>
      <c r="B178" s="77" t="s">
        <v>1364</v>
      </c>
      <c r="C178" s="78" t="s">
        <v>1183</v>
      </c>
      <c r="D178" s="76" t="s">
        <v>12</v>
      </c>
      <c r="E178" s="79" t="s">
        <v>14</v>
      </c>
      <c r="F178" s="79" t="s">
        <v>71</v>
      </c>
      <c r="G178" s="79" t="s">
        <v>14</v>
      </c>
      <c r="H178" s="79" t="s">
        <v>14</v>
      </c>
      <c r="I178" s="78" t="s">
        <v>14</v>
      </c>
      <c r="J178" s="79" t="s">
        <v>14</v>
      </c>
      <c r="K178" s="142" t="s">
        <v>1850</v>
      </c>
      <c r="L178" s="149" t="s">
        <v>1842</v>
      </c>
      <c r="M178" s="150" t="s">
        <v>1853</v>
      </c>
      <c r="N178" s="151">
        <v>25</v>
      </c>
      <c r="O178" s="151">
        <v>0</v>
      </c>
      <c r="P178" s="152">
        <v>0</v>
      </c>
      <c r="Q178" s="153">
        <v>100</v>
      </c>
      <c r="R178" s="154">
        <v>0</v>
      </c>
      <c r="S178" s="38">
        <f t="shared" si="23"/>
        <v>5</v>
      </c>
      <c r="T178" s="39">
        <f t="shared" si="24"/>
        <v>6</v>
      </c>
      <c r="U178" s="40">
        <f t="shared" si="25"/>
        <v>0</v>
      </c>
      <c r="V178" s="40">
        <f t="shared" si="26"/>
        <v>0</v>
      </c>
      <c r="W178" s="40">
        <f t="shared" si="27"/>
        <v>0</v>
      </c>
      <c r="X178" s="40">
        <f t="shared" si="28"/>
        <v>0</v>
      </c>
      <c r="Y178" s="40">
        <f t="shared" si="29"/>
        <v>0</v>
      </c>
      <c r="Z178" s="40">
        <f t="shared" si="30"/>
        <v>0</v>
      </c>
      <c r="AA178" s="40">
        <f t="shared" si="31"/>
        <v>0</v>
      </c>
      <c r="AB178" s="40">
        <f t="shared" si="32"/>
        <v>0</v>
      </c>
      <c r="AC178" s="41">
        <f t="shared" si="33"/>
        <v>0</v>
      </c>
      <c r="AD178" s="49"/>
      <c r="AE178" s="50"/>
      <c r="AF178" s="49" t="s">
        <v>1</v>
      </c>
      <c r="AG178" s="50" t="s">
        <v>154</v>
      </c>
      <c r="AH178" s="49"/>
      <c r="AI178" s="50"/>
      <c r="AJ178" s="49" t="s">
        <v>5</v>
      </c>
      <c r="AK178" s="50" t="s">
        <v>137</v>
      </c>
      <c r="AL178" s="49"/>
      <c r="AM178" s="50"/>
      <c r="AN178" s="49"/>
      <c r="AO178" s="50"/>
      <c r="AP178" s="49"/>
      <c r="AQ178" s="50"/>
      <c r="AR178" s="49" t="s">
        <v>5</v>
      </c>
      <c r="AS178" s="50" t="s">
        <v>194</v>
      </c>
      <c r="AT178" s="49"/>
      <c r="AU178" s="50"/>
      <c r="AV178" s="49" t="s">
        <v>1</v>
      </c>
      <c r="AW178" s="50" t="s">
        <v>436</v>
      </c>
      <c r="AX178" s="49"/>
      <c r="AY178" s="50"/>
      <c r="AZ178" s="49" t="s">
        <v>1</v>
      </c>
      <c r="BA178" s="50" t="s">
        <v>92</v>
      </c>
      <c r="BB178" s="49"/>
      <c r="BC178" s="50"/>
      <c r="BD178" s="49"/>
      <c r="BE178" s="50"/>
      <c r="BF178" s="49"/>
      <c r="BG178" s="50"/>
      <c r="BH178" s="49" t="s">
        <v>5</v>
      </c>
      <c r="BI178" s="50" t="s">
        <v>163</v>
      </c>
      <c r="BJ178" s="49" t="s">
        <v>1</v>
      </c>
      <c r="BK178" s="50" t="s">
        <v>422</v>
      </c>
      <c r="BL178" s="49"/>
      <c r="BM178" s="50"/>
      <c r="BN178" s="49" t="s">
        <v>5</v>
      </c>
      <c r="BO178" s="50" t="s">
        <v>741</v>
      </c>
      <c r="BP178" s="49"/>
      <c r="BQ178" s="50"/>
      <c r="BR178" s="49" t="s">
        <v>1</v>
      </c>
      <c r="BS178" s="50" t="s">
        <v>98</v>
      </c>
      <c r="BT178" s="49" t="s">
        <v>5</v>
      </c>
      <c r="BU178" s="50" t="s">
        <v>82</v>
      </c>
      <c r="BV178" s="49"/>
      <c r="BW178" s="50"/>
      <c r="BX178" s="49" t="s">
        <v>5</v>
      </c>
      <c r="BY178" s="50" t="s">
        <v>130</v>
      </c>
    </row>
    <row r="179" spans="1:77" x14ac:dyDescent="0.25">
      <c r="A179" s="76">
        <v>152536</v>
      </c>
      <c r="B179" s="77" t="s">
        <v>1365</v>
      </c>
      <c r="C179" s="78" t="s">
        <v>1188</v>
      </c>
      <c r="D179" s="76" t="s">
        <v>12</v>
      </c>
      <c r="E179" s="79" t="s">
        <v>14</v>
      </c>
      <c r="F179" s="79" t="s">
        <v>71</v>
      </c>
      <c r="G179" s="79" t="s">
        <v>14</v>
      </c>
      <c r="H179" s="79" t="s">
        <v>14</v>
      </c>
      <c r="I179" s="78" t="s">
        <v>14</v>
      </c>
      <c r="J179" s="79" t="s">
        <v>14</v>
      </c>
      <c r="K179" s="142" t="s">
        <v>1850</v>
      </c>
      <c r="L179" s="149" t="s">
        <v>1842</v>
      </c>
      <c r="M179" s="150" t="s">
        <v>12</v>
      </c>
      <c r="N179" s="151">
        <v>24</v>
      </c>
      <c r="O179" s="151">
        <v>0</v>
      </c>
      <c r="P179" s="152">
        <v>0</v>
      </c>
      <c r="Q179" s="153">
        <v>100</v>
      </c>
      <c r="R179" s="154">
        <v>0</v>
      </c>
      <c r="S179" s="38">
        <f t="shared" si="23"/>
        <v>2</v>
      </c>
      <c r="T179" s="39">
        <f t="shared" si="24"/>
        <v>9</v>
      </c>
      <c r="U179" s="40">
        <f t="shared" si="25"/>
        <v>0</v>
      </c>
      <c r="V179" s="40">
        <f t="shared" si="26"/>
        <v>0</v>
      </c>
      <c r="W179" s="40">
        <f t="shared" si="27"/>
        <v>0</v>
      </c>
      <c r="X179" s="40">
        <f t="shared" si="28"/>
        <v>0</v>
      </c>
      <c r="Y179" s="40">
        <f t="shared" si="29"/>
        <v>0</v>
      </c>
      <c r="Z179" s="40">
        <f t="shared" si="30"/>
        <v>0</v>
      </c>
      <c r="AA179" s="40">
        <f t="shared" si="31"/>
        <v>0</v>
      </c>
      <c r="AB179" s="40">
        <f t="shared" si="32"/>
        <v>0</v>
      </c>
      <c r="AC179" s="41">
        <f t="shared" si="33"/>
        <v>0</v>
      </c>
      <c r="AD179" s="49" t="s">
        <v>5</v>
      </c>
      <c r="AE179" s="50" t="s">
        <v>72</v>
      </c>
      <c r="AF179" s="49" t="s">
        <v>5</v>
      </c>
      <c r="AG179" s="50" t="s">
        <v>154</v>
      </c>
      <c r="AH179" s="49"/>
      <c r="AI179" s="50"/>
      <c r="AJ179" s="49" t="s">
        <v>5</v>
      </c>
      <c r="AK179" s="50" t="s">
        <v>137</v>
      </c>
      <c r="AL179" s="49"/>
      <c r="AM179" s="50"/>
      <c r="AN179" s="49"/>
      <c r="AO179" s="50"/>
      <c r="AP179" s="49"/>
      <c r="AQ179" s="50"/>
      <c r="AR179" s="49" t="s">
        <v>5</v>
      </c>
      <c r="AS179" s="50" t="s">
        <v>722</v>
      </c>
      <c r="AT179" s="49"/>
      <c r="AU179" s="50"/>
      <c r="AV179" s="49" t="s">
        <v>1</v>
      </c>
      <c r="AW179" s="50" t="s">
        <v>430</v>
      </c>
      <c r="AX179" s="49" t="s">
        <v>5</v>
      </c>
      <c r="AY179" s="50" t="s">
        <v>130</v>
      </c>
      <c r="AZ179" s="49"/>
      <c r="BA179" s="50"/>
      <c r="BB179" s="49"/>
      <c r="BC179" s="50"/>
      <c r="BD179" s="49"/>
      <c r="BE179" s="50"/>
      <c r="BF179" s="49"/>
      <c r="BG179" s="50"/>
      <c r="BH179" s="49" t="s">
        <v>5</v>
      </c>
      <c r="BI179" s="50" t="s">
        <v>1184</v>
      </c>
      <c r="BJ179" s="49" t="s">
        <v>1</v>
      </c>
      <c r="BK179" s="50" t="s">
        <v>94</v>
      </c>
      <c r="BL179" s="49"/>
      <c r="BM179" s="50"/>
      <c r="BN179" s="49" t="s">
        <v>5</v>
      </c>
      <c r="BO179" s="50" t="s">
        <v>741</v>
      </c>
      <c r="BP179" s="49"/>
      <c r="BQ179" s="50"/>
      <c r="BR179" s="49" t="s">
        <v>5</v>
      </c>
      <c r="BS179" s="50" t="s">
        <v>98</v>
      </c>
      <c r="BT179" s="49" t="s">
        <v>5</v>
      </c>
      <c r="BU179" s="50" t="s">
        <v>108</v>
      </c>
      <c r="BV179" s="49"/>
      <c r="BW179" s="50"/>
      <c r="BX179" s="49"/>
      <c r="BY179" s="50"/>
    </row>
    <row r="180" spans="1:77" x14ac:dyDescent="0.25">
      <c r="A180" s="76">
        <v>160125</v>
      </c>
      <c r="B180" s="77" t="s">
        <v>1366</v>
      </c>
      <c r="C180" s="78" t="s">
        <v>1193</v>
      </c>
      <c r="D180" s="76" t="s">
        <v>70</v>
      </c>
      <c r="E180" s="79" t="s">
        <v>14</v>
      </c>
      <c r="F180" s="79" t="s">
        <v>71</v>
      </c>
      <c r="G180" s="79" t="s">
        <v>14</v>
      </c>
      <c r="H180" s="79" t="s">
        <v>14</v>
      </c>
      <c r="I180" s="78" t="s">
        <v>14</v>
      </c>
      <c r="J180" s="79" t="s">
        <v>14</v>
      </c>
      <c r="K180" s="142" t="s">
        <v>1850</v>
      </c>
      <c r="L180" s="149" t="s">
        <v>1406</v>
      </c>
      <c r="M180" s="150" t="s">
        <v>14</v>
      </c>
      <c r="N180" s="151">
        <v>30</v>
      </c>
      <c r="O180" s="151">
        <v>0</v>
      </c>
      <c r="P180" s="152">
        <v>0</v>
      </c>
      <c r="Q180" s="153">
        <v>93.48</v>
      </c>
      <c r="R180" s="154">
        <v>0</v>
      </c>
      <c r="S180" s="38">
        <f t="shared" si="23"/>
        <v>2</v>
      </c>
      <c r="T180" s="39">
        <f t="shared" si="24"/>
        <v>8</v>
      </c>
      <c r="U180" s="40">
        <f t="shared" si="25"/>
        <v>0</v>
      </c>
      <c r="V180" s="40">
        <f t="shared" si="26"/>
        <v>0</v>
      </c>
      <c r="W180" s="40">
        <f t="shared" si="27"/>
        <v>0</v>
      </c>
      <c r="X180" s="40">
        <f t="shared" si="28"/>
        <v>0</v>
      </c>
      <c r="Y180" s="40">
        <f t="shared" si="29"/>
        <v>0</v>
      </c>
      <c r="Z180" s="40">
        <f t="shared" si="30"/>
        <v>0</v>
      </c>
      <c r="AA180" s="40">
        <f t="shared" si="31"/>
        <v>0</v>
      </c>
      <c r="AB180" s="40">
        <f t="shared" si="32"/>
        <v>0</v>
      </c>
      <c r="AC180" s="41">
        <f t="shared" si="33"/>
        <v>0</v>
      </c>
      <c r="AD180" s="49"/>
      <c r="AE180" s="50"/>
      <c r="AF180" s="49"/>
      <c r="AG180" s="50"/>
      <c r="AH180" s="49"/>
      <c r="AI180" s="50"/>
      <c r="AJ180" s="49"/>
      <c r="AK180" s="50"/>
      <c r="AL180" s="49"/>
      <c r="AM180" s="50"/>
      <c r="AN180" s="49"/>
      <c r="AO180" s="50"/>
      <c r="AP180" s="49" t="s">
        <v>5</v>
      </c>
      <c r="AQ180" s="50" t="s">
        <v>142</v>
      </c>
      <c r="AR180" s="49" t="s">
        <v>5</v>
      </c>
      <c r="AS180" s="50" t="s">
        <v>194</v>
      </c>
      <c r="AT180" s="49"/>
      <c r="AU180" s="50"/>
      <c r="AV180" s="49" t="s">
        <v>5</v>
      </c>
      <c r="AW180" s="50" t="s">
        <v>82</v>
      </c>
      <c r="AX180" s="49" t="s">
        <v>5</v>
      </c>
      <c r="AY180" s="50" t="s">
        <v>84</v>
      </c>
      <c r="AZ180" s="49"/>
      <c r="BA180" s="50"/>
      <c r="BB180" s="49"/>
      <c r="BC180" s="50"/>
      <c r="BD180" s="49"/>
      <c r="BE180" s="50"/>
      <c r="BF180" s="49" t="s">
        <v>1</v>
      </c>
      <c r="BG180" s="50" t="s">
        <v>105</v>
      </c>
      <c r="BH180" s="49" t="s">
        <v>5</v>
      </c>
      <c r="BI180" s="50" t="s">
        <v>105</v>
      </c>
      <c r="BJ180" s="49" t="s">
        <v>5</v>
      </c>
      <c r="BK180" s="50" t="s">
        <v>505</v>
      </c>
      <c r="BL180" s="49"/>
      <c r="BM180" s="50"/>
      <c r="BN180" s="49" t="s">
        <v>1</v>
      </c>
      <c r="BO180" s="50" t="s">
        <v>121</v>
      </c>
      <c r="BP180" s="49"/>
      <c r="BQ180" s="50"/>
      <c r="BR180" s="49"/>
      <c r="BS180" s="50"/>
      <c r="BT180" s="49" t="s">
        <v>5</v>
      </c>
      <c r="BU180" s="50" t="s">
        <v>97</v>
      </c>
      <c r="BV180" s="49" t="s">
        <v>5</v>
      </c>
      <c r="BW180" s="50" t="s">
        <v>98</v>
      </c>
      <c r="BX180" s="49"/>
      <c r="BY180" s="50"/>
    </row>
    <row r="181" spans="1:77" x14ac:dyDescent="0.25">
      <c r="A181" s="76">
        <v>152545</v>
      </c>
      <c r="B181" s="77" t="s">
        <v>1367</v>
      </c>
      <c r="C181" s="78" t="s">
        <v>1186</v>
      </c>
      <c r="D181" s="76" t="s">
        <v>70</v>
      </c>
      <c r="E181" s="79" t="s">
        <v>14</v>
      </c>
      <c r="F181" s="79" t="s">
        <v>71</v>
      </c>
      <c r="G181" s="79" t="s">
        <v>14</v>
      </c>
      <c r="H181" s="79" t="s">
        <v>14</v>
      </c>
      <c r="I181" s="78" t="s">
        <v>14</v>
      </c>
      <c r="J181" s="79" t="s">
        <v>14</v>
      </c>
      <c r="K181" s="142" t="s">
        <v>1851</v>
      </c>
      <c r="L181" s="149" t="s">
        <v>1848</v>
      </c>
      <c r="M181" s="150" t="s">
        <v>1852</v>
      </c>
      <c r="N181" s="151">
        <v>19</v>
      </c>
      <c r="O181" s="151">
        <v>0</v>
      </c>
      <c r="P181" s="152">
        <v>0</v>
      </c>
      <c r="Q181" s="153">
        <v>100</v>
      </c>
      <c r="R181" s="154">
        <v>0</v>
      </c>
      <c r="S181" s="38">
        <f t="shared" si="23"/>
        <v>1</v>
      </c>
      <c r="T181" s="39">
        <f t="shared" si="24"/>
        <v>9</v>
      </c>
      <c r="U181" s="40">
        <f t="shared" si="25"/>
        <v>0</v>
      </c>
      <c r="V181" s="40">
        <f t="shared" si="26"/>
        <v>0</v>
      </c>
      <c r="W181" s="40">
        <f t="shared" si="27"/>
        <v>0</v>
      </c>
      <c r="X181" s="40">
        <f t="shared" si="28"/>
        <v>0</v>
      </c>
      <c r="Y181" s="40">
        <f t="shared" si="29"/>
        <v>0</v>
      </c>
      <c r="Z181" s="40">
        <f t="shared" si="30"/>
        <v>0</v>
      </c>
      <c r="AA181" s="40">
        <f t="shared" si="31"/>
        <v>0</v>
      </c>
      <c r="AB181" s="40">
        <f t="shared" si="32"/>
        <v>0</v>
      </c>
      <c r="AC181" s="41">
        <f t="shared" si="33"/>
        <v>0</v>
      </c>
      <c r="AD181" s="49"/>
      <c r="AE181" s="50"/>
      <c r="AF181" s="49"/>
      <c r="AG181" s="50"/>
      <c r="AH181" s="49"/>
      <c r="AI181" s="50"/>
      <c r="AJ181" s="49"/>
      <c r="AK181" s="50"/>
      <c r="AL181" s="49"/>
      <c r="AM181" s="50"/>
      <c r="AN181" s="49"/>
      <c r="AO181" s="50"/>
      <c r="AP181" s="49" t="s">
        <v>5</v>
      </c>
      <c r="AQ181" s="50" t="s">
        <v>101</v>
      </c>
      <c r="AR181" s="49" t="s">
        <v>5</v>
      </c>
      <c r="AS181" s="50" t="s">
        <v>151</v>
      </c>
      <c r="AT181" s="49"/>
      <c r="AU181" s="50"/>
      <c r="AV181" s="49" t="s">
        <v>5</v>
      </c>
      <c r="AW181" s="50" t="s">
        <v>83</v>
      </c>
      <c r="AX181" s="49"/>
      <c r="AY181" s="50"/>
      <c r="AZ181" s="49" t="s">
        <v>5</v>
      </c>
      <c r="BA181" s="50" t="s">
        <v>92</v>
      </c>
      <c r="BB181" s="49"/>
      <c r="BC181" s="50"/>
      <c r="BD181" s="49"/>
      <c r="BE181" s="50"/>
      <c r="BF181" s="49"/>
      <c r="BG181" s="50"/>
      <c r="BH181" s="49" t="s">
        <v>5</v>
      </c>
      <c r="BI181" s="50" t="s">
        <v>78</v>
      </c>
      <c r="BJ181" s="49" t="s">
        <v>5</v>
      </c>
      <c r="BK181" s="50" t="s">
        <v>711</v>
      </c>
      <c r="BL181" s="49"/>
      <c r="BM181" s="50"/>
      <c r="BN181" s="49" t="s">
        <v>1</v>
      </c>
      <c r="BO181" s="50" t="s">
        <v>152</v>
      </c>
      <c r="BP181" s="49"/>
      <c r="BQ181" s="50"/>
      <c r="BR181" s="49"/>
      <c r="BS181" s="50"/>
      <c r="BT181" s="49" t="s">
        <v>5</v>
      </c>
      <c r="BU181" s="50" t="s">
        <v>457</v>
      </c>
      <c r="BV181" s="49" t="s">
        <v>5</v>
      </c>
      <c r="BW181" s="50" t="s">
        <v>109</v>
      </c>
      <c r="BX181" s="49" t="s">
        <v>5</v>
      </c>
      <c r="BY181" s="50" t="s">
        <v>75</v>
      </c>
    </row>
    <row r="182" spans="1:77" x14ac:dyDescent="0.25">
      <c r="A182" s="76">
        <v>152584</v>
      </c>
      <c r="B182" s="77" t="s">
        <v>1368</v>
      </c>
      <c r="C182" s="78" t="s">
        <v>1211</v>
      </c>
      <c r="D182" s="76" t="s">
        <v>12</v>
      </c>
      <c r="E182" s="79" t="s">
        <v>14</v>
      </c>
      <c r="F182" s="79" t="s">
        <v>71</v>
      </c>
      <c r="G182" s="79" t="s">
        <v>14</v>
      </c>
      <c r="H182" s="79" t="s">
        <v>14</v>
      </c>
      <c r="I182" s="78" t="s">
        <v>14</v>
      </c>
      <c r="J182" s="79" t="s">
        <v>14</v>
      </c>
      <c r="K182" s="142" t="s">
        <v>1850</v>
      </c>
      <c r="L182" s="149" t="s">
        <v>1842</v>
      </c>
      <c r="M182" s="150" t="s">
        <v>1853</v>
      </c>
      <c r="N182" s="151">
        <v>9</v>
      </c>
      <c r="O182" s="151">
        <v>3</v>
      </c>
      <c r="P182" s="152">
        <v>1</v>
      </c>
      <c r="Q182" s="153">
        <v>100</v>
      </c>
      <c r="R182" s="154">
        <v>0</v>
      </c>
      <c r="S182" s="38">
        <f t="shared" si="23"/>
        <v>1</v>
      </c>
      <c r="T182" s="39">
        <f t="shared" si="24"/>
        <v>8</v>
      </c>
      <c r="U182" s="40">
        <f t="shared" si="25"/>
        <v>0</v>
      </c>
      <c r="V182" s="40">
        <f t="shared" si="26"/>
        <v>1</v>
      </c>
      <c r="W182" s="40">
        <f t="shared" si="27"/>
        <v>0</v>
      </c>
      <c r="X182" s="40">
        <f t="shared" si="28"/>
        <v>1</v>
      </c>
      <c r="Y182" s="40">
        <f t="shared" si="29"/>
        <v>0</v>
      </c>
      <c r="Z182" s="40">
        <f t="shared" si="30"/>
        <v>0</v>
      </c>
      <c r="AA182" s="40">
        <f t="shared" si="31"/>
        <v>0</v>
      </c>
      <c r="AB182" s="40">
        <f t="shared" si="32"/>
        <v>0</v>
      </c>
      <c r="AC182" s="41">
        <f t="shared" si="33"/>
        <v>0</v>
      </c>
      <c r="AD182" s="49"/>
      <c r="AE182" s="50"/>
      <c r="AF182" s="49"/>
      <c r="AG182" s="50"/>
      <c r="AH182" s="49"/>
      <c r="AI182" s="50"/>
      <c r="AJ182" s="49"/>
      <c r="AK182" s="50"/>
      <c r="AL182" s="49"/>
      <c r="AM182" s="50"/>
      <c r="AN182" s="49"/>
      <c r="AO182" s="50"/>
      <c r="AP182" s="49"/>
      <c r="AQ182" s="50"/>
      <c r="AR182" s="49" t="s">
        <v>5</v>
      </c>
      <c r="AS182" s="50" t="s">
        <v>448</v>
      </c>
      <c r="AT182" s="49" t="s">
        <v>5</v>
      </c>
      <c r="AU182" s="50" t="s">
        <v>135</v>
      </c>
      <c r="AV182" s="49" t="s">
        <v>5</v>
      </c>
      <c r="AW182" s="50" t="s">
        <v>105</v>
      </c>
      <c r="AX182" s="49"/>
      <c r="AY182" s="50"/>
      <c r="AZ182" s="49"/>
      <c r="BA182" s="50"/>
      <c r="BB182" s="49"/>
      <c r="BC182" s="50"/>
      <c r="BD182" s="49"/>
      <c r="BE182" s="50"/>
      <c r="BF182" s="49"/>
      <c r="BG182" s="50"/>
      <c r="BH182" s="49" t="s">
        <v>5</v>
      </c>
      <c r="BI182" s="50" t="s">
        <v>163</v>
      </c>
      <c r="BJ182" s="49" t="s">
        <v>5</v>
      </c>
      <c r="BK182" s="50" t="s">
        <v>422</v>
      </c>
      <c r="BL182" s="49"/>
      <c r="BM182" s="50"/>
      <c r="BN182" s="49" t="s">
        <v>1</v>
      </c>
      <c r="BO182" s="50" t="s">
        <v>741</v>
      </c>
      <c r="BP182" s="49" t="s">
        <v>5</v>
      </c>
      <c r="BQ182" s="50" t="s">
        <v>81</v>
      </c>
      <c r="BR182" s="49"/>
      <c r="BS182" s="50"/>
      <c r="BT182" s="49" t="s">
        <v>5</v>
      </c>
      <c r="BU182" s="50" t="s">
        <v>82</v>
      </c>
      <c r="BV182" s="49" t="s">
        <v>5</v>
      </c>
      <c r="BW182" s="50" t="s">
        <v>98</v>
      </c>
      <c r="BX182" s="49" t="s">
        <v>31</v>
      </c>
      <c r="BY182" s="50" t="s">
        <v>421</v>
      </c>
    </row>
    <row r="183" spans="1:77" x14ac:dyDescent="0.25">
      <c r="A183" s="76">
        <v>152664</v>
      </c>
      <c r="B183" s="77" t="s">
        <v>1369</v>
      </c>
      <c r="C183" s="78" t="s">
        <v>1181</v>
      </c>
      <c r="D183" s="76" t="s">
        <v>70</v>
      </c>
      <c r="E183" s="79" t="s">
        <v>14</v>
      </c>
      <c r="F183" s="79" t="s">
        <v>184</v>
      </c>
      <c r="G183" s="79" t="s">
        <v>14</v>
      </c>
      <c r="H183" s="79" t="s">
        <v>14</v>
      </c>
      <c r="I183" s="78" t="s">
        <v>14</v>
      </c>
      <c r="J183" s="79" t="s">
        <v>14</v>
      </c>
      <c r="K183" s="142" t="s">
        <v>1850</v>
      </c>
      <c r="L183" s="149" t="s">
        <v>1848</v>
      </c>
      <c r="M183" s="150" t="s">
        <v>1852</v>
      </c>
      <c r="N183" s="151">
        <v>22</v>
      </c>
      <c r="O183" s="151">
        <v>1</v>
      </c>
      <c r="P183" s="152">
        <v>1</v>
      </c>
      <c r="Q183" s="153">
        <v>100</v>
      </c>
      <c r="R183" s="154">
        <v>0</v>
      </c>
      <c r="S183" s="38">
        <f t="shared" si="23"/>
        <v>1</v>
      </c>
      <c r="T183" s="39">
        <f t="shared" si="24"/>
        <v>8</v>
      </c>
      <c r="U183" s="40">
        <f t="shared" si="25"/>
        <v>1</v>
      </c>
      <c r="V183" s="40">
        <f t="shared" si="26"/>
        <v>0</v>
      </c>
      <c r="W183" s="40">
        <f t="shared" si="27"/>
        <v>1</v>
      </c>
      <c r="X183" s="40">
        <f t="shared" si="28"/>
        <v>2</v>
      </c>
      <c r="Y183" s="40">
        <f t="shared" si="29"/>
        <v>0</v>
      </c>
      <c r="Z183" s="40">
        <f t="shared" si="30"/>
        <v>0</v>
      </c>
      <c r="AA183" s="40">
        <f t="shared" si="31"/>
        <v>0</v>
      </c>
      <c r="AB183" s="40">
        <f t="shared" si="32"/>
        <v>0</v>
      </c>
      <c r="AC183" s="41">
        <f t="shared" si="33"/>
        <v>0</v>
      </c>
      <c r="AD183" s="49" t="s">
        <v>5</v>
      </c>
      <c r="AE183" s="50" t="s">
        <v>72</v>
      </c>
      <c r="AF183" s="49" t="s">
        <v>5</v>
      </c>
      <c r="AG183" s="50" t="s">
        <v>154</v>
      </c>
      <c r="AH183" s="49"/>
      <c r="AI183" s="50"/>
      <c r="AJ183" s="49" t="s">
        <v>32</v>
      </c>
      <c r="AK183" s="50" t="s">
        <v>206</v>
      </c>
      <c r="AL183" s="49"/>
      <c r="AM183" s="50"/>
      <c r="AN183" s="49"/>
      <c r="AO183" s="50"/>
      <c r="AP183" s="49"/>
      <c r="AQ183" s="50"/>
      <c r="AR183" s="49" t="s">
        <v>30</v>
      </c>
      <c r="AS183" s="50" t="s">
        <v>142</v>
      </c>
      <c r="AT183" s="49"/>
      <c r="AU183" s="50"/>
      <c r="AV183" s="49" t="s">
        <v>5</v>
      </c>
      <c r="AW183" s="50" t="s">
        <v>104</v>
      </c>
      <c r="AX183" s="49" t="s">
        <v>5</v>
      </c>
      <c r="AY183" s="50" t="s">
        <v>130</v>
      </c>
      <c r="AZ183" s="49"/>
      <c r="BA183" s="50"/>
      <c r="BB183" s="49"/>
      <c r="BC183" s="50"/>
      <c r="BD183" s="49"/>
      <c r="BE183" s="50"/>
      <c r="BF183" s="49"/>
      <c r="BG183" s="50"/>
      <c r="BH183" s="49" t="s">
        <v>5</v>
      </c>
      <c r="BI183" s="50" t="s">
        <v>163</v>
      </c>
      <c r="BJ183" s="49" t="s">
        <v>1</v>
      </c>
      <c r="BK183" s="50" t="s">
        <v>94</v>
      </c>
      <c r="BL183" s="49"/>
      <c r="BM183" s="50"/>
      <c r="BN183" s="49" t="s">
        <v>5</v>
      </c>
      <c r="BO183" s="50" t="s">
        <v>152</v>
      </c>
      <c r="BP183" s="49"/>
      <c r="BQ183" s="50"/>
      <c r="BR183" s="49" t="s">
        <v>5</v>
      </c>
      <c r="BS183" s="50" t="s">
        <v>140</v>
      </c>
      <c r="BT183" s="49" t="s">
        <v>5</v>
      </c>
      <c r="BU183" s="50" t="s">
        <v>457</v>
      </c>
      <c r="BV183" s="49"/>
      <c r="BW183" s="50"/>
      <c r="BX183" s="49"/>
      <c r="BY183" s="50"/>
    </row>
    <row r="184" spans="1:77" x14ac:dyDescent="0.25">
      <c r="A184" s="76">
        <v>152614</v>
      </c>
      <c r="B184" s="77" t="s">
        <v>1370</v>
      </c>
      <c r="C184" s="78" t="s">
        <v>1211</v>
      </c>
      <c r="D184" s="76" t="s">
        <v>12</v>
      </c>
      <c r="E184" s="79" t="s">
        <v>14</v>
      </c>
      <c r="F184" s="79" t="s">
        <v>71</v>
      </c>
      <c r="G184" s="79" t="s">
        <v>14</v>
      </c>
      <c r="H184" s="79" t="s">
        <v>14</v>
      </c>
      <c r="I184" s="78" t="s">
        <v>14</v>
      </c>
      <c r="J184" s="79" t="s">
        <v>6</v>
      </c>
      <c r="K184" s="142" t="s">
        <v>1850</v>
      </c>
      <c r="L184" s="149" t="s">
        <v>1845</v>
      </c>
      <c r="M184" s="150" t="s">
        <v>12</v>
      </c>
      <c r="N184" s="151">
        <v>11</v>
      </c>
      <c r="O184" s="151">
        <v>14</v>
      </c>
      <c r="P184" s="152">
        <v>2</v>
      </c>
      <c r="Q184" s="153">
        <v>78.260000000000005</v>
      </c>
      <c r="R184" s="154">
        <v>9</v>
      </c>
      <c r="S184" s="38">
        <f t="shared" si="23"/>
        <v>0</v>
      </c>
      <c r="T184" s="39">
        <f t="shared" si="24"/>
        <v>7</v>
      </c>
      <c r="U184" s="40">
        <f t="shared" si="25"/>
        <v>3</v>
      </c>
      <c r="V184" s="40">
        <f t="shared" si="26"/>
        <v>0</v>
      </c>
      <c r="W184" s="40">
        <f t="shared" si="27"/>
        <v>0</v>
      </c>
      <c r="X184" s="40">
        <f t="shared" si="28"/>
        <v>3</v>
      </c>
      <c r="Y184" s="40">
        <f t="shared" si="29"/>
        <v>0</v>
      </c>
      <c r="Z184" s="40">
        <f t="shared" si="30"/>
        <v>0</v>
      </c>
      <c r="AA184" s="40">
        <f t="shared" si="31"/>
        <v>0</v>
      </c>
      <c r="AB184" s="40">
        <f t="shared" si="32"/>
        <v>0</v>
      </c>
      <c r="AC184" s="41">
        <f t="shared" si="33"/>
        <v>0</v>
      </c>
      <c r="AD184" s="49"/>
      <c r="AE184" s="50"/>
      <c r="AF184" s="49"/>
      <c r="AG184" s="50"/>
      <c r="AH184" s="49"/>
      <c r="AI184" s="50"/>
      <c r="AJ184" s="49"/>
      <c r="AK184" s="50"/>
      <c r="AL184" s="49"/>
      <c r="AM184" s="50"/>
      <c r="AN184" s="49"/>
      <c r="AO184" s="50"/>
      <c r="AP184" s="49"/>
      <c r="AQ184" s="50"/>
      <c r="AR184" s="49" t="s">
        <v>30</v>
      </c>
      <c r="AS184" s="50" t="s">
        <v>142</v>
      </c>
      <c r="AT184" s="49" t="s">
        <v>5</v>
      </c>
      <c r="AU184" s="50" t="s">
        <v>135</v>
      </c>
      <c r="AV184" s="49" t="s">
        <v>5</v>
      </c>
      <c r="AW184" s="50" t="s">
        <v>105</v>
      </c>
      <c r="AX184" s="49" t="s">
        <v>5</v>
      </c>
      <c r="AY184" s="50" t="s">
        <v>84</v>
      </c>
      <c r="AZ184" s="49" t="s">
        <v>5</v>
      </c>
      <c r="BA184" s="50" t="s">
        <v>92</v>
      </c>
      <c r="BB184" s="49"/>
      <c r="BC184" s="50"/>
      <c r="BD184" s="49"/>
      <c r="BE184" s="50"/>
      <c r="BF184" s="49"/>
      <c r="BG184" s="50"/>
      <c r="BH184" s="49" t="s">
        <v>5</v>
      </c>
      <c r="BI184" s="50" t="s">
        <v>163</v>
      </c>
      <c r="BJ184" s="49" t="s">
        <v>30</v>
      </c>
      <c r="BK184" s="50" t="s">
        <v>711</v>
      </c>
      <c r="BL184" s="49"/>
      <c r="BM184" s="50"/>
      <c r="BN184" s="49" t="s">
        <v>30</v>
      </c>
      <c r="BO184" s="50" t="s">
        <v>741</v>
      </c>
      <c r="BP184" s="49"/>
      <c r="BQ184" s="50"/>
      <c r="BR184" s="49"/>
      <c r="BS184" s="50"/>
      <c r="BT184" s="49" t="s">
        <v>5</v>
      </c>
      <c r="BU184" s="50" t="s">
        <v>108</v>
      </c>
      <c r="BV184" s="49" t="s">
        <v>5</v>
      </c>
      <c r="BW184" s="50" t="s">
        <v>98</v>
      </c>
      <c r="BX184" s="49"/>
      <c r="BY184" s="50"/>
    </row>
    <row r="185" spans="1:77" x14ac:dyDescent="0.25">
      <c r="A185" s="76">
        <v>100355</v>
      </c>
      <c r="B185" s="77" t="s">
        <v>1371</v>
      </c>
      <c r="C185" s="78" t="s">
        <v>1211</v>
      </c>
      <c r="D185" s="76" t="s">
        <v>70</v>
      </c>
      <c r="E185" s="79" t="s">
        <v>14</v>
      </c>
      <c r="F185" s="79" t="s">
        <v>71</v>
      </c>
      <c r="G185" s="79" t="s">
        <v>14</v>
      </c>
      <c r="H185" s="79" t="s">
        <v>14</v>
      </c>
      <c r="I185" s="78" t="s">
        <v>14</v>
      </c>
      <c r="J185" s="79" t="s">
        <v>14</v>
      </c>
      <c r="K185" s="142" t="s">
        <v>1850</v>
      </c>
      <c r="L185" s="149" t="s">
        <v>1842</v>
      </c>
      <c r="M185" s="150" t="s">
        <v>1853</v>
      </c>
      <c r="N185" s="151">
        <v>14</v>
      </c>
      <c r="O185" s="151">
        <v>3</v>
      </c>
      <c r="P185" s="152">
        <v>0</v>
      </c>
      <c r="Q185" s="153">
        <v>97.83</v>
      </c>
      <c r="R185" s="154">
        <v>6</v>
      </c>
      <c r="S185" s="38">
        <f t="shared" si="23"/>
        <v>1</v>
      </c>
      <c r="T185" s="39">
        <f t="shared" si="24"/>
        <v>8</v>
      </c>
      <c r="U185" s="40">
        <f t="shared" si="25"/>
        <v>0</v>
      </c>
      <c r="V185" s="40">
        <f t="shared" si="26"/>
        <v>0</v>
      </c>
      <c r="W185" s="40">
        <f t="shared" si="27"/>
        <v>1</v>
      </c>
      <c r="X185" s="40">
        <f t="shared" si="28"/>
        <v>1</v>
      </c>
      <c r="Y185" s="40">
        <f t="shared" si="29"/>
        <v>0</v>
      </c>
      <c r="Z185" s="40">
        <f t="shared" si="30"/>
        <v>0</v>
      </c>
      <c r="AA185" s="40">
        <f t="shared" si="31"/>
        <v>0</v>
      </c>
      <c r="AB185" s="40">
        <f t="shared" si="32"/>
        <v>0</v>
      </c>
      <c r="AC185" s="41">
        <f t="shared" si="33"/>
        <v>0</v>
      </c>
      <c r="AD185" s="49"/>
      <c r="AE185" s="50"/>
      <c r="AF185" s="49"/>
      <c r="AG185" s="50"/>
      <c r="AH185" s="49"/>
      <c r="AI185" s="50"/>
      <c r="AJ185" s="49"/>
      <c r="AK185" s="50"/>
      <c r="AL185" s="49"/>
      <c r="AM185" s="50"/>
      <c r="AN185" s="49"/>
      <c r="AO185" s="50"/>
      <c r="AP185" s="49"/>
      <c r="AQ185" s="50"/>
      <c r="AR185" s="49" t="s">
        <v>5</v>
      </c>
      <c r="AS185" s="50" t="s">
        <v>102</v>
      </c>
      <c r="AT185" s="49"/>
      <c r="AU185" s="50"/>
      <c r="AV185" s="49" t="s">
        <v>5</v>
      </c>
      <c r="AW185" s="50" t="s">
        <v>105</v>
      </c>
      <c r="AX185" s="49"/>
      <c r="AY185" s="50"/>
      <c r="AZ185" s="49"/>
      <c r="BA185" s="50"/>
      <c r="BB185" s="49"/>
      <c r="BC185" s="50"/>
      <c r="BD185" s="49"/>
      <c r="BE185" s="50"/>
      <c r="BF185" s="49" t="s">
        <v>5</v>
      </c>
      <c r="BG185" s="50" t="s">
        <v>105</v>
      </c>
      <c r="BH185" s="49" t="s">
        <v>5</v>
      </c>
      <c r="BI185" s="50" t="s">
        <v>163</v>
      </c>
      <c r="BJ185" s="49" t="s">
        <v>1</v>
      </c>
      <c r="BK185" s="50" t="s">
        <v>94</v>
      </c>
      <c r="BL185" s="49" t="s">
        <v>5</v>
      </c>
      <c r="BM185" s="50" t="s">
        <v>116</v>
      </c>
      <c r="BN185" s="49" t="s">
        <v>5</v>
      </c>
      <c r="BO185" s="50" t="s">
        <v>152</v>
      </c>
      <c r="BP185" s="49"/>
      <c r="BQ185" s="50"/>
      <c r="BR185" s="49"/>
      <c r="BS185" s="50"/>
      <c r="BT185" s="49" t="s">
        <v>5</v>
      </c>
      <c r="BU185" s="50" t="s">
        <v>82</v>
      </c>
      <c r="BV185" s="49" t="s">
        <v>32</v>
      </c>
      <c r="BW185" s="50" t="s">
        <v>98</v>
      </c>
      <c r="BX185" s="49" t="s">
        <v>5</v>
      </c>
      <c r="BY185" s="50" t="s">
        <v>421</v>
      </c>
    </row>
    <row r="186" spans="1:77" x14ac:dyDescent="0.25">
      <c r="A186" s="76">
        <v>152613</v>
      </c>
      <c r="B186" s="77" t="s">
        <v>1372</v>
      </c>
      <c r="C186" s="78" t="s">
        <v>1188</v>
      </c>
      <c r="D186" s="76" t="s">
        <v>12</v>
      </c>
      <c r="E186" s="79" t="s">
        <v>14</v>
      </c>
      <c r="F186" s="79" t="s">
        <v>71</v>
      </c>
      <c r="G186" s="79" t="s">
        <v>14</v>
      </c>
      <c r="H186" s="79" t="s">
        <v>14</v>
      </c>
      <c r="I186" s="78" t="s">
        <v>14</v>
      </c>
      <c r="J186" s="79" t="s">
        <v>14</v>
      </c>
      <c r="K186" s="142" t="s">
        <v>1850</v>
      </c>
      <c r="L186" s="149" t="s">
        <v>1841</v>
      </c>
      <c r="M186" s="150" t="s">
        <v>1853</v>
      </c>
      <c r="N186" s="151">
        <v>34</v>
      </c>
      <c r="O186" s="151">
        <v>0</v>
      </c>
      <c r="P186" s="152">
        <v>0</v>
      </c>
      <c r="Q186" s="153">
        <v>100</v>
      </c>
      <c r="R186" s="154">
        <v>0</v>
      </c>
      <c r="S186" s="38">
        <f t="shared" si="23"/>
        <v>2</v>
      </c>
      <c r="T186" s="39">
        <f t="shared" si="24"/>
        <v>9</v>
      </c>
      <c r="U186" s="40">
        <f t="shared" si="25"/>
        <v>0</v>
      </c>
      <c r="V186" s="40">
        <f t="shared" si="26"/>
        <v>0</v>
      </c>
      <c r="W186" s="40">
        <f t="shared" si="27"/>
        <v>0</v>
      </c>
      <c r="X186" s="40">
        <f t="shared" si="28"/>
        <v>0</v>
      </c>
      <c r="Y186" s="40">
        <f t="shared" si="29"/>
        <v>0</v>
      </c>
      <c r="Z186" s="40">
        <f t="shared" si="30"/>
        <v>0</v>
      </c>
      <c r="AA186" s="40">
        <f t="shared" si="31"/>
        <v>0</v>
      </c>
      <c r="AB186" s="40">
        <f t="shared" si="32"/>
        <v>0</v>
      </c>
      <c r="AC186" s="41">
        <f t="shared" si="33"/>
        <v>0</v>
      </c>
      <c r="AD186" s="49"/>
      <c r="AE186" s="50"/>
      <c r="AF186" s="49" t="s">
        <v>5</v>
      </c>
      <c r="AG186" s="50" t="s">
        <v>164</v>
      </c>
      <c r="AH186" s="49" t="s">
        <v>5</v>
      </c>
      <c r="AI186" s="50" t="s">
        <v>78</v>
      </c>
      <c r="AJ186" s="49" t="s">
        <v>5</v>
      </c>
      <c r="AK186" s="50" t="s">
        <v>206</v>
      </c>
      <c r="AL186" s="49"/>
      <c r="AM186" s="50"/>
      <c r="AN186" s="49"/>
      <c r="AO186" s="50"/>
      <c r="AP186" s="49"/>
      <c r="AQ186" s="50"/>
      <c r="AR186" s="49" t="s">
        <v>5</v>
      </c>
      <c r="AS186" s="50" t="s">
        <v>91</v>
      </c>
      <c r="AT186" s="49"/>
      <c r="AU186" s="50"/>
      <c r="AV186" s="49" t="s">
        <v>1</v>
      </c>
      <c r="AW186" s="50" t="s">
        <v>430</v>
      </c>
      <c r="AX186" s="49" t="s">
        <v>5</v>
      </c>
      <c r="AY186" s="50" t="s">
        <v>84</v>
      </c>
      <c r="AZ186" s="49"/>
      <c r="BA186" s="50"/>
      <c r="BB186" s="49"/>
      <c r="BC186" s="50"/>
      <c r="BD186" s="49"/>
      <c r="BE186" s="50"/>
      <c r="BF186" s="49"/>
      <c r="BG186" s="50"/>
      <c r="BH186" s="49" t="s">
        <v>5</v>
      </c>
      <c r="BI186" s="50" t="s">
        <v>1184</v>
      </c>
      <c r="BJ186" s="49" t="s">
        <v>5</v>
      </c>
      <c r="BK186" s="50" t="s">
        <v>106</v>
      </c>
      <c r="BL186" s="49"/>
      <c r="BM186" s="50"/>
      <c r="BN186" s="49" t="s">
        <v>1</v>
      </c>
      <c r="BO186" s="50" t="s">
        <v>741</v>
      </c>
      <c r="BP186" s="49"/>
      <c r="BQ186" s="50"/>
      <c r="BR186" s="49" t="s">
        <v>5</v>
      </c>
      <c r="BS186" s="50" t="s">
        <v>123</v>
      </c>
      <c r="BT186" s="49" t="s">
        <v>5</v>
      </c>
      <c r="BU186" s="50" t="s">
        <v>97</v>
      </c>
      <c r="BV186" s="49"/>
      <c r="BW186" s="50"/>
      <c r="BX186" s="49"/>
      <c r="BY186" s="50"/>
    </row>
    <row r="187" spans="1:77" x14ac:dyDescent="0.25">
      <c r="A187" s="76">
        <v>152629</v>
      </c>
      <c r="B187" s="77" t="s">
        <v>1373</v>
      </c>
      <c r="C187" s="78" t="s">
        <v>1188</v>
      </c>
      <c r="D187" s="76" t="s">
        <v>12</v>
      </c>
      <c r="E187" s="79" t="s">
        <v>14</v>
      </c>
      <c r="F187" s="79" t="s">
        <v>71</v>
      </c>
      <c r="G187" s="79" t="s">
        <v>14</v>
      </c>
      <c r="H187" s="79" t="s">
        <v>14</v>
      </c>
      <c r="I187" s="78" t="s">
        <v>14</v>
      </c>
      <c r="J187" s="79" t="s">
        <v>14</v>
      </c>
      <c r="K187" s="142" t="s">
        <v>1850</v>
      </c>
      <c r="L187" s="149" t="s">
        <v>1841</v>
      </c>
      <c r="M187" s="150" t="s">
        <v>1853</v>
      </c>
      <c r="N187" s="151">
        <v>31</v>
      </c>
      <c r="O187" s="151">
        <v>0</v>
      </c>
      <c r="P187" s="152">
        <v>0</v>
      </c>
      <c r="Q187" s="153">
        <v>97.83</v>
      </c>
      <c r="R187" s="154">
        <v>0</v>
      </c>
      <c r="S187" s="38">
        <f t="shared" si="23"/>
        <v>3</v>
      </c>
      <c r="T187" s="39">
        <f t="shared" si="24"/>
        <v>8</v>
      </c>
      <c r="U187" s="40">
        <f t="shared" si="25"/>
        <v>0</v>
      </c>
      <c r="V187" s="40">
        <f t="shared" si="26"/>
        <v>0</v>
      </c>
      <c r="W187" s="40">
        <f t="shared" si="27"/>
        <v>0</v>
      </c>
      <c r="X187" s="40">
        <f t="shared" si="28"/>
        <v>0</v>
      </c>
      <c r="Y187" s="40">
        <f t="shared" si="29"/>
        <v>0</v>
      </c>
      <c r="Z187" s="40">
        <f t="shared" si="30"/>
        <v>0</v>
      </c>
      <c r="AA187" s="40">
        <f t="shared" si="31"/>
        <v>0</v>
      </c>
      <c r="AB187" s="40">
        <f t="shared" si="32"/>
        <v>0</v>
      </c>
      <c r="AC187" s="41">
        <f t="shared" si="33"/>
        <v>0</v>
      </c>
      <c r="AD187" s="49"/>
      <c r="AE187" s="50"/>
      <c r="AF187" s="49" t="s">
        <v>1</v>
      </c>
      <c r="AG187" s="50" t="s">
        <v>154</v>
      </c>
      <c r="AH187" s="49"/>
      <c r="AI187" s="50"/>
      <c r="AJ187" s="49" t="s">
        <v>5</v>
      </c>
      <c r="AK187" s="50" t="s">
        <v>137</v>
      </c>
      <c r="AL187" s="49"/>
      <c r="AM187" s="50"/>
      <c r="AN187" s="49"/>
      <c r="AO187" s="50"/>
      <c r="AP187" s="49"/>
      <c r="AQ187" s="50"/>
      <c r="AR187" s="49" t="s">
        <v>5</v>
      </c>
      <c r="AS187" s="50" t="s">
        <v>194</v>
      </c>
      <c r="AT187" s="49"/>
      <c r="AU187" s="50"/>
      <c r="AV187" s="49" t="s">
        <v>1</v>
      </c>
      <c r="AW187" s="50" t="s">
        <v>430</v>
      </c>
      <c r="AX187" s="49" t="s">
        <v>5</v>
      </c>
      <c r="AY187" s="50" t="s">
        <v>130</v>
      </c>
      <c r="AZ187" s="49" t="s">
        <v>5</v>
      </c>
      <c r="BA187" s="50" t="s">
        <v>92</v>
      </c>
      <c r="BB187" s="49"/>
      <c r="BC187" s="50"/>
      <c r="BD187" s="49"/>
      <c r="BE187" s="50"/>
      <c r="BF187" s="49"/>
      <c r="BG187" s="50"/>
      <c r="BH187" s="49" t="s">
        <v>5</v>
      </c>
      <c r="BI187" s="50" t="s">
        <v>1184</v>
      </c>
      <c r="BJ187" s="49" t="s">
        <v>5</v>
      </c>
      <c r="BK187" s="50" t="s">
        <v>106</v>
      </c>
      <c r="BL187" s="49"/>
      <c r="BM187" s="50"/>
      <c r="BN187" s="49" t="s">
        <v>5</v>
      </c>
      <c r="BO187" s="50" t="s">
        <v>107</v>
      </c>
      <c r="BP187" s="49"/>
      <c r="BQ187" s="50"/>
      <c r="BR187" s="49" t="s">
        <v>1</v>
      </c>
      <c r="BS187" s="50" t="s">
        <v>98</v>
      </c>
      <c r="BT187" s="49" t="s">
        <v>5</v>
      </c>
      <c r="BU187" s="50" t="s">
        <v>97</v>
      </c>
      <c r="BV187" s="49"/>
      <c r="BW187" s="50"/>
      <c r="BX187" s="49"/>
      <c r="BY187" s="50"/>
    </row>
    <row r="188" spans="1:77" x14ac:dyDescent="0.25">
      <c r="A188" s="76">
        <v>152726</v>
      </c>
      <c r="B188" s="77" t="s">
        <v>1374</v>
      </c>
      <c r="C188" s="78" t="s">
        <v>1181</v>
      </c>
      <c r="D188" s="76" t="s">
        <v>12</v>
      </c>
      <c r="E188" s="79" t="s">
        <v>14</v>
      </c>
      <c r="F188" s="79" t="s">
        <v>71</v>
      </c>
      <c r="G188" s="79" t="s">
        <v>14</v>
      </c>
      <c r="H188" s="79" t="s">
        <v>14</v>
      </c>
      <c r="I188" s="78" t="s">
        <v>14</v>
      </c>
      <c r="J188" s="79" t="s">
        <v>4</v>
      </c>
      <c r="K188" s="142" t="s">
        <v>1850</v>
      </c>
      <c r="L188" s="149" t="s">
        <v>1849</v>
      </c>
      <c r="M188" s="150" t="s">
        <v>1852</v>
      </c>
      <c r="N188" s="151">
        <v>12</v>
      </c>
      <c r="O188" s="151">
        <v>0</v>
      </c>
      <c r="P188" s="152">
        <v>0</v>
      </c>
      <c r="Q188" s="153">
        <v>97.83</v>
      </c>
      <c r="R188" s="154">
        <v>1</v>
      </c>
      <c r="S188" s="38">
        <f t="shared" si="23"/>
        <v>3</v>
      </c>
      <c r="T188" s="39">
        <f t="shared" si="24"/>
        <v>5</v>
      </c>
      <c r="U188" s="40">
        <f t="shared" si="25"/>
        <v>0</v>
      </c>
      <c r="V188" s="40">
        <f t="shared" si="26"/>
        <v>0</v>
      </c>
      <c r="W188" s="40">
        <f t="shared" si="27"/>
        <v>0</v>
      </c>
      <c r="X188" s="40">
        <f t="shared" si="28"/>
        <v>0</v>
      </c>
      <c r="Y188" s="40">
        <f t="shared" si="29"/>
        <v>0</v>
      </c>
      <c r="Z188" s="40">
        <f t="shared" si="30"/>
        <v>0</v>
      </c>
      <c r="AA188" s="40">
        <f t="shared" si="31"/>
        <v>0</v>
      </c>
      <c r="AB188" s="40">
        <f t="shared" si="32"/>
        <v>0</v>
      </c>
      <c r="AC188" s="41">
        <f t="shared" si="33"/>
        <v>0</v>
      </c>
      <c r="AD188" s="49" t="s">
        <v>1</v>
      </c>
      <c r="AE188" s="50" t="s">
        <v>72</v>
      </c>
      <c r="AF188" s="49"/>
      <c r="AG188" s="50"/>
      <c r="AH188" s="49"/>
      <c r="AI188" s="50"/>
      <c r="AJ188" s="49"/>
      <c r="AK188" s="50"/>
      <c r="AL188" s="49"/>
      <c r="AM188" s="50"/>
      <c r="AN188" s="49"/>
      <c r="AO188" s="50"/>
      <c r="AP188" s="49"/>
      <c r="AQ188" s="50"/>
      <c r="AR188" s="49" t="s">
        <v>5</v>
      </c>
      <c r="AS188" s="50" t="s">
        <v>74</v>
      </c>
      <c r="AT188" s="49"/>
      <c r="AU188" s="50"/>
      <c r="AV188" s="49" t="s">
        <v>5</v>
      </c>
      <c r="AW188" s="50" t="s">
        <v>73</v>
      </c>
      <c r="AX188" s="49"/>
      <c r="AY188" s="50"/>
      <c r="AZ188" s="49"/>
      <c r="BA188" s="50"/>
      <c r="BB188" s="49"/>
      <c r="BC188" s="50"/>
      <c r="BD188" s="49"/>
      <c r="BE188" s="50"/>
      <c r="BF188" s="49"/>
      <c r="BG188" s="50"/>
      <c r="BH188" s="49" t="s">
        <v>5</v>
      </c>
      <c r="BI188" s="50" t="s">
        <v>163</v>
      </c>
      <c r="BJ188" s="49" t="s">
        <v>5</v>
      </c>
      <c r="BK188" s="50" t="s">
        <v>79</v>
      </c>
      <c r="BL188" s="49"/>
      <c r="BM188" s="50"/>
      <c r="BN188" s="49" t="s">
        <v>1</v>
      </c>
      <c r="BO188" s="50" t="s">
        <v>741</v>
      </c>
      <c r="BP188" s="49"/>
      <c r="BQ188" s="50"/>
      <c r="BR188" s="49"/>
      <c r="BS188" s="50"/>
      <c r="BT188" s="49" t="s">
        <v>5</v>
      </c>
      <c r="BU188" s="50" t="s">
        <v>457</v>
      </c>
      <c r="BV188" s="49" t="s">
        <v>1</v>
      </c>
      <c r="BW188" s="50" t="s">
        <v>109</v>
      </c>
      <c r="BX188" s="49"/>
      <c r="BY188" s="50"/>
    </row>
    <row r="189" spans="1:77" x14ac:dyDescent="0.25">
      <c r="A189" s="76">
        <v>152605</v>
      </c>
      <c r="B189" s="77" t="s">
        <v>1375</v>
      </c>
      <c r="C189" s="78" t="s">
        <v>1186</v>
      </c>
      <c r="D189" s="76" t="s">
        <v>70</v>
      </c>
      <c r="E189" s="79" t="s">
        <v>87</v>
      </c>
      <c r="F189" s="79" t="s">
        <v>88</v>
      </c>
      <c r="G189" s="79" t="s">
        <v>87</v>
      </c>
      <c r="H189" s="79" t="s">
        <v>87</v>
      </c>
      <c r="I189" s="78" t="s">
        <v>14</v>
      </c>
      <c r="J189" s="79" t="s">
        <v>14</v>
      </c>
      <c r="K189" s="142" t="s">
        <v>1850</v>
      </c>
      <c r="L189" s="149" t="s">
        <v>1848</v>
      </c>
      <c r="M189" s="150" t="s">
        <v>1852</v>
      </c>
      <c r="N189" s="151">
        <v>23</v>
      </c>
      <c r="O189" s="151">
        <v>0</v>
      </c>
      <c r="P189" s="152">
        <v>0</v>
      </c>
      <c r="Q189" s="153">
        <v>100</v>
      </c>
      <c r="R189" s="154">
        <v>0</v>
      </c>
      <c r="S189" s="38">
        <f t="shared" si="23"/>
        <v>2</v>
      </c>
      <c r="T189" s="39">
        <f t="shared" si="24"/>
        <v>8</v>
      </c>
      <c r="U189" s="40">
        <f t="shared" si="25"/>
        <v>0</v>
      </c>
      <c r="V189" s="40">
        <f t="shared" si="26"/>
        <v>0</v>
      </c>
      <c r="W189" s="40">
        <f t="shared" si="27"/>
        <v>0</v>
      </c>
      <c r="X189" s="40">
        <f t="shared" si="28"/>
        <v>0</v>
      </c>
      <c r="Y189" s="40">
        <f t="shared" si="29"/>
        <v>0</v>
      </c>
      <c r="Z189" s="40">
        <f t="shared" si="30"/>
        <v>0</v>
      </c>
      <c r="AA189" s="40">
        <f t="shared" si="31"/>
        <v>0</v>
      </c>
      <c r="AB189" s="40">
        <f t="shared" si="32"/>
        <v>0</v>
      </c>
      <c r="AC189" s="41">
        <f t="shared" si="33"/>
        <v>0</v>
      </c>
      <c r="AD189" s="49"/>
      <c r="AE189" s="50"/>
      <c r="AF189" s="49"/>
      <c r="AG189" s="50"/>
      <c r="AH189" s="49" t="s">
        <v>1</v>
      </c>
      <c r="AI189" s="50" t="s">
        <v>78</v>
      </c>
      <c r="AJ189" s="49"/>
      <c r="AK189" s="50"/>
      <c r="AL189" s="49"/>
      <c r="AM189" s="50"/>
      <c r="AN189" s="49"/>
      <c r="AO189" s="50"/>
      <c r="AP189" s="49" t="s">
        <v>5</v>
      </c>
      <c r="AQ189" s="50" t="s">
        <v>142</v>
      </c>
      <c r="AR189" s="49" t="s">
        <v>5</v>
      </c>
      <c r="AS189" s="50" t="s">
        <v>142</v>
      </c>
      <c r="AT189" s="49"/>
      <c r="AU189" s="50"/>
      <c r="AV189" s="49" t="s">
        <v>5</v>
      </c>
      <c r="AW189" s="50" t="s">
        <v>83</v>
      </c>
      <c r="AX189" s="49"/>
      <c r="AY189" s="50"/>
      <c r="AZ189" s="49"/>
      <c r="BA189" s="50"/>
      <c r="BB189" s="49"/>
      <c r="BC189" s="50"/>
      <c r="BD189" s="49"/>
      <c r="BE189" s="50"/>
      <c r="BF189" s="49"/>
      <c r="BG189" s="50"/>
      <c r="BH189" s="49" t="s">
        <v>5</v>
      </c>
      <c r="BI189" s="50" t="s">
        <v>78</v>
      </c>
      <c r="BJ189" s="49" t="s">
        <v>5</v>
      </c>
      <c r="BK189" s="50" t="s">
        <v>711</v>
      </c>
      <c r="BL189" s="49"/>
      <c r="BM189" s="50"/>
      <c r="BN189" s="49" t="s">
        <v>5</v>
      </c>
      <c r="BO189" s="50" t="s">
        <v>152</v>
      </c>
      <c r="BP189" s="49"/>
      <c r="BQ189" s="50"/>
      <c r="BR189" s="49"/>
      <c r="BS189" s="50"/>
      <c r="BT189" s="49" t="s">
        <v>5</v>
      </c>
      <c r="BU189" s="50" t="s">
        <v>457</v>
      </c>
      <c r="BV189" s="49" t="s">
        <v>1</v>
      </c>
      <c r="BW189" s="50" t="s">
        <v>109</v>
      </c>
      <c r="BX189" s="49" t="s">
        <v>5</v>
      </c>
      <c r="BY189" s="50" t="s">
        <v>75</v>
      </c>
    </row>
    <row r="190" spans="1:77" x14ac:dyDescent="0.25">
      <c r="A190" s="76">
        <v>152671</v>
      </c>
      <c r="B190" s="77" t="s">
        <v>1376</v>
      </c>
      <c r="C190" s="78" t="s">
        <v>1183</v>
      </c>
      <c r="D190" s="76" t="s">
        <v>70</v>
      </c>
      <c r="E190" s="79" t="s">
        <v>87</v>
      </c>
      <c r="F190" s="79" t="s">
        <v>88</v>
      </c>
      <c r="G190" s="79" t="s">
        <v>87</v>
      </c>
      <c r="H190" s="79" t="s">
        <v>87</v>
      </c>
      <c r="I190" s="78" t="s">
        <v>14</v>
      </c>
      <c r="J190" s="79" t="s">
        <v>14</v>
      </c>
      <c r="K190" s="142" t="s">
        <v>1850</v>
      </c>
      <c r="L190" s="149" t="s">
        <v>1845</v>
      </c>
      <c r="M190" s="150" t="s">
        <v>1852</v>
      </c>
      <c r="N190" s="151">
        <v>14</v>
      </c>
      <c r="O190" s="151">
        <v>0</v>
      </c>
      <c r="P190" s="152">
        <v>1</v>
      </c>
      <c r="Q190" s="153">
        <v>95.65</v>
      </c>
      <c r="R190" s="154">
        <v>1</v>
      </c>
      <c r="S190" s="38">
        <f t="shared" si="23"/>
        <v>2</v>
      </c>
      <c r="T190" s="39">
        <f t="shared" si="24"/>
        <v>9</v>
      </c>
      <c r="U190" s="40">
        <f t="shared" si="25"/>
        <v>0</v>
      </c>
      <c r="V190" s="40">
        <f t="shared" si="26"/>
        <v>0</v>
      </c>
      <c r="W190" s="40">
        <f t="shared" si="27"/>
        <v>0</v>
      </c>
      <c r="X190" s="40">
        <f t="shared" si="28"/>
        <v>0</v>
      </c>
      <c r="Y190" s="40">
        <f t="shared" si="29"/>
        <v>0</v>
      </c>
      <c r="Z190" s="40">
        <f t="shared" si="30"/>
        <v>0</v>
      </c>
      <c r="AA190" s="40">
        <f t="shared" si="31"/>
        <v>0</v>
      </c>
      <c r="AB190" s="40">
        <f t="shared" si="32"/>
        <v>0</v>
      </c>
      <c r="AC190" s="41">
        <f t="shared" si="33"/>
        <v>0</v>
      </c>
      <c r="AD190" s="49" t="s">
        <v>5</v>
      </c>
      <c r="AE190" s="50" t="s">
        <v>72</v>
      </c>
      <c r="AF190" s="49" t="s">
        <v>5</v>
      </c>
      <c r="AG190" s="50" t="s">
        <v>164</v>
      </c>
      <c r="AH190" s="49"/>
      <c r="AI190" s="50"/>
      <c r="AJ190" s="49" t="s">
        <v>5</v>
      </c>
      <c r="AK190" s="50" t="s">
        <v>419</v>
      </c>
      <c r="AL190" s="49"/>
      <c r="AM190" s="50"/>
      <c r="AN190" s="49"/>
      <c r="AO190" s="50"/>
      <c r="AP190" s="49"/>
      <c r="AQ190" s="50"/>
      <c r="AR190" s="49" t="s">
        <v>5</v>
      </c>
      <c r="AS190" s="50" t="s">
        <v>151</v>
      </c>
      <c r="AT190" s="49"/>
      <c r="AU190" s="50"/>
      <c r="AV190" s="49" t="s">
        <v>1</v>
      </c>
      <c r="AW190" s="50" t="s">
        <v>436</v>
      </c>
      <c r="AX190" s="49"/>
      <c r="AY190" s="50"/>
      <c r="AZ190" s="49"/>
      <c r="BA190" s="50"/>
      <c r="BB190" s="49"/>
      <c r="BC190" s="50"/>
      <c r="BD190" s="49"/>
      <c r="BE190" s="50"/>
      <c r="BF190" s="49"/>
      <c r="BG190" s="50"/>
      <c r="BH190" s="49" t="s">
        <v>5</v>
      </c>
      <c r="BI190" s="50" t="s">
        <v>1184</v>
      </c>
      <c r="BJ190" s="49" t="s">
        <v>5</v>
      </c>
      <c r="BK190" s="50" t="s">
        <v>995</v>
      </c>
      <c r="BL190" s="49"/>
      <c r="BM190" s="50"/>
      <c r="BN190" s="49" t="s">
        <v>5</v>
      </c>
      <c r="BO190" s="50" t="s">
        <v>152</v>
      </c>
      <c r="BP190" s="49"/>
      <c r="BQ190" s="50"/>
      <c r="BR190" s="49" t="s">
        <v>1</v>
      </c>
      <c r="BS190" s="50" t="s">
        <v>170</v>
      </c>
      <c r="BT190" s="49" t="s">
        <v>5</v>
      </c>
      <c r="BU190" s="50" t="s">
        <v>82</v>
      </c>
      <c r="BV190" s="49"/>
      <c r="BW190" s="50"/>
      <c r="BX190" s="49" t="s">
        <v>5</v>
      </c>
      <c r="BY190" s="50" t="s">
        <v>103</v>
      </c>
    </row>
    <row r="191" spans="1:77" x14ac:dyDescent="0.25">
      <c r="A191" s="76">
        <v>152679</v>
      </c>
      <c r="B191" s="77" t="s">
        <v>1377</v>
      </c>
      <c r="C191" s="78" t="s">
        <v>1186</v>
      </c>
      <c r="D191" s="76" t="s">
        <v>70</v>
      </c>
      <c r="E191" s="79" t="s">
        <v>87</v>
      </c>
      <c r="F191" s="79" t="s">
        <v>503</v>
      </c>
      <c r="G191" s="79" t="s">
        <v>14</v>
      </c>
      <c r="H191" s="79" t="s">
        <v>87</v>
      </c>
      <c r="I191" s="78" t="s">
        <v>14</v>
      </c>
      <c r="J191" s="79" t="s">
        <v>14</v>
      </c>
      <c r="K191" s="142" t="s">
        <v>1850</v>
      </c>
      <c r="L191" s="149" t="s">
        <v>1844</v>
      </c>
      <c r="M191" s="150" t="s">
        <v>12</v>
      </c>
      <c r="N191" s="151">
        <v>21</v>
      </c>
      <c r="O191" s="151">
        <v>0</v>
      </c>
      <c r="P191" s="152">
        <v>0</v>
      </c>
      <c r="Q191" s="153">
        <v>91.3</v>
      </c>
      <c r="R191" s="154">
        <v>0</v>
      </c>
      <c r="S191" s="38">
        <f t="shared" si="23"/>
        <v>1</v>
      </c>
      <c r="T191" s="39">
        <f t="shared" si="24"/>
        <v>10</v>
      </c>
      <c r="U191" s="40">
        <f t="shared" si="25"/>
        <v>0</v>
      </c>
      <c r="V191" s="40">
        <f t="shared" si="26"/>
        <v>0</v>
      </c>
      <c r="W191" s="40">
        <f t="shared" si="27"/>
        <v>0</v>
      </c>
      <c r="X191" s="40">
        <f t="shared" si="28"/>
        <v>0</v>
      </c>
      <c r="Y191" s="40">
        <f t="shared" si="29"/>
        <v>0</v>
      </c>
      <c r="Z191" s="40">
        <f t="shared" si="30"/>
        <v>0</v>
      </c>
      <c r="AA191" s="40">
        <f t="shared" si="31"/>
        <v>0</v>
      </c>
      <c r="AB191" s="40">
        <f t="shared" si="32"/>
        <v>0</v>
      </c>
      <c r="AC191" s="41">
        <f t="shared" si="33"/>
        <v>0</v>
      </c>
      <c r="AD191" s="49"/>
      <c r="AE191" s="50"/>
      <c r="AF191" s="49" t="s">
        <v>5</v>
      </c>
      <c r="AG191" s="50" t="s">
        <v>164</v>
      </c>
      <c r="AH191" s="49"/>
      <c r="AI191" s="50"/>
      <c r="AJ191" s="49" t="s">
        <v>5</v>
      </c>
      <c r="AK191" s="50" t="s">
        <v>206</v>
      </c>
      <c r="AL191" s="49"/>
      <c r="AM191" s="50"/>
      <c r="AN191" s="49"/>
      <c r="AO191" s="50"/>
      <c r="AP191" s="49"/>
      <c r="AQ191" s="50"/>
      <c r="AR191" s="49" t="s">
        <v>1</v>
      </c>
      <c r="AS191" s="50" t="s">
        <v>448</v>
      </c>
      <c r="AT191" s="49"/>
      <c r="AU191" s="50"/>
      <c r="AV191" s="49" t="s">
        <v>5</v>
      </c>
      <c r="AW191" s="50" t="s">
        <v>83</v>
      </c>
      <c r="AX191" s="49"/>
      <c r="AY191" s="50"/>
      <c r="AZ191" s="49"/>
      <c r="BA191" s="50"/>
      <c r="BB191" s="49" t="s">
        <v>5</v>
      </c>
      <c r="BC191" s="50" t="s">
        <v>436</v>
      </c>
      <c r="BD191" s="49"/>
      <c r="BE191" s="50"/>
      <c r="BF191" s="49"/>
      <c r="BG191" s="50"/>
      <c r="BH191" s="49" t="s">
        <v>5</v>
      </c>
      <c r="BI191" s="50" t="s">
        <v>78</v>
      </c>
      <c r="BJ191" s="49" t="s">
        <v>5</v>
      </c>
      <c r="BK191" s="50" t="s">
        <v>422</v>
      </c>
      <c r="BL191" s="49"/>
      <c r="BM191" s="50"/>
      <c r="BN191" s="49" t="s">
        <v>5</v>
      </c>
      <c r="BO191" s="50" t="s">
        <v>121</v>
      </c>
      <c r="BP191" s="49"/>
      <c r="BQ191" s="50"/>
      <c r="BR191" s="49" t="s">
        <v>5</v>
      </c>
      <c r="BS191" s="50" t="s">
        <v>123</v>
      </c>
      <c r="BT191" s="49" t="s">
        <v>5</v>
      </c>
      <c r="BU191" s="50" t="s">
        <v>82</v>
      </c>
      <c r="BV191" s="49"/>
      <c r="BW191" s="50"/>
      <c r="BX191" s="49" t="s">
        <v>5</v>
      </c>
      <c r="BY191" s="50" t="s">
        <v>130</v>
      </c>
    </row>
    <row r="192" spans="1:77" x14ac:dyDescent="0.25">
      <c r="A192" s="76">
        <v>152676</v>
      </c>
      <c r="B192" s="77" t="s">
        <v>1378</v>
      </c>
      <c r="C192" s="78" t="s">
        <v>1181</v>
      </c>
      <c r="D192" s="76" t="s">
        <v>12</v>
      </c>
      <c r="E192" s="79" t="s">
        <v>14</v>
      </c>
      <c r="F192" s="79" t="s">
        <v>88</v>
      </c>
      <c r="G192" s="79" t="s">
        <v>87</v>
      </c>
      <c r="H192" s="79" t="s">
        <v>14</v>
      </c>
      <c r="I192" s="78" t="s">
        <v>14</v>
      </c>
      <c r="J192" s="79" t="s">
        <v>14</v>
      </c>
      <c r="K192" s="142" t="s">
        <v>1850</v>
      </c>
      <c r="L192" s="149" t="s">
        <v>1844</v>
      </c>
      <c r="M192" s="150" t="s">
        <v>12</v>
      </c>
      <c r="N192" s="151">
        <v>15</v>
      </c>
      <c r="O192" s="151">
        <v>0</v>
      </c>
      <c r="P192" s="152">
        <v>0</v>
      </c>
      <c r="Q192" s="153">
        <v>95.65</v>
      </c>
      <c r="R192" s="154">
        <v>0</v>
      </c>
      <c r="S192" s="38">
        <f t="shared" si="23"/>
        <v>0</v>
      </c>
      <c r="T192" s="39">
        <f t="shared" si="24"/>
        <v>10</v>
      </c>
      <c r="U192" s="40">
        <f t="shared" si="25"/>
        <v>0</v>
      </c>
      <c r="V192" s="40">
        <f t="shared" si="26"/>
        <v>0</v>
      </c>
      <c r="W192" s="40">
        <f t="shared" si="27"/>
        <v>0</v>
      </c>
      <c r="X192" s="40">
        <f t="shared" si="28"/>
        <v>0</v>
      </c>
      <c r="Y192" s="40">
        <f t="shared" si="29"/>
        <v>0</v>
      </c>
      <c r="Z192" s="40">
        <f t="shared" si="30"/>
        <v>0</v>
      </c>
      <c r="AA192" s="40">
        <f t="shared" si="31"/>
        <v>0</v>
      </c>
      <c r="AB192" s="40">
        <f t="shared" si="32"/>
        <v>0</v>
      </c>
      <c r="AC192" s="41">
        <f t="shared" si="33"/>
        <v>0</v>
      </c>
      <c r="AD192" s="49"/>
      <c r="AE192" s="50"/>
      <c r="AF192" s="49"/>
      <c r="AG192" s="50"/>
      <c r="AH192" s="49"/>
      <c r="AI192" s="50"/>
      <c r="AJ192" s="49"/>
      <c r="AK192" s="50"/>
      <c r="AL192" s="49"/>
      <c r="AM192" s="50"/>
      <c r="AN192" s="49" t="s">
        <v>5</v>
      </c>
      <c r="AO192" s="50" t="s">
        <v>117</v>
      </c>
      <c r="AP192" s="49"/>
      <c r="AQ192" s="50"/>
      <c r="AR192" s="49" t="s">
        <v>5</v>
      </c>
      <c r="AS192" s="50" t="s">
        <v>151</v>
      </c>
      <c r="AT192" s="49"/>
      <c r="AU192" s="50"/>
      <c r="AV192" s="49" t="s">
        <v>5</v>
      </c>
      <c r="AW192" s="50" t="s">
        <v>104</v>
      </c>
      <c r="AX192" s="49" t="s">
        <v>5</v>
      </c>
      <c r="AY192" s="50" t="s">
        <v>84</v>
      </c>
      <c r="AZ192" s="49"/>
      <c r="BA192" s="50"/>
      <c r="BB192" s="49"/>
      <c r="BC192" s="50"/>
      <c r="BD192" s="49"/>
      <c r="BE192" s="50"/>
      <c r="BF192" s="49"/>
      <c r="BG192" s="50"/>
      <c r="BH192" s="49" t="s">
        <v>5</v>
      </c>
      <c r="BI192" s="50" t="s">
        <v>1184</v>
      </c>
      <c r="BJ192" s="49" t="s">
        <v>5</v>
      </c>
      <c r="BK192" s="50" t="s">
        <v>995</v>
      </c>
      <c r="BL192" s="49"/>
      <c r="BM192" s="50"/>
      <c r="BN192" s="49" t="s">
        <v>5</v>
      </c>
      <c r="BO192" s="50" t="s">
        <v>741</v>
      </c>
      <c r="BP192" s="49" t="s">
        <v>5</v>
      </c>
      <c r="BQ192" s="50" t="s">
        <v>81</v>
      </c>
      <c r="BR192" s="49"/>
      <c r="BS192" s="50"/>
      <c r="BT192" s="49" t="s">
        <v>5</v>
      </c>
      <c r="BU192" s="50" t="s">
        <v>457</v>
      </c>
      <c r="BV192" s="49" t="s">
        <v>5</v>
      </c>
      <c r="BW192" s="50" t="s">
        <v>98</v>
      </c>
      <c r="BX192" s="49"/>
      <c r="BY192" s="50"/>
    </row>
    <row r="193" spans="1:77" x14ac:dyDescent="0.25">
      <c r="A193" s="76">
        <v>152621</v>
      </c>
      <c r="B193" s="77" t="s">
        <v>1379</v>
      </c>
      <c r="C193" s="78" t="s">
        <v>1193</v>
      </c>
      <c r="D193" s="76" t="s">
        <v>12</v>
      </c>
      <c r="E193" s="79" t="s">
        <v>14</v>
      </c>
      <c r="F193" s="77" t="s">
        <v>150</v>
      </c>
      <c r="G193" s="79" t="s">
        <v>87</v>
      </c>
      <c r="H193" s="79" t="s">
        <v>14</v>
      </c>
      <c r="I193" s="78" t="s">
        <v>14</v>
      </c>
      <c r="J193" s="79" t="s">
        <v>14</v>
      </c>
      <c r="K193" s="142" t="s">
        <v>1850</v>
      </c>
      <c r="L193" s="149" t="s">
        <v>1842</v>
      </c>
      <c r="M193" s="150" t="s">
        <v>1853</v>
      </c>
      <c r="N193" s="151">
        <v>24</v>
      </c>
      <c r="O193" s="151">
        <v>0</v>
      </c>
      <c r="P193" s="152">
        <v>0</v>
      </c>
      <c r="Q193" s="153">
        <v>100</v>
      </c>
      <c r="R193" s="154">
        <v>0</v>
      </c>
      <c r="S193" s="38">
        <f t="shared" si="23"/>
        <v>1</v>
      </c>
      <c r="T193" s="39">
        <f t="shared" si="24"/>
        <v>9</v>
      </c>
      <c r="U193" s="40">
        <f t="shared" si="25"/>
        <v>0</v>
      </c>
      <c r="V193" s="40">
        <f t="shared" si="26"/>
        <v>0</v>
      </c>
      <c r="W193" s="40">
        <f t="shared" si="27"/>
        <v>0</v>
      </c>
      <c r="X193" s="40">
        <f t="shared" si="28"/>
        <v>0</v>
      </c>
      <c r="Y193" s="40">
        <f t="shared" si="29"/>
        <v>0</v>
      </c>
      <c r="Z193" s="40">
        <f t="shared" si="30"/>
        <v>0</v>
      </c>
      <c r="AA193" s="40">
        <f t="shared" si="31"/>
        <v>0</v>
      </c>
      <c r="AB193" s="40">
        <f t="shared" si="32"/>
        <v>0</v>
      </c>
      <c r="AC193" s="41">
        <f t="shared" si="33"/>
        <v>0</v>
      </c>
      <c r="AD193" s="49"/>
      <c r="AE193" s="50"/>
      <c r="AF193" s="49"/>
      <c r="AG193" s="50"/>
      <c r="AH193" s="49"/>
      <c r="AI193" s="50"/>
      <c r="AJ193" s="49"/>
      <c r="AK193" s="50"/>
      <c r="AL193" s="49"/>
      <c r="AM193" s="50"/>
      <c r="AN193" s="49" t="s">
        <v>5</v>
      </c>
      <c r="AO193" s="50" t="s">
        <v>117</v>
      </c>
      <c r="AP193" s="49"/>
      <c r="AQ193" s="50"/>
      <c r="AR193" s="49" t="s">
        <v>5</v>
      </c>
      <c r="AS193" s="50" t="s">
        <v>722</v>
      </c>
      <c r="AT193" s="49"/>
      <c r="AU193" s="50"/>
      <c r="AV193" s="49" t="s">
        <v>5</v>
      </c>
      <c r="AW193" s="50" t="s">
        <v>82</v>
      </c>
      <c r="AX193" s="49" t="s">
        <v>5</v>
      </c>
      <c r="AY193" s="50" t="s">
        <v>130</v>
      </c>
      <c r="AZ193" s="49"/>
      <c r="BA193" s="50"/>
      <c r="BB193" s="49"/>
      <c r="BC193" s="50"/>
      <c r="BD193" s="49"/>
      <c r="BE193" s="50"/>
      <c r="BF193" s="49" t="s">
        <v>5</v>
      </c>
      <c r="BG193" s="50" t="s">
        <v>105</v>
      </c>
      <c r="BH193" s="49" t="s">
        <v>1</v>
      </c>
      <c r="BI193" s="50" t="s">
        <v>105</v>
      </c>
      <c r="BJ193" s="49" t="s">
        <v>5</v>
      </c>
      <c r="BK193" s="50" t="s">
        <v>505</v>
      </c>
      <c r="BL193" s="49"/>
      <c r="BM193" s="50"/>
      <c r="BN193" s="49" t="s">
        <v>5</v>
      </c>
      <c r="BO193" s="50" t="s">
        <v>107</v>
      </c>
      <c r="BP193" s="49"/>
      <c r="BQ193" s="50"/>
      <c r="BR193" s="49"/>
      <c r="BS193" s="50"/>
      <c r="BT193" s="49" t="s">
        <v>5</v>
      </c>
      <c r="BU193" s="50" t="s">
        <v>97</v>
      </c>
      <c r="BV193" s="49" t="s">
        <v>5</v>
      </c>
      <c r="BW193" s="50" t="s">
        <v>98</v>
      </c>
      <c r="BX193" s="49"/>
      <c r="BY193" s="50"/>
    </row>
    <row r="194" spans="1:77" x14ac:dyDescent="0.25">
      <c r="A194" s="76">
        <v>152645</v>
      </c>
      <c r="B194" s="77" t="s">
        <v>1380</v>
      </c>
      <c r="C194" s="78" t="s">
        <v>1183</v>
      </c>
      <c r="D194" s="76" t="s">
        <v>70</v>
      </c>
      <c r="E194" s="79" t="s">
        <v>14</v>
      </c>
      <c r="F194" s="77" t="s">
        <v>88</v>
      </c>
      <c r="G194" s="79" t="s">
        <v>14</v>
      </c>
      <c r="H194" s="79" t="s">
        <v>14</v>
      </c>
      <c r="I194" s="78" t="s">
        <v>14</v>
      </c>
      <c r="J194" s="79" t="s">
        <v>14</v>
      </c>
      <c r="K194" s="142" t="s">
        <v>1850</v>
      </c>
      <c r="L194" s="149" t="s">
        <v>1844</v>
      </c>
      <c r="M194" s="150" t="s">
        <v>1853</v>
      </c>
      <c r="N194" s="151">
        <v>16</v>
      </c>
      <c r="O194" s="151">
        <v>0</v>
      </c>
      <c r="P194" s="152">
        <v>0</v>
      </c>
      <c r="Q194" s="153">
        <v>100</v>
      </c>
      <c r="R194" s="154">
        <v>2</v>
      </c>
      <c r="S194" s="38">
        <f t="shared" ref="S194:S212" si="34">COUNTIF($AD194:$BY194,"Outstanding")</f>
        <v>1</v>
      </c>
      <c r="T194" s="39">
        <f t="shared" ref="T194:T212" si="35">COUNTIF($AD194:$BY194,"Good")</f>
        <v>10</v>
      </c>
      <c r="U194" s="40">
        <f t="shared" ref="U194:U212" si="36">COUNTIF($AD194:$BY194,"N2Improve - Engagement")</f>
        <v>0</v>
      </c>
      <c r="V194" s="40">
        <f t="shared" ref="V194:V212" si="37">COUNTIF($AD194:$BY194,"N2Improve - Community Conduct")</f>
        <v>0</v>
      </c>
      <c r="W194" s="40">
        <f t="shared" ref="W194:W212" si="38">COUNTIF($AD194:$BY194,"N2Improve - Personal Org.")</f>
        <v>0</v>
      </c>
      <c r="X194" s="40">
        <f t="shared" ref="X194:X212" si="39">SUM(U194:W194)</f>
        <v>0</v>
      </c>
      <c r="Y194" s="40">
        <f t="shared" ref="Y194:Y212" si="40">COUNTIF($AD194:$BY194,"Serious Conc - Engagement")</f>
        <v>0</v>
      </c>
      <c r="Z194" s="40">
        <f t="shared" ref="Z194:Z212" si="41">COUNTIF($AD194:$BY194,"Serious Conc - Comm. Concern")</f>
        <v>0</v>
      </c>
      <c r="AA194" s="40">
        <f t="shared" ref="AA194:AA212" si="42">COUNTIF($AD194:$BY194,"Serious Conc - Personal Org.")</f>
        <v>0</v>
      </c>
      <c r="AB194" s="40">
        <f t="shared" si="32"/>
        <v>0</v>
      </c>
      <c r="AC194" s="41">
        <f t="shared" si="33"/>
        <v>0</v>
      </c>
      <c r="AD194" s="49"/>
      <c r="AE194" s="50"/>
      <c r="AF194" s="49" t="s">
        <v>5</v>
      </c>
      <c r="AG194" s="50" t="s">
        <v>154</v>
      </c>
      <c r="AH194" s="49"/>
      <c r="AI194" s="50"/>
      <c r="AJ194" s="49" t="s">
        <v>5</v>
      </c>
      <c r="AK194" s="50" t="s">
        <v>137</v>
      </c>
      <c r="AL194" s="49"/>
      <c r="AM194" s="50"/>
      <c r="AN194" s="49"/>
      <c r="AO194" s="50"/>
      <c r="AP194" s="49"/>
      <c r="AQ194" s="50"/>
      <c r="AR194" s="49" t="s">
        <v>5</v>
      </c>
      <c r="AS194" s="50" t="s">
        <v>722</v>
      </c>
      <c r="AT194" s="49"/>
      <c r="AU194" s="50"/>
      <c r="AV194" s="49" t="s">
        <v>1</v>
      </c>
      <c r="AW194" s="50" t="s">
        <v>436</v>
      </c>
      <c r="AX194" s="49"/>
      <c r="AY194" s="50"/>
      <c r="AZ194" s="49"/>
      <c r="BA194" s="50"/>
      <c r="BB194" s="49"/>
      <c r="BC194" s="50"/>
      <c r="BD194" s="49"/>
      <c r="BE194" s="50"/>
      <c r="BF194" s="49" t="s">
        <v>5</v>
      </c>
      <c r="BG194" s="50" t="s">
        <v>105</v>
      </c>
      <c r="BH194" s="49" t="s">
        <v>5</v>
      </c>
      <c r="BI194" s="50" t="s">
        <v>163</v>
      </c>
      <c r="BJ194" s="49" t="s">
        <v>5</v>
      </c>
      <c r="BK194" s="50" t="s">
        <v>505</v>
      </c>
      <c r="BL194" s="49"/>
      <c r="BM194" s="50"/>
      <c r="BN194" s="49" t="s">
        <v>5</v>
      </c>
      <c r="BO194" s="50" t="s">
        <v>121</v>
      </c>
      <c r="BP194" s="49"/>
      <c r="BQ194" s="50"/>
      <c r="BR194" s="49" t="s">
        <v>5</v>
      </c>
      <c r="BS194" s="50" t="s">
        <v>98</v>
      </c>
      <c r="BT194" s="49" t="s">
        <v>5</v>
      </c>
      <c r="BU194" s="50" t="s">
        <v>457</v>
      </c>
      <c r="BV194" s="49"/>
      <c r="BW194" s="50"/>
      <c r="BX194" s="49" t="s">
        <v>5</v>
      </c>
      <c r="BY194" s="50" t="s">
        <v>130</v>
      </c>
    </row>
    <row r="195" spans="1:77" x14ac:dyDescent="0.25">
      <c r="A195" s="76">
        <v>152703</v>
      </c>
      <c r="B195" s="77" t="s">
        <v>1381</v>
      </c>
      <c r="C195" s="78" t="s">
        <v>1211</v>
      </c>
      <c r="D195" s="76" t="s">
        <v>70</v>
      </c>
      <c r="E195" s="79" t="s">
        <v>14</v>
      </c>
      <c r="F195" s="79" t="s">
        <v>450</v>
      </c>
      <c r="G195" s="79" t="s">
        <v>14</v>
      </c>
      <c r="H195" s="79" t="s">
        <v>14</v>
      </c>
      <c r="I195" s="78" t="s">
        <v>14</v>
      </c>
      <c r="J195" s="79" t="s">
        <v>14</v>
      </c>
      <c r="K195" s="142" t="s">
        <v>1850</v>
      </c>
      <c r="L195" s="149" t="s">
        <v>1846</v>
      </c>
      <c r="M195" s="150" t="s">
        <v>1853</v>
      </c>
      <c r="N195" s="151">
        <v>25</v>
      </c>
      <c r="O195" s="151">
        <v>0</v>
      </c>
      <c r="P195" s="152">
        <v>0</v>
      </c>
      <c r="Q195" s="153">
        <v>100</v>
      </c>
      <c r="R195" s="154">
        <v>0</v>
      </c>
      <c r="S195" s="38">
        <f t="shared" si="34"/>
        <v>3</v>
      </c>
      <c r="T195" s="39">
        <f t="shared" si="35"/>
        <v>8</v>
      </c>
      <c r="U195" s="40">
        <f t="shared" si="36"/>
        <v>0</v>
      </c>
      <c r="V195" s="40">
        <f t="shared" si="37"/>
        <v>0</v>
      </c>
      <c r="W195" s="40">
        <f t="shared" si="38"/>
        <v>0</v>
      </c>
      <c r="X195" s="40">
        <f t="shared" si="39"/>
        <v>0</v>
      </c>
      <c r="Y195" s="40">
        <f t="shared" si="40"/>
        <v>0</v>
      </c>
      <c r="Z195" s="40">
        <f t="shared" si="41"/>
        <v>0</v>
      </c>
      <c r="AA195" s="40">
        <f t="shared" si="42"/>
        <v>0</v>
      </c>
      <c r="AB195" s="40">
        <f t="shared" ref="AB195:AB212" si="43">SUM(Y195:AA195)</f>
        <v>0</v>
      </c>
      <c r="AC195" s="41">
        <f t="shared" ref="AC195:AC212" si="44">COUNTIF(AD195:BY195,"*still*")</f>
        <v>0</v>
      </c>
      <c r="AD195" s="49"/>
      <c r="AE195" s="50"/>
      <c r="AF195" s="49" t="s">
        <v>5</v>
      </c>
      <c r="AG195" s="50" t="s">
        <v>164</v>
      </c>
      <c r="AH195" s="49"/>
      <c r="AI195" s="50"/>
      <c r="AJ195" s="49" t="s">
        <v>5</v>
      </c>
      <c r="AK195" s="50" t="s">
        <v>206</v>
      </c>
      <c r="AL195" s="49"/>
      <c r="AM195" s="50"/>
      <c r="AN195" s="49"/>
      <c r="AO195" s="50"/>
      <c r="AP195" s="49"/>
      <c r="AQ195" s="50"/>
      <c r="AR195" s="49" t="s">
        <v>5</v>
      </c>
      <c r="AS195" s="50" t="s">
        <v>194</v>
      </c>
      <c r="AT195" s="49"/>
      <c r="AU195" s="50"/>
      <c r="AV195" s="49" t="s">
        <v>1</v>
      </c>
      <c r="AW195" s="50" t="s">
        <v>105</v>
      </c>
      <c r="AX195" s="49"/>
      <c r="AY195" s="50"/>
      <c r="AZ195" s="49"/>
      <c r="BA195" s="50"/>
      <c r="BB195" s="49"/>
      <c r="BC195" s="50"/>
      <c r="BD195" s="49"/>
      <c r="BE195" s="50"/>
      <c r="BF195" s="49" t="s">
        <v>1</v>
      </c>
      <c r="BG195" s="50" t="s">
        <v>105</v>
      </c>
      <c r="BH195" s="49" t="s">
        <v>5</v>
      </c>
      <c r="BI195" s="50" t="s">
        <v>163</v>
      </c>
      <c r="BJ195" s="49" t="s">
        <v>5</v>
      </c>
      <c r="BK195" s="50" t="s">
        <v>106</v>
      </c>
      <c r="BL195" s="49"/>
      <c r="BM195" s="50"/>
      <c r="BN195" s="49" t="s">
        <v>5</v>
      </c>
      <c r="BO195" s="50" t="s">
        <v>121</v>
      </c>
      <c r="BP195" s="49"/>
      <c r="BQ195" s="50"/>
      <c r="BR195" s="49" t="s">
        <v>5</v>
      </c>
      <c r="BS195" s="50" t="s">
        <v>123</v>
      </c>
      <c r="BT195" s="49" t="s">
        <v>5</v>
      </c>
      <c r="BU195" s="50" t="s">
        <v>82</v>
      </c>
      <c r="BV195" s="49"/>
      <c r="BW195" s="50"/>
      <c r="BX195" s="49" t="s">
        <v>1</v>
      </c>
      <c r="BY195" s="50" t="s">
        <v>130</v>
      </c>
    </row>
    <row r="196" spans="1:77" x14ac:dyDescent="0.25">
      <c r="A196" s="76">
        <v>100356</v>
      </c>
      <c r="B196" s="77" t="s">
        <v>1382</v>
      </c>
      <c r="C196" s="78" t="s">
        <v>1205</v>
      </c>
      <c r="D196" s="76" t="s">
        <v>70</v>
      </c>
      <c r="E196" s="79" t="s">
        <v>14</v>
      </c>
      <c r="F196" s="79" t="s">
        <v>198</v>
      </c>
      <c r="G196" s="79" t="s">
        <v>14</v>
      </c>
      <c r="H196" s="79" t="s">
        <v>14</v>
      </c>
      <c r="I196" s="78" t="s">
        <v>14</v>
      </c>
      <c r="J196" s="79" t="s">
        <v>14</v>
      </c>
      <c r="K196" s="142" t="s">
        <v>1850</v>
      </c>
      <c r="L196" s="149" t="s">
        <v>1842</v>
      </c>
      <c r="M196" s="150" t="s">
        <v>1853</v>
      </c>
      <c r="N196" s="151">
        <v>22</v>
      </c>
      <c r="O196" s="151">
        <v>0</v>
      </c>
      <c r="P196" s="152">
        <v>0</v>
      </c>
      <c r="Q196" s="153">
        <v>100</v>
      </c>
      <c r="R196" s="154">
        <v>1</v>
      </c>
      <c r="S196" s="38">
        <f t="shared" si="34"/>
        <v>1</v>
      </c>
      <c r="T196" s="39">
        <f t="shared" si="35"/>
        <v>9</v>
      </c>
      <c r="U196" s="40">
        <f t="shared" si="36"/>
        <v>1</v>
      </c>
      <c r="V196" s="40">
        <f t="shared" si="37"/>
        <v>0</v>
      </c>
      <c r="W196" s="40">
        <f t="shared" si="38"/>
        <v>0</v>
      </c>
      <c r="X196" s="40">
        <f t="shared" si="39"/>
        <v>1</v>
      </c>
      <c r="Y196" s="40">
        <f t="shared" si="40"/>
        <v>0</v>
      </c>
      <c r="Z196" s="40">
        <f t="shared" si="41"/>
        <v>0</v>
      </c>
      <c r="AA196" s="40">
        <f t="shared" si="42"/>
        <v>0</v>
      </c>
      <c r="AB196" s="40">
        <f t="shared" si="43"/>
        <v>0</v>
      </c>
      <c r="AC196" s="41">
        <f t="shared" si="44"/>
        <v>0</v>
      </c>
      <c r="AD196" s="49"/>
      <c r="AE196" s="50"/>
      <c r="AF196" s="49" t="s">
        <v>5</v>
      </c>
      <c r="AG196" s="50" t="s">
        <v>164</v>
      </c>
      <c r="AH196" s="49"/>
      <c r="AI196" s="50"/>
      <c r="AJ196" s="49" t="s">
        <v>5</v>
      </c>
      <c r="AK196" s="50" t="s">
        <v>206</v>
      </c>
      <c r="AL196" s="49" t="s">
        <v>30</v>
      </c>
      <c r="AM196" s="50" t="s">
        <v>153</v>
      </c>
      <c r="AN196" s="49"/>
      <c r="AO196" s="50"/>
      <c r="AP196" s="49"/>
      <c r="AQ196" s="50"/>
      <c r="AR196" s="49" t="s">
        <v>5</v>
      </c>
      <c r="AS196" s="50" t="s">
        <v>722</v>
      </c>
      <c r="AT196" s="49"/>
      <c r="AU196" s="50"/>
      <c r="AV196" s="49" t="s">
        <v>5</v>
      </c>
      <c r="AW196" s="50" t="s">
        <v>152</v>
      </c>
      <c r="AX196" s="49" t="s">
        <v>5</v>
      </c>
      <c r="AY196" s="50" t="s">
        <v>84</v>
      </c>
      <c r="AZ196" s="49"/>
      <c r="BA196" s="50"/>
      <c r="BB196" s="49"/>
      <c r="BC196" s="50"/>
      <c r="BD196" s="49"/>
      <c r="BE196" s="50"/>
      <c r="BF196" s="49"/>
      <c r="BG196" s="50"/>
      <c r="BH196" s="49" t="s">
        <v>5</v>
      </c>
      <c r="BI196" s="50" t="s">
        <v>78</v>
      </c>
      <c r="BJ196" s="49" t="s">
        <v>1</v>
      </c>
      <c r="BK196" s="50" t="s">
        <v>94</v>
      </c>
      <c r="BL196" s="49"/>
      <c r="BM196" s="50"/>
      <c r="BN196" s="49" t="s">
        <v>5</v>
      </c>
      <c r="BO196" s="50" t="s">
        <v>121</v>
      </c>
      <c r="BP196" s="49"/>
      <c r="BQ196" s="50"/>
      <c r="BR196" s="49" t="s">
        <v>5</v>
      </c>
      <c r="BS196" s="50" t="s">
        <v>123</v>
      </c>
      <c r="BT196" s="49" t="s">
        <v>5</v>
      </c>
      <c r="BU196" s="50" t="s">
        <v>97</v>
      </c>
      <c r="BV196" s="49"/>
      <c r="BW196" s="50"/>
      <c r="BX196" s="49"/>
      <c r="BY196" s="50"/>
    </row>
    <row r="197" spans="1:77" x14ac:dyDescent="0.25">
      <c r="A197" s="76">
        <v>152665</v>
      </c>
      <c r="B197" s="77" t="s">
        <v>1383</v>
      </c>
      <c r="C197" s="78" t="s">
        <v>1183</v>
      </c>
      <c r="D197" s="76" t="s">
        <v>12</v>
      </c>
      <c r="E197" s="79" t="s">
        <v>14</v>
      </c>
      <c r="F197" s="79" t="s">
        <v>71</v>
      </c>
      <c r="G197" s="79" t="s">
        <v>14</v>
      </c>
      <c r="H197" s="79" t="s">
        <v>14</v>
      </c>
      <c r="I197" s="78" t="s">
        <v>14</v>
      </c>
      <c r="J197" s="79" t="s">
        <v>14</v>
      </c>
      <c r="K197" s="142" t="s">
        <v>1850</v>
      </c>
      <c r="L197" s="149" t="s">
        <v>1841</v>
      </c>
      <c r="M197" s="150" t="s">
        <v>1853</v>
      </c>
      <c r="N197" s="151">
        <v>24</v>
      </c>
      <c r="O197" s="151">
        <v>0</v>
      </c>
      <c r="P197" s="152">
        <v>0</v>
      </c>
      <c r="Q197" s="153">
        <v>97.83</v>
      </c>
      <c r="R197" s="154">
        <v>0</v>
      </c>
      <c r="S197" s="38">
        <f t="shared" si="34"/>
        <v>5</v>
      </c>
      <c r="T197" s="39">
        <f t="shared" si="35"/>
        <v>5</v>
      </c>
      <c r="U197" s="40">
        <f t="shared" si="36"/>
        <v>0</v>
      </c>
      <c r="V197" s="40">
        <f t="shared" si="37"/>
        <v>0</v>
      </c>
      <c r="W197" s="40">
        <f t="shared" si="38"/>
        <v>0</v>
      </c>
      <c r="X197" s="40">
        <f t="shared" si="39"/>
        <v>0</v>
      </c>
      <c r="Y197" s="40">
        <f t="shared" si="40"/>
        <v>0</v>
      </c>
      <c r="Z197" s="40">
        <f t="shared" si="41"/>
        <v>0</v>
      </c>
      <c r="AA197" s="40">
        <f t="shared" si="42"/>
        <v>0</v>
      </c>
      <c r="AB197" s="40">
        <f t="shared" si="43"/>
        <v>0</v>
      </c>
      <c r="AC197" s="41">
        <f t="shared" si="44"/>
        <v>0</v>
      </c>
      <c r="AD197" s="49" t="s">
        <v>5</v>
      </c>
      <c r="AE197" s="50" t="s">
        <v>72</v>
      </c>
      <c r="AF197" s="49"/>
      <c r="AG197" s="50"/>
      <c r="AH197" s="49"/>
      <c r="AI197" s="50"/>
      <c r="AJ197" s="49"/>
      <c r="AK197" s="50"/>
      <c r="AL197" s="49"/>
      <c r="AM197" s="50"/>
      <c r="AN197" s="49" t="s">
        <v>5</v>
      </c>
      <c r="AO197" s="50" t="s">
        <v>117</v>
      </c>
      <c r="AP197" s="49"/>
      <c r="AQ197" s="50"/>
      <c r="AR197" s="49" t="s">
        <v>5</v>
      </c>
      <c r="AS197" s="50" t="s">
        <v>91</v>
      </c>
      <c r="AT197" s="49"/>
      <c r="AU197" s="50"/>
      <c r="AV197" s="49" t="s">
        <v>1</v>
      </c>
      <c r="AW197" s="50" t="s">
        <v>436</v>
      </c>
      <c r="AX197" s="49"/>
      <c r="AY197" s="50"/>
      <c r="AZ197" s="49"/>
      <c r="BA197" s="50"/>
      <c r="BB197" s="49"/>
      <c r="BC197" s="50"/>
      <c r="BD197" s="49"/>
      <c r="BE197" s="50"/>
      <c r="BF197" s="49"/>
      <c r="BG197" s="50"/>
      <c r="BH197" s="49" t="s">
        <v>5</v>
      </c>
      <c r="BI197" s="50" t="s">
        <v>163</v>
      </c>
      <c r="BJ197" s="49" t="s">
        <v>1</v>
      </c>
      <c r="BK197" s="50" t="s">
        <v>106</v>
      </c>
      <c r="BL197" s="49"/>
      <c r="BM197" s="50"/>
      <c r="BN197" s="49" t="s">
        <v>1</v>
      </c>
      <c r="BO197" s="50" t="s">
        <v>96</v>
      </c>
      <c r="BP197" s="49"/>
      <c r="BQ197" s="50"/>
      <c r="BR197" s="49"/>
      <c r="BS197" s="50"/>
      <c r="BT197" s="49" t="s">
        <v>5</v>
      </c>
      <c r="BU197" s="50" t="s">
        <v>82</v>
      </c>
      <c r="BV197" s="49" t="s">
        <v>1</v>
      </c>
      <c r="BW197" s="50" t="s">
        <v>98</v>
      </c>
      <c r="BX197" s="49" t="s">
        <v>1</v>
      </c>
      <c r="BY197" s="50" t="s">
        <v>130</v>
      </c>
    </row>
    <row r="198" spans="1:77" x14ac:dyDescent="0.25">
      <c r="A198" s="76">
        <v>160353</v>
      </c>
      <c r="B198" s="77" t="s">
        <v>1384</v>
      </c>
      <c r="C198" s="78" t="s">
        <v>1205</v>
      </c>
      <c r="D198" s="76" t="s">
        <v>70</v>
      </c>
      <c r="E198" s="79" t="s">
        <v>14</v>
      </c>
      <c r="F198" s="79" t="s">
        <v>71</v>
      </c>
      <c r="G198" s="79" t="s">
        <v>14</v>
      </c>
      <c r="H198" s="79" t="s">
        <v>87</v>
      </c>
      <c r="I198" s="78" t="s">
        <v>14</v>
      </c>
      <c r="J198" s="79" t="s">
        <v>14</v>
      </c>
      <c r="K198" s="142" t="s">
        <v>1850</v>
      </c>
      <c r="L198" s="149" t="s">
        <v>1406</v>
      </c>
      <c r="M198" s="150" t="s">
        <v>1406</v>
      </c>
      <c r="N198" s="151">
        <v>33</v>
      </c>
      <c r="O198" s="151">
        <v>2</v>
      </c>
      <c r="P198" s="152">
        <v>0</v>
      </c>
      <c r="Q198" s="153">
        <v>100</v>
      </c>
      <c r="R198" s="154">
        <v>0</v>
      </c>
      <c r="S198" s="38">
        <f t="shared" si="34"/>
        <v>1</v>
      </c>
      <c r="T198" s="39">
        <f t="shared" si="35"/>
        <v>9</v>
      </c>
      <c r="U198" s="40">
        <f t="shared" si="36"/>
        <v>0</v>
      </c>
      <c r="V198" s="40">
        <f t="shared" si="37"/>
        <v>0</v>
      </c>
      <c r="W198" s="40">
        <f t="shared" si="38"/>
        <v>0</v>
      </c>
      <c r="X198" s="40">
        <f t="shared" si="39"/>
        <v>0</v>
      </c>
      <c r="Y198" s="40">
        <f t="shared" si="40"/>
        <v>0</v>
      </c>
      <c r="Z198" s="40">
        <f t="shared" si="41"/>
        <v>0</v>
      </c>
      <c r="AA198" s="40">
        <f t="shared" si="42"/>
        <v>0</v>
      </c>
      <c r="AB198" s="40">
        <f t="shared" si="43"/>
        <v>0</v>
      </c>
      <c r="AC198" s="41">
        <f t="shared" si="44"/>
        <v>0</v>
      </c>
      <c r="AD198" s="49" t="s">
        <v>5</v>
      </c>
      <c r="AE198" s="50" t="s">
        <v>89</v>
      </c>
      <c r="AF198" s="49"/>
      <c r="AG198" s="50"/>
      <c r="AH198" s="49"/>
      <c r="AI198" s="50"/>
      <c r="AJ198" s="49"/>
      <c r="AK198" s="50"/>
      <c r="AL198" s="49" t="s">
        <v>5</v>
      </c>
      <c r="AM198" s="50" t="s">
        <v>153</v>
      </c>
      <c r="AN198" s="49"/>
      <c r="AO198" s="50"/>
      <c r="AP198" s="49"/>
      <c r="AQ198" s="50"/>
      <c r="AR198" s="49" t="s">
        <v>5</v>
      </c>
      <c r="AS198" s="50" t="s">
        <v>102</v>
      </c>
      <c r="AT198" s="49"/>
      <c r="AU198" s="50"/>
      <c r="AV198" s="49" t="s">
        <v>5</v>
      </c>
      <c r="AW198" s="50" t="s">
        <v>152</v>
      </c>
      <c r="AX198" s="49" t="s">
        <v>5</v>
      </c>
      <c r="AY198" s="50" t="s">
        <v>84</v>
      </c>
      <c r="AZ198" s="49"/>
      <c r="BA198" s="50"/>
      <c r="BB198" s="49"/>
      <c r="BC198" s="50"/>
      <c r="BD198" s="49"/>
      <c r="BE198" s="50"/>
      <c r="BF198" s="49"/>
      <c r="BG198" s="50"/>
      <c r="BH198" s="49" t="s">
        <v>5</v>
      </c>
      <c r="BI198" s="50" t="s">
        <v>1184</v>
      </c>
      <c r="BJ198" s="49" t="s">
        <v>5</v>
      </c>
      <c r="BK198" s="50" t="s">
        <v>139</v>
      </c>
      <c r="BL198" s="49"/>
      <c r="BM198" s="50"/>
      <c r="BN198" s="49" t="s">
        <v>5</v>
      </c>
      <c r="BO198" s="50" t="s">
        <v>121</v>
      </c>
      <c r="BP198" s="49"/>
      <c r="BQ198" s="50"/>
      <c r="BR198" s="49"/>
      <c r="BS198" s="50"/>
      <c r="BT198" s="49" t="s">
        <v>5</v>
      </c>
      <c r="BU198" s="50" t="s">
        <v>122</v>
      </c>
      <c r="BV198" s="49" t="s">
        <v>1</v>
      </c>
      <c r="BW198" s="50" t="s">
        <v>109</v>
      </c>
      <c r="BX198" s="49"/>
      <c r="BY198" s="50"/>
    </row>
    <row r="199" spans="1:77" x14ac:dyDescent="0.25">
      <c r="A199" s="76">
        <v>152520</v>
      </c>
      <c r="B199" s="77" t="s">
        <v>1385</v>
      </c>
      <c r="C199" s="78" t="s">
        <v>1205</v>
      </c>
      <c r="D199" s="76" t="s">
        <v>70</v>
      </c>
      <c r="E199" s="79" t="s">
        <v>14</v>
      </c>
      <c r="F199" s="79" t="s">
        <v>71</v>
      </c>
      <c r="G199" s="79" t="s">
        <v>14</v>
      </c>
      <c r="H199" s="79" t="s">
        <v>14</v>
      </c>
      <c r="I199" s="78" t="s">
        <v>14</v>
      </c>
      <c r="J199" s="79" t="s">
        <v>14</v>
      </c>
      <c r="K199" s="142" t="s">
        <v>1851</v>
      </c>
      <c r="L199" s="149" t="s">
        <v>1844</v>
      </c>
      <c r="M199" s="150" t="s">
        <v>12</v>
      </c>
      <c r="N199" s="151">
        <v>15</v>
      </c>
      <c r="O199" s="151">
        <v>5</v>
      </c>
      <c r="P199" s="152">
        <v>4</v>
      </c>
      <c r="Q199" s="153">
        <v>100</v>
      </c>
      <c r="R199" s="154">
        <v>2</v>
      </c>
      <c r="S199" s="38">
        <f t="shared" si="34"/>
        <v>1</v>
      </c>
      <c r="T199" s="39">
        <f t="shared" si="35"/>
        <v>7</v>
      </c>
      <c r="U199" s="40">
        <f t="shared" si="36"/>
        <v>2</v>
      </c>
      <c r="V199" s="40">
        <f t="shared" si="37"/>
        <v>0</v>
      </c>
      <c r="W199" s="40">
        <f t="shared" si="38"/>
        <v>0</v>
      </c>
      <c r="X199" s="40">
        <f t="shared" si="39"/>
        <v>2</v>
      </c>
      <c r="Y199" s="40">
        <f t="shared" si="40"/>
        <v>0</v>
      </c>
      <c r="Z199" s="40">
        <f t="shared" si="41"/>
        <v>0</v>
      </c>
      <c r="AA199" s="40">
        <f t="shared" si="42"/>
        <v>0</v>
      </c>
      <c r="AB199" s="40">
        <f t="shared" si="43"/>
        <v>0</v>
      </c>
      <c r="AC199" s="41">
        <f t="shared" si="44"/>
        <v>0</v>
      </c>
      <c r="AD199" s="49"/>
      <c r="AE199" s="50"/>
      <c r="AF199" s="49"/>
      <c r="AG199" s="50"/>
      <c r="AH199" s="49"/>
      <c r="AI199" s="50"/>
      <c r="AJ199" s="49"/>
      <c r="AK199" s="50"/>
      <c r="AL199" s="49"/>
      <c r="AM199" s="50"/>
      <c r="AN199" s="49"/>
      <c r="AO199" s="50"/>
      <c r="AP199" s="49" t="s">
        <v>5</v>
      </c>
      <c r="AQ199" s="50" t="s">
        <v>101</v>
      </c>
      <c r="AR199" s="49" t="s">
        <v>30</v>
      </c>
      <c r="AS199" s="50" t="s">
        <v>142</v>
      </c>
      <c r="AT199" s="49"/>
      <c r="AU199" s="50"/>
      <c r="AV199" s="49" t="s">
        <v>5</v>
      </c>
      <c r="AW199" s="50" t="s">
        <v>152</v>
      </c>
      <c r="AX199" s="49" t="s">
        <v>30</v>
      </c>
      <c r="AY199" s="50" t="s">
        <v>130</v>
      </c>
      <c r="AZ199" s="49"/>
      <c r="BA199" s="50"/>
      <c r="BB199" s="49"/>
      <c r="BC199" s="50"/>
      <c r="BD199" s="49"/>
      <c r="BE199" s="50"/>
      <c r="BF199" s="49"/>
      <c r="BG199" s="50"/>
      <c r="BH199" s="49" t="s">
        <v>5</v>
      </c>
      <c r="BI199" s="50" t="s">
        <v>78</v>
      </c>
      <c r="BJ199" s="49" t="s">
        <v>5</v>
      </c>
      <c r="BK199" s="50" t="s">
        <v>995</v>
      </c>
      <c r="BL199" s="49"/>
      <c r="BM199" s="50"/>
      <c r="BN199" s="49" t="s">
        <v>1</v>
      </c>
      <c r="BO199" s="50" t="s">
        <v>121</v>
      </c>
      <c r="BP199" s="49" t="s">
        <v>5</v>
      </c>
      <c r="BQ199" s="50" t="s">
        <v>81</v>
      </c>
      <c r="BR199" s="49"/>
      <c r="BS199" s="50"/>
      <c r="BT199" s="49" t="s">
        <v>5</v>
      </c>
      <c r="BU199" s="50" t="s">
        <v>82</v>
      </c>
      <c r="BV199" s="49" t="s">
        <v>5</v>
      </c>
      <c r="BW199" s="50" t="s">
        <v>98</v>
      </c>
      <c r="BX199" s="49"/>
      <c r="BY199" s="50"/>
    </row>
    <row r="200" spans="1:77" x14ac:dyDescent="0.25">
      <c r="A200" s="76">
        <v>152712</v>
      </c>
      <c r="B200" s="77" t="s">
        <v>1386</v>
      </c>
      <c r="C200" s="78" t="s">
        <v>1183</v>
      </c>
      <c r="D200" s="76" t="s">
        <v>70</v>
      </c>
      <c r="E200" s="79" t="s">
        <v>14</v>
      </c>
      <c r="F200" s="79" t="s">
        <v>71</v>
      </c>
      <c r="G200" s="79" t="s">
        <v>14</v>
      </c>
      <c r="H200" s="79" t="s">
        <v>14</v>
      </c>
      <c r="I200" s="78" t="s">
        <v>14</v>
      </c>
      <c r="J200" s="79" t="s">
        <v>14</v>
      </c>
      <c r="K200" s="142" t="s">
        <v>1850</v>
      </c>
      <c r="L200" s="149" t="s">
        <v>1848</v>
      </c>
      <c r="M200" s="150" t="s">
        <v>1852</v>
      </c>
      <c r="N200" s="151">
        <v>15</v>
      </c>
      <c r="O200" s="151">
        <v>13</v>
      </c>
      <c r="P200" s="152">
        <v>3</v>
      </c>
      <c r="Q200" s="153">
        <v>89.13</v>
      </c>
      <c r="R200" s="154">
        <v>8</v>
      </c>
      <c r="S200" s="38">
        <f t="shared" si="34"/>
        <v>0</v>
      </c>
      <c r="T200" s="39">
        <f t="shared" si="35"/>
        <v>4</v>
      </c>
      <c r="U200" s="40">
        <f t="shared" si="36"/>
        <v>4</v>
      </c>
      <c r="V200" s="40">
        <f t="shared" si="37"/>
        <v>2</v>
      </c>
      <c r="W200" s="40">
        <f t="shared" si="38"/>
        <v>1</v>
      </c>
      <c r="X200" s="40">
        <f t="shared" si="39"/>
        <v>7</v>
      </c>
      <c r="Y200" s="40">
        <f t="shared" si="40"/>
        <v>0</v>
      </c>
      <c r="Z200" s="40">
        <f t="shared" si="41"/>
        <v>0</v>
      </c>
      <c r="AA200" s="40">
        <f t="shared" si="42"/>
        <v>0</v>
      </c>
      <c r="AB200" s="40">
        <f t="shared" si="43"/>
        <v>0</v>
      </c>
      <c r="AC200" s="41">
        <f t="shared" si="44"/>
        <v>0</v>
      </c>
      <c r="AD200" s="49"/>
      <c r="AE200" s="50"/>
      <c r="AF200" s="49" t="s">
        <v>32</v>
      </c>
      <c r="AG200" s="50" t="s">
        <v>154</v>
      </c>
      <c r="AH200" s="49"/>
      <c r="AI200" s="50"/>
      <c r="AJ200" s="49" t="s">
        <v>30</v>
      </c>
      <c r="AK200" s="50" t="s">
        <v>206</v>
      </c>
      <c r="AL200" s="49"/>
      <c r="AM200" s="50"/>
      <c r="AN200" s="49"/>
      <c r="AO200" s="50"/>
      <c r="AP200" s="49"/>
      <c r="AQ200" s="50"/>
      <c r="AR200" s="49" t="s">
        <v>30</v>
      </c>
      <c r="AS200" s="50" t="s">
        <v>142</v>
      </c>
      <c r="AT200" s="49"/>
      <c r="AU200" s="50"/>
      <c r="AV200" s="49" t="s">
        <v>5</v>
      </c>
      <c r="AW200" s="50" t="s">
        <v>436</v>
      </c>
      <c r="AX200" s="49"/>
      <c r="AY200" s="50"/>
      <c r="AZ200" s="49"/>
      <c r="BA200" s="50"/>
      <c r="BB200" s="49" t="s">
        <v>30</v>
      </c>
      <c r="BC200" s="50" t="s">
        <v>436</v>
      </c>
      <c r="BD200" s="49"/>
      <c r="BE200" s="50"/>
      <c r="BF200" s="49"/>
      <c r="BG200" s="50"/>
      <c r="BH200" s="49" t="s">
        <v>30</v>
      </c>
      <c r="BI200" s="50" t="s">
        <v>1184</v>
      </c>
      <c r="BJ200" s="49" t="s">
        <v>31</v>
      </c>
      <c r="BK200" s="50" t="s">
        <v>112</v>
      </c>
      <c r="BL200" s="49"/>
      <c r="BM200" s="50"/>
      <c r="BN200" s="49" t="s">
        <v>5</v>
      </c>
      <c r="BO200" s="50" t="s">
        <v>121</v>
      </c>
      <c r="BP200" s="49"/>
      <c r="BQ200" s="50"/>
      <c r="BR200" s="49" t="s">
        <v>5</v>
      </c>
      <c r="BS200" s="50" t="s">
        <v>140</v>
      </c>
      <c r="BT200" s="49" t="s">
        <v>5</v>
      </c>
      <c r="BU200" s="50" t="s">
        <v>457</v>
      </c>
      <c r="BV200" s="49"/>
      <c r="BW200" s="50"/>
      <c r="BX200" s="49" t="s">
        <v>31</v>
      </c>
      <c r="BY200" s="50" t="s">
        <v>75</v>
      </c>
    </row>
    <row r="201" spans="1:77" x14ac:dyDescent="0.25">
      <c r="A201" s="76">
        <v>152590</v>
      </c>
      <c r="B201" s="77" t="s">
        <v>1387</v>
      </c>
      <c r="C201" s="78" t="s">
        <v>1211</v>
      </c>
      <c r="D201" s="76" t="s">
        <v>70</v>
      </c>
      <c r="E201" s="79" t="s">
        <v>14</v>
      </c>
      <c r="F201" s="79" t="s">
        <v>71</v>
      </c>
      <c r="G201" s="79" t="s">
        <v>14</v>
      </c>
      <c r="H201" s="79" t="s">
        <v>14</v>
      </c>
      <c r="I201" s="78" t="s">
        <v>14</v>
      </c>
      <c r="J201" s="79" t="s">
        <v>14</v>
      </c>
      <c r="K201" s="142" t="s">
        <v>1850</v>
      </c>
      <c r="L201" s="149" t="s">
        <v>1844</v>
      </c>
      <c r="M201" s="150" t="s">
        <v>12</v>
      </c>
      <c r="N201" s="151">
        <v>19</v>
      </c>
      <c r="O201" s="151">
        <v>0</v>
      </c>
      <c r="P201" s="152">
        <v>0</v>
      </c>
      <c r="Q201" s="153">
        <v>100</v>
      </c>
      <c r="R201" s="154">
        <v>0</v>
      </c>
      <c r="S201" s="38">
        <f t="shared" si="34"/>
        <v>1</v>
      </c>
      <c r="T201" s="39">
        <f t="shared" si="35"/>
        <v>9</v>
      </c>
      <c r="U201" s="40">
        <f t="shared" si="36"/>
        <v>0</v>
      </c>
      <c r="V201" s="40">
        <f t="shared" si="37"/>
        <v>0</v>
      </c>
      <c r="W201" s="40">
        <f t="shared" si="38"/>
        <v>0</v>
      </c>
      <c r="X201" s="40">
        <f t="shared" si="39"/>
        <v>0</v>
      </c>
      <c r="Y201" s="40">
        <f t="shared" si="40"/>
        <v>0</v>
      </c>
      <c r="Z201" s="40">
        <f t="shared" si="41"/>
        <v>0</v>
      </c>
      <c r="AA201" s="40">
        <f t="shared" si="42"/>
        <v>0</v>
      </c>
      <c r="AB201" s="40">
        <f t="shared" si="43"/>
        <v>0</v>
      </c>
      <c r="AC201" s="41">
        <f t="shared" si="44"/>
        <v>0</v>
      </c>
      <c r="AD201" s="49"/>
      <c r="AE201" s="50"/>
      <c r="AF201" s="49"/>
      <c r="AG201" s="50"/>
      <c r="AH201" s="49"/>
      <c r="AI201" s="50"/>
      <c r="AJ201" s="49"/>
      <c r="AK201" s="50"/>
      <c r="AL201" s="49"/>
      <c r="AM201" s="50"/>
      <c r="AN201" s="49"/>
      <c r="AO201" s="50"/>
      <c r="AP201" s="49" t="s">
        <v>5</v>
      </c>
      <c r="AQ201" s="50" t="s">
        <v>142</v>
      </c>
      <c r="AR201" s="49" t="s">
        <v>5</v>
      </c>
      <c r="AS201" s="50" t="s">
        <v>194</v>
      </c>
      <c r="AT201" s="49"/>
      <c r="AU201" s="50"/>
      <c r="AV201" s="49" t="s">
        <v>1</v>
      </c>
      <c r="AW201" s="50" t="s">
        <v>105</v>
      </c>
      <c r="AX201" s="49"/>
      <c r="AY201" s="50"/>
      <c r="AZ201" s="49" t="s">
        <v>5</v>
      </c>
      <c r="BA201" s="50" t="s">
        <v>92</v>
      </c>
      <c r="BB201" s="49"/>
      <c r="BC201" s="50"/>
      <c r="BD201" s="49"/>
      <c r="BE201" s="50"/>
      <c r="BF201" s="49"/>
      <c r="BG201" s="50"/>
      <c r="BH201" s="49" t="s">
        <v>5</v>
      </c>
      <c r="BI201" s="50" t="s">
        <v>163</v>
      </c>
      <c r="BJ201" s="49" t="s">
        <v>5</v>
      </c>
      <c r="BK201" s="50" t="s">
        <v>422</v>
      </c>
      <c r="BL201" s="49"/>
      <c r="BM201" s="50"/>
      <c r="BN201" s="49" t="s">
        <v>5</v>
      </c>
      <c r="BO201" s="50" t="s">
        <v>121</v>
      </c>
      <c r="BP201" s="49"/>
      <c r="BQ201" s="50"/>
      <c r="BR201" s="49"/>
      <c r="BS201" s="50"/>
      <c r="BT201" s="49" t="s">
        <v>5</v>
      </c>
      <c r="BU201" s="50" t="s">
        <v>457</v>
      </c>
      <c r="BV201" s="49" t="s">
        <v>5</v>
      </c>
      <c r="BW201" s="50" t="s">
        <v>98</v>
      </c>
      <c r="BX201" s="49" t="s">
        <v>5</v>
      </c>
      <c r="BY201" s="50" t="s">
        <v>130</v>
      </c>
    </row>
    <row r="202" spans="1:77" x14ac:dyDescent="0.25">
      <c r="A202" s="76">
        <v>152640</v>
      </c>
      <c r="B202" s="77" t="s">
        <v>1388</v>
      </c>
      <c r="C202" s="78" t="s">
        <v>1183</v>
      </c>
      <c r="D202" s="76" t="s">
        <v>70</v>
      </c>
      <c r="E202" s="79" t="s">
        <v>14</v>
      </c>
      <c r="F202" s="79" t="s">
        <v>71</v>
      </c>
      <c r="G202" s="79" t="s">
        <v>14</v>
      </c>
      <c r="H202" s="79" t="s">
        <v>14</v>
      </c>
      <c r="I202" s="78" t="s">
        <v>14</v>
      </c>
      <c r="J202" s="79" t="s">
        <v>14</v>
      </c>
      <c r="K202" s="142" t="s">
        <v>1851</v>
      </c>
      <c r="L202" s="149" t="s">
        <v>1845</v>
      </c>
      <c r="M202" s="150" t="s">
        <v>12</v>
      </c>
      <c r="N202" s="151">
        <v>8</v>
      </c>
      <c r="O202" s="151">
        <v>1</v>
      </c>
      <c r="P202" s="152">
        <v>1</v>
      </c>
      <c r="Q202" s="153">
        <v>97.83</v>
      </c>
      <c r="R202" s="154">
        <v>7</v>
      </c>
      <c r="S202" s="38">
        <f t="shared" si="34"/>
        <v>0</v>
      </c>
      <c r="T202" s="39">
        <f t="shared" si="35"/>
        <v>9</v>
      </c>
      <c r="U202" s="40">
        <f t="shared" si="36"/>
        <v>0</v>
      </c>
      <c r="V202" s="40">
        <f t="shared" si="37"/>
        <v>0</v>
      </c>
      <c r="W202" s="40">
        <f t="shared" si="38"/>
        <v>0</v>
      </c>
      <c r="X202" s="40">
        <f t="shared" si="39"/>
        <v>0</v>
      </c>
      <c r="Y202" s="40">
        <f t="shared" si="40"/>
        <v>1</v>
      </c>
      <c r="Z202" s="40">
        <f t="shared" si="41"/>
        <v>0</v>
      </c>
      <c r="AA202" s="40">
        <f t="shared" si="42"/>
        <v>0</v>
      </c>
      <c r="AB202" s="40">
        <f t="shared" si="43"/>
        <v>1</v>
      </c>
      <c r="AC202" s="41">
        <f t="shared" si="44"/>
        <v>0</v>
      </c>
      <c r="AD202" s="49" t="s">
        <v>5</v>
      </c>
      <c r="AE202" s="50" t="s">
        <v>72</v>
      </c>
      <c r="AF202" s="49"/>
      <c r="AG202" s="50"/>
      <c r="AH202" s="49"/>
      <c r="AI202" s="50"/>
      <c r="AJ202" s="49"/>
      <c r="AK202" s="50"/>
      <c r="AL202" s="49"/>
      <c r="AM202" s="50"/>
      <c r="AN202" s="49"/>
      <c r="AO202" s="50"/>
      <c r="AP202" s="49"/>
      <c r="AQ202" s="50"/>
      <c r="AR202" s="49" t="s">
        <v>5</v>
      </c>
      <c r="AS202" s="50" t="s">
        <v>102</v>
      </c>
      <c r="AT202" s="49"/>
      <c r="AU202" s="50"/>
      <c r="AV202" s="49" t="s">
        <v>5</v>
      </c>
      <c r="AW202" s="50" t="s">
        <v>436</v>
      </c>
      <c r="AX202" s="49"/>
      <c r="AY202" s="50"/>
      <c r="AZ202" s="49"/>
      <c r="BA202" s="50"/>
      <c r="BB202" s="49"/>
      <c r="BC202" s="50"/>
      <c r="BD202" s="49"/>
      <c r="BE202" s="50"/>
      <c r="BF202" s="49"/>
      <c r="BG202" s="50"/>
      <c r="BH202" s="49" t="s">
        <v>5</v>
      </c>
      <c r="BI202" s="50" t="s">
        <v>1184</v>
      </c>
      <c r="BJ202" s="49" t="s">
        <v>5</v>
      </c>
      <c r="BK202" s="50" t="s">
        <v>79</v>
      </c>
      <c r="BL202" s="49" t="s">
        <v>5</v>
      </c>
      <c r="BM202" s="50" t="s">
        <v>116</v>
      </c>
      <c r="BN202" s="49" t="s">
        <v>5</v>
      </c>
      <c r="BO202" s="50" t="s">
        <v>152</v>
      </c>
      <c r="BP202" s="49"/>
      <c r="BQ202" s="50"/>
      <c r="BR202" s="49"/>
      <c r="BS202" s="50"/>
      <c r="BT202" s="49" t="s">
        <v>5</v>
      </c>
      <c r="BU202" s="50" t="s">
        <v>82</v>
      </c>
      <c r="BV202" s="49" t="s">
        <v>34</v>
      </c>
      <c r="BW202" s="50" t="s">
        <v>109</v>
      </c>
      <c r="BX202" s="49" t="s">
        <v>5</v>
      </c>
      <c r="BY202" s="50" t="s">
        <v>75</v>
      </c>
    </row>
    <row r="203" spans="1:77" x14ac:dyDescent="0.25">
      <c r="A203" s="76">
        <v>152646</v>
      </c>
      <c r="B203" s="77" t="s">
        <v>1389</v>
      </c>
      <c r="C203" s="78" t="s">
        <v>1183</v>
      </c>
      <c r="D203" s="76" t="s">
        <v>12</v>
      </c>
      <c r="E203" s="79" t="s">
        <v>87</v>
      </c>
      <c r="F203" s="79" t="s">
        <v>218</v>
      </c>
      <c r="G203" s="79" t="s">
        <v>87</v>
      </c>
      <c r="H203" s="79" t="s">
        <v>87</v>
      </c>
      <c r="I203" s="78" t="s">
        <v>14</v>
      </c>
      <c r="J203" s="79" t="s">
        <v>14</v>
      </c>
      <c r="K203" s="142" t="s">
        <v>1850</v>
      </c>
      <c r="L203" s="149" t="s">
        <v>1842</v>
      </c>
      <c r="M203" s="150" t="s">
        <v>1853</v>
      </c>
      <c r="N203" s="151">
        <v>28</v>
      </c>
      <c r="O203" s="151">
        <v>0</v>
      </c>
      <c r="P203" s="152">
        <v>0</v>
      </c>
      <c r="Q203" s="153">
        <v>100</v>
      </c>
      <c r="R203" s="154">
        <v>0</v>
      </c>
      <c r="S203" s="38">
        <f t="shared" si="34"/>
        <v>4</v>
      </c>
      <c r="T203" s="39">
        <f t="shared" si="35"/>
        <v>7</v>
      </c>
      <c r="U203" s="40">
        <f t="shared" si="36"/>
        <v>0</v>
      </c>
      <c r="V203" s="40">
        <f t="shared" si="37"/>
        <v>0</v>
      </c>
      <c r="W203" s="40">
        <f t="shared" si="38"/>
        <v>0</v>
      </c>
      <c r="X203" s="40">
        <f t="shared" si="39"/>
        <v>0</v>
      </c>
      <c r="Y203" s="40">
        <f t="shared" si="40"/>
        <v>0</v>
      </c>
      <c r="Z203" s="40">
        <f t="shared" si="41"/>
        <v>0</v>
      </c>
      <c r="AA203" s="40">
        <f t="shared" si="42"/>
        <v>0</v>
      </c>
      <c r="AB203" s="40">
        <f t="shared" si="43"/>
        <v>0</v>
      </c>
      <c r="AC203" s="41">
        <f t="shared" si="44"/>
        <v>0</v>
      </c>
      <c r="AD203" s="49"/>
      <c r="AE203" s="50"/>
      <c r="AF203" s="49" t="s">
        <v>5</v>
      </c>
      <c r="AG203" s="50" t="s">
        <v>164</v>
      </c>
      <c r="AH203" s="49" t="s">
        <v>5</v>
      </c>
      <c r="AI203" s="50" t="s">
        <v>78</v>
      </c>
      <c r="AJ203" s="49" t="s">
        <v>5</v>
      </c>
      <c r="AK203" s="50" t="s">
        <v>206</v>
      </c>
      <c r="AL203" s="49"/>
      <c r="AM203" s="50"/>
      <c r="AN203" s="49"/>
      <c r="AO203" s="50"/>
      <c r="AP203" s="49"/>
      <c r="AQ203" s="50"/>
      <c r="AR203" s="49" t="s">
        <v>5</v>
      </c>
      <c r="AS203" s="50" t="s">
        <v>448</v>
      </c>
      <c r="AT203" s="49"/>
      <c r="AU203" s="50"/>
      <c r="AV203" s="49" t="s">
        <v>1</v>
      </c>
      <c r="AW203" s="50" t="s">
        <v>436</v>
      </c>
      <c r="AX203" s="49"/>
      <c r="AY203" s="50"/>
      <c r="AZ203" s="49"/>
      <c r="BA203" s="50"/>
      <c r="BB203" s="49"/>
      <c r="BC203" s="50"/>
      <c r="BD203" s="49"/>
      <c r="BE203" s="50"/>
      <c r="BF203" s="49"/>
      <c r="BG203" s="50"/>
      <c r="BH203" s="49" t="s">
        <v>1</v>
      </c>
      <c r="BI203" s="50" t="s">
        <v>163</v>
      </c>
      <c r="BJ203" s="49" t="s">
        <v>1</v>
      </c>
      <c r="BK203" s="50" t="s">
        <v>106</v>
      </c>
      <c r="BL203" s="49"/>
      <c r="BM203" s="50"/>
      <c r="BN203" s="49" t="s">
        <v>1</v>
      </c>
      <c r="BO203" s="50" t="s">
        <v>96</v>
      </c>
      <c r="BP203" s="49"/>
      <c r="BQ203" s="50"/>
      <c r="BR203" s="49" t="s">
        <v>5</v>
      </c>
      <c r="BS203" s="50" t="s">
        <v>123</v>
      </c>
      <c r="BT203" s="49" t="s">
        <v>5</v>
      </c>
      <c r="BU203" s="50" t="s">
        <v>82</v>
      </c>
      <c r="BV203" s="49"/>
      <c r="BW203" s="50"/>
      <c r="BX203" s="49" t="s">
        <v>5</v>
      </c>
      <c r="BY203" s="50" t="s">
        <v>130</v>
      </c>
    </row>
    <row r="204" spans="1:77" x14ac:dyDescent="0.25">
      <c r="A204" s="76">
        <v>152701</v>
      </c>
      <c r="B204" s="77" t="s">
        <v>1390</v>
      </c>
      <c r="C204" s="78" t="s">
        <v>1188</v>
      </c>
      <c r="D204" s="76" t="s">
        <v>70</v>
      </c>
      <c r="E204" s="79" t="s">
        <v>14</v>
      </c>
      <c r="F204" s="79" t="s">
        <v>146</v>
      </c>
      <c r="G204" s="79" t="s">
        <v>14</v>
      </c>
      <c r="H204" s="79" t="s">
        <v>14</v>
      </c>
      <c r="I204" s="78" t="s">
        <v>14</v>
      </c>
      <c r="J204" s="79" t="s">
        <v>14</v>
      </c>
      <c r="K204" s="142" t="s">
        <v>1850</v>
      </c>
      <c r="L204" s="149" t="s">
        <v>1844</v>
      </c>
      <c r="M204" s="150" t="s">
        <v>12</v>
      </c>
      <c r="N204" s="151">
        <v>16</v>
      </c>
      <c r="O204" s="151">
        <v>0</v>
      </c>
      <c r="P204" s="152">
        <v>0</v>
      </c>
      <c r="Q204" s="153">
        <v>86.96</v>
      </c>
      <c r="R204" s="154">
        <v>1</v>
      </c>
      <c r="S204" s="38">
        <f t="shared" si="34"/>
        <v>1</v>
      </c>
      <c r="T204" s="39">
        <f t="shared" si="35"/>
        <v>9</v>
      </c>
      <c r="U204" s="40">
        <f t="shared" si="36"/>
        <v>0</v>
      </c>
      <c r="V204" s="40">
        <f t="shared" si="37"/>
        <v>0</v>
      </c>
      <c r="W204" s="40">
        <f t="shared" si="38"/>
        <v>0</v>
      </c>
      <c r="X204" s="40">
        <f t="shared" si="39"/>
        <v>0</v>
      </c>
      <c r="Y204" s="40">
        <f t="shared" si="40"/>
        <v>0</v>
      </c>
      <c r="Z204" s="40">
        <f t="shared" si="41"/>
        <v>0</v>
      </c>
      <c r="AA204" s="40">
        <f t="shared" si="42"/>
        <v>0</v>
      </c>
      <c r="AB204" s="40">
        <f t="shared" si="43"/>
        <v>0</v>
      </c>
      <c r="AC204" s="41">
        <f t="shared" si="44"/>
        <v>0</v>
      </c>
      <c r="AD204" s="49"/>
      <c r="AE204" s="50"/>
      <c r="AF204" s="49"/>
      <c r="AG204" s="50"/>
      <c r="AH204" s="49"/>
      <c r="AI204" s="50"/>
      <c r="AJ204" s="49"/>
      <c r="AK204" s="50"/>
      <c r="AL204" s="49" t="s">
        <v>5</v>
      </c>
      <c r="AM204" s="50" t="s">
        <v>153</v>
      </c>
      <c r="AN204" s="49"/>
      <c r="AO204" s="50"/>
      <c r="AP204" s="49"/>
      <c r="AQ204" s="50"/>
      <c r="AR204" s="49" t="s">
        <v>5</v>
      </c>
      <c r="AS204" s="50" t="s">
        <v>448</v>
      </c>
      <c r="AT204" s="49"/>
      <c r="AU204" s="50"/>
      <c r="AV204" s="49" t="s">
        <v>1</v>
      </c>
      <c r="AW204" s="50" t="s">
        <v>430</v>
      </c>
      <c r="AX204" s="49" t="s">
        <v>5</v>
      </c>
      <c r="AY204" s="50" t="s">
        <v>130</v>
      </c>
      <c r="AZ204" s="49"/>
      <c r="BA204" s="50"/>
      <c r="BB204" s="49"/>
      <c r="BC204" s="50"/>
      <c r="BD204" s="49"/>
      <c r="BE204" s="50"/>
      <c r="BF204" s="49"/>
      <c r="BG204" s="50"/>
      <c r="BH204" s="49" t="s">
        <v>5</v>
      </c>
      <c r="BI204" s="50" t="s">
        <v>1184</v>
      </c>
      <c r="BJ204" s="49" t="s">
        <v>5</v>
      </c>
      <c r="BK204" s="50" t="s">
        <v>995</v>
      </c>
      <c r="BL204" s="49" t="s">
        <v>5</v>
      </c>
      <c r="BM204" s="50" t="s">
        <v>116</v>
      </c>
      <c r="BN204" s="49" t="s">
        <v>5</v>
      </c>
      <c r="BO204" s="50" t="s">
        <v>121</v>
      </c>
      <c r="BP204" s="49"/>
      <c r="BQ204" s="50"/>
      <c r="BR204" s="49"/>
      <c r="BS204" s="50"/>
      <c r="BT204" s="49" t="s">
        <v>5</v>
      </c>
      <c r="BU204" s="50" t="s">
        <v>108</v>
      </c>
      <c r="BV204" s="49" t="s">
        <v>5</v>
      </c>
      <c r="BW204" s="50" t="s">
        <v>98</v>
      </c>
      <c r="BX204" s="49"/>
      <c r="BY204" s="50"/>
    </row>
    <row r="205" spans="1:77" s="155" customFormat="1" x14ac:dyDescent="0.25">
      <c r="A205" s="76">
        <v>152547</v>
      </c>
      <c r="B205" s="77" t="s">
        <v>1391</v>
      </c>
      <c r="C205" s="78" t="s">
        <v>1183</v>
      </c>
      <c r="D205" s="76" t="s">
        <v>12</v>
      </c>
      <c r="E205" s="79" t="s">
        <v>14</v>
      </c>
      <c r="F205" s="79" t="s">
        <v>71</v>
      </c>
      <c r="G205" s="79" t="s">
        <v>14</v>
      </c>
      <c r="H205" s="79" t="s">
        <v>14</v>
      </c>
      <c r="I205" s="78" t="s">
        <v>14</v>
      </c>
      <c r="J205" s="79" t="s">
        <v>14</v>
      </c>
      <c r="K205" s="142" t="s">
        <v>1850</v>
      </c>
      <c r="L205" s="149" t="s">
        <v>1841</v>
      </c>
      <c r="M205" s="150" t="s">
        <v>1853</v>
      </c>
      <c r="N205" s="151">
        <v>22</v>
      </c>
      <c r="O205" s="151">
        <v>0</v>
      </c>
      <c r="P205" s="152">
        <v>1</v>
      </c>
      <c r="Q205" s="153">
        <v>100</v>
      </c>
      <c r="R205" s="154">
        <v>0</v>
      </c>
      <c r="S205" s="38">
        <f t="shared" si="34"/>
        <v>2</v>
      </c>
      <c r="T205" s="39">
        <f t="shared" si="35"/>
        <v>9</v>
      </c>
      <c r="U205" s="40">
        <f t="shared" si="36"/>
        <v>0</v>
      </c>
      <c r="V205" s="40">
        <f t="shared" si="37"/>
        <v>0</v>
      </c>
      <c r="W205" s="40">
        <f t="shared" si="38"/>
        <v>0</v>
      </c>
      <c r="X205" s="40">
        <f t="shared" si="39"/>
        <v>0</v>
      </c>
      <c r="Y205" s="40">
        <f t="shared" si="40"/>
        <v>0</v>
      </c>
      <c r="Z205" s="40">
        <f t="shared" si="41"/>
        <v>0</v>
      </c>
      <c r="AA205" s="40">
        <f t="shared" si="42"/>
        <v>0</v>
      </c>
      <c r="AB205" s="40">
        <f t="shared" si="43"/>
        <v>0</v>
      </c>
      <c r="AC205" s="41">
        <f t="shared" si="44"/>
        <v>0</v>
      </c>
      <c r="AD205" s="49"/>
      <c r="AE205" s="50"/>
      <c r="AF205" s="49" t="s">
        <v>5</v>
      </c>
      <c r="AG205" s="50" t="s">
        <v>154</v>
      </c>
      <c r="AH205" s="49"/>
      <c r="AI205" s="50"/>
      <c r="AJ205" s="49" t="s">
        <v>5</v>
      </c>
      <c r="AK205" s="50" t="s">
        <v>137</v>
      </c>
      <c r="AL205" s="49"/>
      <c r="AM205" s="50"/>
      <c r="AN205" s="49"/>
      <c r="AO205" s="50"/>
      <c r="AP205" s="49"/>
      <c r="AQ205" s="50"/>
      <c r="AR205" s="49" t="s">
        <v>5</v>
      </c>
      <c r="AS205" s="50" t="s">
        <v>91</v>
      </c>
      <c r="AT205" s="49"/>
      <c r="AU205" s="50"/>
      <c r="AV205" s="49" t="s">
        <v>5</v>
      </c>
      <c r="AW205" s="50" t="s">
        <v>436</v>
      </c>
      <c r="AX205" s="49"/>
      <c r="AY205" s="50"/>
      <c r="AZ205" s="49"/>
      <c r="BA205" s="50"/>
      <c r="BB205" s="49"/>
      <c r="BC205" s="50"/>
      <c r="BD205" s="49" t="s">
        <v>5</v>
      </c>
      <c r="BE205" s="50" t="s">
        <v>104</v>
      </c>
      <c r="BF205" s="49"/>
      <c r="BG205" s="50"/>
      <c r="BH205" s="49" t="s">
        <v>1</v>
      </c>
      <c r="BI205" s="50" t="s">
        <v>163</v>
      </c>
      <c r="BJ205" s="49" t="s">
        <v>5</v>
      </c>
      <c r="BK205" s="50" t="s">
        <v>505</v>
      </c>
      <c r="BL205" s="49"/>
      <c r="BM205" s="50"/>
      <c r="BN205" s="49" t="s">
        <v>1</v>
      </c>
      <c r="BO205" s="50" t="s">
        <v>96</v>
      </c>
      <c r="BP205" s="49"/>
      <c r="BQ205" s="50"/>
      <c r="BR205" s="49" t="s">
        <v>5</v>
      </c>
      <c r="BS205" s="50" t="s">
        <v>98</v>
      </c>
      <c r="BT205" s="49" t="s">
        <v>5</v>
      </c>
      <c r="BU205" s="50" t="s">
        <v>82</v>
      </c>
      <c r="BV205" s="49"/>
      <c r="BW205" s="50"/>
      <c r="BX205" s="49" t="s">
        <v>5</v>
      </c>
      <c r="BY205" s="50" t="s">
        <v>421</v>
      </c>
    </row>
    <row r="206" spans="1:77" s="99" customFormat="1" x14ac:dyDescent="0.25">
      <c r="A206" s="76">
        <v>152634</v>
      </c>
      <c r="B206" s="77" t="s">
        <v>1392</v>
      </c>
      <c r="C206" s="78" t="s">
        <v>1205</v>
      </c>
      <c r="D206" s="76" t="s">
        <v>70</v>
      </c>
      <c r="E206" s="79" t="s">
        <v>14</v>
      </c>
      <c r="F206" s="79" t="s">
        <v>71</v>
      </c>
      <c r="G206" s="79" t="s">
        <v>14</v>
      </c>
      <c r="H206" s="79" t="s">
        <v>14</v>
      </c>
      <c r="I206" s="78" t="s">
        <v>14</v>
      </c>
      <c r="J206" s="79" t="s">
        <v>14</v>
      </c>
      <c r="K206" s="142" t="s">
        <v>1850</v>
      </c>
      <c r="L206" s="149" t="s">
        <v>1845</v>
      </c>
      <c r="M206" s="150" t="s">
        <v>12</v>
      </c>
      <c r="N206" s="151">
        <v>19</v>
      </c>
      <c r="O206" s="151">
        <v>1</v>
      </c>
      <c r="P206" s="152">
        <v>3</v>
      </c>
      <c r="Q206" s="153">
        <v>93.48</v>
      </c>
      <c r="R206" s="154">
        <v>1</v>
      </c>
      <c r="S206" s="38">
        <f t="shared" si="34"/>
        <v>0</v>
      </c>
      <c r="T206" s="39">
        <f t="shared" si="35"/>
        <v>9</v>
      </c>
      <c r="U206" s="40">
        <f t="shared" si="36"/>
        <v>1</v>
      </c>
      <c r="V206" s="40">
        <f t="shared" si="37"/>
        <v>0</v>
      </c>
      <c r="W206" s="40">
        <f t="shared" si="38"/>
        <v>0</v>
      </c>
      <c r="X206" s="40">
        <f t="shared" si="39"/>
        <v>1</v>
      </c>
      <c r="Y206" s="40">
        <f t="shared" si="40"/>
        <v>0</v>
      </c>
      <c r="Z206" s="40">
        <f t="shared" si="41"/>
        <v>0</v>
      </c>
      <c r="AA206" s="40">
        <f t="shared" si="42"/>
        <v>0</v>
      </c>
      <c r="AB206" s="40">
        <f t="shared" si="43"/>
        <v>0</v>
      </c>
      <c r="AC206" s="41">
        <f t="shared" si="44"/>
        <v>0</v>
      </c>
      <c r="AD206" s="49"/>
      <c r="AE206" s="50"/>
      <c r="AF206" s="49"/>
      <c r="AG206" s="50"/>
      <c r="AH206" s="49" t="s">
        <v>5</v>
      </c>
      <c r="AI206" s="50" t="s">
        <v>78</v>
      </c>
      <c r="AJ206" s="49"/>
      <c r="AK206" s="50"/>
      <c r="AL206" s="49"/>
      <c r="AM206" s="50"/>
      <c r="AN206" s="49"/>
      <c r="AO206" s="50"/>
      <c r="AP206" s="49"/>
      <c r="AQ206" s="50"/>
      <c r="AR206" s="49" t="s">
        <v>5</v>
      </c>
      <c r="AS206" s="50" t="s">
        <v>448</v>
      </c>
      <c r="AT206" s="49" t="s">
        <v>5</v>
      </c>
      <c r="AU206" s="50" t="s">
        <v>135</v>
      </c>
      <c r="AV206" s="49" t="s">
        <v>5</v>
      </c>
      <c r="AW206" s="50" t="s">
        <v>152</v>
      </c>
      <c r="AX206" s="49" t="s">
        <v>5</v>
      </c>
      <c r="AY206" s="50" t="s">
        <v>103</v>
      </c>
      <c r="AZ206" s="49"/>
      <c r="BA206" s="50"/>
      <c r="BB206" s="49"/>
      <c r="BC206" s="50"/>
      <c r="BD206" s="49"/>
      <c r="BE206" s="50"/>
      <c r="BF206" s="49"/>
      <c r="BG206" s="50"/>
      <c r="BH206" s="49" t="s">
        <v>5</v>
      </c>
      <c r="BI206" s="50" t="s">
        <v>78</v>
      </c>
      <c r="BJ206" s="49" t="s">
        <v>5</v>
      </c>
      <c r="BK206" s="50" t="s">
        <v>995</v>
      </c>
      <c r="BL206" s="49"/>
      <c r="BM206" s="50"/>
      <c r="BN206" s="49" t="s">
        <v>5</v>
      </c>
      <c r="BO206" s="50" t="s">
        <v>121</v>
      </c>
      <c r="BP206" s="49"/>
      <c r="BQ206" s="50"/>
      <c r="BR206" s="49"/>
      <c r="BS206" s="50"/>
      <c r="BT206" s="49" t="s">
        <v>30</v>
      </c>
      <c r="BU206" s="50" t="s">
        <v>122</v>
      </c>
      <c r="BV206" s="49" t="s">
        <v>5</v>
      </c>
      <c r="BW206" s="50" t="s">
        <v>98</v>
      </c>
      <c r="BX206" s="49"/>
      <c r="BY206" s="50"/>
    </row>
    <row r="207" spans="1:77" s="99" customFormat="1" x14ac:dyDescent="0.25">
      <c r="A207" s="76">
        <v>152600</v>
      </c>
      <c r="B207" s="77" t="s">
        <v>1393</v>
      </c>
      <c r="C207" s="78" t="s">
        <v>1183</v>
      </c>
      <c r="D207" s="76" t="s">
        <v>12</v>
      </c>
      <c r="E207" s="79" t="s">
        <v>87</v>
      </c>
      <c r="F207" s="79" t="s">
        <v>71</v>
      </c>
      <c r="G207" s="79" t="s">
        <v>14</v>
      </c>
      <c r="H207" s="79" t="s">
        <v>87</v>
      </c>
      <c r="I207" s="78" t="s">
        <v>14</v>
      </c>
      <c r="J207" s="79" t="s">
        <v>14</v>
      </c>
      <c r="K207" s="142" t="s">
        <v>1851</v>
      </c>
      <c r="L207" s="149" t="s">
        <v>1848</v>
      </c>
      <c r="M207" s="150" t="s">
        <v>1853</v>
      </c>
      <c r="N207" s="151">
        <v>16</v>
      </c>
      <c r="O207" s="151">
        <v>1</v>
      </c>
      <c r="P207" s="152">
        <v>1</v>
      </c>
      <c r="Q207" s="153">
        <v>95.65</v>
      </c>
      <c r="R207" s="154">
        <v>4</v>
      </c>
      <c r="S207" s="38">
        <f t="shared" si="34"/>
        <v>2</v>
      </c>
      <c r="T207" s="39">
        <f t="shared" si="35"/>
        <v>9</v>
      </c>
      <c r="U207" s="40">
        <f t="shared" si="36"/>
        <v>0</v>
      </c>
      <c r="V207" s="40">
        <f t="shared" si="37"/>
        <v>0</v>
      </c>
      <c r="W207" s="40">
        <f t="shared" si="38"/>
        <v>0</v>
      </c>
      <c r="X207" s="40">
        <f t="shared" si="39"/>
        <v>0</v>
      </c>
      <c r="Y207" s="40">
        <f t="shared" si="40"/>
        <v>0</v>
      </c>
      <c r="Z207" s="40">
        <f t="shared" si="41"/>
        <v>0</v>
      </c>
      <c r="AA207" s="40">
        <f t="shared" si="42"/>
        <v>0</v>
      </c>
      <c r="AB207" s="40">
        <f t="shared" si="43"/>
        <v>0</v>
      </c>
      <c r="AC207" s="41">
        <f t="shared" si="44"/>
        <v>0</v>
      </c>
      <c r="AD207" s="49"/>
      <c r="AE207" s="50"/>
      <c r="AF207" s="49" t="s">
        <v>5</v>
      </c>
      <c r="AG207" s="50" t="s">
        <v>164</v>
      </c>
      <c r="AH207" s="49"/>
      <c r="AI207" s="50"/>
      <c r="AJ207" s="49" t="s">
        <v>5</v>
      </c>
      <c r="AK207" s="50" t="s">
        <v>419</v>
      </c>
      <c r="AL207" s="49"/>
      <c r="AM207" s="50"/>
      <c r="AN207" s="49"/>
      <c r="AO207" s="50"/>
      <c r="AP207" s="49"/>
      <c r="AQ207" s="50"/>
      <c r="AR207" s="49" t="s">
        <v>5</v>
      </c>
      <c r="AS207" s="50" t="s">
        <v>169</v>
      </c>
      <c r="AT207" s="49"/>
      <c r="AU207" s="50"/>
      <c r="AV207" s="49" t="s">
        <v>1</v>
      </c>
      <c r="AW207" s="50" t="s">
        <v>436</v>
      </c>
      <c r="AX207" s="49"/>
      <c r="AY207" s="50"/>
      <c r="AZ207" s="49" t="s">
        <v>5</v>
      </c>
      <c r="BA207" s="50" t="s">
        <v>92</v>
      </c>
      <c r="BB207" s="49"/>
      <c r="BC207" s="50"/>
      <c r="BD207" s="49"/>
      <c r="BE207" s="50"/>
      <c r="BF207" s="49"/>
      <c r="BG207" s="50"/>
      <c r="BH207" s="49" t="s">
        <v>5</v>
      </c>
      <c r="BI207" s="50" t="s">
        <v>1184</v>
      </c>
      <c r="BJ207" s="49" t="s">
        <v>5</v>
      </c>
      <c r="BK207" s="50" t="s">
        <v>112</v>
      </c>
      <c r="BL207" s="49"/>
      <c r="BM207" s="50"/>
      <c r="BN207" s="49" t="s">
        <v>5</v>
      </c>
      <c r="BO207" s="50" t="s">
        <v>741</v>
      </c>
      <c r="BP207" s="49"/>
      <c r="BQ207" s="50"/>
      <c r="BR207" s="49" t="s">
        <v>1</v>
      </c>
      <c r="BS207" s="50" t="s">
        <v>170</v>
      </c>
      <c r="BT207" s="49" t="s">
        <v>5</v>
      </c>
      <c r="BU207" s="50" t="s">
        <v>457</v>
      </c>
      <c r="BV207" s="49"/>
      <c r="BW207" s="50"/>
      <c r="BX207" s="49" t="s">
        <v>5</v>
      </c>
      <c r="BY207" s="50" t="s">
        <v>75</v>
      </c>
    </row>
    <row r="208" spans="1:77" s="99" customFormat="1" x14ac:dyDescent="0.25">
      <c r="A208" s="76">
        <v>152601</v>
      </c>
      <c r="B208" s="77" t="s">
        <v>1394</v>
      </c>
      <c r="C208" s="78" t="s">
        <v>1183</v>
      </c>
      <c r="D208" s="76" t="s">
        <v>70</v>
      </c>
      <c r="E208" s="79" t="s">
        <v>14</v>
      </c>
      <c r="F208" s="79" t="s">
        <v>71</v>
      </c>
      <c r="G208" s="79" t="s">
        <v>14</v>
      </c>
      <c r="H208" s="79" t="s">
        <v>14</v>
      </c>
      <c r="I208" s="78" t="s">
        <v>14</v>
      </c>
      <c r="J208" s="79" t="s">
        <v>14</v>
      </c>
      <c r="K208" s="142" t="s">
        <v>1850</v>
      </c>
      <c r="L208" s="149" t="s">
        <v>1841</v>
      </c>
      <c r="M208" s="150" t="s">
        <v>1853</v>
      </c>
      <c r="N208" s="151">
        <v>24</v>
      </c>
      <c r="O208" s="151">
        <v>0</v>
      </c>
      <c r="P208" s="152">
        <v>0</v>
      </c>
      <c r="Q208" s="153">
        <v>91.3</v>
      </c>
      <c r="R208" s="154">
        <v>1</v>
      </c>
      <c r="S208" s="38">
        <f t="shared" si="34"/>
        <v>3</v>
      </c>
      <c r="T208" s="39">
        <f t="shared" si="35"/>
        <v>7</v>
      </c>
      <c r="U208" s="40">
        <f t="shared" si="36"/>
        <v>0</v>
      </c>
      <c r="V208" s="40">
        <f t="shared" si="37"/>
        <v>0</v>
      </c>
      <c r="W208" s="40">
        <f t="shared" si="38"/>
        <v>0</v>
      </c>
      <c r="X208" s="40">
        <f t="shared" si="39"/>
        <v>0</v>
      </c>
      <c r="Y208" s="40">
        <f t="shared" si="40"/>
        <v>0</v>
      </c>
      <c r="Z208" s="40">
        <f t="shared" si="41"/>
        <v>0</v>
      </c>
      <c r="AA208" s="40">
        <f t="shared" si="42"/>
        <v>0</v>
      </c>
      <c r="AB208" s="40">
        <f t="shared" si="43"/>
        <v>0</v>
      </c>
      <c r="AC208" s="41">
        <f t="shared" si="44"/>
        <v>0</v>
      </c>
      <c r="AD208" s="49"/>
      <c r="AE208" s="50"/>
      <c r="AF208" s="49"/>
      <c r="AG208" s="50"/>
      <c r="AH208" s="49"/>
      <c r="AI208" s="50"/>
      <c r="AJ208" s="49"/>
      <c r="AK208" s="50"/>
      <c r="AL208" s="49"/>
      <c r="AM208" s="50"/>
      <c r="AN208" s="49"/>
      <c r="AO208" s="50"/>
      <c r="AP208" s="49" t="s">
        <v>5</v>
      </c>
      <c r="AQ208" s="50" t="s">
        <v>142</v>
      </c>
      <c r="AR208" s="49" t="s">
        <v>5</v>
      </c>
      <c r="AS208" s="50" t="s">
        <v>91</v>
      </c>
      <c r="AT208" s="49"/>
      <c r="AU208" s="50"/>
      <c r="AV208" s="49" t="s">
        <v>1</v>
      </c>
      <c r="AW208" s="50" t="s">
        <v>436</v>
      </c>
      <c r="AX208" s="49"/>
      <c r="AY208" s="50"/>
      <c r="AZ208" s="49"/>
      <c r="BA208" s="50"/>
      <c r="BB208" s="49"/>
      <c r="BC208" s="50"/>
      <c r="BD208" s="49" t="s">
        <v>1</v>
      </c>
      <c r="BE208" s="50" t="s">
        <v>104</v>
      </c>
      <c r="BF208" s="49"/>
      <c r="BG208" s="50"/>
      <c r="BH208" s="49" t="s">
        <v>5</v>
      </c>
      <c r="BI208" s="50" t="s">
        <v>163</v>
      </c>
      <c r="BJ208" s="49" t="s">
        <v>5</v>
      </c>
      <c r="BK208" s="50" t="s">
        <v>422</v>
      </c>
      <c r="BL208" s="49"/>
      <c r="BM208" s="50"/>
      <c r="BN208" s="49" t="s">
        <v>5</v>
      </c>
      <c r="BO208" s="50" t="s">
        <v>152</v>
      </c>
      <c r="BP208" s="49"/>
      <c r="BQ208" s="50"/>
      <c r="BR208" s="49"/>
      <c r="BS208" s="50"/>
      <c r="BT208" s="49" t="s">
        <v>5</v>
      </c>
      <c r="BU208" s="50" t="s">
        <v>82</v>
      </c>
      <c r="BV208" s="49" t="s">
        <v>1</v>
      </c>
      <c r="BW208" s="50" t="s">
        <v>98</v>
      </c>
      <c r="BX208" s="49" t="s">
        <v>5</v>
      </c>
      <c r="BY208" s="50" t="s">
        <v>130</v>
      </c>
    </row>
    <row r="209" spans="1:77" s="156" customFormat="1" x14ac:dyDescent="0.25">
      <c r="A209" s="76">
        <v>152552</v>
      </c>
      <c r="B209" s="77" t="s">
        <v>1395</v>
      </c>
      <c r="C209" s="78" t="s">
        <v>1191</v>
      </c>
      <c r="D209" s="76" t="s">
        <v>70</v>
      </c>
      <c r="E209" s="79" t="s">
        <v>14</v>
      </c>
      <c r="F209" s="79" t="s">
        <v>71</v>
      </c>
      <c r="G209" s="79" t="s">
        <v>14</v>
      </c>
      <c r="H209" s="79" t="s">
        <v>14</v>
      </c>
      <c r="I209" s="78" t="s">
        <v>14</v>
      </c>
      <c r="J209" s="79" t="s">
        <v>14</v>
      </c>
      <c r="K209" s="142" t="s">
        <v>1850</v>
      </c>
      <c r="L209" s="149" t="s">
        <v>1844</v>
      </c>
      <c r="M209" s="150" t="s">
        <v>1853</v>
      </c>
      <c r="N209" s="151">
        <v>17</v>
      </c>
      <c r="O209" s="151">
        <v>1</v>
      </c>
      <c r="P209" s="152">
        <v>2</v>
      </c>
      <c r="Q209" s="153">
        <v>91.3</v>
      </c>
      <c r="R209" s="154">
        <v>6</v>
      </c>
      <c r="S209" s="38">
        <f t="shared" si="34"/>
        <v>2</v>
      </c>
      <c r="T209" s="39">
        <f t="shared" si="35"/>
        <v>8</v>
      </c>
      <c r="U209" s="40">
        <f t="shared" si="36"/>
        <v>0</v>
      </c>
      <c r="V209" s="40">
        <f t="shared" si="37"/>
        <v>0</v>
      </c>
      <c r="W209" s="40">
        <f t="shared" si="38"/>
        <v>0</v>
      </c>
      <c r="X209" s="40">
        <f t="shared" si="39"/>
        <v>0</v>
      </c>
      <c r="Y209" s="40">
        <f t="shared" si="40"/>
        <v>0</v>
      </c>
      <c r="Z209" s="40">
        <f t="shared" si="41"/>
        <v>0</v>
      </c>
      <c r="AA209" s="40">
        <f t="shared" si="42"/>
        <v>0</v>
      </c>
      <c r="AB209" s="40">
        <f t="shared" si="43"/>
        <v>0</v>
      </c>
      <c r="AC209" s="41">
        <f t="shared" si="44"/>
        <v>0</v>
      </c>
      <c r="AD209" s="49"/>
      <c r="AE209" s="50"/>
      <c r="AF209" s="49"/>
      <c r="AG209" s="50"/>
      <c r="AH209" s="49"/>
      <c r="AI209" s="50"/>
      <c r="AJ209" s="49"/>
      <c r="AK209" s="50"/>
      <c r="AL209" s="49"/>
      <c r="AM209" s="50"/>
      <c r="AN209" s="49"/>
      <c r="AO209" s="50"/>
      <c r="AP209" s="49" t="s">
        <v>5</v>
      </c>
      <c r="AQ209" s="50" t="s">
        <v>142</v>
      </c>
      <c r="AR209" s="49" t="s">
        <v>5</v>
      </c>
      <c r="AS209" s="50" t="s">
        <v>448</v>
      </c>
      <c r="AT209" s="49"/>
      <c r="AU209" s="50"/>
      <c r="AV209" s="49" t="s">
        <v>5</v>
      </c>
      <c r="AW209" s="50" t="s">
        <v>154</v>
      </c>
      <c r="AX209" s="49"/>
      <c r="AY209" s="50"/>
      <c r="AZ209" s="49"/>
      <c r="BA209" s="50"/>
      <c r="BB209" s="49"/>
      <c r="BC209" s="50"/>
      <c r="BD209" s="49" t="s">
        <v>5</v>
      </c>
      <c r="BE209" s="50" t="s">
        <v>104</v>
      </c>
      <c r="BF209" s="49"/>
      <c r="BG209" s="50"/>
      <c r="BH209" s="49" t="s">
        <v>5</v>
      </c>
      <c r="BI209" s="50" t="s">
        <v>163</v>
      </c>
      <c r="BJ209" s="49" t="s">
        <v>1</v>
      </c>
      <c r="BK209" s="50" t="s">
        <v>94</v>
      </c>
      <c r="BL209" s="49"/>
      <c r="BM209" s="50"/>
      <c r="BN209" s="49" t="s">
        <v>5</v>
      </c>
      <c r="BO209" s="50" t="s">
        <v>121</v>
      </c>
      <c r="BP209" s="49"/>
      <c r="BQ209" s="50"/>
      <c r="BR209" s="49"/>
      <c r="BS209" s="50"/>
      <c r="BT209" s="49" t="s">
        <v>5</v>
      </c>
      <c r="BU209" s="50" t="s">
        <v>108</v>
      </c>
      <c r="BV209" s="49" t="s">
        <v>1</v>
      </c>
      <c r="BW209" s="50" t="s">
        <v>109</v>
      </c>
      <c r="BX209" s="49" t="s">
        <v>5</v>
      </c>
      <c r="BY209" s="50" t="s">
        <v>75</v>
      </c>
    </row>
    <row r="210" spans="1:77" x14ac:dyDescent="0.25">
      <c r="A210" s="76">
        <v>152551</v>
      </c>
      <c r="B210" s="77" t="s">
        <v>1396</v>
      </c>
      <c r="C210" s="78" t="s">
        <v>1188</v>
      </c>
      <c r="D210" s="76" t="s">
        <v>70</v>
      </c>
      <c r="E210" s="79" t="s">
        <v>14</v>
      </c>
      <c r="F210" s="79" t="s">
        <v>218</v>
      </c>
      <c r="G210" s="79" t="s">
        <v>14</v>
      </c>
      <c r="H210" s="79" t="s">
        <v>14</v>
      </c>
      <c r="I210" s="78" t="s">
        <v>14</v>
      </c>
      <c r="J210" s="79" t="s">
        <v>14</v>
      </c>
      <c r="K210" s="142" t="s">
        <v>1850</v>
      </c>
      <c r="L210" s="149" t="s">
        <v>1842</v>
      </c>
      <c r="M210" s="150" t="s">
        <v>12</v>
      </c>
      <c r="N210" s="151">
        <v>29</v>
      </c>
      <c r="O210" s="151">
        <v>0</v>
      </c>
      <c r="P210" s="152">
        <v>0</v>
      </c>
      <c r="Q210" s="153">
        <v>93.48</v>
      </c>
      <c r="R210" s="154">
        <v>0</v>
      </c>
      <c r="S210" s="38">
        <f t="shared" si="34"/>
        <v>1</v>
      </c>
      <c r="T210" s="39">
        <f t="shared" si="35"/>
        <v>10</v>
      </c>
      <c r="U210" s="40">
        <f t="shared" si="36"/>
        <v>0</v>
      </c>
      <c r="V210" s="40">
        <f t="shared" si="37"/>
        <v>0</v>
      </c>
      <c r="W210" s="40">
        <f t="shared" si="38"/>
        <v>0</v>
      </c>
      <c r="X210" s="40">
        <f t="shared" si="39"/>
        <v>0</v>
      </c>
      <c r="Y210" s="40">
        <f t="shared" si="40"/>
        <v>0</v>
      </c>
      <c r="Z210" s="40">
        <f t="shared" si="41"/>
        <v>0</v>
      </c>
      <c r="AA210" s="40">
        <f t="shared" si="42"/>
        <v>0</v>
      </c>
      <c r="AB210" s="40">
        <f t="shared" si="43"/>
        <v>0</v>
      </c>
      <c r="AC210" s="41">
        <f t="shared" si="44"/>
        <v>0</v>
      </c>
      <c r="AD210" s="49"/>
      <c r="AE210" s="50"/>
      <c r="AF210" s="49" t="s">
        <v>5</v>
      </c>
      <c r="AG210" s="50" t="s">
        <v>154</v>
      </c>
      <c r="AH210" s="49"/>
      <c r="AI210" s="50"/>
      <c r="AJ210" s="49" t="s">
        <v>1</v>
      </c>
      <c r="AK210" s="50" t="s">
        <v>206</v>
      </c>
      <c r="AL210" s="49"/>
      <c r="AM210" s="50"/>
      <c r="AN210" s="49"/>
      <c r="AO210" s="50"/>
      <c r="AP210" s="49"/>
      <c r="AQ210" s="50"/>
      <c r="AR210" s="49" t="s">
        <v>5</v>
      </c>
      <c r="AS210" s="50" t="s">
        <v>151</v>
      </c>
      <c r="AT210" s="49"/>
      <c r="AU210" s="50"/>
      <c r="AV210" s="49" t="s">
        <v>5</v>
      </c>
      <c r="AW210" s="50" t="s">
        <v>430</v>
      </c>
      <c r="AX210" s="49" t="s">
        <v>5</v>
      </c>
      <c r="AY210" s="50" t="s">
        <v>130</v>
      </c>
      <c r="AZ210" s="49" t="s">
        <v>5</v>
      </c>
      <c r="BA210" s="50" t="s">
        <v>92</v>
      </c>
      <c r="BB210" s="49"/>
      <c r="BC210" s="50"/>
      <c r="BD210" s="49"/>
      <c r="BE210" s="50"/>
      <c r="BF210" s="49"/>
      <c r="BG210" s="50"/>
      <c r="BH210" s="49" t="s">
        <v>5</v>
      </c>
      <c r="BI210" s="50" t="s">
        <v>1184</v>
      </c>
      <c r="BJ210" s="49" t="s">
        <v>5</v>
      </c>
      <c r="BK210" s="50" t="s">
        <v>505</v>
      </c>
      <c r="BL210" s="49"/>
      <c r="BM210" s="50"/>
      <c r="BN210" s="49" t="s">
        <v>5</v>
      </c>
      <c r="BO210" s="50" t="s">
        <v>121</v>
      </c>
      <c r="BP210" s="49"/>
      <c r="BQ210" s="50"/>
      <c r="BR210" s="49" t="s">
        <v>5</v>
      </c>
      <c r="BS210" s="50" t="s">
        <v>140</v>
      </c>
      <c r="BT210" s="49" t="s">
        <v>5</v>
      </c>
      <c r="BU210" s="50" t="s">
        <v>97</v>
      </c>
      <c r="BV210" s="49"/>
      <c r="BW210" s="50"/>
      <c r="BX210" s="49"/>
      <c r="BY210" s="50"/>
    </row>
    <row r="211" spans="1:77" x14ac:dyDescent="0.25">
      <c r="A211" s="76">
        <v>152578</v>
      </c>
      <c r="B211" s="77" t="s">
        <v>1397</v>
      </c>
      <c r="C211" s="78" t="s">
        <v>1193</v>
      </c>
      <c r="D211" s="76" t="s">
        <v>70</v>
      </c>
      <c r="E211" s="79" t="s">
        <v>14</v>
      </c>
      <c r="F211" s="79" t="s">
        <v>71</v>
      </c>
      <c r="G211" s="79" t="s">
        <v>14</v>
      </c>
      <c r="H211" s="79" t="s">
        <v>14</v>
      </c>
      <c r="I211" s="78" t="s">
        <v>14</v>
      </c>
      <c r="J211" s="79" t="s">
        <v>14</v>
      </c>
      <c r="K211" s="142" t="s">
        <v>1850</v>
      </c>
      <c r="L211" s="149" t="s">
        <v>1841</v>
      </c>
      <c r="M211" s="150" t="s">
        <v>1853</v>
      </c>
      <c r="N211" s="151">
        <v>31</v>
      </c>
      <c r="O211" s="151">
        <v>0</v>
      </c>
      <c r="P211" s="152">
        <v>0</v>
      </c>
      <c r="Q211" s="153">
        <v>100</v>
      </c>
      <c r="R211" s="154">
        <v>1</v>
      </c>
      <c r="S211" s="38">
        <f t="shared" si="34"/>
        <v>1</v>
      </c>
      <c r="T211" s="39">
        <f t="shared" si="35"/>
        <v>10</v>
      </c>
      <c r="U211" s="40">
        <f t="shared" si="36"/>
        <v>0</v>
      </c>
      <c r="V211" s="40">
        <f t="shared" si="37"/>
        <v>0</v>
      </c>
      <c r="W211" s="40">
        <f t="shared" si="38"/>
        <v>0</v>
      </c>
      <c r="X211" s="40">
        <f t="shared" si="39"/>
        <v>0</v>
      </c>
      <c r="Y211" s="40">
        <f t="shared" si="40"/>
        <v>0</v>
      </c>
      <c r="Z211" s="40">
        <f t="shared" si="41"/>
        <v>0</v>
      </c>
      <c r="AA211" s="40">
        <f t="shared" si="42"/>
        <v>0</v>
      </c>
      <c r="AB211" s="40">
        <f t="shared" si="43"/>
        <v>0</v>
      </c>
      <c r="AC211" s="41">
        <f t="shared" si="44"/>
        <v>0</v>
      </c>
      <c r="AD211" s="49"/>
      <c r="AE211" s="50"/>
      <c r="AF211" s="49" t="s">
        <v>5</v>
      </c>
      <c r="AG211" s="50" t="s">
        <v>164</v>
      </c>
      <c r="AH211" s="49"/>
      <c r="AI211" s="50"/>
      <c r="AJ211" s="49" t="s">
        <v>1</v>
      </c>
      <c r="AK211" s="50" t="s">
        <v>206</v>
      </c>
      <c r="AL211" s="49" t="s">
        <v>5</v>
      </c>
      <c r="AM211" s="50" t="s">
        <v>153</v>
      </c>
      <c r="AN211" s="49"/>
      <c r="AO211" s="50"/>
      <c r="AP211" s="49"/>
      <c r="AQ211" s="50"/>
      <c r="AR211" s="49" t="s">
        <v>5</v>
      </c>
      <c r="AS211" s="50" t="s">
        <v>91</v>
      </c>
      <c r="AT211" s="49"/>
      <c r="AU211" s="50"/>
      <c r="AV211" s="49" t="s">
        <v>5</v>
      </c>
      <c r="AW211" s="50" t="s">
        <v>82</v>
      </c>
      <c r="AX211" s="49" t="s">
        <v>5</v>
      </c>
      <c r="AY211" s="50" t="s">
        <v>84</v>
      </c>
      <c r="AZ211" s="49"/>
      <c r="BA211" s="50"/>
      <c r="BB211" s="49"/>
      <c r="BC211" s="50"/>
      <c r="BD211" s="49"/>
      <c r="BE211" s="50"/>
      <c r="BF211" s="49"/>
      <c r="BG211" s="50"/>
      <c r="BH211" s="49" t="s">
        <v>5</v>
      </c>
      <c r="BI211" s="50" t="s">
        <v>105</v>
      </c>
      <c r="BJ211" s="49" t="s">
        <v>5</v>
      </c>
      <c r="BK211" s="50" t="s">
        <v>505</v>
      </c>
      <c r="BL211" s="49"/>
      <c r="BM211" s="50"/>
      <c r="BN211" s="49" t="s">
        <v>5</v>
      </c>
      <c r="BO211" s="50" t="s">
        <v>121</v>
      </c>
      <c r="BP211" s="49"/>
      <c r="BQ211" s="50"/>
      <c r="BR211" s="49" t="s">
        <v>5</v>
      </c>
      <c r="BS211" s="50" t="s">
        <v>123</v>
      </c>
      <c r="BT211" s="49" t="s">
        <v>5</v>
      </c>
      <c r="BU211" s="50" t="s">
        <v>97</v>
      </c>
      <c r="BV211" s="49"/>
      <c r="BW211" s="50"/>
      <c r="BX211" s="49"/>
      <c r="BY211" s="50"/>
    </row>
    <row r="212" spans="1:77" x14ac:dyDescent="0.25">
      <c r="A212" s="76">
        <v>152539</v>
      </c>
      <c r="B212" s="77" t="s">
        <v>1398</v>
      </c>
      <c r="C212" s="78" t="s">
        <v>1183</v>
      </c>
      <c r="D212" s="76" t="s">
        <v>12</v>
      </c>
      <c r="E212" s="79" t="s">
        <v>87</v>
      </c>
      <c r="F212" s="79" t="s">
        <v>88</v>
      </c>
      <c r="G212" s="79" t="s">
        <v>87</v>
      </c>
      <c r="H212" s="79" t="s">
        <v>87</v>
      </c>
      <c r="I212" s="78" t="s">
        <v>14</v>
      </c>
      <c r="J212" s="79" t="s">
        <v>14</v>
      </c>
      <c r="K212" s="142" t="s">
        <v>1850</v>
      </c>
      <c r="L212" s="149" t="s">
        <v>1846</v>
      </c>
      <c r="M212" s="150" t="s">
        <v>1853</v>
      </c>
      <c r="N212" s="151">
        <v>25</v>
      </c>
      <c r="O212" s="151">
        <v>1</v>
      </c>
      <c r="P212" s="152">
        <v>0</v>
      </c>
      <c r="Q212" s="153">
        <v>100</v>
      </c>
      <c r="R212" s="154">
        <v>0</v>
      </c>
      <c r="S212" s="38">
        <f t="shared" si="34"/>
        <v>1</v>
      </c>
      <c r="T212" s="39">
        <f t="shared" si="35"/>
        <v>10</v>
      </c>
      <c r="U212" s="40">
        <f t="shared" si="36"/>
        <v>0</v>
      </c>
      <c r="V212" s="40">
        <f t="shared" si="37"/>
        <v>0</v>
      </c>
      <c r="W212" s="40">
        <f t="shared" si="38"/>
        <v>0</v>
      </c>
      <c r="X212" s="40">
        <f t="shared" si="39"/>
        <v>0</v>
      </c>
      <c r="Y212" s="40">
        <f t="shared" si="40"/>
        <v>0</v>
      </c>
      <c r="Z212" s="40">
        <f t="shared" si="41"/>
        <v>0</v>
      </c>
      <c r="AA212" s="40">
        <f t="shared" si="42"/>
        <v>0</v>
      </c>
      <c r="AB212" s="40">
        <f t="shared" si="43"/>
        <v>0</v>
      </c>
      <c r="AC212" s="41">
        <f t="shared" si="44"/>
        <v>0</v>
      </c>
      <c r="AD212" s="49"/>
      <c r="AE212" s="50"/>
      <c r="AF212" s="49" t="s">
        <v>5</v>
      </c>
      <c r="AG212" s="50" t="s">
        <v>164</v>
      </c>
      <c r="AH212" s="49" t="s">
        <v>5</v>
      </c>
      <c r="AI212" s="50" t="s">
        <v>78</v>
      </c>
      <c r="AJ212" s="49" t="s">
        <v>5</v>
      </c>
      <c r="AK212" s="50" t="s">
        <v>206</v>
      </c>
      <c r="AL212" s="49"/>
      <c r="AM212" s="50"/>
      <c r="AN212" s="49"/>
      <c r="AO212" s="50"/>
      <c r="AP212" s="49"/>
      <c r="AQ212" s="50"/>
      <c r="AR212" s="49" t="s">
        <v>5</v>
      </c>
      <c r="AS212" s="50" t="s">
        <v>194</v>
      </c>
      <c r="AT212" s="49"/>
      <c r="AU212" s="50"/>
      <c r="AV212" s="49" t="s">
        <v>1</v>
      </c>
      <c r="AW212" s="50" t="s">
        <v>436</v>
      </c>
      <c r="AX212" s="49"/>
      <c r="AY212" s="50"/>
      <c r="AZ212" s="49"/>
      <c r="BA212" s="50"/>
      <c r="BB212" s="49"/>
      <c r="BC212" s="50"/>
      <c r="BD212" s="49"/>
      <c r="BE212" s="50"/>
      <c r="BF212" s="49"/>
      <c r="BG212" s="50"/>
      <c r="BH212" s="49" t="s">
        <v>5</v>
      </c>
      <c r="BI212" s="50" t="s">
        <v>163</v>
      </c>
      <c r="BJ212" s="49" t="s">
        <v>5</v>
      </c>
      <c r="BK212" s="50" t="s">
        <v>106</v>
      </c>
      <c r="BL212" s="49"/>
      <c r="BM212" s="50"/>
      <c r="BN212" s="49" t="s">
        <v>5</v>
      </c>
      <c r="BO212" s="50" t="s">
        <v>741</v>
      </c>
      <c r="BP212" s="49"/>
      <c r="BQ212" s="50"/>
      <c r="BR212" s="49" t="s">
        <v>5</v>
      </c>
      <c r="BS212" s="50" t="s">
        <v>123</v>
      </c>
      <c r="BT212" s="49" t="s">
        <v>5</v>
      </c>
      <c r="BU212" s="50" t="s">
        <v>82</v>
      </c>
      <c r="BV212" s="49"/>
      <c r="BW212" s="50"/>
      <c r="BX212" s="49" t="s">
        <v>5</v>
      </c>
      <c r="BY212" s="50" t="s">
        <v>421</v>
      </c>
    </row>
    <row r="213" spans="1:77" x14ac:dyDescent="0.25">
      <c r="A213" s="76"/>
      <c r="B213" s="77"/>
      <c r="C213" s="78"/>
      <c r="D213" s="76"/>
      <c r="E213" s="79"/>
      <c r="F213" s="79"/>
      <c r="G213" s="79"/>
      <c r="H213" s="79"/>
      <c r="I213" s="78"/>
      <c r="J213" s="79"/>
      <c r="K213" s="142"/>
      <c r="L213" s="149"/>
      <c r="M213" s="150"/>
      <c r="N213" s="151"/>
      <c r="O213" s="151"/>
      <c r="P213" s="152"/>
      <c r="Q213" s="153"/>
      <c r="R213" s="154"/>
      <c r="S213" s="38"/>
      <c r="T213" s="39"/>
      <c r="U213" s="40"/>
      <c r="V213" s="40"/>
      <c r="W213" s="40"/>
      <c r="X213" s="40"/>
      <c r="Y213" s="40"/>
      <c r="Z213" s="40"/>
      <c r="AA213" s="40"/>
      <c r="AB213" s="40"/>
      <c r="AC213" s="41"/>
      <c r="AD213" s="49"/>
      <c r="AE213" s="50"/>
      <c r="AF213" s="49"/>
      <c r="AG213" s="50"/>
      <c r="AH213" s="49"/>
      <c r="AI213" s="50"/>
      <c r="AJ213" s="49"/>
      <c r="AK213" s="50"/>
      <c r="AL213" s="49"/>
      <c r="AM213" s="50"/>
      <c r="AN213" s="49"/>
      <c r="AO213" s="50"/>
      <c r="AP213" s="49"/>
      <c r="AQ213" s="50"/>
      <c r="AR213" s="49"/>
      <c r="AS213" s="50"/>
      <c r="AT213" s="49"/>
      <c r="AU213" s="50"/>
      <c r="AV213" s="49"/>
      <c r="AW213" s="50"/>
      <c r="AX213" s="49"/>
      <c r="AY213" s="50"/>
      <c r="AZ213" s="49"/>
      <c r="BA213" s="50"/>
      <c r="BB213" s="49"/>
      <c r="BC213" s="50"/>
      <c r="BD213" s="49"/>
      <c r="BE213" s="50"/>
      <c r="BF213" s="49"/>
      <c r="BG213" s="50"/>
      <c r="BH213" s="49"/>
      <c r="BI213" s="50"/>
      <c r="BJ213" s="49"/>
      <c r="BK213" s="50"/>
      <c r="BL213" s="49"/>
      <c r="BM213" s="50"/>
      <c r="BN213" s="49"/>
      <c r="BO213" s="50"/>
      <c r="BP213" s="49"/>
      <c r="BQ213" s="50"/>
      <c r="BR213" s="49"/>
      <c r="BS213" s="50"/>
      <c r="BT213" s="49"/>
      <c r="BU213" s="50"/>
      <c r="BV213" s="49"/>
      <c r="BW213" s="50"/>
      <c r="BX213" s="49"/>
      <c r="BY213" s="50"/>
    </row>
    <row r="214" spans="1:77" x14ac:dyDescent="0.25">
      <c r="A214" s="76"/>
      <c r="B214" s="77"/>
      <c r="C214" s="78"/>
      <c r="D214" s="76"/>
      <c r="E214" s="79"/>
      <c r="F214" s="79"/>
      <c r="G214" s="79"/>
      <c r="H214" s="79"/>
      <c r="I214" s="78"/>
      <c r="J214" s="79"/>
      <c r="K214" s="142"/>
      <c r="L214" s="149"/>
      <c r="M214" s="150"/>
      <c r="N214" s="151"/>
      <c r="O214" s="151"/>
      <c r="P214" s="152"/>
      <c r="Q214" s="153"/>
      <c r="R214" s="154"/>
      <c r="S214" s="38"/>
      <c r="T214" s="39"/>
      <c r="U214" s="40"/>
      <c r="V214" s="40"/>
      <c r="W214" s="40"/>
      <c r="X214" s="40"/>
      <c r="Y214" s="40"/>
      <c r="Z214" s="40"/>
      <c r="AA214" s="40"/>
      <c r="AB214" s="40"/>
      <c r="AC214" s="41"/>
      <c r="AD214" s="49"/>
      <c r="AE214" s="50"/>
      <c r="AF214" s="49"/>
      <c r="AG214" s="50"/>
      <c r="AH214" s="49"/>
      <c r="AI214" s="50"/>
      <c r="AJ214" s="49"/>
      <c r="AK214" s="50"/>
      <c r="AL214" s="49"/>
      <c r="AM214" s="50"/>
      <c r="AN214" s="49"/>
      <c r="AO214" s="50"/>
      <c r="AP214" s="49"/>
      <c r="AQ214" s="50"/>
      <c r="AR214" s="49"/>
      <c r="AS214" s="50"/>
      <c r="AT214" s="49"/>
      <c r="AU214" s="50"/>
      <c r="AV214" s="49"/>
      <c r="AW214" s="50"/>
      <c r="AX214" s="49"/>
      <c r="AY214" s="50"/>
      <c r="AZ214" s="49"/>
      <c r="BA214" s="50"/>
      <c r="BB214" s="49"/>
      <c r="BC214" s="50"/>
      <c r="BD214" s="49"/>
      <c r="BE214" s="50"/>
      <c r="BF214" s="49"/>
      <c r="BG214" s="50"/>
      <c r="BH214" s="49"/>
      <c r="BI214" s="50"/>
      <c r="BJ214" s="49"/>
      <c r="BK214" s="50"/>
      <c r="BL214" s="49"/>
      <c r="BM214" s="50"/>
      <c r="BN214" s="49"/>
      <c r="BO214" s="50"/>
      <c r="BP214" s="49"/>
      <c r="BQ214" s="50"/>
      <c r="BR214" s="49"/>
      <c r="BS214" s="50"/>
      <c r="BT214" s="49"/>
      <c r="BU214" s="50"/>
      <c r="BV214" s="49"/>
      <c r="BW214" s="50"/>
      <c r="BX214" s="49"/>
      <c r="BY214" s="50"/>
    </row>
    <row r="215" spans="1:77" x14ac:dyDescent="0.25">
      <c r="A215" s="76"/>
      <c r="B215" s="77"/>
      <c r="C215" s="78"/>
      <c r="D215" s="76"/>
      <c r="E215" s="79"/>
      <c r="F215" s="79"/>
      <c r="G215" s="79"/>
      <c r="H215" s="79"/>
      <c r="I215" s="78"/>
      <c r="J215" s="79"/>
      <c r="K215" s="142"/>
      <c r="L215" s="149"/>
      <c r="M215" s="150"/>
      <c r="N215" s="151"/>
      <c r="O215" s="151"/>
      <c r="P215" s="152"/>
      <c r="Q215" s="153"/>
      <c r="R215" s="154"/>
      <c r="S215" s="38"/>
      <c r="T215" s="39"/>
      <c r="U215" s="40"/>
      <c r="V215" s="40"/>
      <c r="W215" s="40"/>
      <c r="X215" s="40"/>
      <c r="Y215" s="40"/>
      <c r="Z215" s="40"/>
      <c r="AA215" s="40"/>
      <c r="AB215" s="40"/>
      <c r="AC215" s="41"/>
      <c r="AD215" s="49"/>
      <c r="AE215" s="50"/>
      <c r="AF215" s="49"/>
      <c r="AG215" s="50"/>
      <c r="AH215" s="49"/>
      <c r="AI215" s="50"/>
      <c r="AJ215" s="49"/>
      <c r="AK215" s="50"/>
      <c r="AL215" s="49"/>
      <c r="AM215" s="50"/>
      <c r="AN215" s="49"/>
      <c r="AO215" s="50"/>
      <c r="AP215" s="49"/>
      <c r="AQ215" s="50"/>
      <c r="AR215" s="49"/>
      <c r="AS215" s="50"/>
      <c r="AT215" s="49"/>
      <c r="AU215" s="50"/>
      <c r="AV215" s="49"/>
      <c r="AW215" s="50"/>
      <c r="AX215" s="49"/>
      <c r="AY215" s="50"/>
      <c r="AZ215" s="49"/>
      <c r="BA215" s="50"/>
      <c r="BB215" s="49"/>
      <c r="BC215" s="50"/>
      <c r="BD215" s="49"/>
      <c r="BE215" s="50"/>
      <c r="BF215" s="49"/>
      <c r="BG215" s="50"/>
      <c r="BH215" s="49"/>
      <c r="BI215" s="50"/>
      <c r="BJ215" s="49"/>
      <c r="BK215" s="50"/>
      <c r="BL215" s="49"/>
      <c r="BM215" s="50"/>
      <c r="BN215" s="49"/>
      <c r="BO215" s="50"/>
      <c r="BP215" s="49"/>
      <c r="BQ215" s="50"/>
      <c r="BR215" s="49"/>
      <c r="BS215" s="50"/>
      <c r="BT215" s="49"/>
      <c r="BU215" s="50"/>
      <c r="BV215" s="49"/>
      <c r="BW215" s="50"/>
      <c r="BX215" s="49"/>
      <c r="BY215" s="50"/>
    </row>
    <row r="216" spans="1:77" x14ac:dyDescent="0.25">
      <c r="A216" s="76"/>
      <c r="B216" s="77"/>
      <c r="C216" s="78"/>
      <c r="D216" s="76"/>
      <c r="E216" s="79"/>
      <c r="F216" s="79"/>
      <c r="G216" s="79"/>
      <c r="H216" s="79"/>
      <c r="I216" s="78"/>
      <c r="J216" s="79"/>
      <c r="K216" s="142"/>
      <c r="L216" s="149"/>
      <c r="M216" s="150"/>
      <c r="N216" s="151"/>
      <c r="O216" s="151"/>
      <c r="P216" s="152"/>
      <c r="Q216" s="153"/>
      <c r="R216" s="154"/>
      <c r="S216" s="38"/>
      <c r="T216" s="39"/>
      <c r="U216" s="40"/>
      <c r="V216" s="40"/>
      <c r="W216" s="40"/>
      <c r="X216" s="40"/>
      <c r="Y216" s="40"/>
      <c r="Z216" s="40"/>
      <c r="AA216" s="40"/>
      <c r="AB216" s="40"/>
      <c r="AC216" s="41"/>
    </row>
    <row r="217" spans="1:77" x14ac:dyDescent="0.25">
      <c r="A217" s="157"/>
      <c r="B217" s="158"/>
      <c r="C217" s="159"/>
      <c r="D217" s="157"/>
      <c r="E217" s="160"/>
      <c r="F217" s="160"/>
      <c r="G217" s="160"/>
      <c r="H217" s="160"/>
      <c r="I217" s="159"/>
      <c r="J217" s="160"/>
      <c r="K217" s="142"/>
      <c r="L217" s="149"/>
      <c r="M217" s="150"/>
      <c r="N217" s="151"/>
      <c r="O217" s="151"/>
      <c r="P217" s="152"/>
      <c r="Q217" s="153"/>
      <c r="R217" s="154"/>
      <c r="S217" s="38"/>
      <c r="T217" s="39"/>
      <c r="U217" s="40"/>
      <c r="V217" s="40"/>
      <c r="W217" s="40"/>
      <c r="X217" s="40"/>
      <c r="Y217" s="40"/>
      <c r="Z217" s="40"/>
      <c r="AA217" s="40"/>
      <c r="AB217" s="40"/>
      <c r="AC217" s="41"/>
    </row>
    <row r="218" spans="1:77" x14ac:dyDescent="0.25">
      <c r="A218" s="157"/>
      <c r="B218" s="158"/>
      <c r="C218" s="159"/>
      <c r="D218" s="157"/>
      <c r="E218" s="160"/>
      <c r="F218" s="160"/>
      <c r="G218" s="160"/>
      <c r="H218" s="160"/>
      <c r="I218" s="159"/>
      <c r="J218" s="160"/>
      <c r="K218" s="142"/>
      <c r="L218" s="149"/>
      <c r="M218" s="150"/>
      <c r="N218" s="151"/>
      <c r="O218" s="151"/>
      <c r="P218" s="152"/>
      <c r="Q218" s="153"/>
      <c r="R218" s="154"/>
      <c r="S218" s="38"/>
      <c r="T218" s="39"/>
      <c r="U218" s="40"/>
      <c r="V218" s="40"/>
      <c r="W218" s="40"/>
      <c r="X218" s="40"/>
      <c r="Y218" s="40"/>
      <c r="Z218" s="40"/>
      <c r="AA218" s="40"/>
      <c r="AB218" s="40"/>
      <c r="AC218" s="41"/>
    </row>
    <row r="219" spans="1:77" x14ac:dyDescent="0.25">
      <c r="A219" s="157"/>
      <c r="B219" s="158"/>
      <c r="C219" s="159"/>
      <c r="D219" s="157"/>
      <c r="E219" s="160"/>
      <c r="F219" s="160"/>
      <c r="G219" s="160"/>
      <c r="H219" s="160"/>
      <c r="I219" s="159"/>
      <c r="J219" s="160"/>
      <c r="K219" s="142"/>
      <c r="L219" s="149"/>
      <c r="M219" s="150"/>
      <c r="N219" s="151"/>
      <c r="O219" s="151"/>
      <c r="P219" s="152"/>
      <c r="Q219" s="153"/>
      <c r="R219" s="154"/>
      <c r="S219" s="38"/>
      <c r="T219" s="39"/>
      <c r="U219" s="40"/>
      <c r="V219" s="40"/>
      <c r="W219" s="40"/>
      <c r="X219" s="40"/>
      <c r="Y219" s="40"/>
      <c r="Z219" s="40"/>
      <c r="AA219" s="40"/>
      <c r="AB219" s="40"/>
      <c r="AC219" s="41"/>
    </row>
    <row r="220" spans="1:77" x14ac:dyDescent="0.25">
      <c r="A220" s="157"/>
      <c r="B220" s="158"/>
      <c r="C220" s="159"/>
      <c r="D220" s="157"/>
      <c r="E220" s="160"/>
      <c r="F220" s="160"/>
      <c r="G220" s="160"/>
      <c r="H220" s="160"/>
      <c r="I220" s="159"/>
      <c r="J220" s="160"/>
      <c r="K220" s="142"/>
      <c r="L220" s="149"/>
      <c r="M220" s="150"/>
      <c r="N220" s="151"/>
      <c r="O220" s="151"/>
      <c r="P220" s="152"/>
      <c r="Q220" s="153"/>
      <c r="R220" s="154"/>
      <c r="S220" s="38"/>
      <c r="T220" s="39"/>
      <c r="U220" s="40"/>
      <c r="V220" s="40"/>
      <c r="W220" s="40"/>
      <c r="X220" s="40"/>
      <c r="Y220" s="40"/>
      <c r="Z220" s="40"/>
      <c r="AA220" s="40"/>
      <c r="AB220" s="40"/>
      <c r="AC220" s="41"/>
    </row>
    <row r="221" spans="1:77" x14ac:dyDescent="0.25">
      <c r="A221" s="157"/>
      <c r="B221" s="158"/>
      <c r="C221" s="159"/>
      <c r="D221" s="157"/>
      <c r="E221" s="160"/>
      <c r="F221" s="160"/>
      <c r="G221" s="160"/>
      <c r="H221" s="160"/>
      <c r="I221" s="159"/>
      <c r="J221" s="160"/>
      <c r="K221" s="142"/>
      <c r="L221" s="149"/>
      <c r="M221" s="150"/>
      <c r="N221" s="151"/>
      <c r="O221" s="151"/>
      <c r="P221" s="152"/>
      <c r="Q221" s="153"/>
      <c r="R221" s="154"/>
      <c r="S221" s="38"/>
      <c r="T221" s="39"/>
      <c r="U221" s="40"/>
      <c r="V221" s="40"/>
      <c r="W221" s="40"/>
      <c r="X221" s="40"/>
      <c r="Y221" s="40"/>
      <c r="Z221" s="40"/>
      <c r="AA221" s="40"/>
      <c r="AB221" s="40"/>
      <c r="AC221" s="41"/>
    </row>
    <row r="222" spans="1:77" x14ac:dyDescent="0.25">
      <c r="A222" s="157"/>
      <c r="B222" s="158"/>
      <c r="C222" s="159"/>
      <c r="D222" s="157"/>
      <c r="E222" s="160"/>
      <c r="F222" s="160"/>
      <c r="G222" s="160"/>
      <c r="H222" s="160"/>
      <c r="I222" s="159"/>
      <c r="J222" s="160"/>
      <c r="K222" s="142"/>
      <c r="L222" s="149"/>
      <c r="M222" s="150"/>
      <c r="N222" s="151"/>
      <c r="O222" s="151"/>
      <c r="P222" s="152"/>
      <c r="Q222" s="153"/>
      <c r="R222" s="154"/>
      <c r="S222" s="38"/>
      <c r="T222" s="39"/>
      <c r="U222" s="40"/>
      <c r="V222" s="40"/>
      <c r="W222" s="40"/>
      <c r="X222" s="40"/>
      <c r="Y222" s="40"/>
      <c r="Z222" s="40"/>
      <c r="AA222" s="40"/>
      <c r="AB222" s="40"/>
      <c r="AC222" s="41"/>
    </row>
    <row r="223" spans="1:77" x14ac:dyDescent="0.25">
      <c r="A223" s="157"/>
      <c r="B223" s="158"/>
      <c r="C223" s="159"/>
      <c r="D223" s="157"/>
      <c r="E223" s="160"/>
      <c r="F223" s="160"/>
      <c r="G223" s="160"/>
      <c r="H223" s="160"/>
      <c r="I223" s="159"/>
      <c r="J223" s="160"/>
      <c r="K223" s="142"/>
      <c r="L223" s="149"/>
      <c r="M223" s="150"/>
      <c r="N223" s="151"/>
      <c r="O223" s="151"/>
      <c r="P223" s="152"/>
      <c r="Q223" s="153"/>
      <c r="R223" s="154"/>
      <c r="S223" s="38"/>
      <c r="T223" s="39"/>
      <c r="U223" s="40"/>
      <c r="V223" s="40"/>
      <c r="W223" s="40"/>
      <c r="X223" s="40"/>
      <c r="Y223" s="40"/>
      <c r="Z223" s="40"/>
      <c r="AA223" s="40"/>
      <c r="AB223" s="40"/>
      <c r="AC223" s="41"/>
    </row>
    <row r="224" spans="1:77" x14ac:dyDescent="0.25">
      <c r="A224" s="157"/>
      <c r="B224" s="158"/>
      <c r="C224" s="159"/>
      <c r="D224" s="157"/>
      <c r="E224" s="160"/>
      <c r="F224" s="160"/>
      <c r="G224" s="160"/>
      <c r="H224" s="160"/>
      <c r="I224" s="159"/>
      <c r="J224" s="160"/>
      <c r="K224" s="142"/>
      <c r="L224" s="149"/>
      <c r="M224" s="150"/>
      <c r="N224" s="151"/>
      <c r="O224" s="151"/>
      <c r="P224" s="152"/>
      <c r="Q224" s="153"/>
      <c r="R224" s="154"/>
      <c r="S224" s="38"/>
      <c r="T224" s="39"/>
      <c r="U224" s="40"/>
      <c r="V224" s="40"/>
      <c r="W224" s="40"/>
      <c r="X224" s="40"/>
      <c r="Y224" s="40"/>
      <c r="Z224" s="40"/>
      <c r="AA224" s="40"/>
      <c r="AB224" s="40"/>
      <c r="AC224" s="41"/>
    </row>
    <row r="225" spans="1:29" x14ac:dyDescent="0.25">
      <c r="A225" s="157"/>
      <c r="B225" s="158"/>
      <c r="C225" s="159"/>
      <c r="D225" s="157"/>
      <c r="E225" s="160"/>
      <c r="F225" s="160"/>
      <c r="G225" s="160"/>
      <c r="H225" s="160"/>
      <c r="I225" s="159"/>
      <c r="J225" s="160"/>
      <c r="K225" s="142"/>
      <c r="L225" s="149"/>
      <c r="M225" s="150"/>
      <c r="N225" s="151"/>
      <c r="O225" s="151"/>
      <c r="P225" s="152"/>
      <c r="Q225" s="153"/>
      <c r="R225" s="154"/>
      <c r="S225" s="38"/>
      <c r="T225" s="39"/>
      <c r="U225" s="40"/>
      <c r="V225" s="40"/>
      <c r="W225" s="40"/>
      <c r="X225" s="40"/>
      <c r="Y225" s="40"/>
      <c r="Z225" s="40"/>
      <c r="AA225" s="40"/>
      <c r="AB225" s="40"/>
      <c r="AC225" s="41"/>
    </row>
    <row r="226" spans="1:29" x14ac:dyDescent="0.25">
      <c r="A226" s="157"/>
      <c r="B226" s="158"/>
      <c r="C226" s="159"/>
      <c r="D226" s="157"/>
      <c r="E226" s="160"/>
      <c r="F226" s="160"/>
      <c r="G226" s="160"/>
      <c r="H226" s="160"/>
      <c r="I226" s="159"/>
      <c r="J226" s="160"/>
      <c r="K226" s="142"/>
      <c r="L226" s="149"/>
      <c r="M226" s="150"/>
      <c r="N226" s="151"/>
      <c r="O226" s="151"/>
      <c r="P226" s="152"/>
      <c r="Q226" s="153"/>
      <c r="R226" s="154"/>
      <c r="S226" s="38"/>
      <c r="T226" s="39"/>
      <c r="U226" s="40"/>
      <c r="V226" s="40"/>
      <c r="W226" s="40"/>
      <c r="X226" s="40"/>
      <c r="Y226" s="40"/>
      <c r="Z226" s="40"/>
      <c r="AA226" s="40"/>
      <c r="AB226" s="40"/>
      <c r="AC226" s="41"/>
    </row>
    <row r="227" spans="1:29" x14ac:dyDescent="0.25">
      <c r="A227" s="157"/>
      <c r="B227" s="158"/>
      <c r="C227" s="159"/>
      <c r="D227" s="157"/>
      <c r="E227" s="160"/>
      <c r="F227" s="160"/>
      <c r="G227" s="160"/>
      <c r="H227" s="160"/>
      <c r="I227" s="159"/>
      <c r="J227" s="160"/>
      <c r="K227" s="142"/>
      <c r="L227" s="149"/>
      <c r="M227" s="150"/>
      <c r="N227" s="151"/>
      <c r="O227" s="151"/>
      <c r="P227" s="152"/>
      <c r="Q227" s="153"/>
      <c r="R227" s="154"/>
      <c r="S227" s="38"/>
      <c r="T227" s="39"/>
      <c r="U227" s="40"/>
      <c r="V227" s="40"/>
      <c r="W227" s="40"/>
      <c r="X227" s="40"/>
      <c r="Y227" s="40"/>
      <c r="Z227" s="40"/>
      <c r="AA227" s="40"/>
      <c r="AB227" s="40"/>
      <c r="AC227" s="41"/>
    </row>
    <row r="228" spans="1:29" x14ac:dyDescent="0.25">
      <c r="A228" s="157"/>
      <c r="B228" s="158"/>
      <c r="C228" s="159"/>
      <c r="D228" s="157"/>
      <c r="E228" s="160"/>
      <c r="F228" s="160"/>
      <c r="G228" s="160"/>
      <c r="H228" s="160"/>
      <c r="I228" s="159"/>
      <c r="J228" s="160"/>
      <c r="K228" s="142"/>
      <c r="L228" s="149"/>
      <c r="M228" s="150"/>
      <c r="N228" s="151"/>
      <c r="O228" s="151"/>
      <c r="P228" s="152"/>
      <c r="Q228" s="153"/>
      <c r="R228" s="154"/>
      <c r="S228" s="38"/>
      <c r="T228" s="39"/>
      <c r="U228" s="40"/>
      <c r="V228" s="40"/>
      <c r="W228" s="40"/>
      <c r="X228" s="40"/>
      <c r="Y228" s="40"/>
      <c r="Z228" s="40"/>
      <c r="AA228" s="40"/>
      <c r="AB228" s="40"/>
      <c r="AC228" s="41"/>
    </row>
    <row r="229" spans="1:29" x14ac:dyDescent="0.25">
      <c r="A229" s="157"/>
      <c r="B229" s="158"/>
      <c r="C229" s="159"/>
      <c r="D229" s="157"/>
      <c r="E229" s="160"/>
      <c r="F229" s="160"/>
      <c r="G229" s="160"/>
      <c r="H229" s="160"/>
      <c r="I229" s="159"/>
      <c r="J229" s="160"/>
      <c r="K229" s="142"/>
      <c r="L229" s="149"/>
      <c r="M229" s="150"/>
      <c r="N229" s="151"/>
      <c r="O229" s="151"/>
      <c r="P229" s="152"/>
      <c r="Q229" s="153"/>
      <c r="R229" s="154"/>
      <c r="S229" s="38"/>
      <c r="T229" s="39"/>
      <c r="U229" s="40"/>
      <c r="V229" s="40"/>
      <c r="W229" s="40"/>
      <c r="X229" s="40"/>
      <c r="Y229" s="40"/>
      <c r="Z229" s="40"/>
      <c r="AA229" s="40"/>
      <c r="AB229" s="40"/>
      <c r="AC229" s="41"/>
    </row>
    <row r="230" spans="1:29" x14ac:dyDescent="0.25">
      <c r="A230" s="157"/>
      <c r="B230" s="158"/>
      <c r="C230" s="159"/>
      <c r="D230" s="157"/>
      <c r="E230" s="160"/>
      <c r="F230" s="160"/>
      <c r="G230" s="160"/>
      <c r="H230" s="160"/>
      <c r="I230" s="159"/>
      <c r="J230" s="160"/>
      <c r="K230" s="142"/>
      <c r="L230" s="149"/>
      <c r="M230" s="150"/>
      <c r="N230" s="151"/>
      <c r="O230" s="151"/>
      <c r="P230" s="152"/>
      <c r="Q230" s="153"/>
      <c r="R230" s="154"/>
      <c r="S230" s="38"/>
      <c r="T230" s="39"/>
      <c r="U230" s="40"/>
      <c r="V230" s="40"/>
      <c r="W230" s="40"/>
      <c r="X230" s="40"/>
      <c r="Y230" s="40"/>
      <c r="Z230" s="40"/>
      <c r="AA230" s="40"/>
      <c r="AB230" s="40"/>
      <c r="AC230" s="41"/>
    </row>
    <row r="231" spans="1:29" x14ac:dyDescent="0.25">
      <c r="A231" s="157"/>
      <c r="B231" s="158"/>
      <c r="C231" s="159"/>
      <c r="D231" s="157"/>
      <c r="E231" s="160"/>
      <c r="F231" s="160"/>
      <c r="G231" s="160"/>
      <c r="H231" s="160"/>
      <c r="I231" s="159"/>
      <c r="J231" s="160"/>
      <c r="K231" s="142"/>
      <c r="L231" s="149"/>
      <c r="M231" s="150"/>
      <c r="N231" s="151"/>
      <c r="O231" s="151"/>
      <c r="P231" s="152"/>
      <c r="Q231" s="153"/>
      <c r="R231" s="154"/>
      <c r="S231" s="38"/>
      <c r="T231" s="39"/>
      <c r="U231" s="40"/>
      <c r="V231" s="40"/>
      <c r="W231" s="40"/>
      <c r="X231" s="40"/>
      <c r="Y231" s="40"/>
      <c r="Z231" s="40"/>
      <c r="AA231" s="40"/>
      <c r="AB231" s="40"/>
      <c r="AC231" s="41"/>
    </row>
  </sheetData>
  <autoFilter ref="A1:BY212" xr:uid="{00000000-0009-0000-0000-000002000000}"/>
  <conditionalFormatting sqref="O2:O212">
    <cfRule type="top10" dxfId="220" priority="52" stopIfTrue="1" percent="1" rank="10"/>
  </conditionalFormatting>
  <conditionalFormatting sqref="P2:P212">
    <cfRule type="top10" dxfId="219" priority="51" stopIfTrue="1" percent="1" rank="10"/>
  </conditionalFormatting>
  <conditionalFormatting sqref="N1:N212 N232:N1048576">
    <cfRule type="top10" dxfId="218" priority="50" percent="1" rank="10"/>
  </conditionalFormatting>
  <conditionalFormatting sqref="L2:L212">
    <cfRule type="cellIs" dxfId="217" priority="46" stopIfTrue="1" operator="equal">
      <formula>"B"</formula>
    </cfRule>
    <cfRule type="cellIs" dxfId="216" priority="47" stopIfTrue="1" operator="equal">
      <formula>"S"</formula>
    </cfRule>
    <cfRule type="cellIs" dxfId="215" priority="48" stopIfTrue="1" operator="equal">
      <formula>"G"</formula>
    </cfRule>
    <cfRule type="cellIs" dxfId="214" priority="49" stopIfTrue="1" operator="equal">
      <formula>"M"</formula>
    </cfRule>
  </conditionalFormatting>
  <conditionalFormatting sqref="Q1:Q212 Q232:Q104857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1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52">
    <cfRule type="top10" dxfId="213" priority="43" percent="1" rank="10"/>
  </conditionalFormatting>
  <conditionalFormatting sqref="U2:U252">
    <cfRule type="top10" dxfId="212" priority="42" rank="10"/>
  </conditionalFormatting>
  <conditionalFormatting sqref="O213:O231">
    <cfRule type="top10" dxfId="211" priority="41" stopIfTrue="1" percent="1" rank="10"/>
  </conditionalFormatting>
  <conditionalFormatting sqref="P213:P231">
    <cfRule type="top10" dxfId="210" priority="40" stopIfTrue="1" percent="1" rank="10"/>
  </conditionalFormatting>
  <conditionalFormatting sqref="N213:N231">
    <cfRule type="top10" dxfId="209" priority="39" percent="1" rank="10"/>
  </conditionalFormatting>
  <conditionalFormatting sqref="L213:L231">
    <cfRule type="cellIs" dxfId="208" priority="35" stopIfTrue="1" operator="equal">
      <formula>"B"</formula>
    </cfRule>
    <cfRule type="cellIs" dxfId="207" priority="36" stopIfTrue="1" operator="equal">
      <formula>"S"</formula>
    </cfRule>
    <cfRule type="cellIs" dxfId="206" priority="37" stopIfTrue="1" operator="equal">
      <formula>"G"</formula>
    </cfRule>
    <cfRule type="cellIs" dxfId="205" priority="38" stopIfTrue="1" operator="equal">
      <formula>"M"</formula>
    </cfRule>
  </conditionalFormatting>
  <conditionalFormatting sqref="Q213:Q23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3:R23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2:AC252 V2:W231 Y2:AA231">
    <cfRule type="top10" dxfId="204" priority="53" rank="10"/>
  </conditionalFormatting>
  <conditionalFormatting sqref="X2:X231">
    <cfRule type="top10" dxfId="203" priority="32" rank="10"/>
  </conditionalFormatting>
  <conditionalFormatting sqref="AB213:AC231 AB2:AB212">
    <cfRule type="top10" dxfId="202" priority="31" rank="10"/>
  </conditionalFormatting>
  <conditionalFormatting sqref="A213:AC1048576 BZ1:XFD1048576 A1:AB212">
    <cfRule type="containsText" dxfId="199" priority="13" operator="containsText" text="Serious Concern still">
      <formula>NOT(ISERROR(SEARCH("Serious Concern still",A1)))</formula>
    </cfRule>
    <cfRule type="containsText" dxfId="198" priority="14" operator="containsText" text="N2Improve still">
      <formula>NOT(ISERROR(SEARCH("N2Improve still",A1)))</formula>
    </cfRule>
  </conditionalFormatting>
  <conditionalFormatting sqref="AD2:AD1048576 AF2:AF1048576 AH2:AH1048576 AJ2:AJ1048576 AL2:AL1048576 AN2:AN1048576 AP2:AP1048576 AR2:AR1048576 AT2:AT1048576 AV2:AV1048576 AX2:AX1048576 AZ2:AZ1048576 BB2:BB1048576 BD2:BD1048576 BF2:BF1048576 BH2:BH1048576 BJ2:BJ1048576 BL2:BL1048576 BN2:BN1048576 BP2:BP1048576 BR2:BR1048576 BT2:BT1048576 BV2:BV1048576 BX2:BX1048576">
    <cfRule type="containsText" dxfId="86" priority="11" operator="containsText" text="Serious">
      <formula>NOT(ISERROR(SEARCH("Serious",AD2)))</formula>
    </cfRule>
    <cfRule type="containsText" dxfId="85" priority="12" operator="containsText" text="2">
      <formula>NOT(ISERROR(SEARCH("2",AD2)))</formula>
    </cfRule>
  </conditionalFormatting>
  <conditionalFormatting sqref="AD1:BY1048576">
    <cfRule type="containsText" dxfId="84" priority="6" operator="containsText" text="fixed">
      <formula>NOT(ISERROR(SEARCH("fixed",AD1)))</formula>
    </cfRule>
    <cfRule type="cellIs" dxfId="83" priority="9" operator="equal">
      <formula>"Serious Concern still"</formula>
    </cfRule>
    <cfRule type="cellIs" dxfId="82" priority="10" operator="equal">
      <formula>"N2Improve still"</formula>
    </cfRule>
  </conditionalFormatting>
  <conditionalFormatting sqref="AD1:BY1048576">
    <cfRule type="containsText" dxfId="81" priority="7" operator="containsText" text="Serious Concern still">
      <formula>NOT(ISERROR(SEARCH("Serious Concern still",AD1)))</formula>
    </cfRule>
    <cfRule type="containsText" dxfId="80" priority="8" operator="containsText" text="N2Improve still">
      <formula>NOT(ISERROR(SEARCH("N2Improve still",AD1)))</formula>
    </cfRule>
  </conditionalFormatting>
  <conditionalFormatting sqref="AC1">
    <cfRule type="cellIs" dxfId="49" priority="4" operator="equal">
      <formula>"Serious Concern still"</formula>
    </cfRule>
    <cfRule type="cellIs" dxfId="48" priority="5" operator="equal">
      <formula>"N2Improve still"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35B464-38AA-4881-81A4-E25A74AB7DD2}">
          <x14:formula1>
            <xm:f>Lookups!$A$1:$A$8</xm:f>
          </x14:formula1>
          <xm:sqref>AD1:AD1048576 AF1:AF1048576 AH1:AH1048576 AJ1:AJ1048576 AL1:AL1048576 AN1:AN1048576 AP1:AP1048576 AR1:AR1048576 AT1:AT1048576 AV1:AV1048576 AX1:AX1048576 AZ1:AZ1048576 BB1:BB1048576 BD1:BD1048576 BF1:BF1048576 BH1:BH1048576 BJ1:BJ1048576 BL1:BL1048576 BN1:BN1048576 BP1:BP1048576 BR1:BR1048576 BT1:BT1048576 BV1:BV1048576 BX1:BX1048576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8CCA-52E0-4DF3-AAB3-DF9C22538ED7}">
  <sheetPr codeName="Sheet4"/>
  <dimension ref="A1:CA231"/>
  <sheetViews>
    <sheetView zoomScale="70" zoomScaleNormal="70" workbookViewId="0">
      <pane xSplit="29" ySplit="1" topLeftCell="AU2" activePane="bottomRight" state="frozen"/>
      <selection activeCell="B27" sqref="B27"/>
      <selection pane="topRight" activeCell="B27" sqref="B27"/>
      <selection pane="bottomLeft" activeCell="B27" sqref="B27"/>
      <selection pane="bottomRight" activeCell="AC2" sqref="AC2"/>
    </sheetView>
  </sheetViews>
  <sheetFormatPr defaultRowHeight="15" x14ac:dyDescent="0.25"/>
  <cols>
    <col min="1" max="1" width="10.7109375" style="100" customWidth="1"/>
    <col min="2" max="2" width="25.42578125" customWidth="1"/>
    <col min="3" max="3" width="7" bestFit="1" customWidth="1"/>
    <col min="4" max="4" width="5.28515625" style="55" hidden="1" customWidth="1"/>
    <col min="5" max="5" width="5.42578125" style="55" hidden="1" customWidth="1"/>
    <col min="6" max="6" width="26" hidden="1" customWidth="1"/>
    <col min="7" max="8" width="5.42578125" style="95" hidden="1" customWidth="1"/>
    <col min="9" max="9" width="5.140625" style="95" hidden="1" customWidth="1"/>
    <col min="10" max="10" width="5.7109375" style="55" hidden="1" customWidth="1"/>
    <col min="11" max="11" width="5.140625" style="161" hidden="1" customWidth="1"/>
    <col min="12" max="12" width="9.140625" hidden="1" customWidth="1"/>
    <col min="13" max="13" width="7" style="57" hidden="1" customWidth="1"/>
    <col min="14" max="16" width="7" hidden="1" customWidth="1"/>
    <col min="17" max="17" width="8" style="55" hidden="1" customWidth="1"/>
    <col min="18" max="18" width="5" style="55" hidden="1" customWidth="1"/>
    <col min="19" max="28" width="7" hidden="1" customWidth="1"/>
    <col min="29" max="29" width="7" customWidth="1"/>
    <col min="30" max="30" width="13.28515625" style="59" customWidth="1"/>
    <col min="31" max="31" width="6.42578125" style="58" customWidth="1"/>
    <col min="32" max="32" width="13.28515625" style="59" customWidth="1"/>
    <col min="33" max="33" width="6.42578125" style="58" customWidth="1"/>
    <col min="34" max="34" width="13.28515625" style="59" customWidth="1"/>
    <col min="35" max="35" width="6.42578125" style="58" customWidth="1"/>
    <col min="36" max="36" width="13.28515625" style="59" customWidth="1"/>
    <col min="37" max="37" width="6.42578125" style="58" customWidth="1"/>
    <col min="38" max="38" width="13.28515625" style="59" customWidth="1"/>
    <col min="39" max="39" width="6.42578125" style="58" customWidth="1"/>
    <col min="40" max="40" width="13.28515625" style="59" customWidth="1"/>
    <col min="41" max="41" width="6.42578125" style="58" customWidth="1"/>
    <col min="42" max="42" width="13.28515625" style="59" customWidth="1"/>
    <col min="43" max="43" width="6.42578125" style="58" customWidth="1"/>
    <col min="44" max="44" width="13.28515625" style="59" customWidth="1"/>
    <col min="45" max="45" width="6.42578125" style="58" customWidth="1"/>
    <col min="46" max="46" width="13.28515625" style="59" customWidth="1"/>
    <col min="47" max="47" width="6.42578125" style="58" customWidth="1"/>
    <col min="48" max="48" width="13.28515625" style="59" customWidth="1"/>
    <col min="49" max="49" width="6.42578125" style="58" customWidth="1"/>
    <col min="50" max="50" width="13.28515625" style="59" customWidth="1"/>
    <col min="51" max="51" width="6.42578125" style="58" customWidth="1"/>
    <col min="52" max="52" width="13.28515625" style="59" customWidth="1"/>
    <col min="53" max="53" width="6.42578125" style="58" customWidth="1"/>
    <col min="54" max="54" width="13.28515625" style="59" customWidth="1"/>
    <col min="55" max="55" width="6.42578125" style="58" customWidth="1"/>
    <col min="56" max="56" width="13.28515625" style="59" customWidth="1"/>
    <col min="57" max="57" width="6.42578125" style="58" customWidth="1"/>
    <col min="58" max="58" width="13.28515625" style="59" customWidth="1"/>
    <col min="59" max="59" width="6.42578125" style="58" customWidth="1"/>
    <col min="60" max="60" width="13.28515625" style="59" customWidth="1"/>
    <col min="61" max="61" width="6.42578125" style="58" customWidth="1"/>
    <col min="62" max="62" width="13.28515625" style="59" customWidth="1"/>
    <col min="63" max="63" width="6.42578125" style="58" customWidth="1"/>
    <col min="64" max="64" width="13.28515625" style="59" customWidth="1"/>
    <col min="65" max="65" width="6.42578125" style="58" customWidth="1"/>
    <col min="66" max="66" width="13.28515625" style="59" customWidth="1"/>
    <col min="67" max="67" width="6.42578125" style="58" customWidth="1"/>
    <col min="68" max="68" width="13.28515625" style="59" customWidth="1"/>
    <col min="69" max="69" width="6.42578125" style="58" customWidth="1"/>
    <col min="70" max="70" width="13.28515625" style="59" customWidth="1"/>
    <col min="71" max="71" width="6.42578125" style="58" customWidth="1"/>
    <col min="72" max="72" width="13.28515625" style="59" customWidth="1"/>
    <col min="73" max="73" width="6.42578125" style="58" customWidth="1"/>
    <col min="74" max="74" width="13.28515625" style="59" customWidth="1"/>
    <col min="75" max="75" width="6.42578125" style="58" customWidth="1"/>
    <col min="76" max="76" width="13.28515625" style="59" customWidth="1"/>
    <col min="77" max="77" width="6.42578125" style="58" customWidth="1"/>
    <col min="78" max="78" width="13.28515625" style="59" customWidth="1"/>
    <col min="79" max="79" width="6.42578125" style="58" customWidth="1"/>
    <col min="80" max="80" width="4.5703125" bestFit="1" customWidth="1"/>
    <col min="81" max="81" width="10.42578125" bestFit="1" customWidth="1"/>
    <col min="82" max="82" width="6.5703125" bestFit="1" customWidth="1"/>
    <col min="83" max="83" width="12.42578125" bestFit="1" customWidth="1"/>
  </cols>
  <sheetData>
    <row r="1" spans="1:79" s="141" customFormat="1" ht="145.5" customHeight="1" thickBot="1" x14ac:dyDescent="0.3">
      <c r="A1" s="127" t="s">
        <v>2</v>
      </c>
      <c r="B1" s="128" t="s">
        <v>3</v>
      </c>
      <c r="C1" s="129" t="s">
        <v>15</v>
      </c>
      <c r="D1" s="130" t="s">
        <v>16</v>
      </c>
      <c r="E1" s="128" t="s">
        <v>690</v>
      </c>
      <c r="F1" s="131" t="s">
        <v>18</v>
      </c>
      <c r="G1" s="131" t="s">
        <v>19</v>
      </c>
      <c r="H1" s="131" t="s">
        <v>20</v>
      </c>
      <c r="I1" s="132" t="s">
        <v>21</v>
      </c>
      <c r="J1" s="131" t="s">
        <v>0</v>
      </c>
      <c r="K1" s="133" t="s">
        <v>691</v>
      </c>
      <c r="L1" s="134" t="s">
        <v>23</v>
      </c>
      <c r="M1" s="135" t="s">
        <v>24</v>
      </c>
      <c r="N1" s="136" t="s">
        <v>25</v>
      </c>
      <c r="O1" s="137" t="s">
        <v>26</v>
      </c>
      <c r="P1" s="138" t="s">
        <v>27</v>
      </c>
      <c r="Q1" s="139" t="s">
        <v>28</v>
      </c>
      <c r="R1" s="140" t="s">
        <v>29</v>
      </c>
      <c r="S1" s="70" t="s">
        <v>1</v>
      </c>
      <c r="T1" s="71" t="s">
        <v>5</v>
      </c>
      <c r="U1" s="72" t="s">
        <v>30</v>
      </c>
      <c r="V1" s="72" t="s">
        <v>31</v>
      </c>
      <c r="W1" s="72" t="s">
        <v>32</v>
      </c>
      <c r="X1" s="73" t="s">
        <v>33</v>
      </c>
      <c r="Y1" s="74" t="s">
        <v>34</v>
      </c>
      <c r="Z1" s="75" t="s">
        <v>35</v>
      </c>
      <c r="AA1" s="75" t="s">
        <v>36</v>
      </c>
      <c r="AB1" s="75" t="s">
        <v>37</v>
      </c>
      <c r="AC1" s="162" t="s">
        <v>1854</v>
      </c>
      <c r="AD1" s="20" t="s">
        <v>38</v>
      </c>
      <c r="AE1" s="21" t="s">
        <v>39</v>
      </c>
      <c r="AF1" s="20" t="s">
        <v>384</v>
      </c>
      <c r="AG1" s="21" t="s">
        <v>385</v>
      </c>
      <c r="AH1" s="20" t="s">
        <v>386</v>
      </c>
      <c r="AI1" s="21" t="s">
        <v>387</v>
      </c>
      <c r="AJ1" s="20" t="s">
        <v>388</v>
      </c>
      <c r="AK1" s="21" t="s">
        <v>389</v>
      </c>
      <c r="AL1" s="20" t="s">
        <v>937</v>
      </c>
      <c r="AM1" s="21" t="s">
        <v>938</v>
      </c>
      <c r="AN1" s="20" t="s">
        <v>695</v>
      </c>
      <c r="AO1" s="21" t="s">
        <v>696</v>
      </c>
      <c r="AP1" s="20" t="s">
        <v>42</v>
      </c>
      <c r="AQ1" s="21" t="s">
        <v>43</v>
      </c>
      <c r="AR1" s="20" t="s">
        <v>44</v>
      </c>
      <c r="AS1" s="21" t="s">
        <v>45</v>
      </c>
      <c r="AT1" s="20" t="s">
        <v>699</v>
      </c>
      <c r="AU1" s="21" t="s">
        <v>700</v>
      </c>
      <c r="AV1" s="20" t="s">
        <v>46</v>
      </c>
      <c r="AW1" s="21" t="s">
        <v>47</v>
      </c>
      <c r="AX1" s="20" t="s">
        <v>48</v>
      </c>
      <c r="AY1" s="21" t="s">
        <v>49</v>
      </c>
      <c r="AZ1" s="20" t="s">
        <v>50</v>
      </c>
      <c r="BA1" s="21" t="s">
        <v>51</v>
      </c>
      <c r="BB1" s="20" t="s">
        <v>939</v>
      </c>
      <c r="BC1" s="21" t="s">
        <v>940</v>
      </c>
      <c r="BD1" s="20" t="s">
        <v>52</v>
      </c>
      <c r="BE1" s="21" t="s">
        <v>53</v>
      </c>
      <c r="BF1" s="20" t="s">
        <v>941</v>
      </c>
      <c r="BG1" s="21" t="s">
        <v>942</v>
      </c>
      <c r="BH1" s="20" t="s">
        <v>56</v>
      </c>
      <c r="BI1" s="21" t="s">
        <v>57</v>
      </c>
      <c r="BJ1" s="20" t="s">
        <v>58</v>
      </c>
      <c r="BK1" s="21" t="s">
        <v>59</v>
      </c>
      <c r="BL1" s="20" t="s">
        <v>703</v>
      </c>
      <c r="BM1" s="21" t="s">
        <v>704</v>
      </c>
      <c r="BN1" s="20" t="s">
        <v>943</v>
      </c>
      <c r="BO1" s="21" t="s">
        <v>944</v>
      </c>
      <c r="BP1" s="20" t="s">
        <v>945</v>
      </c>
      <c r="BQ1" s="21" t="s">
        <v>946</v>
      </c>
      <c r="BR1" s="20" t="s">
        <v>409</v>
      </c>
      <c r="BS1" s="21" t="s">
        <v>410</v>
      </c>
      <c r="BT1" s="20" t="s">
        <v>947</v>
      </c>
      <c r="BU1" s="21" t="s">
        <v>948</v>
      </c>
      <c r="BV1" s="20" t="s">
        <v>62</v>
      </c>
      <c r="BW1" s="21" t="s">
        <v>63</v>
      </c>
      <c r="BX1" s="20" t="s">
        <v>64</v>
      </c>
      <c r="BY1" s="21" t="s">
        <v>65</v>
      </c>
      <c r="BZ1" s="20" t="s">
        <v>66</v>
      </c>
      <c r="CA1" s="21" t="s">
        <v>67</v>
      </c>
    </row>
    <row r="2" spans="1:79" x14ac:dyDescent="0.25">
      <c r="A2" s="76">
        <v>151841</v>
      </c>
      <c r="B2" s="77" t="s">
        <v>949</v>
      </c>
      <c r="C2" s="78" t="s">
        <v>950</v>
      </c>
      <c r="D2" s="76" t="s">
        <v>70</v>
      </c>
      <c r="E2" s="79" t="s">
        <v>14</v>
      </c>
      <c r="F2" s="79" t="s">
        <v>88</v>
      </c>
      <c r="G2" s="79" t="s">
        <v>14</v>
      </c>
      <c r="H2" s="79" t="s">
        <v>14</v>
      </c>
      <c r="I2" s="78" t="s">
        <v>14</v>
      </c>
      <c r="J2" s="79" t="s">
        <v>14</v>
      </c>
      <c r="K2" s="142" t="s">
        <v>1850</v>
      </c>
      <c r="L2" s="143" t="e">
        <v>#VALUE!</v>
      </c>
      <c r="M2" s="144" t="s">
        <v>1406</v>
      </c>
      <c r="N2" s="145">
        <v>12</v>
      </c>
      <c r="O2" s="145">
        <v>0</v>
      </c>
      <c r="P2" s="146">
        <v>0</v>
      </c>
      <c r="Q2" s="147">
        <v>86.96</v>
      </c>
      <c r="R2" s="148">
        <v>0</v>
      </c>
      <c r="S2" s="38">
        <f t="shared" ref="S2:S65" si="0">COUNTIF($AD2:$CA2,"Outstanding")</f>
        <v>1</v>
      </c>
      <c r="T2" s="39">
        <f t="shared" ref="T2:T65" si="1">COUNTIF($AD2:$CA2,"Good")</f>
        <v>10</v>
      </c>
      <c r="U2" s="40">
        <f t="shared" ref="U2:U65" si="2">COUNTIF($AD2:$CA2,"N2Improve - Engagement")</f>
        <v>0</v>
      </c>
      <c r="V2" s="40">
        <f t="shared" ref="V2:V65" si="3">COUNTIF($AD2:$CA2,"N2Improve - Community Conduct")</f>
        <v>0</v>
      </c>
      <c r="W2" s="40">
        <f t="shared" ref="W2:W65" si="4">COUNTIF($AD2:$CA2,"N2Improve - Personal Org.")</f>
        <v>0</v>
      </c>
      <c r="X2" s="40">
        <f t="shared" ref="X2:X65" si="5">SUM(U2:W2)</f>
        <v>0</v>
      </c>
      <c r="Y2" s="40">
        <f t="shared" ref="Y2:Y65" si="6">COUNTIF($AD2:$CA2,"Serious Conc - Engagement")</f>
        <v>0</v>
      </c>
      <c r="Z2" s="40">
        <f t="shared" ref="Z2:Z65" si="7">COUNTIF($AD2:$CA2,"Serious Conc - Comm. Concern")</f>
        <v>0</v>
      </c>
      <c r="AA2" s="40">
        <f t="shared" ref="AA2:AA65" si="8">COUNTIF($AD2:$CA2,"Serious Conc - Personal Org.")</f>
        <v>0</v>
      </c>
      <c r="AB2" s="40">
        <f t="shared" ref="AB2:AB65" si="9">SUM(Y2:AA2)</f>
        <v>0</v>
      </c>
      <c r="AC2" s="41">
        <f>COUNTIF(AD2:CA2,"*still*")</f>
        <v>0</v>
      </c>
      <c r="AD2" s="42" t="s">
        <v>5</v>
      </c>
      <c r="AE2" s="43" t="s">
        <v>72</v>
      </c>
      <c r="AF2" s="42" t="s">
        <v>5</v>
      </c>
      <c r="AG2" s="43" t="s">
        <v>433</v>
      </c>
      <c r="AH2" s="42"/>
      <c r="AI2" s="43"/>
      <c r="AJ2" s="42" t="s">
        <v>5</v>
      </c>
      <c r="AK2" s="43" t="s">
        <v>419</v>
      </c>
      <c r="AL2" s="42"/>
      <c r="AM2" s="43"/>
      <c r="AN2" s="42"/>
      <c r="AO2" s="43"/>
      <c r="AP2" s="42"/>
      <c r="AQ2" s="43"/>
      <c r="AR2" s="42" t="s">
        <v>5</v>
      </c>
      <c r="AS2" s="43" t="s">
        <v>74</v>
      </c>
      <c r="AT2" s="42" t="s">
        <v>5</v>
      </c>
      <c r="AU2" s="43" t="s">
        <v>73</v>
      </c>
      <c r="AV2" s="42" t="s">
        <v>1</v>
      </c>
      <c r="AW2" s="43" t="s">
        <v>96</v>
      </c>
      <c r="AX2" s="42" t="s">
        <v>5</v>
      </c>
      <c r="AY2" s="43" t="s">
        <v>143</v>
      </c>
      <c r="AZ2" s="42"/>
      <c r="BA2" s="43"/>
      <c r="BB2" s="42"/>
      <c r="BC2" s="43"/>
      <c r="BD2" s="42"/>
      <c r="BE2" s="43"/>
      <c r="BF2" s="42"/>
      <c r="BG2" s="43"/>
      <c r="BH2" s="42" t="s">
        <v>5</v>
      </c>
      <c r="BI2" s="43" t="s">
        <v>711</v>
      </c>
      <c r="BJ2" s="42"/>
      <c r="BK2" s="43"/>
      <c r="BL2" s="42"/>
      <c r="BM2" s="43"/>
      <c r="BN2" s="42" t="s">
        <v>5</v>
      </c>
      <c r="BO2" s="43" t="s">
        <v>81</v>
      </c>
      <c r="BP2" s="42"/>
      <c r="BQ2" s="43"/>
      <c r="BR2" s="42" t="s">
        <v>5</v>
      </c>
      <c r="BS2" s="43" t="s">
        <v>140</v>
      </c>
      <c r="BT2" s="42"/>
      <c r="BU2" s="43"/>
      <c r="BV2" s="42" t="s">
        <v>5</v>
      </c>
      <c r="BW2" s="43" t="s">
        <v>132</v>
      </c>
      <c r="BX2" s="42"/>
      <c r="BY2" s="43"/>
      <c r="BZ2" s="42"/>
      <c r="CA2" s="43"/>
    </row>
    <row r="3" spans="1:79" x14ac:dyDescent="0.25">
      <c r="A3" s="76">
        <v>151953</v>
      </c>
      <c r="B3" s="77" t="s">
        <v>951</v>
      </c>
      <c r="C3" s="78" t="s">
        <v>952</v>
      </c>
      <c r="D3" s="76" t="s">
        <v>12</v>
      </c>
      <c r="E3" s="79" t="s">
        <v>14</v>
      </c>
      <c r="F3" s="79" t="s">
        <v>126</v>
      </c>
      <c r="G3" s="79" t="s">
        <v>14</v>
      </c>
      <c r="H3" s="79" t="s">
        <v>14</v>
      </c>
      <c r="I3" s="78" t="s">
        <v>14</v>
      </c>
      <c r="J3" s="79" t="s">
        <v>14</v>
      </c>
      <c r="K3" s="142" t="s">
        <v>1850</v>
      </c>
      <c r="L3" s="149" t="s">
        <v>1844</v>
      </c>
      <c r="M3" s="150" t="s">
        <v>12</v>
      </c>
      <c r="N3" s="151">
        <v>8</v>
      </c>
      <c r="O3" s="151">
        <v>1</v>
      </c>
      <c r="P3" s="152">
        <v>1</v>
      </c>
      <c r="Q3" s="153">
        <v>100</v>
      </c>
      <c r="R3" s="154">
        <v>1</v>
      </c>
      <c r="S3" s="38">
        <f t="shared" si="0"/>
        <v>1</v>
      </c>
      <c r="T3" s="39">
        <f t="shared" si="1"/>
        <v>9</v>
      </c>
      <c r="U3" s="40">
        <f t="shared" si="2"/>
        <v>0</v>
      </c>
      <c r="V3" s="40">
        <f t="shared" si="3"/>
        <v>0</v>
      </c>
      <c r="W3" s="40">
        <f t="shared" si="4"/>
        <v>1</v>
      </c>
      <c r="X3" s="40">
        <f t="shared" si="5"/>
        <v>1</v>
      </c>
      <c r="Y3" s="40">
        <f t="shared" si="6"/>
        <v>0</v>
      </c>
      <c r="Z3" s="40">
        <f t="shared" si="7"/>
        <v>0</v>
      </c>
      <c r="AA3" s="40">
        <f t="shared" si="8"/>
        <v>0</v>
      </c>
      <c r="AB3" s="40">
        <f t="shared" si="9"/>
        <v>0</v>
      </c>
      <c r="AC3" s="41">
        <f t="shared" ref="AC3:AC66" si="10">COUNTIF(AD3:CA3,"*still*")</f>
        <v>0</v>
      </c>
      <c r="AD3" s="49"/>
      <c r="AE3" s="50"/>
      <c r="AF3" s="49" t="s">
        <v>32</v>
      </c>
      <c r="AG3" s="50" t="s">
        <v>154</v>
      </c>
      <c r="AH3" s="49" t="s">
        <v>5</v>
      </c>
      <c r="AI3" s="50" t="s">
        <v>131</v>
      </c>
      <c r="AJ3" s="49" t="s">
        <v>5</v>
      </c>
      <c r="AK3" s="50" t="s">
        <v>83</v>
      </c>
      <c r="AL3" s="49"/>
      <c r="AM3" s="50"/>
      <c r="AN3" s="49"/>
      <c r="AO3" s="50"/>
      <c r="AP3" s="49"/>
      <c r="AQ3" s="50"/>
      <c r="AR3" s="49" t="s">
        <v>5</v>
      </c>
      <c r="AS3" s="50" t="s">
        <v>111</v>
      </c>
      <c r="AT3" s="49"/>
      <c r="AU3" s="50"/>
      <c r="AV3" s="49" t="s">
        <v>5</v>
      </c>
      <c r="AW3" s="50" t="s">
        <v>117</v>
      </c>
      <c r="AX3" s="49"/>
      <c r="AY3" s="50"/>
      <c r="AZ3" s="49"/>
      <c r="BA3" s="50"/>
      <c r="BB3" s="49" t="s">
        <v>5</v>
      </c>
      <c r="BC3" s="50" t="s">
        <v>425</v>
      </c>
      <c r="BD3" s="49"/>
      <c r="BE3" s="50"/>
      <c r="BF3" s="49"/>
      <c r="BG3" s="50"/>
      <c r="BH3" s="49" t="s">
        <v>5</v>
      </c>
      <c r="BI3" s="50" t="s">
        <v>112</v>
      </c>
      <c r="BJ3" s="49"/>
      <c r="BK3" s="50"/>
      <c r="BL3" s="49"/>
      <c r="BM3" s="50"/>
      <c r="BN3" s="49" t="s">
        <v>1</v>
      </c>
      <c r="BO3" s="50" t="s">
        <v>107</v>
      </c>
      <c r="BP3" s="49"/>
      <c r="BQ3" s="50"/>
      <c r="BR3" s="49" t="s">
        <v>5</v>
      </c>
      <c r="BS3" s="50" t="s">
        <v>98</v>
      </c>
      <c r="BT3" s="49"/>
      <c r="BU3" s="50"/>
      <c r="BV3" s="49" t="s">
        <v>5</v>
      </c>
      <c r="BW3" s="50" t="s">
        <v>132</v>
      </c>
      <c r="BX3" s="49"/>
      <c r="BY3" s="50"/>
      <c r="BZ3" s="49" t="s">
        <v>5</v>
      </c>
      <c r="CA3" s="50" t="s">
        <v>124</v>
      </c>
    </row>
    <row r="4" spans="1:79" x14ac:dyDescent="0.25">
      <c r="A4" s="76">
        <v>100340</v>
      </c>
      <c r="B4" s="77" t="s">
        <v>953</v>
      </c>
      <c r="C4" s="78" t="s">
        <v>954</v>
      </c>
      <c r="D4" s="76" t="s">
        <v>70</v>
      </c>
      <c r="E4" s="79" t="s">
        <v>87</v>
      </c>
      <c r="F4" s="79" t="s">
        <v>115</v>
      </c>
      <c r="G4" s="79" t="s">
        <v>14</v>
      </c>
      <c r="H4" s="79" t="s">
        <v>87</v>
      </c>
      <c r="I4" s="78" t="s">
        <v>14</v>
      </c>
      <c r="J4" s="79" t="s">
        <v>14</v>
      </c>
      <c r="K4" s="142" t="s">
        <v>1850</v>
      </c>
      <c r="L4" s="149" t="s">
        <v>1842</v>
      </c>
      <c r="M4" s="150" t="s">
        <v>12</v>
      </c>
      <c r="N4" s="151">
        <v>14</v>
      </c>
      <c r="O4" s="151">
        <v>2</v>
      </c>
      <c r="P4" s="152">
        <v>1</v>
      </c>
      <c r="Q4" s="153">
        <v>100</v>
      </c>
      <c r="R4" s="154">
        <v>7</v>
      </c>
      <c r="S4" s="38">
        <f t="shared" si="0"/>
        <v>0</v>
      </c>
      <c r="T4" s="39">
        <f t="shared" si="1"/>
        <v>9</v>
      </c>
      <c r="U4" s="40">
        <f t="shared" si="2"/>
        <v>1</v>
      </c>
      <c r="V4" s="40">
        <f t="shared" si="3"/>
        <v>0</v>
      </c>
      <c r="W4" s="40">
        <f t="shared" si="4"/>
        <v>1</v>
      </c>
      <c r="X4" s="40">
        <f t="shared" si="5"/>
        <v>2</v>
      </c>
      <c r="Y4" s="40">
        <f t="shared" si="6"/>
        <v>0</v>
      </c>
      <c r="Z4" s="40">
        <f t="shared" si="7"/>
        <v>0</v>
      </c>
      <c r="AA4" s="40">
        <f t="shared" si="8"/>
        <v>0</v>
      </c>
      <c r="AB4" s="40">
        <f t="shared" si="9"/>
        <v>0</v>
      </c>
      <c r="AC4" s="41">
        <f t="shared" si="10"/>
        <v>0</v>
      </c>
      <c r="AD4" s="49"/>
      <c r="AE4" s="50"/>
      <c r="AF4" s="49" t="s">
        <v>5</v>
      </c>
      <c r="AG4" s="50" t="s">
        <v>438</v>
      </c>
      <c r="AH4" s="49"/>
      <c r="AI4" s="50"/>
      <c r="AJ4" s="49" t="s">
        <v>5</v>
      </c>
      <c r="AK4" s="50" t="s">
        <v>83</v>
      </c>
      <c r="AL4" s="49"/>
      <c r="AM4" s="50"/>
      <c r="AN4" s="49"/>
      <c r="AO4" s="50"/>
      <c r="AP4" s="49"/>
      <c r="AQ4" s="50"/>
      <c r="AR4" s="49" t="s">
        <v>5</v>
      </c>
      <c r="AS4" s="50" t="s">
        <v>722</v>
      </c>
      <c r="AT4" s="49" t="s">
        <v>5</v>
      </c>
      <c r="AU4" s="50" t="s">
        <v>73</v>
      </c>
      <c r="AV4" s="49" t="s">
        <v>5</v>
      </c>
      <c r="AW4" s="50" t="s">
        <v>955</v>
      </c>
      <c r="AX4" s="49" t="s">
        <v>5</v>
      </c>
      <c r="AY4" s="50" t="s">
        <v>143</v>
      </c>
      <c r="AZ4" s="49" t="s">
        <v>5</v>
      </c>
      <c r="BA4" s="50" t="s">
        <v>92</v>
      </c>
      <c r="BB4" s="49"/>
      <c r="BC4" s="50"/>
      <c r="BD4" s="49"/>
      <c r="BE4" s="50"/>
      <c r="BF4" s="49"/>
      <c r="BG4" s="50"/>
      <c r="BH4" s="49" t="s">
        <v>5</v>
      </c>
      <c r="BI4" s="50" t="s">
        <v>112</v>
      </c>
      <c r="BJ4" s="49"/>
      <c r="BK4" s="50"/>
      <c r="BL4" s="49"/>
      <c r="BM4" s="50"/>
      <c r="BN4" s="49" t="s">
        <v>30</v>
      </c>
      <c r="BO4" s="50" t="s">
        <v>152</v>
      </c>
      <c r="BP4" s="49"/>
      <c r="BQ4" s="50"/>
      <c r="BR4" s="49" t="s">
        <v>32</v>
      </c>
      <c r="BS4" s="50" t="s">
        <v>123</v>
      </c>
      <c r="BT4" s="49"/>
      <c r="BU4" s="50"/>
      <c r="BV4" s="49" t="s">
        <v>5</v>
      </c>
      <c r="BW4" s="50" t="s">
        <v>122</v>
      </c>
      <c r="BX4" s="49"/>
      <c r="BY4" s="50"/>
      <c r="BZ4" s="49"/>
      <c r="CA4" s="50"/>
    </row>
    <row r="5" spans="1:79" x14ac:dyDescent="0.25">
      <c r="A5" s="76">
        <v>151839</v>
      </c>
      <c r="B5" s="77" t="s">
        <v>956</v>
      </c>
      <c r="C5" s="78" t="s">
        <v>957</v>
      </c>
      <c r="D5" s="76" t="s">
        <v>70</v>
      </c>
      <c r="E5" s="79" t="s">
        <v>14</v>
      </c>
      <c r="F5" s="79" t="s">
        <v>115</v>
      </c>
      <c r="G5" s="79" t="s">
        <v>14</v>
      </c>
      <c r="H5" s="79" t="s">
        <v>14</v>
      </c>
      <c r="I5" s="78" t="s">
        <v>14</v>
      </c>
      <c r="J5" s="79" t="s">
        <v>14</v>
      </c>
      <c r="K5" s="142" t="s">
        <v>1850</v>
      </c>
      <c r="L5" s="149" t="s">
        <v>1846</v>
      </c>
      <c r="M5" s="150" t="s">
        <v>1853</v>
      </c>
      <c r="N5" s="151">
        <v>12</v>
      </c>
      <c r="O5" s="151">
        <v>0</v>
      </c>
      <c r="P5" s="152">
        <v>0</v>
      </c>
      <c r="Q5" s="153">
        <v>100</v>
      </c>
      <c r="R5" s="154">
        <v>0</v>
      </c>
      <c r="S5" s="38">
        <f t="shared" si="0"/>
        <v>1</v>
      </c>
      <c r="T5" s="39">
        <f t="shared" si="1"/>
        <v>10</v>
      </c>
      <c r="U5" s="40">
        <f t="shared" si="2"/>
        <v>0</v>
      </c>
      <c r="V5" s="40">
        <f t="shared" si="3"/>
        <v>0</v>
      </c>
      <c r="W5" s="40">
        <f t="shared" si="4"/>
        <v>0</v>
      </c>
      <c r="X5" s="40">
        <f t="shared" si="5"/>
        <v>0</v>
      </c>
      <c r="Y5" s="40">
        <f t="shared" si="6"/>
        <v>0</v>
      </c>
      <c r="Z5" s="40">
        <f t="shared" si="7"/>
        <v>0</v>
      </c>
      <c r="AA5" s="40">
        <f t="shared" si="8"/>
        <v>0</v>
      </c>
      <c r="AB5" s="40">
        <f t="shared" si="9"/>
        <v>0</v>
      </c>
      <c r="AC5" s="41">
        <f t="shared" si="10"/>
        <v>0</v>
      </c>
      <c r="AD5" s="49"/>
      <c r="AE5" s="50"/>
      <c r="AF5" s="49" t="s">
        <v>1</v>
      </c>
      <c r="AG5" s="50" t="s">
        <v>433</v>
      </c>
      <c r="AH5" s="49"/>
      <c r="AI5" s="50"/>
      <c r="AJ5" s="49" t="s">
        <v>5</v>
      </c>
      <c r="AK5" s="50" t="s">
        <v>419</v>
      </c>
      <c r="AL5" s="49"/>
      <c r="AM5" s="50"/>
      <c r="AN5" s="49"/>
      <c r="AO5" s="50"/>
      <c r="AP5" s="49"/>
      <c r="AQ5" s="50"/>
      <c r="AR5" s="49" t="s">
        <v>5</v>
      </c>
      <c r="AS5" s="50" t="s">
        <v>74</v>
      </c>
      <c r="AT5" s="49"/>
      <c r="AU5" s="50"/>
      <c r="AV5" s="49" t="s">
        <v>5</v>
      </c>
      <c r="AW5" s="50" t="s">
        <v>77</v>
      </c>
      <c r="AX5" s="49"/>
      <c r="AY5" s="50"/>
      <c r="AZ5" s="49" t="s">
        <v>5</v>
      </c>
      <c r="BA5" s="50" t="s">
        <v>76</v>
      </c>
      <c r="BB5" s="49" t="s">
        <v>5</v>
      </c>
      <c r="BC5" s="50" t="s">
        <v>420</v>
      </c>
      <c r="BD5" s="49"/>
      <c r="BE5" s="50"/>
      <c r="BF5" s="49"/>
      <c r="BG5" s="50"/>
      <c r="BH5" s="49" t="s">
        <v>5</v>
      </c>
      <c r="BI5" s="50" t="s">
        <v>711</v>
      </c>
      <c r="BJ5" s="49"/>
      <c r="BK5" s="50"/>
      <c r="BL5" s="49"/>
      <c r="BM5" s="50"/>
      <c r="BN5" s="49" t="s">
        <v>5</v>
      </c>
      <c r="BO5" s="50" t="s">
        <v>152</v>
      </c>
      <c r="BP5" s="49"/>
      <c r="BQ5" s="50"/>
      <c r="BR5" s="49" t="s">
        <v>5</v>
      </c>
      <c r="BS5" s="50" t="s">
        <v>140</v>
      </c>
      <c r="BT5" s="49"/>
      <c r="BU5" s="50"/>
      <c r="BV5" s="49" t="s">
        <v>5</v>
      </c>
      <c r="BW5" s="50" t="s">
        <v>132</v>
      </c>
      <c r="BX5" s="49"/>
      <c r="BY5" s="50"/>
      <c r="BZ5" s="49" t="s">
        <v>5</v>
      </c>
      <c r="CA5" s="50" t="s">
        <v>75</v>
      </c>
    </row>
    <row r="6" spans="1:79" x14ac:dyDescent="0.25">
      <c r="A6" s="76">
        <v>151930</v>
      </c>
      <c r="B6" s="77" t="s">
        <v>958</v>
      </c>
      <c r="C6" s="78" t="s">
        <v>959</v>
      </c>
      <c r="D6" s="76" t="s">
        <v>70</v>
      </c>
      <c r="E6" s="79" t="s">
        <v>14</v>
      </c>
      <c r="F6" s="79" t="s">
        <v>115</v>
      </c>
      <c r="G6" s="79" t="s">
        <v>14</v>
      </c>
      <c r="H6" s="79" t="s">
        <v>14</v>
      </c>
      <c r="I6" s="78" t="s">
        <v>14</v>
      </c>
      <c r="J6" s="79" t="s">
        <v>14</v>
      </c>
      <c r="K6" s="142" t="s">
        <v>1850</v>
      </c>
      <c r="L6" s="149" t="s">
        <v>1842</v>
      </c>
      <c r="M6" s="150" t="s">
        <v>12</v>
      </c>
      <c r="N6" s="151">
        <v>11</v>
      </c>
      <c r="O6" s="151">
        <v>7</v>
      </c>
      <c r="P6" s="152">
        <v>2</v>
      </c>
      <c r="Q6" s="153">
        <v>97.83</v>
      </c>
      <c r="R6" s="154">
        <v>9</v>
      </c>
      <c r="S6" s="38">
        <f t="shared" si="0"/>
        <v>0</v>
      </c>
      <c r="T6" s="39">
        <f t="shared" si="1"/>
        <v>8</v>
      </c>
      <c r="U6" s="40">
        <f t="shared" si="2"/>
        <v>1</v>
      </c>
      <c r="V6" s="40">
        <f t="shared" si="3"/>
        <v>1</v>
      </c>
      <c r="W6" s="40">
        <f t="shared" si="4"/>
        <v>1</v>
      </c>
      <c r="X6" s="40">
        <f t="shared" si="5"/>
        <v>3</v>
      </c>
      <c r="Y6" s="40">
        <f t="shared" si="6"/>
        <v>0</v>
      </c>
      <c r="Z6" s="40">
        <f t="shared" si="7"/>
        <v>0</v>
      </c>
      <c r="AA6" s="40">
        <f t="shared" si="8"/>
        <v>0</v>
      </c>
      <c r="AB6" s="40">
        <f t="shared" si="9"/>
        <v>0</v>
      </c>
      <c r="AC6" s="41">
        <f t="shared" si="10"/>
        <v>0</v>
      </c>
      <c r="AD6" s="49" t="s">
        <v>30</v>
      </c>
      <c r="AE6" s="50" t="s">
        <v>72</v>
      </c>
      <c r="AF6" s="49" t="s">
        <v>31</v>
      </c>
      <c r="AG6" s="50" t="s">
        <v>154</v>
      </c>
      <c r="AH6" s="49" t="s">
        <v>5</v>
      </c>
      <c r="AI6" s="50" t="s">
        <v>131</v>
      </c>
      <c r="AJ6" s="49" t="s">
        <v>32</v>
      </c>
      <c r="AK6" s="50" t="s">
        <v>83</v>
      </c>
      <c r="AL6" s="49"/>
      <c r="AM6" s="50"/>
      <c r="AN6" s="49"/>
      <c r="AO6" s="50"/>
      <c r="AP6" s="49"/>
      <c r="AQ6" s="50"/>
      <c r="AR6" s="49" t="s">
        <v>5</v>
      </c>
      <c r="AS6" s="50" t="s">
        <v>102</v>
      </c>
      <c r="AT6" s="49"/>
      <c r="AU6" s="50"/>
      <c r="AV6" s="49" t="s">
        <v>5</v>
      </c>
      <c r="AW6" s="50" t="s">
        <v>194</v>
      </c>
      <c r="AX6" s="49" t="s">
        <v>5</v>
      </c>
      <c r="AY6" s="50" t="s">
        <v>84</v>
      </c>
      <c r="AZ6" s="49"/>
      <c r="BA6" s="50"/>
      <c r="BB6" s="49"/>
      <c r="BC6" s="50"/>
      <c r="BD6" s="49"/>
      <c r="BE6" s="50"/>
      <c r="BF6" s="49"/>
      <c r="BG6" s="50"/>
      <c r="BH6" s="49" t="s">
        <v>5</v>
      </c>
      <c r="BI6" s="50" t="s">
        <v>422</v>
      </c>
      <c r="BJ6" s="49"/>
      <c r="BK6" s="50"/>
      <c r="BL6" s="49"/>
      <c r="BM6" s="50"/>
      <c r="BN6" s="49" t="s">
        <v>5</v>
      </c>
      <c r="BO6" s="50" t="s">
        <v>81</v>
      </c>
      <c r="BP6" s="49"/>
      <c r="BQ6" s="50"/>
      <c r="BR6" s="49" t="s">
        <v>5</v>
      </c>
      <c r="BS6" s="50" t="s">
        <v>98</v>
      </c>
      <c r="BT6" s="49"/>
      <c r="BU6" s="50"/>
      <c r="BV6" s="49" t="s">
        <v>5</v>
      </c>
      <c r="BW6" s="50" t="s">
        <v>122</v>
      </c>
      <c r="BX6" s="49"/>
      <c r="BY6" s="50"/>
      <c r="BZ6" s="49"/>
      <c r="CA6" s="50"/>
    </row>
    <row r="7" spans="1:79" x14ac:dyDescent="0.25">
      <c r="A7" s="76">
        <v>151773</v>
      </c>
      <c r="B7" s="77" t="s">
        <v>960</v>
      </c>
      <c r="C7" s="78" t="s">
        <v>961</v>
      </c>
      <c r="D7" s="76" t="s">
        <v>12</v>
      </c>
      <c r="E7" s="79" t="s">
        <v>14</v>
      </c>
      <c r="F7" s="79" t="s">
        <v>71</v>
      </c>
      <c r="G7" s="79" t="s">
        <v>14</v>
      </c>
      <c r="H7" s="79" t="s">
        <v>14</v>
      </c>
      <c r="I7" s="78" t="s">
        <v>14</v>
      </c>
      <c r="J7" s="79" t="s">
        <v>14</v>
      </c>
      <c r="K7" s="142" t="s">
        <v>1850</v>
      </c>
      <c r="L7" s="149" t="s">
        <v>1841</v>
      </c>
      <c r="M7" s="150" t="s">
        <v>1853</v>
      </c>
      <c r="N7" s="151">
        <v>7</v>
      </c>
      <c r="O7" s="151">
        <v>0</v>
      </c>
      <c r="P7" s="152">
        <v>0</v>
      </c>
      <c r="Q7" s="153">
        <v>100</v>
      </c>
      <c r="R7" s="154">
        <v>0</v>
      </c>
      <c r="S7" s="38">
        <f t="shared" si="0"/>
        <v>3</v>
      </c>
      <c r="T7" s="39">
        <f t="shared" si="1"/>
        <v>8</v>
      </c>
      <c r="U7" s="40">
        <f t="shared" si="2"/>
        <v>0</v>
      </c>
      <c r="V7" s="40">
        <f t="shared" si="3"/>
        <v>0</v>
      </c>
      <c r="W7" s="40">
        <f t="shared" si="4"/>
        <v>0</v>
      </c>
      <c r="X7" s="40">
        <f t="shared" si="5"/>
        <v>0</v>
      </c>
      <c r="Y7" s="40">
        <f t="shared" si="6"/>
        <v>0</v>
      </c>
      <c r="Z7" s="40">
        <f t="shared" si="7"/>
        <v>0</v>
      </c>
      <c r="AA7" s="40">
        <f t="shared" si="8"/>
        <v>0</v>
      </c>
      <c r="AB7" s="40">
        <f t="shared" si="9"/>
        <v>0</v>
      </c>
      <c r="AC7" s="41">
        <f t="shared" si="10"/>
        <v>0</v>
      </c>
      <c r="AD7" s="49"/>
      <c r="AE7" s="50"/>
      <c r="AF7" s="49" t="s">
        <v>5</v>
      </c>
      <c r="AG7" s="50" t="s">
        <v>433</v>
      </c>
      <c r="AH7" s="49"/>
      <c r="AI7" s="50"/>
      <c r="AJ7" s="49" t="s">
        <v>5</v>
      </c>
      <c r="AK7" s="50" t="s">
        <v>419</v>
      </c>
      <c r="AL7" s="49"/>
      <c r="AM7" s="50"/>
      <c r="AN7" s="49" t="s">
        <v>1</v>
      </c>
      <c r="AO7" s="50" t="s">
        <v>163</v>
      </c>
      <c r="AP7" s="49"/>
      <c r="AQ7" s="50"/>
      <c r="AR7" s="49" t="s">
        <v>5</v>
      </c>
      <c r="AS7" s="50" t="s">
        <v>169</v>
      </c>
      <c r="AT7" s="49"/>
      <c r="AU7" s="50"/>
      <c r="AV7" s="49" t="s">
        <v>5</v>
      </c>
      <c r="AW7" s="50" t="s">
        <v>139</v>
      </c>
      <c r="AX7" s="49"/>
      <c r="AY7" s="50"/>
      <c r="AZ7" s="49" t="s">
        <v>5</v>
      </c>
      <c r="BA7" s="50" t="s">
        <v>92</v>
      </c>
      <c r="BB7" s="49"/>
      <c r="BC7" s="50"/>
      <c r="BD7" s="49"/>
      <c r="BE7" s="50"/>
      <c r="BF7" s="49"/>
      <c r="BG7" s="50"/>
      <c r="BH7" s="49" t="s">
        <v>1</v>
      </c>
      <c r="BI7" s="50" t="s">
        <v>94</v>
      </c>
      <c r="BJ7" s="49"/>
      <c r="BK7" s="50"/>
      <c r="BL7" s="49"/>
      <c r="BM7" s="50"/>
      <c r="BN7" s="49" t="s">
        <v>1</v>
      </c>
      <c r="BO7" s="50" t="s">
        <v>107</v>
      </c>
      <c r="BP7" s="49"/>
      <c r="BQ7" s="50"/>
      <c r="BR7" s="49" t="s">
        <v>5</v>
      </c>
      <c r="BS7" s="50" t="s">
        <v>140</v>
      </c>
      <c r="BT7" s="49"/>
      <c r="BU7" s="50"/>
      <c r="BV7" s="49" t="s">
        <v>5</v>
      </c>
      <c r="BW7" s="50" t="s">
        <v>122</v>
      </c>
      <c r="BX7" s="49"/>
      <c r="BY7" s="50"/>
      <c r="BZ7" s="49" t="s">
        <v>5</v>
      </c>
      <c r="CA7" s="50" t="s">
        <v>75</v>
      </c>
    </row>
    <row r="8" spans="1:79" x14ac:dyDescent="0.25">
      <c r="A8" s="76">
        <v>151792</v>
      </c>
      <c r="B8" s="77" t="s">
        <v>962</v>
      </c>
      <c r="C8" s="78" t="s">
        <v>963</v>
      </c>
      <c r="D8" s="76" t="s">
        <v>70</v>
      </c>
      <c r="E8" s="79" t="s">
        <v>87</v>
      </c>
      <c r="F8" s="79" t="s">
        <v>88</v>
      </c>
      <c r="G8" s="79" t="s">
        <v>14</v>
      </c>
      <c r="H8" s="79" t="s">
        <v>87</v>
      </c>
      <c r="I8" s="78" t="s">
        <v>14</v>
      </c>
      <c r="J8" s="79" t="s">
        <v>14</v>
      </c>
      <c r="K8" s="142" t="s">
        <v>1850</v>
      </c>
      <c r="L8" s="149" t="s">
        <v>1845</v>
      </c>
      <c r="M8" s="150" t="s">
        <v>1852</v>
      </c>
      <c r="N8" s="151">
        <v>24</v>
      </c>
      <c r="O8" s="151">
        <v>0</v>
      </c>
      <c r="P8" s="152">
        <v>1</v>
      </c>
      <c r="Q8" s="153">
        <v>100</v>
      </c>
      <c r="R8" s="154">
        <v>3</v>
      </c>
      <c r="S8" s="38">
        <f t="shared" si="0"/>
        <v>3</v>
      </c>
      <c r="T8" s="39">
        <f t="shared" si="1"/>
        <v>8</v>
      </c>
      <c r="U8" s="40">
        <f t="shared" si="2"/>
        <v>0</v>
      </c>
      <c r="V8" s="40">
        <f t="shared" si="3"/>
        <v>0</v>
      </c>
      <c r="W8" s="40">
        <f t="shared" si="4"/>
        <v>0</v>
      </c>
      <c r="X8" s="40">
        <f t="shared" si="5"/>
        <v>0</v>
      </c>
      <c r="Y8" s="40">
        <f t="shared" si="6"/>
        <v>0</v>
      </c>
      <c r="Z8" s="40">
        <f t="shared" si="7"/>
        <v>0</v>
      </c>
      <c r="AA8" s="40">
        <f t="shared" si="8"/>
        <v>0</v>
      </c>
      <c r="AB8" s="40">
        <f t="shared" si="9"/>
        <v>0</v>
      </c>
      <c r="AC8" s="41">
        <f t="shared" si="10"/>
        <v>0</v>
      </c>
      <c r="AD8" s="49"/>
      <c r="AE8" s="50"/>
      <c r="AF8" s="49" t="s">
        <v>5</v>
      </c>
      <c r="AG8" s="50" t="s">
        <v>433</v>
      </c>
      <c r="AH8" s="49" t="s">
        <v>5</v>
      </c>
      <c r="AI8" s="50" t="s">
        <v>131</v>
      </c>
      <c r="AJ8" s="49" t="s">
        <v>1</v>
      </c>
      <c r="AK8" s="50" t="s">
        <v>714</v>
      </c>
      <c r="AL8" s="49"/>
      <c r="AM8" s="50"/>
      <c r="AN8" s="49"/>
      <c r="AO8" s="50"/>
      <c r="AP8" s="49"/>
      <c r="AQ8" s="50"/>
      <c r="AR8" s="49" t="s">
        <v>5</v>
      </c>
      <c r="AS8" s="50" t="s">
        <v>111</v>
      </c>
      <c r="AT8" s="49"/>
      <c r="AU8" s="50"/>
      <c r="AV8" s="49" t="s">
        <v>5</v>
      </c>
      <c r="AW8" s="50" t="s">
        <v>495</v>
      </c>
      <c r="AX8" s="49" t="s">
        <v>5</v>
      </c>
      <c r="AY8" s="50" t="s">
        <v>84</v>
      </c>
      <c r="AZ8" s="49"/>
      <c r="BA8" s="50"/>
      <c r="BB8" s="49" t="s">
        <v>5</v>
      </c>
      <c r="BC8" s="50" t="s">
        <v>425</v>
      </c>
      <c r="BD8" s="49"/>
      <c r="BE8" s="50"/>
      <c r="BF8" s="49"/>
      <c r="BG8" s="50"/>
      <c r="BH8" s="49" t="s">
        <v>1</v>
      </c>
      <c r="BI8" s="50" t="s">
        <v>136</v>
      </c>
      <c r="BJ8" s="49"/>
      <c r="BK8" s="50"/>
      <c r="BL8" s="49"/>
      <c r="BM8" s="50"/>
      <c r="BN8" s="49" t="s">
        <v>5</v>
      </c>
      <c r="BO8" s="50" t="s">
        <v>152</v>
      </c>
      <c r="BP8" s="49"/>
      <c r="BQ8" s="50"/>
      <c r="BR8" s="49" t="s">
        <v>1</v>
      </c>
      <c r="BS8" s="50" t="s">
        <v>170</v>
      </c>
      <c r="BT8" s="49"/>
      <c r="BU8" s="50"/>
      <c r="BV8" s="49" t="s">
        <v>5</v>
      </c>
      <c r="BW8" s="50" t="s">
        <v>82</v>
      </c>
      <c r="BX8" s="49"/>
      <c r="BY8" s="50"/>
      <c r="BZ8" s="49"/>
      <c r="CA8" s="50"/>
    </row>
    <row r="9" spans="1:79" x14ac:dyDescent="0.25">
      <c r="A9" s="76">
        <v>151960</v>
      </c>
      <c r="B9" s="77" t="s">
        <v>964</v>
      </c>
      <c r="C9" s="78" t="s">
        <v>957</v>
      </c>
      <c r="D9" s="76" t="s">
        <v>12</v>
      </c>
      <c r="E9" s="79" t="s">
        <v>14</v>
      </c>
      <c r="F9" s="79" t="s">
        <v>503</v>
      </c>
      <c r="G9" s="79" t="s">
        <v>14</v>
      </c>
      <c r="H9" s="79" t="s">
        <v>14</v>
      </c>
      <c r="I9" s="78" t="s">
        <v>14</v>
      </c>
      <c r="J9" s="79" t="s">
        <v>14</v>
      </c>
      <c r="K9" s="142" t="s">
        <v>1850</v>
      </c>
      <c r="L9" s="149" t="s">
        <v>1844</v>
      </c>
      <c r="M9" s="150" t="s">
        <v>12</v>
      </c>
      <c r="N9" s="151">
        <v>7</v>
      </c>
      <c r="O9" s="151">
        <v>10</v>
      </c>
      <c r="P9" s="152">
        <v>1</v>
      </c>
      <c r="Q9" s="153">
        <v>95.65</v>
      </c>
      <c r="R9" s="154">
        <v>5</v>
      </c>
      <c r="S9" s="38">
        <f t="shared" si="0"/>
        <v>0</v>
      </c>
      <c r="T9" s="39">
        <f t="shared" si="1"/>
        <v>4</v>
      </c>
      <c r="U9" s="40">
        <f t="shared" si="2"/>
        <v>3</v>
      </c>
      <c r="V9" s="40">
        <f t="shared" si="3"/>
        <v>2</v>
      </c>
      <c r="W9" s="40">
        <f t="shared" si="4"/>
        <v>1</v>
      </c>
      <c r="X9" s="40">
        <f t="shared" si="5"/>
        <v>6</v>
      </c>
      <c r="Y9" s="40">
        <f t="shared" si="6"/>
        <v>0</v>
      </c>
      <c r="Z9" s="40">
        <f t="shared" si="7"/>
        <v>0</v>
      </c>
      <c r="AA9" s="40">
        <f t="shared" si="8"/>
        <v>0</v>
      </c>
      <c r="AB9" s="40">
        <f t="shared" si="9"/>
        <v>0</v>
      </c>
      <c r="AC9" s="41">
        <f t="shared" si="10"/>
        <v>0</v>
      </c>
      <c r="AD9" s="49"/>
      <c r="AE9" s="50"/>
      <c r="AF9" s="49"/>
      <c r="AG9" s="50"/>
      <c r="AH9" s="49" t="s">
        <v>30</v>
      </c>
      <c r="AI9" s="50" t="s">
        <v>78</v>
      </c>
      <c r="AJ9" s="49"/>
      <c r="AK9" s="50"/>
      <c r="AL9" s="49"/>
      <c r="AM9" s="50"/>
      <c r="AN9" s="49"/>
      <c r="AO9" s="50"/>
      <c r="AP9" s="49" t="s">
        <v>30</v>
      </c>
      <c r="AQ9" s="50" t="s">
        <v>101</v>
      </c>
      <c r="AR9" s="49" t="s">
        <v>5</v>
      </c>
      <c r="AS9" s="50" t="s">
        <v>722</v>
      </c>
      <c r="AT9" s="49"/>
      <c r="AU9" s="50"/>
      <c r="AV9" s="49" t="s">
        <v>31</v>
      </c>
      <c r="AW9" s="50" t="s">
        <v>77</v>
      </c>
      <c r="AX9" s="49"/>
      <c r="AY9" s="50"/>
      <c r="AZ9" s="49"/>
      <c r="BA9" s="50"/>
      <c r="BB9" s="49"/>
      <c r="BC9" s="50"/>
      <c r="BD9" s="49"/>
      <c r="BE9" s="50"/>
      <c r="BF9" s="49"/>
      <c r="BG9" s="50"/>
      <c r="BH9" s="49" t="s">
        <v>5</v>
      </c>
      <c r="BI9" s="50" t="s">
        <v>136</v>
      </c>
      <c r="BJ9" s="49"/>
      <c r="BK9" s="50"/>
      <c r="BL9" s="49"/>
      <c r="BM9" s="50"/>
      <c r="BN9" s="49" t="s">
        <v>5</v>
      </c>
      <c r="BO9" s="50" t="s">
        <v>107</v>
      </c>
      <c r="BP9" s="49" t="s">
        <v>5</v>
      </c>
      <c r="BQ9" s="50" t="s">
        <v>107</v>
      </c>
      <c r="BR9" s="49"/>
      <c r="BS9" s="50"/>
      <c r="BT9" s="49"/>
      <c r="BU9" s="50"/>
      <c r="BV9" s="49" t="s">
        <v>31</v>
      </c>
      <c r="BW9" s="50" t="s">
        <v>122</v>
      </c>
      <c r="BX9" s="49" t="s">
        <v>30</v>
      </c>
      <c r="BY9" s="50" t="s">
        <v>137</v>
      </c>
      <c r="BZ9" s="49" t="s">
        <v>32</v>
      </c>
      <c r="CA9" s="50" t="s">
        <v>124</v>
      </c>
    </row>
    <row r="10" spans="1:79" x14ac:dyDescent="0.25">
      <c r="A10" s="76">
        <v>151862</v>
      </c>
      <c r="B10" s="77" t="s">
        <v>965</v>
      </c>
      <c r="C10" s="78" t="s">
        <v>961</v>
      </c>
      <c r="D10" s="76" t="s">
        <v>70</v>
      </c>
      <c r="E10" s="79" t="s">
        <v>14</v>
      </c>
      <c r="F10" s="79" t="s">
        <v>88</v>
      </c>
      <c r="G10" s="79" t="s">
        <v>87</v>
      </c>
      <c r="H10" s="79" t="s">
        <v>14</v>
      </c>
      <c r="I10" s="78" t="s">
        <v>14</v>
      </c>
      <c r="J10" s="79" t="s">
        <v>14</v>
      </c>
      <c r="K10" s="142" t="s">
        <v>1850</v>
      </c>
      <c r="L10" s="149" t="s">
        <v>1842</v>
      </c>
      <c r="M10" s="150" t="s">
        <v>1853</v>
      </c>
      <c r="N10" s="151">
        <v>21</v>
      </c>
      <c r="O10" s="151">
        <v>2</v>
      </c>
      <c r="P10" s="152">
        <v>1</v>
      </c>
      <c r="Q10" s="153">
        <v>100</v>
      </c>
      <c r="R10" s="154">
        <v>6</v>
      </c>
      <c r="S10" s="38">
        <f t="shared" si="0"/>
        <v>1</v>
      </c>
      <c r="T10" s="39">
        <f t="shared" si="1"/>
        <v>10</v>
      </c>
      <c r="U10" s="40">
        <f t="shared" si="2"/>
        <v>0</v>
      </c>
      <c r="V10" s="40">
        <f t="shared" si="3"/>
        <v>0</v>
      </c>
      <c r="W10" s="40">
        <f t="shared" si="4"/>
        <v>0</v>
      </c>
      <c r="X10" s="40">
        <f t="shared" si="5"/>
        <v>0</v>
      </c>
      <c r="Y10" s="40">
        <f t="shared" si="6"/>
        <v>0</v>
      </c>
      <c r="Z10" s="40">
        <f t="shared" si="7"/>
        <v>0</v>
      </c>
      <c r="AA10" s="40">
        <f t="shared" si="8"/>
        <v>0</v>
      </c>
      <c r="AB10" s="40">
        <f t="shared" si="9"/>
        <v>0</v>
      </c>
      <c r="AC10" s="41">
        <f t="shared" si="10"/>
        <v>0</v>
      </c>
      <c r="AD10" s="49"/>
      <c r="AE10" s="50"/>
      <c r="AF10" s="49" t="s">
        <v>5</v>
      </c>
      <c r="AG10" s="50" t="s">
        <v>438</v>
      </c>
      <c r="AH10" s="49"/>
      <c r="AI10" s="50"/>
      <c r="AJ10" s="49" t="s">
        <v>5</v>
      </c>
      <c r="AK10" s="50" t="s">
        <v>83</v>
      </c>
      <c r="AL10" s="49"/>
      <c r="AM10" s="50"/>
      <c r="AN10" s="49"/>
      <c r="AO10" s="50"/>
      <c r="AP10" s="49"/>
      <c r="AQ10" s="50"/>
      <c r="AR10" s="49" t="s">
        <v>5</v>
      </c>
      <c r="AS10" s="50" t="s">
        <v>151</v>
      </c>
      <c r="AT10" s="49"/>
      <c r="AU10" s="50"/>
      <c r="AV10" s="49" t="s">
        <v>5</v>
      </c>
      <c r="AW10" s="50" t="s">
        <v>139</v>
      </c>
      <c r="AX10" s="49"/>
      <c r="AY10" s="50"/>
      <c r="AZ10" s="49" t="s">
        <v>5</v>
      </c>
      <c r="BA10" s="50" t="s">
        <v>92</v>
      </c>
      <c r="BB10" s="49"/>
      <c r="BC10" s="50"/>
      <c r="BD10" s="49" t="s">
        <v>5</v>
      </c>
      <c r="BE10" s="50" t="s">
        <v>120</v>
      </c>
      <c r="BF10" s="49"/>
      <c r="BG10" s="50"/>
      <c r="BH10" s="49" t="s">
        <v>5</v>
      </c>
      <c r="BI10" s="50" t="s">
        <v>94</v>
      </c>
      <c r="BJ10" s="49"/>
      <c r="BK10" s="50"/>
      <c r="BL10" s="49"/>
      <c r="BM10" s="50"/>
      <c r="BN10" s="49" t="s">
        <v>5</v>
      </c>
      <c r="BO10" s="50" t="s">
        <v>152</v>
      </c>
      <c r="BP10" s="49"/>
      <c r="BQ10" s="50"/>
      <c r="BR10" s="49" t="s">
        <v>5</v>
      </c>
      <c r="BS10" s="50" t="s">
        <v>123</v>
      </c>
      <c r="BT10" s="49"/>
      <c r="BU10" s="50"/>
      <c r="BV10" s="49" t="s">
        <v>1</v>
      </c>
      <c r="BW10" s="50" t="s">
        <v>715</v>
      </c>
      <c r="BX10" s="49"/>
      <c r="BY10" s="50"/>
      <c r="BZ10" s="49" t="s">
        <v>5</v>
      </c>
      <c r="CA10" s="50" t="s">
        <v>124</v>
      </c>
    </row>
    <row r="11" spans="1:79" x14ac:dyDescent="0.25">
      <c r="A11" s="76">
        <v>151854</v>
      </c>
      <c r="B11" s="77" t="s">
        <v>966</v>
      </c>
      <c r="C11" s="78" t="s">
        <v>952</v>
      </c>
      <c r="D11" s="76" t="s">
        <v>12</v>
      </c>
      <c r="E11" s="79" t="s">
        <v>14</v>
      </c>
      <c r="F11" s="79" t="s">
        <v>88</v>
      </c>
      <c r="G11" s="79" t="s">
        <v>87</v>
      </c>
      <c r="H11" s="79" t="s">
        <v>14</v>
      </c>
      <c r="I11" s="78" t="s">
        <v>14</v>
      </c>
      <c r="J11" s="79" t="s">
        <v>14</v>
      </c>
      <c r="K11" s="142" t="s">
        <v>1850</v>
      </c>
      <c r="L11" s="149" t="s">
        <v>1845</v>
      </c>
      <c r="M11" s="150" t="s">
        <v>12</v>
      </c>
      <c r="N11" s="151">
        <v>5</v>
      </c>
      <c r="O11" s="151">
        <v>0</v>
      </c>
      <c r="P11" s="152">
        <v>3</v>
      </c>
      <c r="Q11" s="153">
        <v>100</v>
      </c>
      <c r="R11" s="154">
        <v>3</v>
      </c>
      <c r="S11" s="38">
        <f t="shared" si="0"/>
        <v>1</v>
      </c>
      <c r="T11" s="39">
        <f t="shared" si="1"/>
        <v>10</v>
      </c>
      <c r="U11" s="40">
        <f t="shared" si="2"/>
        <v>0</v>
      </c>
      <c r="V11" s="40">
        <f t="shared" si="3"/>
        <v>0</v>
      </c>
      <c r="W11" s="40">
        <f t="shared" si="4"/>
        <v>0</v>
      </c>
      <c r="X11" s="40">
        <f t="shared" si="5"/>
        <v>0</v>
      </c>
      <c r="Y11" s="40">
        <f t="shared" si="6"/>
        <v>0</v>
      </c>
      <c r="Z11" s="40">
        <f t="shared" si="7"/>
        <v>0</v>
      </c>
      <c r="AA11" s="40">
        <f t="shared" si="8"/>
        <v>0</v>
      </c>
      <c r="AB11" s="40">
        <f t="shared" si="9"/>
        <v>0</v>
      </c>
      <c r="AC11" s="41">
        <f t="shared" si="10"/>
        <v>0</v>
      </c>
      <c r="AD11" s="49"/>
      <c r="AE11" s="50"/>
      <c r="AF11" s="49" t="s">
        <v>5</v>
      </c>
      <c r="AG11" s="50" t="s">
        <v>154</v>
      </c>
      <c r="AH11" s="49"/>
      <c r="AI11" s="50"/>
      <c r="AJ11" s="49" t="s">
        <v>5</v>
      </c>
      <c r="AK11" s="50" t="s">
        <v>83</v>
      </c>
      <c r="AL11" s="49"/>
      <c r="AM11" s="50"/>
      <c r="AN11" s="49"/>
      <c r="AO11" s="50"/>
      <c r="AP11" s="49"/>
      <c r="AQ11" s="50"/>
      <c r="AR11" s="49" t="s">
        <v>5</v>
      </c>
      <c r="AS11" s="50" t="s">
        <v>722</v>
      </c>
      <c r="AT11" s="49"/>
      <c r="AU11" s="50"/>
      <c r="AV11" s="49" t="s">
        <v>5</v>
      </c>
      <c r="AW11" s="50" t="s">
        <v>117</v>
      </c>
      <c r="AX11" s="49"/>
      <c r="AY11" s="50"/>
      <c r="AZ11" s="49" t="s">
        <v>5</v>
      </c>
      <c r="BA11" s="50" t="s">
        <v>92</v>
      </c>
      <c r="BB11" s="49"/>
      <c r="BC11" s="50"/>
      <c r="BD11" s="49"/>
      <c r="BE11" s="50"/>
      <c r="BF11" s="49"/>
      <c r="BG11" s="50"/>
      <c r="BH11" s="49" t="s">
        <v>5</v>
      </c>
      <c r="BI11" s="50" t="s">
        <v>112</v>
      </c>
      <c r="BJ11" s="49"/>
      <c r="BK11" s="50"/>
      <c r="BL11" s="49"/>
      <c r="BM11" s="50"/>
      <c r="BN11" s="49" t="s">
        <v>1</v>
      </c>
      <c r="BO11" s="50" t="s">
        <v>107</v>
      </c>
      <c r="BP11" s="49" t="s">
        <v>5</v>
      </c>
      <c r="BQ11" s="50" t="s">
        <v>107</v>
      </c>
      <c r="BR11" s="49" t="s">
        <v>5</v>
      </c>
      <c r="BS11" s="50" t="s">
        <v>98</v>
      </c>
      <c r="BT11" s="49"/>
      <c r="BU11" s="50"/>
      <c r="BV11" s="49" t="s">
        <v>5</v>
      </c>
      <c r="BW11" s="50" t="s">
        <v>97</v>
      </c>
      <c r="BX11" s="49"/>
      <c r="BY11" s="50"/>
      <c r="BZ11" s="49" t="s">
        <v>5</v>
      </c>
      <c r="CA11" s="50" t="s">
        <v>124</v>
      </c>
    </row>
    <row r="12" spans="1:79" x14ac:dyDescent="0.25">
      <c r="A12" s="76">
        <v>151755</v>
      </c>
      <c r="B12" s="77" t="s">
        <v>967</v>
      </c>
      <c r="C12" s="78" t="s">
        <v>957</v>
      </c>
      <c r="D12" s="76" t="s">
        <v>70</v>
      </c>
      <c r="E12" s="79" t="s">
        <v>14</v>
      </c>
      <c r="F12" s="79" t="s">
        <v>71</v>
      </c>
      <c r="G12" s="79" t="s">
        <v>14</v>
      </c>
      <c r="H12" s="79" t="s">
        <v>14</v>
      </c>
      <c r="I12" s="78" t="s">
        <v>14</v>
      </c>
      <c r="J12" s="79" t="s">
        <v>14</v>
      </c>
      <c r="K12" s="142" t="s">
        <v>1850</v>
      </c>
      <c r="L12" s="149" t="s">
        <v>1841</v>
      </c>
      <c r="M12" s="150" t="s">
        <v>1853</v>
      </c>
      <c r="N12" s="151">
        <v>8</v>
      </c>
      <c r="O12" s="151">
        <v>0</v>
      </c>
      <c r="P12" s="152">
        <v>0</v>
      </c>
      <c r="Q12" s="153">
        <v>100</v>
      </c>
      <c r="R12" s="154">
        <v>0</v>
      </c>
      <c r="S12" s="38">
        <f t="shared" si="0"/>
        <v>1</v>
      </c>
      <c r="T12" s="39">
        <f t="shared" si="1"/>
        <v>9</v>
      </c>
      <c r="U12" s="40">
        <f t="shared" si="2"/>
        <v>0</v>
      </c>
      <c r="V12" s="40">
        <f t="shared" si="3"/>
        <v>0</v>
      </c>
      <c r="W12" s="40">
        <f t="shared" si="4"/>
        <v>0</v>
      </c>
      <c r="X12" s="40">
        <f t="shared" si="5"/>
        <v>0</v>
      </c>
      <c r="Y12" s="40">
        <f t="shared" si="6"/>
        <v>0</v>
      </c>
      <c r="Z12" s="40">
        <f t="shared" si="7"/>
        <v>0</v>
      </c>
      <c r="AA12" s="40">
        <f t="shared" si="8"/>
        <v>0</v>
      </c>
      <c r="AB12" s="40">
        <f t="shared" si="9"/>
        <v>0</v>
      </c>
      <c r="AC12" s="41">
        <f t="shared" si="10"/>
        <v>0</v>
      </c>
      <c r="AD12" s="49"/>
      <c r="AE12" s="50"/>
      <c r="AF12" s="49"/>
      <c r="AG12" s="50"/>
      <c r="AH12" s="49"/>
      <c r="AI12" s="50"/>
      <c r="AJ12" s="49"/>
      <c r="AK12" s="50"/>
      <c r="AL12" s="49"/>
      <c r="AM12" s="50"/>
      <c r="AN12" s="49"/>
      <c r="AO12" s="50"/>
      <c r="AP12" s="49" t="s">
        <v>5</v>
      </c>
      <c r="AQ12" s="50" t="s">
        <v>101</v>
      </c>
      <c r="AR12" s="49" t="s">
        <v>5</v>
      </c>
      <c r="AS12" s="50" t="s">
        <v>74</v>
      </c>
      <c r="AT12" s="49"/>
      <c r="AU12" s="50"/>
      <c r="AV12" s="49" t="s">
        <v>5</v>
      </c>
      <c r="AW12" s="50" t="s">
        <v>77</v>
      </c>
      <c r="AX12" s="49"/>
      <c r="AY12" s="50"/>
      <c r="AZ12" s="49" t="s">
        <v>5</v>
      </c>
      <c r="BA12" s="50" t="s">
        <v>76</v>
      </c>
      <c r="BB12" s="49"/>
      <c r="BC12" s="50"/>
      <c r="BD12" s="49"/>
      <c r="BE12" s="50"/>
      <c r="BF12" s="49" t="s">
        <v>1</v>
      </c>
      <c r="BG12" s="50" t="s">
        <v>105</v>
      </c>
      <c r="BH12" s="49" t="s">
        <v>5</v>
      </c>
      <c r="BI12" s="50" t="s">
        <v>711</v>
      </c>
      <c r="BJ12" s="49"/>
      <c r="BK12" s="50"/>
      <c r="BL12" s="49"/>
      <c r="BM12" s="50"/>
      <c r="BN12" s="49" t="s">
        <v>5</v>
      </c>
      <c r="BO12" s="50" t="s">
        <v>81</v>
      </c>
      <c r="BP12" s="49"/>
      <c r="BQ12" s="50"/>
      <c r="BR12" s="49"/>
      <c r="BS12" s="50"/>
      <c r="BT12" s="49"/>
      <c r="BU12" s="50"/>
      <c r="BV12" s="49" t="s">
        <v>5</v>
      </c>
      <c r="BW12" s="50" t="s">
        <v>132</v>
      </c>
      <c r="BX12" s="49" t="s">
        <v>5</v>
      </c>
      <c r="BY12" s="50" t="s">
        <v>137</v>
      </c>
      <c r="BZ12" s="49" t="s">
        <v>5</v>
      </c>
      <c r="CA12" s="50" t="s">
        <v>75</v>
      </c>
    </row>
    <row r="13" spans="1:79" x14ac:dyDescent="0.25">
      <c r="A13" s="76">
        <v>151751</v>
      </c>
      <c r="B13" s="77" t="s">
        <v>968</v>
      </c>
      <c r="C13" s="78" t="s">
        <v>957</v>
      </c>
      <c r="D13" s="76" t="s">
        <v>70</v>
      </c>
      <c r="E13" s="79" t="s">
        <v>14</v>
      </c>
      <c r="F13" s="79" t="s">
        <v>71</v>
      </c>
      <c r="G13" s="79" t="s">
        <v>14</v>
      </c>
      <c r="H13" s="79" t="s">
        <v>14</v>
      </c>
      <c r="I13" s="78" t="s">
        <v>14</v>
      </c>
      <c r="J13" s="79" t="s">
        <v>14</v>
      </c>
      <c r="K13" s="142" t="s">
        <v>1850</v>
      </c>
      <c r="L13" s="149" t="s">
        <v>1844</v>
      </c>
      <c r="M13" s="150" t="s">
        <v>12</v>
      </c>
      <c r="N13" s="151">
        <v>20</v>
      </c>
      <c r="O13" s="151">
        <v>0</v>
      </c>
      <c r="P13" s="152">
        <v>0</v>
      </c>
      <c r="Q13" s="153">
        <v>100</v>
      </c>
      <c r="R13" s="154">
        <v>0</v>
      </c>
      <c r="S13" s="38">
        <f t="shared" si="0"/>
        <v>1</v>
      </c>
      <c r="T13" s="39">
        <f t="shared" si="1"/>
        <v>9</v>
      </c>
      <c r="U13" s="40">
        <f t="shared" si="2"/>
        <v>0</v>
      </c>
      <c r="V13" s="40">
        <f t="shared" si="3"/>
        <v>0</v>
      </c>
      <c r="W13" s="40">
        <f t="shared" si="4"/>
        <v>0</v>
      </c>
      <c r="X13" s="40">
        <f t="shared" si="5"/>
        <v>0</v>
      </c>
      <c r="Y13" s="40">
        <f t="shared" si="6"/>
        <v>0</v>
      </c>
      <c r="Z13" s="40">
        <f t="shared" si="7"/>
        <v>0</v>
      </c>
      <c r="AA13" s="40">
        <f t="shared" si="8"/>
        <v>0</v>
      </c>
      <c r="AB13" s="40">
        <f t="shared" si="9"/>
        <v>0</v>
      </c>
      <c r="AC13" s="41">
        <f t="shared" si="10"/>
        <v>0</v>
      </c>
      <c r="AD13" s="49" t="s">
        <v>5</v>
      </c>
      <c r="AE13" s="50" t="s">
        <v>116</v>
      </c>
      <c r="AF13" s="49"/>
      <c r="AG13" s="50"/>
      <c r="AH13" s="49" t="s">
        <v>5</v>
      </c>
      <c r="AI13" s="50" t="s">
        <v>131</v>
      </c>
      <c r="AJ13" s="49"/>
      <c r="AK13" s="50"/>
      <c r="AL13" s="49"/>
      <c r="AM13" s="50"/>
      <c r="AN13" s="49"/>
      <c r="AO13" s="50"/>
      <c r="AP13" s="49"/>
      <c r="AQ13" s="50"/>
      <c r="AR13" s="49" t="s">
        <v>5</v>
      </c>
      <c r="AS13" s="50" t="s">
        <v>102</v>
      </c>
      <c r="AT13" s="49"/>
      <c r="AU13" s="50"/>
      <c r="AV13" s="49" t="s">
        <v>5</v>
      </c>
      <c r="AW13" s="50" t="s">
        <v>77</v>
      </c>
      <c r="AX13" s="49"/>
      <c r="AY13" s="50"/>
      <c r="AZ13" s="49"/>
      <c r="BA13" s="50"/>
      <c r="BB13" s="49"/>
      <c r="BC13" s="50"/>
      <c r="BD13" s="49"/>
      <c r="BE13" s="50"/>
      <c r="BF13" s="49" t="s">
        <v>1</v>
      </c>
      <c r="BG13" s="50" t="s">
        <v>105</v>
      </c>
      <c r="BH13" s="49" t="s">
        <v>5</v>
      </c>
      <c r="BI13" s="50" t="s">
        <v>106</v>
      </c>
      <c r="BJ13" s="49"/>
      <c r="BK13" s="50"/>
      <c r="BL13" s="49"/>
      <c r="BM13" s="50"/>
      <c r="BN13" s="49" t="s">
        <v>5</v>
      </c>
      <c r="BO13" s="50" t="s">
        <v>152</v>
      </c>
      <c r="BP13" s="49"/>
      <c r="BQ13" s="50"/>
      <c r="BR13" s="49"/>
      <c r="BS13" s="50"/>
      <c r="BT13" s="49"/>
      <c r="BU13" s="50"/>
      <c r="BV13" s="49" t="s">
        <v>5</v>
      </c>
      <c r="BW13" s="50" t="s">
        <v>82</v>
      </c>
      <c r="BX13" s="49" t="s">
        <v>5</v>
      </c>
      <c r="BY13" s="50" t="s">
        <v>133</v>
      </c>
      <c r="BZ13" s="49" t="s">
        <v>5</v>
      </c>
      <c r="CA13" s="50" t="s">
        <v>124</v>
      </c>
    </row>
    <row r="14" spans="1:79" x14ac:dyDescent="0.25">
      <c r="A14" s="76">
        <v>151807</v>
      </c>
      <c r="B14" s="77" t="s">
        <v>969</v>
      </c>
      <c r="C14" s="78" t="s">
        <v>970</v>
      </c>
      <c r="D14" s="76" t="s">
        <v>70</v>
      </c>
      <c r="E14" s="79" t="s">
        <v>14</v>
      </c>
      <c r="F14" s="79" t="s">
        <v>71</v>
      </c>
      <c r="G14" s="79" t="s">
        <v>14</v>
      </c>
      <c r="H14" s="79" t="s">
        <v>14</v>
      </c>
      <c r="I14" s="78" t="s">
        <v>14</v>
      </c>
      <c r="J14" s="79" t="s">
        <v>14</v>
      </c>
      <c r="K14" s="142" t="s">
        <v>1850</v>
      </c>
      <c r="L14" s="149" t="s">
        <v>1842</v>
      </c>
      <c r="M14" s="150" t="s">
        <v>12</v>
      </c>
      <c r="N14" s="151">
        <v>14</v>
      </c>
      <c r="O14" s="151">
        <v>0</v>
      </c>
      <c r="P14" s="152">
        <v>0</v>
      </c>
      <c r="Q14" s="153">
        <v>100</v>
      </c>
      <c r="R14" s="154">
        <v>0</v>
      </c>
      <c r="S14" s="38">
        <f t="shared" si="0"/>
        <v>1</v>
      </c>
      <c r="T14" s="39">
        <f t="shared" si="1"/>
        <v>9</v>
      </c>
      <c r="U14" s="40">
        <f t="shared" si="2"/>
        <v>0</v>
      </c>
      <c r="V14" s="40">
        <f t="shared" si="3"/>
        <v>0</v>
      </c>
      <c r="W14" s="40">
        <f t="shared" si="4"/>
        <v>0</v>
      </c>
      <c r="X14" s="40">
        <f t="shared" si="5"/>
        <v>0</v>
      </c>
      <c r="Y14" s="40">
        <f t="shared" si="6"/>
        <v>0</v>
      </c>
      <c r="Z14" s="40">
        <f t="shared" si="7"/>
        <v>0</v>
      </c>
      <c r="AA14" s="40">
        <f t="shared" si="8"/>
        <v>0</v>
      </c>
      <c r="AB14" s="40">
        <f t="shared" si="9"/>
        <v>0</v>
      </c>
      <c r="AC14" s="41">
        <f t="shared" si="10"/>
        <v>0</v>
      </c>
      <c r="AD14" s="49" t="s">
        <v>5</v>
      </c>
      <c r="AE14" s="50" t="s">
        <v>116</v>
      </c>
      <c r="AF14" s="49"/>
      <c r="AG14" s="50"/>
      <c r="AH14" s="49"/>
      <c r="AI14" s="50"/>
      <c r="AJ14" s="49"/>
      <c r="AK14" s="50"/>
      <c r="AL14" s="49"/>
      <c r="AM14" s="50"/>
      <c r="AN14" s="49"/>
      <c r="AO14" s="50"/>
      <c r="AP14" s="49"/>
      <c r="AQ14" s="50"/>
      <c r="AR14" s="49" t="s">
        <v>5</v>
      </c>
      <c r="AS14" s="50" t="s">
        <v>74</v>
      </c>
      <c r="AT14" s="49"/>
      <c r="AU14" s="50"/>
      <c r="AV14" s="49" t="s">
        <v>5</v>
      </c>
      <c r="AW14" s="50" t="s">
        <v>140</v>
      </c>
      <c r="AX14" s="49"/>
      <c r="AY14" s="50"/>
      <c r="AZ14" s="49" t="s">
        <v>5</v>
      </c>
      <c r="BA14" s="50" t="s">
        <v>76</v>
      </c>
      <c r="BB14" s="49"/>
      <c r="BC14" s="50"/>
      <c r="BD14" s="49"/>
      <c r="BE14" s="50"/>
      <c r="BF14" s="49"/>
      <c r="BG14" s="50"/>
      <c r="BH14" s="49" t="s">
        <v>1</v>
      </c>
      <c r="BI14" s="50" t="s">
        <v>94</v>
      </c>
      <c r="BJ14" s="49"/>
      <c r="BK14" s="50"/>
      <c r="BL14" s="49" t="s">
        <v>5</v>
      </c>
      <c r="BM14" s="50" t="s">
        <v>116</v>
      </c>
      <c r="BN14" s="49" t="s">
        <v>5</v>
      </c>
      <c r="BO14" s="50" t="s">
        <v>81</v>
      </c>
      <c r="BP14" s="49"/>
      <c r="BQ14" s="50"/>
      <c r="BR14" s="49"/>
      <c r="BS14" s="50"/>
      <c r="BT14" s="49"/>
      <c r="BU14" s="50"/>
      <c r="BV14" s="49" t="s">
        <v>5</v>
      </c>
      <c r="BW14" s="50" t="s">
        <v>122</v>
      </c>
      <c r="BX14" s="49" t="s">
        <v>5</v>
      </c>
      <c r="BY14" s="50" t="s">
        <v>137</v>
      </c>
      <c r="BZ14" s="49" t="s">
        <v>5</v>
      </c>
      <c r="CA14" s="50" t="s">
        <v>124</v>
      </c>
    </row>
    <row r="15" spans="1:79" x14ac:dyDescent="0.25">
      <c r="A15" s="76">
        <v>151750</v>
      </c>
      <c r="B15" s="77" t="s">
        <v>971</v>
      </c>
      <c r="C15" s="78" t="s">
        <v>970</v>
      </c>
      <c r="D15" s="76" t="s">
        <v>70</v>
      </c>
      <c r="E15" s="79" t="s">
        <v>87</v>
      </c>
      <c r="F15" s="77" t="s">
        <v>150</v>
      </c>
      <c r="G15" s="79" t="s">
        <v>14</v>
      </c>
      <c r="H15" s="79" t="s">
        <v>87</v>
      </c>
      <c r="I15" s="78" t="s">
        <v>14</v>
      </c>
      <c r="J15" s="79" t="s">
        <v>14</v>
      </c>
      <c r="K15" s="142" t="s">
        <v>1850</v>
      </c>
      <c r="L15" s="149" t="s">
        <v>1844</v>
      </c>
      <c r="M15" s="150" t="s">
        <v>12</v>
      </c>
      <c r="N15" s="151">
        <v>15</v>
      </c>
      <c r="O15" s="151">
        <v>0</v>
      </c>
      <c r="P15" s="152">
        <v>0</v>
      </c>
      <c r="Q15" s="153">
        <v>100</v>
      </c>
      <c r="R15" s="154">
        <v>0</v>
      </c>
      <c r="S15" s="38">
        <f t="shared" si="0"/>
        <v>2</v>
      </c>
      <c r="T15" s="39">
        <f t="shared" si="1"/>
        <v>8</v>
      </c>
      <c r="U15" s="40">
        <f t="shared" si="2"/>
        <v>0</v>
      </c>
      <c r="V15" s="40">
        <f t="shared" si="3"/>
        <v>0</v>
      </c>
      <c r="W15" s="40">
        <f t="shared" si="4"/>
        <v>0</v>
      </c>
      <c r="X15" s="40">
        <f t="shared" si="5"/>
        <v>0</v>
      </c>
      <c r="Y15" s="40">
        <f t="shared" si="6"/>
        <v>0</v>
      </c>
      <c r="Z15" s="40">
        <f t="shared" si="7"/>
        <v>0</v>
      </c>
      <c r="AA15" s="40">
        <f t="shared" si="8"/>
        <v>0</v>
      </c>
      <c r="AB15" s="40">
        <f t="shared" si="9"/>
        <v>0</v>
      </c>
      <c r="AC15" s="41">
        <f t="shared" si="10"/>
        <v>0</v>
      </c>
      <c r="AD15" s="49"/>
      <c r="AE15" s="50"/>
      <c r="AF15" s="49"/>
      <c r="AG15" s="50"/>
      <c r="AH15" s="49" t="s">
        <v>5</v>
      </c>
      <c r="AI15" s="50" t="s">
        <v>131</v>
      </c>
      <c r="AJ15" s="49"/>
      <c r="AK15" s="50"/>
      <c r="AL15" s="49"/>
      <c r="AM15" s="50"/>
      <c r="AN15" s="49"/>
      <c r="AO15" s="50"/>
      <c r="AP15" s="49"/>
      <c r="AQ15" s="50"/>
      <c r="AR15" s="49" t="s">
        <v>5</v>
      </c>
      <c r="AS15" s="50" t="s">
        <v>111</v>
      </c>
      <c r="AT15" s="49"/>
      <c r="AU15" s="50"/>
      <c r="AV15" s="49" t="s">
        <v>5</v>
      </c>
      <c r="AW15" s="50" t="s">
        <v>140</v>
      </c>
      <c r="AX15" s="49"/>
      <c r="AY15" s="50"/>
      <c r="AZ15" s="49" t="s">
        <v>5</v>
      </c>
      <c r="BA15" s="50" t="s">
        <v>92</v>
      </c>
      <c r="BB15" s="49"/>
      <c r="BC15" s="50"/>
      <c r="BD15" s="49"/>
      <c r="BE15" s="50"/>
      <c r="BF15" s="49"/>
      <c r="BG15" s="50"/>
      <c r="BH15" s="49" t="s">
        <v>1</v>
      </c>
      <c r="BI15" s="50" t="s">
        <v>106</v>
      </c>
      <c r="BJ15" s="49"/>
      <c r="BK15" s="50"/>
      <c r="BL15" s="49" t="s">
        <v>1</v>
      </c>
      <c r="BM15" s="50" t="s">
        <v>72</v>
      </c>
      <c r="BN15" s="49" t="s">
        <v>5</v>
      </c>
      <c r="BO15" s="50" t="s">
        <v>81</v>
      </c>
      <c r="BP15" s="49"/>
      <c r="BQ15" s="50"/>
      <c r="BR15" s="49"/>
      <c r="BS15" s="50"/>
      <c r="BT15" s="49"/>
      <c r="BU15" s="50"/>
      <c r="BV15" s="49" t="s">
        <v>5</v>
      </c>
      <c r="BW15" s="50" t="s">
        <v>97</v>
      </c>
      <c r="BX15" s="49" t="s">
        <v>5</v>
      </c>
      <c r="BY15" s="50" t="s">
        <v>137</v>
      </c>
      <c r="BZ15" s="49" t="s">
        <v>5</v>
      </c>
      <c r="CA15" s="50" t="s">
        <v>75</v>
      </c>
    </row>
    <row r="16" spans="1:79" x14ac:dyDescent="0.25">
      <c r="A16" s="76">
        <v>151794</v>
      </c>
      <c r="B16" s="77" t="s">
        <v>972</v>
      </c>
      <c r="C16" s="78" t="s">
        <v>957</v>
      </c>
      <c r="D16" s="76" t="s">
        <v>12</v>
      </c>
      <c r="E16" s="79" t="s">
        <v>14</v>
      </c>
      <c r="F16" s="79" t="s">
        <v>71</v>
      </c>
      <c r="G16" s="79" t="s">
        <v>14</v>
      </c>
      <c r="H16" s="79" t="s">
        <v>14</v>
      </c>
      <c r="I16" s="78" t="s">
        <v>14</v>
      </c>
      <c r="J16" s="79" t="s">
        <v>14</v>
      </c>
      <c r="K16" s="142" t="s">
        <v>1850</v>
      </c>
      <c r="L16" s="149" t="s">
        <v>1842</v>
      </c>
      <c r="M16" s="150" t="s">
        <v>1853</v>
      </c>
      <c r="N16" s="151">
        <v>20</v>
      </c>
      <c r="O16" s="151">
        <v>0</v>
      </c>
      <c r="P16" s="152">
        <v>0</v>
      </c>
      <c r="Q16" s="153">
        <v>100</v>
      </c>
      <c r="R16" s="154">
        <v>0</v>
      </c>
      <c r="S16" s="38">
        <f t="shared" si="0"/>
        <v>6</v>
      </c>
      <c r="T16" s="39">
        <f t="shared" si="1"/>
        <v>5</v>
      </c>
      <c r="U16" s="40">
        <f t="shared" si="2"/>
        <v>0</v>
      </c>
      <c r="V16" s="40">
        <f t="shared" si="3"/>
        <v>0</v>
      </c>
      <c r="W16" s="40">
        <f t="shared" si="4"/>
        <v>0</v>
      </c>
      <c r="X16" s="40">
        <f t="shared" si="5"/>
        <v>0</v>
      </c>
      <c r="Y16" s="40">
        <f t="shared" si="6"/>
        <v>0</v>
      </c>
      <c r="Z16" s="40">
        <f t="shared" si="7"/>
        <v>0</v>
      </c>
      <c r="AA16" s="40">
        <f t="shared" si="8"/>
        <v>0</v>
      </c>
      <c r="AB16" s="40">
        <f t="shared" si="9"/>
        <v>0</v>
      </c>
      <c r="AC16" s="41">
        <f t="shared" si="10"/>
        <v>0</v>
      </c>
      <c r="AD16" s="49"/>
      <c r="AE16" s="50"/>
      <c r="AF16" s="49" t="s">
        <v>1</v>
      </c>
      <c r="AG16" s="50" t="s">
        <v>433</v>
      </c>
      <c r="AH16" s="49"/>
      <c r="AI16" s="50"/>
      <c r="AJ16" s="49" t="s">
        <v>5</v>
      </c>
      <c r="AK16" s="50" t="s">
        <v>419</v>
      </c>
      <c r="AL16" s="49"/>
      <c r="AM16" s="50"/>
      <c r="AN16" s="49" t="s">
        <v>5</v>
      </c>
      <c r="AO16" s="50" t="s">
        <v>163</v>
      </c>
      <c r="AP16" s="49"/>
      <c r="AQ16" s="50"/>
      <c r="AR16" s="49" t="s">
        <v>1</v>
      </c>
      <c r="AS16" s="50" t="s">
        <v>151</v>
      </c>
      <c r="AT16" s="49"/>
      <c r="AU16" s="50"/>
      <c r="AV16" s="49" t="s">
        <v>5</v>
      </c>
      <c r="AW16" s="50" t="s">
        <v>77</v>
      </c>
      <c r="AX16" s="49"/>
      <c r="AY16" s="50"/>
      <c r="AZ16" s="49" t="s">
        <v>1</v>
      </c>
      <c r="BA16" s="50" t="s">
        <v>92</v>
      </c>
      <c r="BB16" s="49"/>
      <c r="BC16" s="50"/>
      <c r="BD16" s="49"/>
      <c r="BE16" s="50"/>
      <c r="BF16" s="49"/>
      <c r="BG16" s="50"/>
      <c r="BH16" s="49" t="s">
        <v>5</v>
      </c>
      <c r="BI16" s="50" t="s">
        <v>711</v>
      </c>
      <c r="BJ16" s="49"/>
      <c r="BK16" s="50"/>
      <c r="BL16" s="49"/>
      <c r="BM16" s="50"/>
      <c r="BN16" s="49" t="s">
        <v>1</v>
      </c>
      <c r="BO16" s="50" t="s">
        <v>107</v>
      </c>
      <c r="BP16" s="49"/>
      <c r="BQ16" s="50"/>
      <c r="BR16" s="49" t="s">
        <v>5</v>
      </c>
      <c r="BS16" s="50" t="s">
        <v>140</v>
      </c>
      <c r="BT16" s="49"/>
      <c r="BU16" s="50"/>
      <c r="BV16" s="49" t="s">
        <v>1</v>
      </c>
      <c r="BW16" s="50" t="s">
        <v>132</v>
      </c>
      <c r="BX16" s="49"/>
      <c r="BY16" s="50"/>
      <c r="BZ16" s="49" t="s">
        <v>1</v>
      </c>
      <c r="CA16" s="50" t="s">
        <v>124</v>
      </c>
    </row>
    <row r="17" spans="1:79" x14ac:dyDescent="0.25">
      <c r="A17" s="76">
        <v>151952</v>
      </c>
      <c r="B17" s="77" t="s">
        <v>973</v>
      </c>
      <c r="C17" s="78" t="s">
        <v>970</v>
      </c>
      <c r="D17" s="76" t="s">
        <v>70</v>
      </c>
      <c r="E17" s="79" t="s">
        <v>14</v>
      </c>
      <c r="F17" s="79" t="s">
        <v>275</v>
      </c>
      <c r="G17" s="79" t="s">
        <v>87</v>
      </c>
      <c r="H17" s="79" t="s">
        <v>14</v>
      </c>
      <c r="I17" s="78" t="s">
        <v>14</v>
      </c>
      <c r="J17" s="79" t="s">
        <v>14</v>
      </c>
      <c r="K17" s="142" t="s">
        <v>1851</v>
      </c>
      <c r="L17" s="149" t="s">
        <v>1841</v>
      </c>
      <c r="M17" s="150" t="s">
        <v>1853</v>
      </c>
      <c r="N17" s="151">
        <v>7</v>
      </c>
      <c r="O17" s="151">
        <v>0</v>
      </c>
      <c r="P17" s="152">
        <v>0</v>
      </c>
      <c r="Q17" s="153">
        <v>100</v>
      </c>
      <c r="R17" s="154">
        <v>0</v>
      </c>
      <c r="S17" s="38">
        <f t="shared" si="0"/>
        <v>1</v>
      </c>
      <c r="T17" s="39">
        <f t="shared" si="1"/>
        <v>10</v>
      </c>
      <c r="U17" s="40">
        <f t="shared" si="2"/>
        <v>0</v>
      </c>
      <c r="V17" s="40">
        <f t="shared" si="3"/>
        <v>0</v>
      </c>
      <c r="W17" s="40">
        <f t="shared" si="4"/>
        <v>0</v>
      </c>
      <c r="X17" s="40">
        <f t="shared" si="5"/>
        <v>0</v>
      </c>
      <c r="Y17" s="40">
        <f t="shared" si="6"/>
        <v>0</v>
      </c>
      <c r="Z17" s="40">
        <f t="shared" si="7"/>
        <v>0</v>
      </c>
      <c r="AA17" s="40">
        <f t="shared" si="8"/>
        <v>0</v>
      </c>
      <c r="AB17" s="40">
        <f t="shared" si="9"/>
        <v>0</v>
      </c>
      <c r="AC17" s="41">
        <f t="shared" si="10"/>
        <v>0</v>
      </c>
      <c r="AD17" s="49" t="s">
        <v>5</v>
      </c>
      <c r="AE17" s="50" t="s">
        <v>72</v>
      </c>
      <c r="AF17" s="49" t="s">
        <v>5</v>
      </c>
      <c r="AG17" s="50" t="s">
        <v>154</v>
      </c>
      <c r="AH17" s="49"/>
      <c r="AI17" s="50"/>
      <c r="AJ17" s="49" t="s">
        <v>1</v>
      </c>
      <c r="AK17" s="50" t="s">
        <v>83</v>
      </c>
      <c r="AL17" s="49"/>
      <c r="AM17" s="50"/>
      <c r="AN17" s="49"/>
      <c r="AO17" s="50"/>
      <c r="AP17" s="49"/>
      <c r="AQ17" s="50"/>
      <c r="AR17" s="49" t="s">
        <v>5</v>
      </c>
      <c r="AS17" s="50" t="s">
        <v>151</v>
      </c>
      <c r="AT17" s="49"/>
      <c r="AU17" s="50"/>
      <c r="AV17" s="49" t="s">
        <v>5</v>
      </c>
      <c r="AW17" s="50" t="s">
        <v>140</v>
      </c>
      <c r="AX17" s="49"/>
      <c r="AY17" s="50"/>
      <c r="AZ17" s="49"/>
      <c r="BA17" s="50"/>
      <c r="BB17" s="49"/>
      <c r="BC17" s="50"/>
      <c r="BD17" s="49" t="s">
        <v>5</v>
      </c>
      <c r="BE17" s="50" t="s">
        <v>120</v>
      </c>
      <c r="BF17" s="49"/>
      <c r="BG17" s="50"/>
      <c r="BH17" s="49" t="s">
        <v>5</v>
      </c>
      <c r="BI17" s="50" t="s">
        <v>112</v>
      </c>
      <c r="BJ17" s="49"/>
      <c r="BK17" s="50"/>
      <c r="BL17" s="49"/>
      <c r="BM17" s="50"/>
      <c r="BN17" s="49" t="s">
        <v>5</v>
      </c>
      <c r="BO17" s="50" t="s">
        <v>81</v>
      </c>
      <c r="BP17" s="49"/>
      <c r="BQ17" s="50"/>
      <c r="BR17" s="49" t="s">
        <v>5</v>
      </c>
      <c r="BS17" s="50" t="s">
        <v>98</v>
      </c>
      <c r="BT17" s="49"/>
      <c r="BU17" s="50"/>
      <c r="BV17" s="49" t="s">
        <v>5</v>
      </c>
      <c r="BW17" s="50" t="s">
        <v>122</v>
      </c>
      <c r="BX17" s="49"/>
      <c r="BY17" s="50"/>
      <c r="BZ17" s="49" t="s">
        <v>5</v>
      </c>
      <c r="CA17" s="50" t="s">
        <v>124</v>
      </c>
    </row>
    <row r="18" spans="1:79" x14ac:dyDescent="0.25">
      <c r="A18" s="76">
        <v>151918</v>
      </c>
      <c r="B18" s="77" t="s">
        <v>974</v>
      </c>
      <c r="C18" s="78" t="s">
        <v>970</v>
      </c>
      <c r="D18" s="76" t="s">
        <v>70</v>
      </c>
      <c r="E18" s="79" t="s">
        <v>14</v>
      </c>
      <c r="F18" s="79" t="s">
        <v>71</v>
      </c>
      <c r="G18" s="79" t="s">
        <v>14</v>
      </c>
      <c r="H18" s="79" t="s">
        <v>14</v>
      </c>
      <c r="I18" s="78" t="s">
        <v>14</v>
      </c>
      <c r="J18" s="79" t="s">
        <v>14</v>
      </c>
      <c r="K18" s="142" t="s">
        <v>1850</v>
      </c>
      <c r="L18" s="149" t="s">
        <v>1842</v>
      </c>
      <c r="M18" s="150" t="s">
        <v>1853</v>
      </c>
      <c r="N18" s="151">
        <v>11</v>
      </c>
      <c r="O18" s="151">
        <v>0</v>
      </c>
      <c r="P18" s="152">
        <v>0</v>
      </c>
      <c r="Q18" s="153">
        <v>100</v>
      </c>
      <c r="R18" s="154">
        <v>0</v>
      </c>
      <c r="S18" s="38">
        <f t="shared" si="0"/>
        <v>1</v>
      </c>
      <c r="T18" s="39">
        <f t="shared" si="1"/>
        <v>9</v>
      </c>
      <c r="U18" s="40">
        <f t="shared" si="2"/>
        <v>0</v>
      </c>
      <c r="V18" s="40">
        <f t="shared" si="3"/>
        <v>0</v>
      </c>
      <c r="W18" s="40">
        <f t="shared" si="4"/>
        <v>0</v>
      </c>
      <c r="X18" s="40">
        <f t="shared" si="5"/>
        <v>0</v>
      </c>
      <c r="Y18" s="40">
        <f t="shared" si="6"/>
        <v>0</v>
      </c>
      <c r="Z18" s="40">
        <f t="shared" si="7"/>
        <v>0</v>
      </c>
      <c r="AA18" s="40">
        <f t="shared" si="8"/>
        <v>0</v>
      </c>
      <c r="AB18" s="40">
        <f t="shared" si="9"/>
        <v>0</v>
      </c>
      <c r="AC18" s="41">
        <f t="shared" si="10"/>
        <v>0</v>
      </c>
      <c r="AD18" s="49" t="s">
        <v>5</v>
      </c>
      <c r="AE18" s="50" t="s">
        <v>72</v>
      </c>
      <c r="AF18" s="49"/>
      <c r="AG18" s="50"/>
      <c r="AH18" s="49"/>
      <c r="AI18" s="50"/>
      <c r="AJ18" s="49"/>
      <c r="AK18" s="50"/>
      <c r="AL18" s="49"/>
      <c r="AM18" s="50"/>
      <c r="AN18" s="49"/>
      <c r="AO18" s="50"/>
      <c r="AP18" s="49" t="s">
        <v>5</v>
      </c>
      <c r="AQ18" s="50" t="s">
        <v>101</v>
      </c>
      <c r="AR18" s="49" t="s">
        <v>5</v>
      </c>
      <c r="AS18" s="50" t="s">
        <v>74</v>
      </c>
      <c r="AT18" s="49"/>
      <c r="AU18" s="50"/>
      <c r="AV18" s="49" t="s">
        <v>5</v>
      </c>
      <c r="AW18" s="50" t="s">
        <v>140</v>
      </c>
      <c r="AX18" s="49"/>
      <c r="AY18" s="50"/>
      <c r="AZ18" s="49" t="s">
        <v>5</v>
      </c>
      <c r="BA18" s="50" t="s">
        <v>76</v>
      </c>
      <c r="BB18" s="49"/>
      <c r="BC18" s="50"/>
      <c r="BD18" s="49"/>
      <c r="BE18" s="50"/>
      <c r="BF18" s="49"/>
      <c r="BG18" s="50"/>
      <c r="BH18" s="49" t="s">
        <v>1</v>
      </c>
      <c r="BI18" s="50" t="s">
        <v>94</v>
      </c>
      <c r="BJ18" s="49"/>
      <c r="BK18" s="50"/>
      <c r="BL18" s="49"/>
      <c r="BM18" s="50"/>
      <c r="BN18" s="49" t="s">
        <v>5</v>
      </c>
      <c r="BO18" s="50" t="s">
        <v>81</v>
      </c>
      <c r="BP18" s="49"/>
      <c r="BQ18" s="50"/>
      <c r="BR18" s="49"/>
      <c r="BS18" s="50"/>
      <c r="BT18" s="49"/>
      <c r="BU18" s="50"/>
      <c r="BV18" s="49" t="s">
        <v>5</v>
      </c>
      <c r="BW18" s="50" t="s">
        <v>132</v>
      </c>
      <c r="BX18" s="49" t="s">
        <v>5</v>
      </c>
      <c r="BY18" s="50" t="s">
        <v>137</v>
      </c>
      <c r="BZ18" s="49" t="s">
        <v>5</v>
      </c>
      <c r="CA18" s="50" t="s">
        <v>75</v>
      </c>
    </row>
    <row r="19" spans="1:79" x14ac:dyDescent="0.25">
      <c r="A19" s="76">
        <v>151870</v>
      </c>
      <c r="B19" s="77" t="s">
        <v>975</v>
      </c>
      <c r="C19" s="78" t="s">
        <v>954</v>
      </c>
      <c r="D19" s="76" t="s">
        <v>70</v>
      </c>
      <c r="E19" s="79" t="s">
        <v>14</v>
      </c>
      <c r="F19" s="77" t="s">
        <v>71</v>
      </c>
      <c r="G19" s="79" t="s">
        <v>14</v>
      </c>
      <c r="H19" s="79" t="s">
        <v>14</v>
      </c>
      <c r="I19" s="78" t="s">
        <v>14</v>
      </c>
      <c r="J19" s="79" t="s">
        <v>14</v>
      </c>
      <c r="K19" s="142" t="s">
        <v>1850</v>
      </c>
      <c r="L19" s="149" t="s">
        <v>1845</v>
      </c>
      <c r="M19" s="150" t="s">
        <v>12</v>
      </c>
      <c r="N19" s="151">
        <v>10</v>
      </c>
      <c r="O19" s="151">
        <v>5</v>
      </c>
      <c r="P19" s="152">
        <v>0</v>
      </c>
      <c r="Q19" s="153">
        <v>86.96</v>
      </c>
      <c r="R19" s="154">
        <v>2</v>
      </c>
      <c r="S19" s="38">
        <f t="shared" si="0"/>
        <v>0</v>
      </c>
      <c r="T19" s="39">
        <f t="shared" si="1"/>
        <v>9</v>
      </c>
      <c r="U19" s="40">
        <f t="shared" si="2"/>
        <v>1</v>
      </c>
      <c r="V19" s="40">
        <f t="shared" si="3"/>
        <v>0</v>
      </c>
      <c r="W19" s="40">
        <f t="shared" si="4"/>
        <v>0</v>
      </c>
      <c r="X19" s="40">
        <f t="shared" si="5"/>
        <v>1</v>
      </c>
      <c r="Y19" s="40">
        <f t="shared" si="6"/>
        <v>0</v>
      </c>
      <c r="Z19" s="40">
        <f t="shared" si="7"/>
        <v>0</v>
      </c>
      <c r="AA19" s="40">
        <f t="shared" si="8"/>
        <v>0</v>
      </c>
      <c r="AB19" s="40">
        <f t="shared" si="9"/>
        <v>0</v>
      </c>
      <c r="AC19" s="41">
        <f t="shared" si="10"/>
        <v>0</v>
      </c>
      <c r="AD19" s="49" t="s">
        <v>5</v>
      </c>
      <c r="AE19" s="50" t="s">
        <v>72</v>
      </c>
      <c r="AF19" s="49"/>
      <c r="AG19" s="50"/>
      <c r="AH19" s="49"/>
      <c r="AI19" s="50"/>
      <c r="AJ19" s="49"/>
      <c r="AK19" s="50"/>
      <c r="AL19" s="49"/>
      <c r="AM19" s="50"/>
      <c r="AN19" s="49"/>
      <c r="AO19" s="50"/>
      <c r="AP19" s="49"/>
      <c r="AQ19" s="50"/>
      <c r="AR19" s="49" t="s">
        <v>5</v>
      </c>
      <c r="AS19" s="50" t="s">
        <v>722</v>
      </c>
      <c r="AT19" s="49" t="s">
        <v>30</v>
      </c>
      <c r="AU19" s="50" t="s">
        <v>73</v>
      </c>
      <c r="AV19" s="49" t="s">
        <v>5</v>
      </c>
      <c r="AW19" s="50" t="s">
        <v>955</v>
      </c>
      <c r="AX19" s="49" t="s">
        <v>5</v>
      </c>
      <c r="AY19" s="50" t="s">
        <v>143</v>
      </c>
      <c r="AZ19" s="49"/>
      <c r="BA19" s="50"/>
      <c r="BB19" s="49"/>
      <c r="BC19" s="50"/>
      <c r="BD19" s="49"/>
      <c r="BE19" s="50"/>
      <c r="BF19" s="49"/>
      <c r="BG19" s="50"/>
      <c r="BH19" s="49" t="s">
        <v>5</v>
      </c>
      <c r="BI19" s="50" t="s">
        <v>422</v>
      </c>
      <c r="BJ19" s="49"/>
      <c r="BK19" s="50"/>
      <c r="BL19" s="49"/>
      <c r="BM19" s="50"/>
      <c r="BN19" s="49" t="s">
        <v>5</v>
      </c>
      <c r="BO19" s="50" t="s">
        <v>81</v>
      </c>
      <c r="BP19" s="49"/>
      <c r="BQ19" s="50"/>
      <c r="BR19" s="49"/>
      <c r="BS19" s="50"/>
      <c r="BT19" s="49" t="s">
        <v>5</v>
      </c>
      <c r="BU19" s="50" t="s">
        <v>90</v>
      </c>
      <c r="BV19" s="49" t="s">
        <v>5</v>
      </c>
      <c r="BW19" s="50" t="s">
        <v>82</v>
      </c>
      <c r="BX19" s="49" t="s">
        <v>5</v>
      </c>
      <c r="BY19" s="50" t="s">
        <v>133</v>
      </c>
      <c r="BZ19" s="49"/>
      <c r="CA19" s="50"/>
    </row>
    <row r="20" spans="1:79" x14ac:dyDescent="0.25">
      <c r="A20" s="76">
        <v>151821</v>
      </c>
      <c r="B20" s="77" t="s">
        <v>976</v>
      </c>
      <c r="C20" s="78" t="s">
        <v>950</v>
      </c>
      <c r="D20" s="76" t="s">
        <v>12</v>
      </c>
      <c r="E20" s="79" t="s">
        <v>14</v>
      </c>
      <c r="F20" s="79" t="s">
        <v>71</v>
      </c>
      <c r="G20" s="79" t="s">
        <v>14</v>
      </c>
      <c r="H20" s="79" t="s">
        <v>14</v>
      </c>
      <c r="I20" s="78" t="s">
        <v>14</v>
      </c>
      <c r="J20" s="79" t="s">
        <v>14</v>
      </c>
      <c r="K20" s="142" t="s">
        <v>1850</v>
      </c>
      <c r="L20" s="149" t="s">
        <v>1845</v>
      </c>
      <c r="M20" s="150" t="s">
        <v>12</v>
      </c>
      <c r="N20" s="151">
        <v>10</v>
      </c>
      <c r="O20" s="151">
        <v>10</v>
      </c>
      <c r="P20" s="152">
        <v>1</v>
      </c>
      <c r="Q20" s="153">
        <v>97.78</v>
      </c>
      <c r="R20" s="154">
        <v>8</v>
      </c>
      <c r="S20" s="38">
        <f t="shared" si="0"/>
        <v>1</v>
      </c>
      <c r="T20" s="39">
        <f t="shared" si="1"/>
        <v>5</v>
      </c>
      <c r="U20" s="40">
        <f t="shared" si="2"/>
        <v>4</v>
      </c>
      <c r="V20" s="40">
        <f t="shared" si="3"/>
        <v>0</v>
      </c>
      <c r="W20" s="40">
        <f t="shared" si="4"/>
        <v>0</v>
      </c>
      <c r="X20" s="40">
        <f t="shared" si="5"/>
        <v>4</v>
      </c>
      <c r="Y20" s="40">
        <f t="shared" si="6"/>
        <v>0</v>
      </c>
      <c r="Z20" s="40">
        <f t="shared" si="7"/>
        <v>0</v>
      </c>
      <c r="AA20" s="40">
        <f t="shared" si="8"/>
        <v>0</v>
      </c>
      <c r="AB20" s="40">
        <f t="shared" si="9"/>
        <v>0</v>
      </c>
      <c r="AC20" s="41">
        <f t="shared" si="10"/>
        <v>0</v>
      </c>
      <c r="AD20" s="49"/>
      <c r="AE20" s="50"/>
      <c r="AF20" s="49"/>
      <c r="AG20" s="50"/>
      <c r="AH20" s="49"/>
      <c r="AI20" s="50"/>
      <c r="AJ20" s="49"/>
      <c r="AK20" s="50"/>
      <c r="AL20" s="49"/>
      <c r="AM20" s="50"/>
      <c r="AN20" s="49"/>
      <c r="AO20" s="50"/>
      <c r="AP20" s="49"/>
      <c r="AQ20" s="50"/>
      <c r="AR20" s="49" t="s">
        <v>5</v>
      </c>
      <c r="AS20" s="50" t="s">
        <v>111</v>
      </c>
      <c r="AT20" s="49"/>
      <c r="AU20" s="50"/>
      <c r="AV20" s="49" t="s">
        <v>30</v>
      </c>
      <c r="AW20" s="50" t="s">
        <v>96</v>
      </c>
      <c r="AX20" s="49" t="s">
        <v>30</v>
      </c>
      <c r="AY20" s="50" t="s">
        <v>84</v>
      </c>
      <c r="AZ20" s="49" t="s">
        <v>30</v>
      </c>
      <c r="BA20" s="50" t="s">
        <v>92</v>
      </c>
      <c r="BB20" s="49"/>
      <c r="BC20" s="50"/>
      <c r="BD20" s="49"/>
      <c r="BE20" s="50"/>
      <c r="BF20" s="49"/>
      <c r="BG20" s="50"/>
      <c r="BH20" s="49" t="s">
        <v>1</v>
      </c>
      <c r="BI20" s="50" t="s">
        <v>136</v>
      </c>
      <c r="BJ20" s="49"/>
      <c r="BK20" s="50"/>
      <c r="BL20" s="49"/>
      <c r="BM20" s="50"/>
      <c r="BN20" s="49" t="s">
        <v>5</v>
      </c>
      <c r="BO20" s="50" t="s">
        <v>96</v>
      </c>
      <c r="BP20" s="49" t="s">
        <v>5</v>
      </c>
      <c r="BQ20" s="50" t="s">
        <v>107</v>
      </c>
      <c r="BR20" s="49"/>
      <c r="BS20" s="50"/>
      <c r="BT20" s="49" t="s">
        <v>5</v>
      </c>
      <c r="BU20" s="50" t="s">
        <v>117</v>
      </c>
      <c r="BV20" s="49" t="s">
        <v>5</v>
      </c>
      <c r="BW20" s="50" t="s">
        <v>82</v>
      </c>
      <c r="BX20" s="49" t="s">
        <v>30</v>
      </c>
      <c r="BY20" s="50" t="s">
        <v>164</v>
      </c>
      <c r="BZ20" s="49"/>
      <c r="CA20" s="50"/>
    </row>
    <row r="21" spans="1:79" x14ac:dyDescent="0.25">
      <c r="A21" s="76">
        <v>151961</v>
      </c>
      <c r="B21" s="77" t="s">
        <v>977</v>
      </c>
      <c r="C21" s="78" t="s">
        <v>961</v>
      </c>
      <c r="D21" s="76" t="s">
        <v>70</v>
      </c>
      <c r="E21" s="79" t="s">
        <v>14</v>
      </c>
      <c r="F21" s="79" t="s">
        <v>900</v>
      </c>
      <c r="G21" s="79" t="s">
        <v>14</v>
      </c>
      <c r="H21" s="79" t="s">
        <v>14</v>
      </c>
      <c r="I21" s="78" t="s">
        <v>14</v>
      </c>
      <c r="J21" s="79" t="s">
        <v>14</v>
      </c>
      <c r="K21" s="142" t="s">
        <v>1850</v>
      </c>
      <c r="L21" s="149" t="s">
        <v>1845</v>
      </c>
      <c r="M21" s="150" t="s">
        <v>12</v>
      </c>
      <c r="N21" s="151">
        <v>4</v>
      </c>
      <c r="O21" s="151">
        <v>0</v>
      </c>
      <c r="P21" s="152">
        <v>0</v>
      </c>
      <c r="Q21" s="153">
        <v>95.65</v>
      </c>
      <c r="R21" s="154">
        <v>0</v>
      </c>
      <c r="S21" s="38">
        <f t="shared" si="0"/>
        <v>2</v>
      </c>
      <c r="T21" s="39">
        <f t="shared" si="1"/>
        <v>8</v>
      </c>
      <c r="U21" s="40">
        <f t="shared" si="2"/>
        <v>0</v>
      </c>
      <c r="V21" s="40">
        <f t="shared" si="3"/>
        <v>0</v>
      </c>
      <c r="W21" s="40">
        <f t="shared" si="4"/>
        <v>0</v>
      </c>
      <c r="X21" s="40">
        <f t="shared" si="5"/>
        <v>0</v>
      </c>
      <c r="Y21" s="40">
        <f t="shared" si="6"/>
        <v>0</v>
      </c>
      <c r="Z21" s="40">
        <f t="shared" si="7"/>
        <v>0</v>
      </c>
      <c r="AA21" s="40">
        <f t="shared" si="8"/>
        <v>0</v>
      </c>
      <c r="AB21" s="40">
        <f t="shared" si="9"/>
        <v>0</v>
      </c>
      <c r="AC21" s="41">
        <f t="shared" si="10"/>
        <v>0</v>
      </c>
      <c r="AD21" s="49"/>
      <c r="AE21" s="50"/>
      <c r="AF21" s="49"/>
      <c r="AG21" s="50"/>
      <c r="AH21" s="49"/>
      <c r="AI21" s="50"/>
      <c r="AJ21" s="49"/>
      <c r="AK21" s="50"/>
      <c r="AL21" s="49"/>
      <c r="AM21" s="50"/>
      <c r="AN21" s="49"/>
      <c r="AO21" s="50"/>
      <c r="AP21" s="49" t="s">
        <v>5</v>
      </c>
      <c r="AQ21" s="50" t="s">
        <v>101</v>
      </c>
      <c r="AR21" s="49" t="s">
        <v>5</v>
      </c>
      <c r="AS21" s="50" t="s">
        <v>722</v>
      </c>
      <c r="AT21" s="49"/>
      <c r="AU21" s="50"/>
      <c r="AV21" s="49" t="s">
        <v>5</v>
      </c>
      <c r="AW21" s="50" t="s">
        <v>139</v>
      </c>
      <c r="AX21" s="49"/>
      <c r="AY21" s="50"/>
      <c r="AZ21" s="49"/>
      <c r="BA21" s="50"/>
      <c r="BB21" s="49"/>
      <c r="BC21" s="50"/>
      <c r="BD21" s="49" t="s">
        <v>5</v>
      </c>
      <c r="BE21" s="50" t="s">
        <v>132</v>
      </c>
      <c r="BF21" s="49"/>
      <c r="BG21" s="50"/>
      <c r="BH21" s="49" t="s">
        <v>1</v>
      </c>
      <c r="BI21" s="50" t="s">
        <v>136</v>
      </c>
      <c r="BJ21" s="49" t="s">
        <v>1</v>
      </c>
      <c r="BK21" s="50" t="s">
        <v>95</v>
      </c>
      <c r="BL21" s="49"/>
      <c r="BM21" s="50"/>
      <c r="BN21" s="49" t="s">
        <v>5</v>
      </c>
      <c r="BO21" s="50" t="s">
        <v>81</v>
      </c>
      <c r="BP21" s="49"/>
      <c r="BQ21" s="50"/>
      <c r="BR21" s="49"/>
      <c r="BS21" s="50"/>
      <c r="BT21" s="49"/>
      <c r="BU21" s="50"/>
      <c r="BV21" s="49" t="s">
        <v>5</v>
      </c>
      <c r="BW21" s="50" t="s">
        <v>97</v>
      </c>
      <c r="BX21" s="49" t="s">
        <v>5</v>
      </c>
      <c r="BY21" s="50" t="s">
        <v>137</v>
      </c>
      <c r="BZ21" s="49" t="s">
        <v>5</v>
      </c>
      <c r="CA21" s="50" t="s">
        <v>124</v>
      </c>
    </row>
    <row r="22" spans="1:79" x14ac:dyDescent="0.25">
      <c r="A22" s="76">
        <v>151795</v>
      </c>
      <c r="B22" s="77" t="s">
        <v>978</v>
      </c>
      <c r="C22" s="78" t="s">
        <v>970</v>
      </c>
      <c r="D22" s="76" t="s">
        <v>70</v>
      </c>
      <c r="E22" s="79" t="s">
        <v>14</v>
      </c>
      <c r="F22" s="79" t="s">
        <v>71</v>
      </c>
      <c r="G22" s="79" t="s">
        <v>14</v>
      </c>
      <c r="H22" s="79" t="s">
        <v>14</v>
      </c>
      <c r="I22" s="78" t="s">
        <v>14</v>
      </c>
      <c r="J22" s="79" t="s">
        <v>14</v>
      </c>
      <c r="K22" s="142" t="s">
        <v>1850</v>
      </c>
      <c r="L22" s="149" t="s">
        <v>1841</v>
      </c>
      <c r="M22" s="150" t="s">
        <v>1853</v>
      </c>
      <c r="N22" s="151">
        <v>14</v>
      </c>
      <c r="O22" s="151">
        <v>0</v>
      </c>
      <c r="P22" s="152">
        <v>0</v>
      </c>
      <c r="Q22" s="153">
        <v>100</v>
      </c>
      <c r="R22" s="154">
        <v>0</v>
      </c>
      <c r="S22" s="38">
        <f t="shared" si="0"/>
        <v>4</v>
      </c>
      <c r="T22" s="39">
        <f t="shared" si="1"/>
        <v>6</v>
      </c>
      <c r="U22" s="40">
        <f t="shared" si="2"/>
        <v>0</v>
      </c>
      <c r="V22" s="40">
        <f t="shared" si="3"/>
        <v>0</v>
      </c>
      <c r="W22" s="40">
        <f t="shared" si="4"/>
        <v>0</v>
      </c>
      <c r="X22" s="40">
        <f t="shared" si="5"/>
        <v>0</v>
      </c>
      <c r="Y22" s="40">
        <f t="shared" si="6"/>
        <v>0</v>
      </c>
      <c r="Z22" s="40">
        <f t="shared" si="7"/>
        <v>0</v>
      </c>
      <c r="AA22" s="40">
        <f t="shared" si="8"/>
        <v>0</v>
      </c>
      <c r="AB22" s="40">
        <f t="shared" si="9"/>
        <v>0</v>
      </c>
      <c r="AC22" s="41">
        <f t="shared" si="10"/>
        <v>0</v>
      </c>
      <c r="AD22" s="49" t="s">
        <v>5</v>
      </c>
      <c r="AE22" s="50" t="s">
        <v>116</v>
      </c>
      <c r="AF22" s="49"/>
      <c r="AG22" s="50"/>
      <c r="AH22" s="49"/>
      <c r="AI22" s="50"/>
      <c r="AJ22" s="49"/>
      <c r="AK22" s="50"/>
      <c r="AL22" s="49"/>
      <c r="AM22" s="50"/>
      <c r="AN22" s="49"/>
      <c r="AO22" s="50"/>
      <c r="AP22" s="49"/>
      <c r="AQ22" s="50"/>
      <c r="AR22" s="49" t="s">
        <v>1</v>
      </c>
      <c r="AS22" s="50" t="s">
        <v>169</v>
      </c>
      <c r="AT22" s="49"/>
      <c r="AU22" s="50"/>
      <c r="AV22" s="49" t="s">
        <v>5</v>
      </c>
      <c r="AW22" s="50" t="s">
        <v>140</v>
      </c>
      <c r="AX22" s="49"/>
      <c r="AY22" s="50"/>
      <c r="AZ22" s="49" t="s">
        <v>1</v>
      </c>
      <c r="BA22" s="50" t="s">
        <v>92</v>
      </c>
      <c r="BB22" s="49"/>
      <c r="BC22" s="50"/>
      <c r="BD22" s="49" t="s">
        <v>5</v>
      </c>
      <c r="BE22" s="50" t="s">
        <v>120</v>
      </c>
      <c r="BF22" s="49"/>
      <c r="BG22" s="50"/>
      <c r="BH22" s="49" t="s">
        <v>1</v>
      </c>
      <c r="BI22" s="50" t="s">
        <v>94</v>
      </c>
      <c r="BJ22" s="49"/>
      <c r="BK22" s="50"/>
      <c r="BL22" s="49"/>
      <c r="BM22" s="50"/>
      <c r="BN22" s="49" t="s">
        <v>5</v>
      </c>
      <c r="BO22" s="50" t="s">
        <v>81</v>
      </c>
      <c r="BP22" s="49"/>
      <c r="BQ22" s="50"/>
      <c r="BR22" s="49"/>
      <c r="BS22" s="50"/>
      <c r="BT22" s="49"/>
      <c r="BU22" s="50"/>
      <c r="BV22" s="49" t="s">
        <v>1</v>
      </c>
      <c r="BW22" s="50" t="s">
        <v>132</v>
      </c>
      <c r="BX22" s="49" t="s">
        <v>5</v>
      </c>
      <c r="BY22" s="50" t="s">
        <v>137</v>
      </c>
      <c r="BZ22" s="49" t="s">
        <v>5</v>
      </c>
      <c r="CA22" s="50" t="s">
        <v>75</v>
      </c>
    </row>
    <row r="23" spans="1:79" x14ac:dyDescent="0.25">
      <c r="A23" s="76">
        <v>151954</v>
      </c>
      <c r="B23" s="77" t="s">
        <v>979</v>
      </c>
      <c r="C23" s="78" t="s">
        <v>970</v>
      </c>
      <c r="D23" s="76" t="s">
        <v>70</v>
      </c>
      <c r="E23" s="79" t="s">
        <v>14</v>
      </c>
      <c r="F23" s="77" t="s">
        <v>71</v>
      </c>
      <c r="G23" s="79" t="s">
        <v>14</v>
      </c>
      <c r="H23" s="79" t="s">
        <v>14</v>
      </c>
      <c r="I23" s="78" t="s">
        <v>14</v>
      </c>
      <c r="J23" s="79" t="s">
        <v>14</v>
      </c>
      <c r="K23" s="142" t="s">
        <v>1850</v>
      </c>
      <c r="L23" s="149" t="s">
        <v>1844</v>
      </c>
      <c r="M23" s="150" t="s">
        <v>12</v>
      </c>
      <c r="N23" s="151">
        <v>10</v>
      </c>
      <c r="O23" s="151">
        <v>0</v>
      </c>
      <c r="P23" s="152">
        <v>0</v>
      </c>
      <c r="Q23" s="153">
        <v>97.83</v>
      </c>
      <c r="R23" s="154">
        <v>0</v>
      </c>
      <c r="S23" s="38">
        <f t="shared" si="0"/>
        <v>3</v>
      </c>
      <c r="T23" s="39">
        <f t="shared" si="1"/>
        <v>7</v>
      </c>
      <c r="U23" s="40">
        <f t="shared" si="2"/>
        <v>0</v>
      </c>
      <c r="V23" s="40">
        <f t="shared" si="3"/>
        <v>0</v>
      </c>
      <c r="W23" s="40">
        <f t="shared" si="4"/>
        <v>0</v>
      </c>
      <c r="X23" s="40">
        <f t="shared" si="5"/>
        <v>0</v>
      </c>
      <c r="Y23" s="40">
        <f t="shared" si="6"/>
        <v>0</v>
      </c>
      <c r="Z23" s="40">
        <f t="shared" si="7"/>
        <v>0</v>
      </c>
      <c r="AA23" s="40">
        <f t="shared" si="8"/>
        <v>0</v>
      </c>
      <c r="AB23" s="40">
        <f t="shared" si="9"/>
        <v>0</v>
      </c>
      <c r="AC23" s="41">
        <f t="shared" si="10"/>
        <v>0</v>
      </c>
      <c r="AD23" s="49"/>
      <c r="AE23" s="50"/>
      <c r="AF23" s="49"/>
      <c r="AG23" s="50"/>
      <c r="AH23" s="49"/>
      <c r="AI23" s="50"/>
      <c r="AJ23" s="49"/>
      <c r="AK23" s="50"/>
      <c r="AL23" s="49"/>
      <c r="AM23" s="50"/>
      <c r="AN23" s="49"/>
      <c r="AO23" s="50"/>
      <c r="AP23" s="49" t="s">
        <v>5</v>
      </c>
      <c r="AQ23" s="50" t="s">
        <v>101</v>
      </c>
      <c r="AR23" s="49" t="s">
        <v>5</v>
      </c>
      <c r="AS23" s="50" t="s">
        <v>151</v>
      </c>
      <c r="AT23" s="49"/>
      <c r="AU23" s="50"/>
      <c r="AV23" s="49" t="s">
        <v>5</v>
      </c>
      <c r="AW23" s="50" t="s">
        <v>140</v>
      </c>
      <c r="AX23" s="49"/>
      <c r="AY23" s="50"/>
      <c r="AZ23" s="49"/>
      <c r="BA23" s="50"/>
      <c r="BB23" s="49"/>
      <c r="BC23" s="50"/>
      <c r="BD23" s="49" t="s">
        <v>5</v>
      </c>
      <c r="BE23" s="50" t="s">
        <v>132</v>
      </c>
      <c r="BF23" s="49"/>
      <c r="BG23" s="50"/>
      <c r="BH23" s="49" t="s">
        <v>1</v>
      </c>
      <c r="BI23" s="50" t="s">
        <v>136</v>
      </c>
      <c r="BJ23" s="49" t="s">
        <v>1</v>
      </c>
      <c r="BK23" s="50" t="s">
        <v>95</v>
      </c>
      <c r="BL23" s="49"/>
      <c r="BM23" s="50"/>
      <c r="BN23" s="49" t="s">
        <v>5</v>
      </c>
      <c r="BO23" s="50" t="s">
        <v>81</v>
      </c>
      <c r="BP23" s="49"/>
      <c r="BQ23" s="50"/>
      <c r="BR23" s="49"/>
      <c r="BS23" s="50"/>
      <c r="BT23" s="49"/>
      <c r="BU23" s="50"/>
      <c r="BV23" s="49" t="s">
        <v>1</v>
      </c>
      <c r="BW23" s="50" t="s">
        <v>132</v>
      </c>
      <c r="BX23" s="49" t="s">
        <v>5</v>
      </c>
      <c r="BY23" s="50" t="s">
        <v>137</v>
      </c>
      <c r="BZ23" s="49" t="s">
        <v>5</v>
      </c>
      <c r="CA23" s="50" t="s">
        <v>75</v>
      </c>
    </row>
    <row r="24" spans="1:79" x14ac:dyDescent="0.25">
      <c r="A24" s="76">
        <v>151764</v>
      </c>
      <c r="B24" s="77" t="s">
        <v>980</v>
      </c>
      <c r="C24" s="78" t="s">
        <v>963</v>
      </c>
      <c r="D24" s="76" t="s">
        <v>70</v>
      </c>
      <c r="E24" s="79" t="s">
        <v>14</v>
      </c>
      <c r="F24" s="79" t="s">
        <v>71</v>
      </c>
      <c r="G24" s="79" t="s">
        <v>14</v>
      </c>
      <c r="H24" s="79" t="s">
        <v>14</v>
      </c>
      <c r="I24" s="78" t="s">
        <v>14</v>
      </c>
      <c r="J24" s="79" t="s">
        <v>14</v>
      </c>
      <c r="K24" s="142" t="s">
        <v>1850</v>
      </c>
      <c r="L24" s="149" t="s">
        <v>1842</v>
      </c>
      <c r="M24" s="150" t="s">
        <v>1853</v>
      </c>
      <c r="N24" s="151">
        <v>28</v>
      </c>
      <c r="O24" s="151">
        <v>0</v>
      </c>
      <c r="P24" s="152">
        <v>0</v>
      </c>
      <c r="Q24" s="153">
        <v>100</v>
      </c>
      <c r="R24" s="154">
        <v>0</v>
      </c>
      <c r="S24" s="38">
        <f t="shared" si="0"/>
        <v>1</v>
      </c>
      <c r="T24" s="39">
        <f t="shared" si="1"/>
        <v>9</v>
      </c>
      <c r="U24" s="40">
        <f t="shared" si="2"/>
        <v>0</v>
      </c>
      <c r="V24" s="40">
        <f t="shared" si="3"/>
        <v>0</v>
      </c>
      <c r="W24" s="40">
        <f t="shared" si="4"/>
        <v>0</v>
      </c>
      <c r="X24" s="40">
        <f t="shared" si="5"/>
        <v>0</v>
      </c>
      <c r="Y24" s="40">
        <f t="shared" si="6"/>
        <v>0</v>
      </c>
      <c r="Z24" s="40">
        <f t="shared" si="7"/>
        <v>0</v>
      </c>
      <c r="AA24" s="40">
        <f t="shared" si="8"/>
        <v>0</v>
      </c>
      <c r="AB24" s="40">
        <f t="shared" si="9"/>
        <v>0</v>
      </c>
      <c r="AC24" s="41">
        <f t="shared" si="10"/>
        <v>0</v>
      </c>
      <c r="AD24" s="49" t="s">
        <v>5</v>
      </c>
      <c r="AE24" s="50" t="s">
        <v>72</v>
      </c>
      <c r="AF24" s="49"/>
      <c r="AG24" s="50"/>
      <c r="AH24" s="49"/>
      <c r="AI24" s="50"/>
      <c r="AJ24" s="49"/>
      <c r="AK24" s="50"/>
      <c r="AL24" s="49"/>
      <c r="AM24" s="50"/>
      <c r="AN24" s="49"/>
      <c r="AO24" s="50"/>
      <c r="AP24" s="49" t="s">
        <v>5</v>
      </c>
      <c r="AQ24" s="50" t="s">
        <v>101</v>
      </c>
      <c r="AR24" s="49" t="s">
        <v>5</v>
      </c>
      <c r="AS24" s="50" t="s">
        <v>142</v>
      </c>
      <c r="AT24" s="49"/>
      <c r="AU24" s="50"/>
      <c r="AV24" s="49" t="s">
        <v>5</v>
      </c>
      <c r="AW24" s="50" t="s">
        <v>495</v>
      </c>
      <c r="AX24" s="49" t="s">
        <v>5</v>
      </c>
      <c r="AY24" s="50" t="s">
        <v>143</v>
      </c>
      <c r="AZ24" s="49" t="s">
        <v>5</v>
      </c>
      <c r="BA24" s="50" t="s">
        <v>76</v>
      </c>
      <c r="BB24" s="49"/>
      <c r="BC24" s="50"/>
      <c r="BD24" s="49"/>
      <c r="BE24" s="50"/>
      <c r="BF24" s="49"/>
      <c r="BG24" s="50"/>
      <c r="BH24" s="49" t="s">
        <v>5</v>
      </c>
      <c r="BI24" s="50" t="s">
        <v>106</v>
      </c>
      <c r="BJ24" s="49"/>
      <c r="BK24" s="50"/>
      <c r="BL24" s="49"/>
      <c r="BM24" s="50"/>
      <c r="BN24" s="49" t="s">
        <v>5</v>
      </c>
      <c r="BO24" s="50" t="s">
        <v>81</v>
      </c>
      <c r="BP24" s="49"/>
      <c r="BQ24" s="50"/>
      <c r="BR24" s="49"/>
      <c r="BS24" s="50"/>
      <c r="BT24" s="49"/>
      <c r="BU24" s="50"/>
      <c r="BV24" s="49" t="s">
        <v>1</v>
      </c>
      <c r="BW24" s="50" t="s">
        <v>715</v>
      </c>
      <c r="BX24" s="49" t="s">
        <v>5</v>
      </c>
      <c r="BY24" s="50" t="s">
        <v>137</v>
      </c>
      <c r="BZ24" s="49"/>
      <c r="CA24" s="50"/>
    </row>
    <row r="25" spans="1:79" x14ac:dyDescent="0.25">
      <c r="A25" s="76">
        <v>151787</v>
      </c>
      <c r="B25" s="77" t="s">
        <v>981</v>
      </c>
      <c r="C25" s="78" t="s">
        <v>970</v>
      </c>
      <c r="D25" s="76" t="s">
        <v>12</v>
      </c>
      <c r="E25" s="79" t="s">
        <v>14</v>
      </c>
      <c r="F25" s="79" t="s">
        <v>71</v>
      </c>
      <c r="G25" s="79" t="s">
        <v>14</v>
      </c>
      <c r="H25" s="79" t="s">
        <v>14</v>
      </c>
      <c r="I25" s="78" t="s">
        <v>14</v>
      </c>
      <c r="J25" s="79" t="s">
        <v>14</v>
      </c>
      <c r="K25" s="142" t="s">
        <v>1850</v>
      </c>
      <c r="L25" s="149" t="s">
        <v>1842</v>
      </c>
      <c r="M25" s="150" t="s">
        <v>12</v>
      </c>
      <c r="N25" s="151">
        <v>12</v>
      </c>
      <c r="O25" s="151">
        <v>0</v>
      </c>
      <c r="P25" s="152">
        <v>0</v>
      </c>
      <c r="Q25" s="153">
        <v>100</v>
      </c>
      <c r="R25" s="154">
        <v>0</v>
      </c>
      <c r="S25" s="38">
        <f t="shared" si="0"/>
        <v>2</v>
      </c>
      <c r="T25" s="39">
        <f t="shared" si="1"/>
        <v>9</v>
      </c>
      <c r="U25" s="40">
        <f t="shared" si="2"/>
        <v>0</v>
      </c>
      <c r="V25" s="40">
        <f t="shared" si="3"/>
        <v>0</v>
      </c>
      <c r="W25" s="40">
        <f t="shared" si="4"/>
        <v>0</v>
      </c>
      <c r="X25" s="40">
        <f t="shared" si="5"/>
        <v>0</v>
      </c>
      <c r="Y25" s="40">
        <f t="shared" si="6"/>
        <v>0</v>
      </c>
      <c r="Z25" s="40">
        <f t="shared" si="7"/>
        <v>0</v>
      </c>
      <c r="AA25" s="40">
        <f t="shared" si="8"/>
        <v>0</v>
      </c>
      <c r="AB25" s="40">
        <f t="shared" si="9"/>
        <v>0</v>
      </c>
      <c r="AC25" s="41">
        <f t="shared" si="10"/>
        <v>0</v>
      </c>
      <c r="AD25" s="49"/>
      <c r="AE25" s="50"/>
      <c r="AF25" s="49" t="s">
        <v>1</v>
      </c>
      <c r="AG25" s="50" t="s">
        <v>438</v>
      </c>
      <c r="AH25" s="49"/>
      <c r="AI25" s="50"/>
      <c r="AJ25" s="49" t="s">
        <v>5</v>
      </c>
      <c r="AK25" s="50" t="s">
        <v>83</v>
      </c>
      <c r="AL25" s="49"/>
      <c r="AM25" s="50"/>
      <c r="AN25" s="49"/>
      <c r="AO25" s="50"/>
      <c r="AP25" s="49"/>
      <c r="AQ25" s="50"/>
      <c r="AR25" s="49" t="s">
        <v>5</v>
      </c>
      <c r="AS25" s="50" t="s">
        <v>169</v>
      </c>
      <c r="AT25" s="49"/>
      <c r="AU25" s="50"/>
      <c r="AV25" s="49" t="s">
        <v>5</v>
      </c>
      <c r="AW25" s="50" t="s">
        <v>140</v>
      </c>
      <c r="AX25" s="49"/>
      <c r="AY25" s="50"/>
      <c r="AZ25" s="49"/>
      <c r="BA25" s="50"/>
      <c r="BB25" s="49"/>
      <c r="BC25" s="50"/>
      <c r="BD25" s="49" t="s">
        <v>5</v>
      </c>
      <c r="BE25" s="50" t="s">
        <v>120</v>
      </c>
      <c r="BF25" s="49"/>
      <c r="BG25" s="50"/>
      <c r="BH25" s="49" t="s">
        <v>5</v>
      </c>
      <c r="BI25" s="50" t="s">
        <v>136</v>
      </c>
      <c r="BJ25" s="49"/>
      <c r="BK25" s="50"/>
      <c r="BL25" s="49"/>
      <c r="BM25" s="50"/>
      <c r="BN25" s="49" t="s">
        <v>1</v>
      </c>
      <c r="BO25" s="50" t="s">
        <v>107</v>
      </c>
      <c r="BP25" s="49" t="s">
        <v>5</v>
      </c>
      <c r="BQ25" s="50" t="s">
        <v>152</v>
      </c>
      <c r="BR25" s="49" t="s">
        <v>5</v>
      </c>
      <c r="BS25" s="50" t="s">
        <v>123</v>
      </c>
      <c r="BT25" s="49"/>
      <c r="BU25" s="50"/>
      <c r="BV25" s="49" t="s">
        <v>5</v>
      </c>
      <c r="BW25" s="50" t="s">
        <v>132</v>
      </c>
      <c r="BX25" s="49"/>
      <c r="BY25" s="50"/>
      <c r="BZ25" s="49" t="s">
        <v>5</v>
      </c>
      <c r="CA25" s="50" t="s">
        <v>124</v>
      </c>
    </row>
    <row r="26" spans="1:79" x14ac:dyDescent="0.25">
      <c r="A26" s="76">
        <v>151848</v>
      </c>
      <c r="B26" s="77" t="s">
        <v>982</v>
      </c>
      <c r="C26" s="78" t="s">
        <v>950</v>
      </c>
      <c r="D26" s="76" t="s">
        <v>70</v>
      </c>
      <c r="E26" s="79" t="s">
        <v>87</v>
      </c>
      <c r="F26" s="79" t="s">
        <v>150</v>
      </c>
      <c r="G26" s="79" t="s">
        <v>87</v>
      </c>
      <c r="H26" s="79" t="s">
        <v>87</v>
      </c>
      <c r="I26" s="78" t="s">
        <v>14</v>
      </c>
      <c r="J26" s="79" t="s">
        <v>14</v>
      </c>
      <c r="K26" s="142" t="s">
        <v>1850</v>
      </c>
      <c r="L26" s="149" t="s">
        <v>1841</v>
      </c>
      <c r="M26" s="150" t="s">
        <v>1853</v>
      </c>
      <c r="N26" s="151">
        <v>1</v>
      </c>
      <c r="O26" s="151">
        <v>0</v>
      </c>
      <c r="P26" s="152">
        <v>0</v>
      </c>
      <c r="Q26" s="153">
        <v>75</v>
      </c>
      <c r="R26" s="154">
        <v>0</v>
      </c>
      <c r="S26" s="38">
        <f t="shared" si="0"/>
        <v>0</v>
      </c>
      <c r="T26" s="39">
        <f t="shared" si="1"/>
        <v>3</v>
      </c>
      <c r="U26" s="40">
        <f t="shared" si="2"/>
        <v>0</v>
      </c>
      <c r="V26" s="40">
        <f t="shared" si="3"/>
        <v>0</v>
      </c>
      <c r="W26" s="40">
        <f t="shared" si="4"/>
        <v>0</v>
      </c>
      <c r="X26" s="40">
        <f t="shared" si="5"/>
        <v>0</v>
      </c>
      <c r="Y26" s="40">
        <f t="shared" si="6"/>
        <v>0</v>
      </c>
      <c r="Z26" s="40">
        <f t="shared" si="7"/>
        <v>0</v>
      </c>
      <c r="AA26" s="40">
        <f t="shared" si="8"/>
        <v>0</v>
      </c>
      <c r="AB26" s="40">
        <f t="shared" si="9"/>
        <v>0</v>
      </c>
      <c r="AC26" s="41">
        <f t="shared" si="10"/>
        <v>0</v>
      </c>
      <c r="AD26" s="49"/>
      <c r="AE26" s="50"/>
      <c r="AF26" s="49" t="s">
        <v>189</v>
      </c>
      <c r="AG26" s="50" t="s">
        <v>154</v>
      </c>
      <c r="AH26" s="49"/>
      <c r="AI26" s="50" t="s">
        <v>131</v>
      </c>
      <c r="AJ26" s="49"/>
      <c r="AK26" s="50" t="s">
        <v>83</v>
      </c>
      <c r="AL26" s="49"/>
      <c r="AM26" s="50"/>
      <c r="AN26" s="49"/>
      <c r="AO26" s="50"/>
      <c r="AP26" s="49"/>
      <c r="AQ26" s="50"/>
      <c r="AR26" s="49" t="s">
        <v>5</v>
      </c>
      <c r="AS26" s="50" t="s">
        <v>194</v>
      </c>
      <c r="AT26" s="49"/>
      <c r="AU26" s="50"/>
      <c r="AV26" s="49" t="s">
        <v>189</v>
      </c>
      <c r="AW26" s="50" t="s">
        <v>96</v>
      </c>
      <c r="AX26" s="49" t="s">
        <v>189</v>
      </c>
      <c r="AY26" s="50" t="s">
        <v>103</v>
      </c>
      <c r="AZ26" s="49"/>
      <c r="BA26" s="50"/>
      <c r="BB26" s="49"/>
      <c r="BC26" s="50"/>
      <c r="BD26" s="49" t="s">
        <v>189</v>
      </c>
      <c r="BE26" s="50" t="s">
        <v>132</v>
      </c>
      <c r="BF26" s="49"/>
      <c r="BG26" s="50"/>
      <c r="BH26" s="49" t="s">
        <v>5</v>
      </c>
      <c r="BI26" s="50" t="s">
        <v>112</v>
      </c>
      <c r="BJ26" s="49"/>
      <c r="BK26" s="50"/>
      <c r="BL26" s="49"/>
      <c r="BM26" s="50"/>
      <c r="BN26" s="49" t="s">
        <v>5</v>
      </c>
      <c r="BO26" s="50" t="s">
        <v>152</v>
      </c>
      <c r="BP26" s="49"/>
      <c r="BQ26" s="50"/>
      <c r="BR26" s="49"/>
      <c r="BS26" s="50" t="s">
        <v>98</v>
      </c>
      <c r="BT26" s="49"/>
      <c r="BU26" s="50"/>
      <c r="BV26" s="49"/>
      <c r="BW26" s="50" t="s">
        <v>82</v>
      </c>
      <c r="BX26" s="49"/>
      <c r="BY26" s="50"/>
      <c r="BZ26" s="49"/>
      <c r="CA26" s="50"/>
    </row>
    <row r="27" spans="1:79" x14ac:dyDescent="0.25">
      <c r="A27" s="76">
        <v>151783</v>
      </c>
      <c r="B27" s="77" t="s">
        <v>983</v>
      </c>
      <c r="C27" s="78" t="s">
        <v>952</v>
      </c>
      <c r="D27" s="76" t="s">
        <v>12</v>
      </c>
      <c r="E27" s="79" t="s">
        <v>87</v>
      </c>
      <c r="F27" s="79" t="s">
        <v>88</v>
      </c>
      <c r="G27" s="79" t="s">
        <v>14</v>
      </c>
      <c r="H27" s="79" t="s">
        <v>87</v>
      </c>
      <c r="I27" s="78" t="s">
        <v>14</v>
      </c>
      <c r="J27" s="79" t="s">
        <v>14</v>
      </c>
      <c r="K27" s="142" t="s">
        <v>1850</v>
      </c>
      <c r="L27" s="149" t="s">
        <v>1842</v>
      </c>
      <c r="M27" s="150" t="s">
        <v>12</v>
      </c>
      <c r="N27" s="151">
        <v>12</v>
      </c>
      <c r="O27" s="151">
        <v>1</v>
      </c>
      <c r="P27" s="152">
        <v>0</v>
      </c>
      <c r="Q27" s="153">
        <v>97.83</v>
      </c>
      <c r="R27" s="154">
        <v>3</v>
      </c>
      <c r="S27" s="38">
        <f t="shared" si="0"/>
        <v>1</v>
      </c>
      <c r="T27" s="39">
        <f t="shared" si="1"/>
        <v>9</v>
      </c>
      <c r="U27" s="40">
        <f t="shared" si="2"/>
        <v>0</v>
      </c>
      <c r="V27" s="40">
        <f t="shared" si="3"/>
        <v>1</v>
      </c>
      <c r="W27" s="40">
        <f t="shared" si="4"/>
        <v>0</v>
      </c>
      <c r="X27" s="40">
        <f t="shared" si="5"/>
        <v>1</v>
      </c>
      <c r="Y27" s="40">
        <f t="shared" si="6"/>
        <v>0</v>
      </c>
      <c r="Z27" s="40">
        <f t="shared" si="7"/>
        <v>0</v>
      </c>
      <c r="AA27" s="40">
        <f t="shared" si="8"/>
        <v>0</v>
      </c>
      <c r="AB27" s="40">
        <f t="shared" si="9"/>
        <v>0</v>
      </c>
      <c r="AC27" s="41">
        <f t="shared" si="10"/>
        <v>0</v>
      </c>
      <c r="AD27" s="49"/>
      <c r="AE27" s="50"/>
      <c r="AF27" s="49" t="s">
        <v>5</v>
      </c>
      <c r="AG27" s="50" t="s">
        <v>438</v>
      </c>
      <c r="AH27" s="49" t="s">
        <v>5</v>
      </c>
      <c r="AI27" s="50" t="s">
        <v>78</v>
      </c>
      <c r="AJ27" s="49" t="s">
        <v>5</v>
      </c>
      <c r="AK27" s="50" t="s">
        <v>83</v>
      </c>
      <c r="AL27" s="49"/>
      <c r="AM27" s="50"/>
      <c r="AN27" s="49"/>
      <c r="AO27" s="50"/>
      <c r="AP27" s="49"/>
      <c r="AQ27" s="50"/>
      <c r="AR27" s="49" t="s">
        <v>5</v>
      </c>
      <c r="AS27" s="50" t="s">
        <v>102</v>
      </c>
      <c r="AT27" s="49"/>
      <c r="AU27" s="50"/>
      <c r="AV27" s="49" t="s">
        <v>5</v>
      </c>
      <c r="AW27" s="50" t="s">
        <v>117</v>
      </c>
      <c r="AX27" s="49"/>
      <c r="AY27" s="50"/>
      <c r="AZ27" s="49"/>
      <c r="BA27" s="50"/>
      <c r="BB27" s="49"/>
      <c r="BC27" s="50"/>
      <c r="BD27" s="49" t="s">
        <v>5</v>
      </c>
      <c r="BE27" s="50" t="s">
        <v>120</v>
      </c>
      <c r="BF27" s="49"/>
      <c r="BG27" s="50"/>
      <c r="BH27" s="49" t="s">
        <v>5</v>
      </c>
      <c r="BI27" s="50" t="s">
        <v>112</v>
      </c>
      <c r="BJ27" s="49"/>
      <c r="BK27" s="50"/>
      <c r="BL27" s="49"/>
      <c r="BM27" s="50"/>
      <c r="BN27" s="49" t="s">
        <v>1</v>
      </c>
      <c r="BO27" s="50" t="s">
        <v>96</v>
      </c>
      <c r="BP27" s="49"/>
      <c r="BQ27" s="50"/>
      <c r="BR27" s="49" t="s">
        <v>5</v>
      </c>
      <c r="BS27" s="50" t="s">
        <v>123</v>
      </c>
      <c r="BT27" s="49"/>
      <c r="BU27" s="50"/>
      <c r="BV27" s="49" t="s">
        <v>31</v>
      </c>
      <c r="BW27" s="50" t="s">
        <v>122</v>
      </c>
      <c r="BX27" s="49"/>
      <c r="BY27" s="50"/>
      <c r="BZ27" s="49" t="s">
        <v>5</v>
      </c>
      <c r="CA27" s="50" t="s">
        <v>124</v>
      </c>
    </row>
    <row r="28" spans="1:79" x14ac:dyDescent="0.25">
      <c r="A28" s="76">
        <v>151951</v>
      </c>
      <c r="B28" s="77" t="s">
        <v>984</v>
      </c>
      <c r="C28" s="78" t="s">
        <v>970</v>
      </c>
      <c r="D28" s="76" t="s">
        <v>12</v>
      </c>
      <c r="E28" s="79" t="s">
        <v>14</v>
      </c>
      <c r="F28" s="79" t="s">
        <v>71</v>
      </c>
      <c r="G28" s="79" t="s">
        <v>14</v>
      </c>
      <c r="H28" s="79" t="s">
        <v>14</v>
      </c>
      <c r="I28" s="78" t="s">
        <v>14</v>
      </c>
      <c r="J28" s="79" t="s">
        <v>14</v>
      </c>
      <c r="K28" s="142" t="s">
        <v>1851</v>
      </c>
      <c r="L28" s="149" t="s">
        <v>1844</v>
      </c>
      <c r="M28" s="150" t="s">
        <v>12</v>
      </c>
      <c r="N28" s="151">
        <v>13</v>
      </c>
      <c r="O28" s="151">
        <v>0</v>
      </c>
      <c r="P28" s="152">
        <v>0</v>
      </c>
      <c r="Q28" s="153">
        <v>100</v>
      </c>
      <c r="R28" s="154">
        <v>0</v>
      </c>
      <c r="S28" s="38">
        <f t="shared" si="0"/>
        <v>3</v>
      </c>
      <c r="T28" s="39">
        <f t="shared" si="1"/>
        <v>7</v>
      </c>
      <c r="U28" s="40">
        <f t="shared" si="2"/>
        <v>0</v>
      </c>
      <c r="V28" s="40">
        <f t="shared" si="3"/>
        <v>0</v>
      </c>
      <c r="W28" s="40">
        <f t="shared" si="4"/>
        <v>0</v>
      </c>
      <c r="X28" s="40">
        <f t="shared" si="5"/>
        <v>0</v>
      </c>
      <c r="Y28" s="40">
        <f t="shared" si="6"/>
        <v>0</v>
      </c>
      <c r="Z28" s="40">
        <f t="shared" si="7"/>
        <v>0</v>
      </c>
      <c r="AA28" s="40">
        <f t="shared" si="8"/>
        <v>0</v>
      </c>
      <c r="AB28" s="40">
        <f t="shared" si="9"/>
        <v>0</v>
      </c>
      <c r="AC28" s="41">
        <f t="shared" si="10"/>
        <v>0</v>
      </c>
      <c r="AD28" s="49"/>
      <c r="AE28" s="50"/>
      <c r="AF28" s="49"/>
      <c r="AG28" s="50"/>
      <c r="AH28" s="49"/>
      <c r="AI28" s="50"/>
      <c r="AJ28" s="49"/>
      <c r="AK28" s="50"/>
      <c r="AL28" s="49"/>
      <c r="AM28" s="50"/>
      <c r="AN28" s="49"/>
      <c r="AO28" s="50"/>
      <c r="AP28" s="49"/>
      <c r="AQ28" s="50"/>
      <c r="AR28" s="49" t="s">
        <v>5</v>
      </c>
      <c r="AS28" s="50" t="s">
        <v>169</v>
      </c>
      <c r="AT28" s="49"/>
      <c r="AU28" s="50"/>
      <c r="AV28" s="49" t="s">
        <v>5</v>
      </c>
      <c r="AW28" s="50" t="s">
        <v>140</v>
      </c>
      <c r="AX28" s="49"/>
      <c r="AY28" s="50"/>
      <c r="AZ28" s="49" t="s">
        <v>5</v>
      </c>
      <c r="BA28" s="50" t="s">
        <v>92</v>
      </c>
      <c r="BB28" s="49"/>
      <c r="BC28" s="50"/>
      <c r="BD28" s="49"/>
      <c r="BE28" s="50"/>
      <c r="BF28" s="49"/>
      <c r="BG28" s="50"/>
      <c r="BH28" s="49" t="s">
        <v>5</v>
      </c>
      <c r="BI28" s="50" t="s">
        <v>79</v>
      </c>
      <c r="BJ28" s="49" t="s">
        <v>1</v>
      </c>
      <c r="BK28" s="50" t="s">
        <v>95</v>
      </c>
      <c r="BL28" s="49"/>
      <c r="BM28" s="50"/>
      <c r="BN28" s="49" t="s">
        <v>1</v>
      </c>
      <c r="BO28" s="50" t="s">
        <v>96</v>
      </c>
      <c r="BP28" s="49"/>
      <c r="BQ28" s="50"/>
      <c r="BR28" s="49"/>
      <c r="BS28" s="50"/>
      <c r="BT28" s="49" t="s">
        <v>5</v>
      </c>
      <c r="BU28" s="50" t="s">
        <v>117</v>
      </c>
      <c r="BV28" s="49" t="s">
        <v>1</v>
      </c>
      <c r="BW28" s="50" t="s">
        <v>715</v>
      </c>
      <c r="BX28" s="49" t="s">
        <v>5</v>
      </c>
      <c r="BY28" s="50" t="s">
        <v>137</v>
      </c>
      <c r="BZ28" s="49" t="s">
        <v>5</v>
      </c>
      <c r="CA28" s="50" t="s">
        <v>124</v>
      </c>
    </row>
    <row r="29" spans="1:79" x14ac:dyDescent="0.25">
      <c r="A29" s="76">
        <v>151823</v>
      </c>
      <c r="B29" s="77" t="s">
        <v>985</v>
      </c>
      <c r="C29" s="78" t="s">
        <v>957</v>
      </c>
      <c r="D29" s="76" t="s">
        <v>70</v>
      </c>
      <c r="E29" s="79" t="s">
        <v>87</v>
      </c>
      <c r="F29" s="79" t="s">
        <v>198</v>
      </c>
      <c r="G29" s="79" t="s">
        <v>14</v>
      </c>
      <c r="H29" s="79" t="s">
        <v>87</v>
      </c>
      <c r="I29" s="78" t="s">
        <v>14</v>
      </c>
      <c r="J29" s="79" t="s">
        <v>14</v>
      </c>
      <c r="K29" s="142" t="s">
        <v>1851</v>
      </c>
      <c r="L29" s="149" t="s">
        <v>1845</v>
      </c>
      <c r="M29" s="150" t="s">
        <v>1852</v>
      </c>
      <c r="N29" s="151">
        <v>14</v>
      </c>
      <c r="O29" s="151">
        <v>3</v>
      </c>
      <c r="P29" s="152">
        <v>5</v>
      </c>
      <c r="Q29" s="153">
        <v>95.65</v>
      </c>
      <c r="R29" s="154">
        <v>10</v>
      </c>
      <c r="S29" s="38">
        <f t="shared" si="0"/>
        <v>1</v>
      </c>
      <c r="T29" s="39">
        <f t="shared" si="1"/>
        <v>5</v>
      </c>
      <c r="U29" s="40">
        <f t="shared" si="2"/>
        <v>2</v>
      </c>
      <c r="V29" s="40">
        <f t="shared" si="3"/>
        <v>1</v>
      </c>
      <c r="W29" s="40">
        <f t="shared" si="4"/>
        <v>1</v>
      </c>
      <c r="X29" s="40">
        <f t="shared" si="5"/>
        <v>4</v>
      </c>
      <c r="Y29" s="40">
        <f t="shared" si="6"/>
        <v>0</v>
      </c>
      <c r="Z29" s="40">
        <f t="shared" si="7"/>
        <v>0</v>
      </c>
      <c r="AA29" s="40">
        <f t="shared" si="8"/>
        <v>0</v>
      </c>
      <c r="AB29" s="40">
        <f t="shared" si="9"/>
        <v>0</v>
      </c>
      <c r="AC29" s="41">
        <f t="shared" si="10"/>
        <v>0</v>
      </c>
      <c r="AD29" s="49" t="s">
        <v>5</v>
      </c>
      <c r="AE29" s="50" t="s">
        <v>116</v>
      </c>
      <c r="AF29" s="49"/>
      <c r="AG29" s="50"/>
      <c r="AH29" s="49"/>
      <c r="AI29" s="50"/>
      <c r="AJ29" s="49"/>
      <c r="AK29" s="50"/>
      <c r="AL29" s="49" t="s">
        <v>31</v>
      </c>
      <c r="AM29" s="50" t="s">
        <v>436</v>
      </c>
      <c r="AN29" s="49"/>
      <c r="AO29" s="50"/>
      <c r="AP29" s="49"/>
      <c r="AQ29" s="50"/>
      <c r="AR29" s="49" t="s">
        <v>32</v>
      </c>
      <c r="AS29" s="50" t="s">
        <v>111</v>
      </c>
      <c r="AT29" s="49"/>
      <c r="AU29" s="50"/>
      <c r="AV29" s="49" t="s">
        <v>5</v>
      </c>
      <c r="AW29" s="50" t="s">
        <v>77</v>
      </c>
      <c r="AX29" s="49"/>
      <c r="AY29" s="50"/>
      <c r="AZ29" s="49"/>
      <c r="BA29" s="50"/>
      <c r="BB29" s="49" t="s">
        <v>5</v>
      </c>
      <c r="BC29" s="50" t="s">
        <v>420</v>
      </c>
      <c r="BD29" s="49"/>
      <c r="BE29" s="50"/>
      <c r="BF29" s="49"/>
      <c r="BG29" s="50"/>
      <c r="BH29" s="49" t="s">
        <v>1</v>
      </c>
      <c r="BI29" s="50" t="s">
        <v>422</v>
      </c>
      <c r="BJ29" s="49"/>
      <c r="BK29" s="50"/>
      <c r="BL29" s="49"/>
      <c r="BM29" s="50"/>
      <c r="BN29" s="49" t="s">
        <v>5</v>
      </c>
      <c r="BO29" s="50" t="s">
        <v>81</v>
      </c>
      <c r="BP29" s="49"/>
      <c r="BQ29" s="50"/>
      <c r="BR29" s="49"/>
      <c r="BS29" s="50"/>
      <c r="BT29" s="49"/>
      <c r="BU29" s="50"/>
      <c r="BV29" s="49" t="s">
        <v>5</v>
      </c>
      <c r="BW29" s="50" t="s">
        <v>82</v>
      </c>
      <c r="BX29" s="49" t="s">
        <v>30</v>
      </c>
      <c r="BY29" s="50" t="s">
        <v>133</v>
      </c>
      <c r="BZ29" s="49" t="s">
        <v>30</v>
      </c>
      <c r="CA29" s="50" t="s">
        <v>75</v>
      </c>
    </row>
    <row r="30" spans="1:79" x14ac:dyDescent="0.25">
      <c r="A30" s="76">
        <v>151936</v>
      </c>
      <c r="B30" s="77" t="s">
        <v>986</v>
      </c>
      <c r="C30" s="78" t="s">
        <v>963</v>
      </c>
      <c r="D30" s="76" t="s">
        <v>70</v>
      </c>
      <c r="E30" s="79" t="s">
        <v>14</v>
      </c>
      <c r="F30" s="79" t="s">
        <v>71</v>
      </c>
      <c r="G30" s="79" t="s">
        <v>14</v>
      </c>
      <c r="H30" s="79" t="s">
        <v>14</v>
      </c>
      <c r="I30" s="78" t="s">
        <v>14</v>
      </c>
      <c r="J30" s="79" t="s">
        <v>6</v>
      </c>
      <c r="K30" s="142" t="s">
        <v>1850</v>
      </c>
      <c r="L30" s="149" t="s">
        <v>1843</v>
      </c>
      <c r="M30" s="150" t="s">
        <v>1852</v>
      </c>
      <c r="N30" s="151">
        <v>24</v>
      </c>
      <c r="O30" s="151">
        <v>0</v>
      </c>
      <c r="P30" s="152">
        <v>0</v>
      </c>
      <c r="Q30" s="153">
        <v>93.48</v>
      </c>
      <c r="R30" s="154">
        <v>0</v>
      </c>
      <c r="S30" s="38">
        <f t="shared" si="0"/>
        <v>0</v>
      </c>
      <c r="T30" s="39">
        <f t="shared" si="1"/>
        <v>10</v>
      </c>
      <c r="U30" s="40">
        <f t="shared" si="2"/>
        <v>0</v>
      </c>
      <c r="V30" s="40">
        <f t="shared" si="3"/>
        <v>0</v>
      </c>
      <c r="W30" s="40">
        <f t="shared" si="4"/>
        <v>0</v>
      </c>
      <c r="X30" s="40">
        <f t="shared" si="5"/>
        <v>0</v>
      </c>
      <c r="Y30" s="40">
        <f t="shared" si="6"/>
        <v>0</v>
      </c>
      <c r="Z30" s="40">
        <f t="shared" si="7"/>
        <v>0</v>
      </c>
      <c r="AA30" s="40">
        <f t="shared" si="8"/>
        <v>0</v>
      </c>
      <c r="AB30" s="40">
        <f t="shared" si="9"/>
        <v>0</v>
      </c>
      <c r="AC30" s="41">
        <f t="shared" si="10"/>
        <v>0</v>
      </c>
      <c r="AD30" s="49" t="s">
        <v>5</v>
      </c>
      <c r="AE30" s="50" t="s">
        <v>72</v>
      </c>
      <c r="AF30" s="49"/>
      <c r="AG30" s="50"/>
      <c r="AH30" s="49"/>
      <c r="AI30" s="50"/>
      <c r="AJ30" s="49"/>
      <c r="AK30" s="50"/>
      <c r="AL30" s="49"/>
      <c r="AM30" s="50"/>
      <c r="AN30" s="49"/>
      <c r="AO30" s="50"/>
      <c r="AP30" s="49" t="s">
        <v>5</v>
      </c>
      <c r="AQ30" s="50" t="s">
        <v>101</v>
      </c>
      <c r="AR30" s="49" t="s">
        <v>5</v>
      </c>
      <c r="AS30" s="50" t="s">
        <v>142</v>
      </c>
      <c r="AT30" s="49"/>
      <c r="AU30" s="50"/>
      <c r="AV30" s="49" t="s">
        <v>5</v>
      </c>
      <c r="AW30" s="50" t="s">
        <v>495</v>
      </c>
      <c r="AX30" s="49" t="s">
        <v>5</v>
      </c>
      <c r="AY30" s="50" t="s">
        <v>84</v>
      </c>
      <c r="AZ30" s="49" t="s">
        <v>5</v>
      </c>
      <c r="BA30" s="50" t="s">
        <v>76</v>
      </c>
      <c r="BB30" s="49"/>
      <c r="BC30" s="50"/>
      <c r="BD30" s="49"/>
      <c r="BE30" s="50"/>
      <c r="BF30" s="49"/>
      <c r="BG30" s="50"/>
      <c r="BH30" s="49" t="s">
        <v>5</v>
      </c>
      <c r="BI30" s="50" t="s">
        <v>505</v>
      </c>
      <c r="BJ30" s="49"/>
      <c r="BK30" s="50"/>
      <c r="BL30" s="49"/>
      <c r="BM30" s="50"/>
      <c r="BN30" s="49" t="s">
        <v>5</v>
      </c>
      <c r="BO30" s="50" t="s">
        <v>152</v>
      </c>
      <c r="BP30" s="49"/>
      <c r="BQ30" s="50"/>
      <c r="BR30" s="49"/>
      <c r="BS30" s="50"/>
      <c r="BT30" s="49"/>
      <c r="BU30" s="50"/>
      <c r="BV30" s="49" t="s">
        <v>5</v>
      </c>
      <c r="BW30" s="50" t="s">
        <v>457</v>
      </c>
      <c r="BX30" s="49" t="s">
        <v>5</v>
      </c>
      <c r="BY30" s="50" t="s">
        <v>133</v>
      </c>
      <c r="BZ30" s="49"/>
      <c r="CA30" s="50"/>
    </row>
    <row r="31" spans="1:79" x14ac:dyDescent="0.25">
      <c r="A31" s="76">
        <v>151826</v>
      </c>
      <c r="B31" s="77" t="s">
        <v>987</v>
      </c>
      <c r="C31" s="78" t="s">
        <v>957</v>
      </c>
      <c r="D31" s="76" t="s">
        <v>12</v>
      </c>
      <c r="E31" s="79" t="s">
        <v>14</v>
      </c>
      <c r="F31" s="79" t="s">
        <v>88</v>
      </c>
      <c r="G31" s="79" t="s">
        <v>14</v>
      </c>
      <c r="H31" s="79" t="s">
        <v>14</v>
      </c>
      <c r="I31" s="78" t="s">
        <v>14</v>
      </c>
      <c r="J31" s="79" t="s">
        <v>14</v>
      </c>
      <c r="K31" s="142" t="s">
        <v>1850</v>
      </c>
      <c r="L31" s="149" t="s">
        <v>1844</v>
      </c>
      <c r="M31" s="150" t="s">
        <v>12</v>
      </c>
      <c r="N31" s="151">
        <v>15</v>
      </c>
      <c r="O31" s="151">
        <v>0</v>
      </c>
      <c r="P31" s="152">
        <v>0</v>
      </c>
      <c r="Q31" s="153">
        <v>100</v>
      </c>
      <c r="R31" s="154">
        <v>0</v>
      </c>
      <c r="S31" s="38">
        <f t="shared" si="0"/>
        <v>4</v>
      </c>
      <c r="T31" s="39">
        <f t="shared" si="1"/>
        <v>7</v>
      </c>
      <c r="U31" s="40">
        <f t="shared" si="2"/>
        <v>0</v>
      </c>
      <c r="V31" s="40">
        <f t="shared" si="3"/>
        <v>0</v>
      </c>
      <c r="W31" s="40">
        <f t="shared" si="4"/>
        <v>0</v>
      </c>
      <c r="X31" s="40">
        <f t="shared" si="5"/>
        <v>0</v>
      </c>
      <c r="Y31" s="40">
        <f t="shared" si="6"/>
        <v>0</v>
      </c>
      <c r="Z31" s="40">
        <f t="shared" si="7"/>
        <v>0</v>
      </c>
      <c r="AA31" s="40">
        <f t="shared" si="8"/>
        <v>0</v>
      </c>
      <c r="AB31" s="40">
        <f t="shared" si="9"/>
        <v>0</v>
      </c>
      <c r="AC31" s="41">
        <f t="shared" si="10"/>
        <v>0</v>
      </c>
      <c r="AD31" s="49"/>
      <c r="AE31" s="50"/>
      <c r="AF31" s="49" t="s">
        <v>1</v>
      </c>
      <c r="AG31" s="50" t="s">
        <v>154</v>
      </c>
      <c r="AH31" s="49" t="s">
        <v>5</v>
      </c>
      <c r="AI31" s="50" t="s">
        <v>131</v>
      </c>
      <c r="AJ31" s="49" t="s">
        <v>5</v>
      </c>
      <c r="AK31" s="50" t="s">
        <v>714</v>
      </c>
      <c r="AL31" s="49"/>
      <c r="AM31" s="50"/>
      <c r="AN31" s="49"/>
      <c r="AO31" s="50"/>
      <c r="AP31" s="49"/>
      <c r="AQ31" s="50"/>
      <c r="AR31" s="49" t="s">
        <v>5</v>
      </c>
      <c r="AS31" s="50" t="s">
        <v>111</v>
      </c>
      <c r="AT31" s="49"/>
      <c r="AU31" s="50"/>
      <c r="AV31" s="49" t="s">
        <v>5</v>
      </c>
      <c r="AW31" s="50" t="s">
        <v>77</v>
      </c>
      <c r="AX31" s="49"/>
      <c r="AY31" s="50"/>
      <c r="AZ31" s="49" t="s">
        <v>1</v>
      </c>
      <c r="BA31" s="50" t="s">
        <v>92</v>
      </c>
      <c r="BB31" s="49"/>
      <c r="BC31" s="50"/>
      <c r="BD31" s="49"/>
      <c r="BE31" s="50"/>
      <c r="BF31" s="49"/>
      <c r="BG31" s="50"/>
      <c r="BH31" s="49" t="s">
        <v>1</v>
      </c>
      <c r="BI31" s="50" t="s">
        <v>94</v>
      </c>
      <c r="BJ31" s="49"/>
      <c r="BK31" s="50"/>
      <c r="BL31" s="49"/>
      <c r="BM31" s="50"/>
      <c r="BN31" s="49" t="s">
        <v>1</v>
      </c>
      <c r="BO31" s="50" t="s">
        <v>107</v>
      </c>
      <c r="BP31" s="49"/>
      <c r="BQ31" s="50"/>
      <c r="BR31" s="49" t="s">
        <v>5</v>
      </c>
      <c r="BS31" s="50" t="s">
        <v>140</v>
      </c>
      <c r="BT31" s="49"/>
      <c r="BU31" s="50"/>
      <c r="BV31" s="49" t="s">
        <v>5</v>
      </c>
      <c r="BW31" s="50" t="s">
        <v>97</v>
      </c>
      <c r="BX31" s="49"/>
      <c r="BY31" s="50"/>
      <c r="BZ31" s="49" t="s">
        <v>5</v>
      </c>
      <c r="CA31" s="50" t="s">
        <v>75</v>
      </c>
    </row>
    <row r="32" spans="1:79" x14ac:dyDescent="0.25">
      <c r="A32" s="76">
        <v>151852</v>
      </c>
      <c r="B32" s="77" t="s">
        <v>988</v>
      </c>
      <c r="C32" s="78" t="s">
        <v>961</v>
      </c>
      <c r="D32" s="76" t="s">
        <v>70</v>
      </c>
      <c r="E32" s="79" t="s">
        <v>87</v>
      </c>
      <c r="F32" s="79" t="s">
        <v>450</v>
      </c>
      <c r="G32" s="79" t="s">
        <v>14</v>
      </c>
      <c r="H32" s="79" t="s">
        <v>87</v>
      </c>
      <c r="I32" s="78" t="s">
        <v>14</v>
      </c>
      <c r="J32" s="79" t="s">
        <v>14</v>
      </c>
      <c r="K32" s="142" t="s">
        <v>1851</v>
      </c>
      <c r="L32" s="149" t="s">
        <v>1845</v>
      </c>
      <c r="M32" s="150" t="s">
        <v>1852</v>
      </c>
      <c r="N32" s="151">
        <v>10</v>
      </c>
      <c r="O32" s="151">
        <v>6</v>
      </c>
      <c r="P32" s="152">
        <v>1</v>
      </c>
      <c r="Q32" s="153">
        <v>97.83</v>
      </c>
      <c r="R32" s="154">
        <v>5</v>
      </c>
      <c r="S32" s="38">
        <f t="shared" si="0"/>
        <v>0</v>
      </c>
      <c r="T32" s="39">
        <f t="shared" si="1"/>
        <v>5</v>
      </c>
      <c r="U32" s="40">
        <f t="shared" si="2"/>
        <v>3</v>
      </c>
      <c r="V32" s="40">
        <f t="shared" si="3"/>
        <v>0</v>
      </c>
      <c r="W32" s="40">
        <f t="shared" si="4"/>
        <v>1</v>
      </c>
      <c r="X32" s="40">
        <f t="shared" si="5"/>
        <v>4</v>
      </c>
      <c r="Y32" s="40">
        <f t="shared" si="6"/>
        <v>1</v>
      </c>
      <c r="Z32" s="40">
        <f t="shared" si="7"/>
        <v>0</v>
      </c>
      <c r="AA32" s="40">
        <f t="shared" si="8"/>
        <v>0</v>
      </c>
      <c r="AB32" s="40">
        <f t="shared" si="9"/>
        <v>1</v>
      </c>
      <c r="AC32" s="41">
        <f t="shared" si="10"/>
        <v>0</v>
      </c>
      <c r="AD32" s="49"/>
      <c r="AE32" s="50"/>
      <c r="AF32" s="49"/>
      <c r="AG32" s="50"/>
      <c r="AH32" s="49"/>
      <c r="AI32" s="50"/>
      <c r="AJ32" s="49"/>
      <c r="AK32" s="50"/>
      <c r="AL32" s="49"/>
      <c r="AM32" s="50"/>
      <c r="AN32" s="49"/>
      <c r="AO32" s="50"/>
      <c r="AP32" s="49"/>
      <c r="AQ32" s="50"/>
      <c r="AR32" s="49" t="s">
        <v>30</v>
      </c>
      <c r="AS32" s="50" t="s">
        <v>722</v>
      </c>
      <c r="AT32" s="49" t="s">
        <v>5</v>
      </c>
      <c r="AU32" s="50" t="s">
        <v>73</v>
      </c>
      <c r="AV32" s="49" t="s">
        <v>5</v>
      </c>
      <c r="AW32" s="50" t="s">
        <v>139</v>
      </c>
      <c r="AX32" s="49"/>
      <c r="AY32" s="50"/>
      <c r="AZ32" s="49"/>
      <c r="BA32" s="50"/>
      <c r="BB32" s="49" t="s">
        <v>34</v>
      </c>
      <c r="BC32" s="50" t="s">
        <v>425</v>
      </c>
      <c r="BD32" s="49"/>
      <c r="BE32" s="50"/>
      <c r="BF32" s="49"/>
      <c r="BG32" s="50"/>
      <c r="BH32" s="49" t="s">
        <v>5</v>
      </c>
      <c r="BI32" s="50" t="s">
        <v>505</v>
      </c>
      <c r="BJ32" s="49"/>
      <c r="BK32" s="50"/>
      <c r="BL32" s="49" t="s">
        <v>32</v>
      </c>
      <c r="BM32" s="50" t="s">
        <v>72</v>
      </c>
      <c r="BN32" s="49" t="s">
        <v>30</v>
      </c>
      <c r="BO32" s="50" t="s">
        <v>152</v>
      </c>
      <c r="BP32" s="49"/>
      <c r="BQ32" s="50"/>
      <c r="BR32" s="49"/>
      <c r="BS32" s="50"/>
      <c r="BT32" s="49"/>
      <c r="BU32" s="50"/>
      <c r="BV32" s="49" t="s">
        <v>5</v>
      </c>
      <c r="BW32" s="50" t="s">
        <v>602</v>
      </c>
      <c r="BX32" s="49" t="s">
        <v>5</v>
      </c>
      <c r="BY32" s="50" t="s">
        <v>133</v>
      </c>
      <c r="BZ32" s="49" t="s">
        <v>30</v>
      </c>
      <c r="CA32" s="50" t="s">
        <v>75</v>
      </c>
    </row>
    <row r="33" spans="1:79" x14ac:dyDescent="0.25">
      <c r="A33" s="76">
        <v>151858</v>
      </c>
      <c r="B33" s="77" t="s">
        <v>989</v>
      </c>
      <c r="C33" s="78" t="s">
        <v>957</v>
      </c>
      <c r="D33" s="76" t="s">
        <v>70</v>
      </c>
      <c r="E33" s="79" t="s">
        <v>14</v>
      </c>
      <c r="F33" s="77" t="s">
        <v>220</v>
      </c>
      <c r="G33" s="79" t="s">
        <v>14</v>
      </c>
      <c r="H33" s="79" t="s">
        <v>14</v>
      </c>
      <c r="I33" s="78" t="s">
        <v>14</v>
      </c>
      <c r="J33" s="79" t="s">
        <v>14</v>
      </c>
      <c r="K33" s="142" t="s">
        <v>1850</v>
      </c>
      <c r="L33" s="149" t="s">
        <v>1842</v>
      </c>
      <c r="M33" s="150" t="s">
        <v>1853</v>
      </c>
      <c r="N33" s="151">
        <v>13</v>
      </c>
      <c r="O33" s="151">
        <v>1</v>
      </c>
      <c r="P33" s="152">
        <v>3</v>
      </c>
      <c r="Q33" s="153">
        <v>97.83</v>
      </c>
      <c r="R33" s="154">
        <v>7</v>
      </c>
      <c r="S33" s="38">
        <f t="shared" si="0"/>
        <v>1</v>
      </c>
      <c r="T33" s="39">
        <f t="shared" si="1"/>
        <v>10</v>
      </c>
      <c r="U33" s="40">
        <f t="shared" si="2"/>
        <v>0</v>
      </c>
      <c r="V33" s="40">
        <f t="shared" si="3"/>
        <v>0</v>
      </c>
      <c r="W33" s="40">
        <f t="shared" si="4"/>
        <v>0</v>
      </c>
      <c r="X33" s="40">
        <f t="shared" si="5"/>
        <v>0</v>
      </c>
      <c r="Y33" s="40">
        <f t="shared" si="6"/>
        <v>0</v>
      </c>
      <c r="Z33" s="40">
        <f t="shared" si="7"/>
        <v>0</v>
      </c>
      <c r="AA33" s="40">
        <f t="shared" si="8"/>
        <v>0</v>
      </c>
      <c r="AB33" s="40">
        <f t="shared" si="9"/>
        <v>0</v>
      </c>
      <c r="AC33" s="41">
        <f t="shared" si="10"/>
        <v>0</v>
      </c>
      <c r="AD33" s="49"/>
      <c r="AE33" s="50"/>
      <c r="AF33" s="49" t="s">
        <v>5</v>
      </c>
      <c r="AG33" s="50" t="s">
        <v>154</v>
      </c>
      <c r="AH33" s="49"/>
      <c r="AI33" s="50"/>
      <c r="AJ33" s="49" t="s">
        <v>5</v>
      </c>
      <c r="AK33" s="50" t="s">
        <v>714</v>
      </c>
      <c r="AL33" s="49"/>
      <c r="AM33" s="50"/>
      <c r="AN33" s="49"/>
      <c r="AO33" s="50"/>
      <c r="AP33" s="49"/>
      <c r="AQ33" s="50"/>
      <c r="AR33" s="49" t="s">
        <v>5</v>
      </c>
      <c r="AS33" s="50" t="s">
        <v>151</v>
      </c>
      <c r="AT33" s="49"/>
      <c r="AU33" s="50"/>
      <c r="AV33" s="49" t="s">
        <v>5</v>
      </c>
      <c r="AW33" s="50" t="s">
        <v>77</v>
      </c>
      <c r="AX33" s="49"/>
      <c r="AY33" s="50"/>
      <c r="AZ33" s="49" t="s">
        <v>5</v>
      </c>
      <c r="BA33" s="50" t="s">
        <v>92</v>
      </c>
      <c r="BB33" s="49"/>
      <c r="BC33" s="50"/>
      <c r="BD33" s="49" t="s">
        <v>5</v>
      </c>
      <c r="BE33" s="50" t="s">
        <v>120</v>
      </c>
      <c r="BF33" s="49"/>
      <c r="BG33" s="50"/>
      <c r="BH33" s="49" t="s">
        <v>1</v>
      </c>
      <c r="BI33" s="50" t="s">
        <v>94</v>
      </c>
      <c r="BJ33" s="49"/>
      <c r="BK33" s="50"/>
      <c r="BL33" s="49"/>
      <c r="BM33" s="50"/>
      <c r="BN33" s="49" t="s">
        <v>5</v>
      </c>
      <c r="BO33" s="50" t="s">
        <v>152</v>
      </c>
      <c r="BP33" s="49"/>
      <c r="BQ33" s="50"/>
      <c r="BR33" s="49" t="s">
        <v>5</v>
      </c>
      <c r="BS33" s="50" t="s">
        <v>140</v>
      </c>
      <c r="BT33" s="49"/>
      <c r="BU33" s="50"/>
      <c r="BV33" s="49" t="s">
        <v>5</v>
      </c>
      <c r="BW33" s="50" t="s">
        <v>132</v>
      </c>
      <c r="BX33" s="49"/>
      <c r="BY33" s="50"/>
      <c r="BZ33" s="49" t="s">
        <v>5</v>
      </c>
      <c r="CA33" s="50" t="s">
        <v>124</v>
      </c>
    </row>
    <row r="34" spans="1:79" x14ac:dyDescent="0.25">
      <c r="A34" s="76">
        <v>151811</v>
      </c>
      <c r="B34" s="77" t="s">
        <v>990</v>
      </c>
      <c r="C34" s="78" t="s">
        <v>970</v>
      </c>
      <c r="D34" s="76" t="s">
        <v>70</v>
      </c>
      <c r="E34" s="79" t="s">
        <v>14</v>
      </c>
      <c r="F34" s="79" t="s">
        <v>71</v>
      </c>
      <c r="G34" s="79" t="s">
        <v>14</v>
      </c>
      <c r="H34" s="79" t="s">
        <v>14</v>
      </c>
      <c r="I34" s="78" t="s">
        <v>14</v>
      </c>
      <c r="J34" s="79" t="s">
        <v>14</v>
      </c>
      <c r="K34" s="142" t="s">
        <v>1851</v>
      </c>
      <c r="L34" s="149" t="s">
        <v>1848</v>
      </c>
      <c r="M34" s="150" t="s">
        <v>1852</v>
      </c>
      <c r="N34" s="151">
        <v>24</v>
      </c>
      <c r="O34" s="151">
        <v>2</v>
      </c>
      <c r="P34" s="152">
        <v>0</v>
      </c>
      <c r="Q34" s="153">
        <v>84.44</v>
      </c>
      <c r="R34" s="154">
        <v>0</v>
      </c>
      <c r="S34" s="38">
        <f t="shared" si="0"/>
        <v>0</v>
      </c>
      <c r="T34" s="39">
        <f t="shared" si="1"/>
        <v>8</v>
      </c>
      <c r="U34" s="40">
        <f t="shared" si="2"/>
        <v>1</v>
      </c>
      <c r="V34" s="40">
        <f t="shared" si="3"/>
        <v>0</v>
      </c>
      <c r="W34" s="40">
        <f t="shared" si="4"/>
        <v>0</v>
      </c>
      <c r="X34" s="40">
        <f t="shared" si="5"/>
        <v>1</v>
      </c>
      <c r="Y34" s="40">
        <f t="shared" si="6"/>
        <v>0</v>
      </c>
      <c r="Z34" s="40">
        <f t="shared" si="7"/>
        <v>0</v>
      </c>
      <c r="AA34" s="40">
        <f t="shared" si="8"/>
        <v>0</v>
      </c>
      <c r="AB34" s="40">
        <f t="shared" si="9"/>
        <v>0</v>
      </c>
      <c r="AC34" s="41">
        <f t="shared" si="10"/>
        <v>0</v>
      </c>
      <c r="AD34" s="49" t="s">
        <v>5</v>
      </c>
      <c r="AE34" s="50" t="s">
        <v>72</v>
      </c>
      <c r="AF34" s="49"/>
      <c r="AG34" s="50"/>
      <c r="AH34" s="49"/>
      <c r="AI34" s="50"/>
      <c r="AJ34" s="49"/>
      <c r="AK34" s="50"/>
      <c r="AL34" s="49"/>
      <c r="AM34" s="50"/>
      <c r="AN34" s="49"/>
      <c r="AO34" s="50"/>
      <c r="AP34" s="49"/>
      <c r="AQ34" s="50"/>
      <c r="AR34" s="49" t="s">
        <v>5</v>
      </c>
      <c r="AS34" s="50" t="s">
        <v>194</v>
      </c>
      <c r="AT34" s="49" t="s">
        <v>5</v>
      </c>
      <c r="AU34" s="50" t="s">
        <v>73</v>
      </c>
      <c r="AV34" s="49" t="s">
        <v>5</v>
      </c>
      <c r="AW34" s="50" t="s">
        <v>130</v>
      </c>
      <c r="AX34" s="49"/>
      <c r="AY34" s="50"/>
      <c r="AZ34" s="49"/>
      <c r="BA34" s="50"/>
      <c r="BB34" s="49"/>
      <c r="BC34" s="50"/>
      <c r="BD34" s="49"/>
      <c r="BE34" s="50"/>
      <c r="BF34" s="49"/>
      <c r="BG34" s="50"/>
      <c r="BH34" s="49" t="s">
        <v>5</v>
      </c>
      <c r="BI34" s="50" t="s">
        <v>422</v>
      </c>
      <c r="BJ34" s="49"/>
      <c r="BK34" s="50"/>
      <c r="BL34" s="49"/>
      <c r="BM34" s="50"/>
      <c r="BN34" s="49" t="s">
        <v>5</v>
      </c>
      <c r="BO34" s="50" t="s">
        <v>152</v>
      </c>
      <c r="BP34" s="49"/>
      <c r="BQ34" s="50"/>
      <c r="BR34" s="49"/>
      <c r="BS34" s="50"/>
      <c r="BT34" s="49"/>
      <c r="BU34" s="50"/>
      <c r="BV34" s="49" t="s">
        <v>5</v>
      </c>
      <c r="BW34" s="50" t="s">
        <v>457</v>
      </c>
      <c r="BX34" s="49" t="s">
        <v>5</v>
      </c>
      <c r="BY34" s="50" t="s">
        <v>164</v>
      </c>
      <c r="BZ34" s="49" t="s">
        <v>30</v>
      </c>
      <c r="CA34" s="50" t="s">
        <v>75</v>
      </c>
    </row>
    <row r="35" spans="1:79" x14ac:dyDescent="0.25">
      <c r="A35" s="76">
        <v>151784</v>
      </c>
      <c r="B35" s="77" t="s">
        <v>991</v>
      </c>
      <c r="C35" s="78" t="s">
        <v>970</v>
      </c>
      <c r="D35" s="76" t="s">
        <v>12</v>
      </c>
      <c r="E35" s="79" t="s">
        <v>14</v>
      </c>
      <c r="F35" s="79" t="s">
        <v>71</v>
      </c>
      <c r="G35" s="79" t="s">
        <v>14</v>
      </c>
      <c r="H35" s="79" t="s">
        <v>14</v>
      </c>
      <c r="I35" s="78" t="s">
        <v>14</v>
      </c>
      <c r="J35" s="79" t="s">
        <v>6</v>
      </c>
      <c r="K35" s="142" t="s">
        <v>1850</v>
      </c>
      <c r="L35" s="149" t="s">
        <v>1845</v>
      </c>
      <c r="M35" s="150" t="s">
        <v>12</v>
      </c>
      <c r="N35" s="151">
        <v>8</v>
      </c>
      <c r="O35" s="151">
        <v>1</v>
      </c>
      <c r="P35" s="152">
        <v>1</v>
      </c>
      <c r="Q35" s="153">
        <v>93.48</v>
      </c>
      <c r="R35" s="154">
        <v>1</v>
      </c>
      <c r="S35" s="38">
        <f t="shared" si="0"/>
        <v>0</v>
      </c>
      <c r="T35" s="39">
        <f t="shared" si="1"/>
        <v>7</v>
      </c>
      <c r="U35" s="40">
        <f t="shared" si="2"/>
        <v>2</v>
      </c>
      <c r="V35" s="40">
        <f t="shared" si="3"/>
        <v>0</v>
      </c>
      <c r="W35" s="40">
        <f t="shared" si="4"/>
        <v>0</v>
      </c>
      <c r="X35" s="40">
        <f t="shared" si="5"/>
        <v>2</v>
      </c>
      <c r="Y35" s="40">
        <f t="shared" si="6"/>
        <v>0</v>
      </c>
      <c r="Z35" s="40">
        <f t="shared" si="7"/>
        <v>0</v>
      </c>
      <c r="AA35" s="40">
        <f t="shared" si="8"/>
        <v>0</v>
      </c>
      <c r="AB35" s="40">
        <f t="shared" si="9"/>
        <v>0</v>
      </c>
      <c r="AC35" s="41">
        <f t="shared" si="10"/>
        <v>0</v>
      </c>
      <c r="AD35" s="49"/>
      <c r="AE35" s="50"/>
      <c r="AF35" s="49"/>
      <c r="AG35" s="50"/>
      <c r="AH35" s="49"/>
      <c r="AI35" s="50"/>
      <c r="AJ35" s="49"/>
      <c r="AK35" s="50"/>
      <c r="AL35" s="49"/>
      <c r="AM35" s="50"/>
      <c r="AN35" s="49"/>
      <c r="AO35" s="50"/>
      <c r="AP35" s="49"/>
      <c r="AQ35" s="50"/>
      <c r="AR35" s="49" t="s">
        <v>5</v>
      </c>
      <c r="AS35" s="50" t="s">
        <v>91</v>
      </c>
      <c r="AT35" s="49" t="s">
        <v>5</v>
      </c>
      <c r="AU35" s="50" t="s">
        <v>73</v>
      </c>
      <c r="AV35" s="49" t="s">
        <v>5</v>
      </c>
      <c r="AW35" s="50" t="s">
        <v>140</v>
      </c>
      <c r="AX35" s="49"/>
      <c r="AY35" s="50"/>
      <c r="AZ35" s="49"/>
      <c r="BA35" s="50"/>
      <c r="BB35" s="49"/>
      <c r="BC35" s="50"/>
      <c r="BD35" s="49"/>
      <c r="BE35" s="50"/>
      <c r="BF35" s="49" t="s">
        <v>5</v>
      </c>
      <c r="BG35" s="50" t="s">
        <v>105</v>
      </c>
      <c r="BH35" s="49" t="s">
        <v>30</v>
      </c>
      <c r="BI35" s="50" t="s">
        <v>79</v>
      </c>
      <c r="BJ35" s="49"/>
      <c r="BK35" s="50"/>
      <c r="BL35" s="49" t="s">
        <v>5</v>
      </c>
      <c r="BM35" s="50" t="s">
        <v>72</v>
      </c>
      <c r="BN35" s="49" t="s">
        <v>5</v>
      </c>
      <c r="BO35" s="50" t="s">
        <v>96</v>
      </c>
      <c r="BP35" s="49"/>
      <c r="BQ35" s="50"/>
      <c r="BR35" s="49"/>
      <c r="BS35" s="50"/>
      <c r="BT35" s="49"/>
      <c r="BU35" s="50"/>
      <c r="BV35" s="49" t="s">
        <v>5</v>
      </c>
      <c r="BW35" s="50" t="s">
        <v>457</v>
      </c>
      <c r="BX35" s="49" t="s">
        <v>30</v>
      </c>
      <c r="BY35" s="50" t="s">
        <v>133</v>
      </c>
      <c r="BZ35" s="49"/>
      <c r="CA35" s="50" t="s">
        <v>75</v>
      </c>
    </row>
    <row r="36" spans="1:79" x14ac:dyDescent="0.25">
      <c r="A36" s="76">
        <v>151902</v>
      </c>
      <c r="B36" s="77" t="s">
        <v>992</v>
      </c>
      <c r="C36" s="78" t="s">
        <v>952</v>
      </c>
      <c r="D36" s="76" t="s">
        <v>12</v>
      </c>
      <c r="E36" s="79" t="s">
        <v>14</v>
      </c>
      <c r="F36" s="79" t="s">
        <v>71</v>
      </c>
      <c r="G36" s="79" t="s">
        <v>14</v>
      </c>
      <c r="H36" s="79" t="s">
        <v>14</v>
      </c>
      <c r="I36" s="78" t="s">
        <v>14</v>
      </c>
      <c r="J36" s="79" t="s">
        <v>14</v>
      </c>
      <c r="K36" s="142" t="s">
        <v>1850</v>
      </c>
      <c r="L36" s="149" t="s">
        <v>1848</v>
      </c>
      <c r="M36" s="150" t="s">
        <v>1852</v>
      </c>
      <c r="N36" s="151">
        <v>25</v>
      </c>
      <c r="O36" s="151">
        <v>6</v>
      </c>
      <c r="P36" s="152">
        <v>2</v>
      </c>
      <c r="Q36" s="153">
        <v>100</v>
      </c>
      <c r="R36" s="154">
        <v>3</v>
      </c>
      <c r="S36" s="38">
        <f t="shared" si="0"/>
        <v>0</v>
      </c>
      <c r="T36" s="39">
        <f t="shared" si="1"/>
        <v>7</v>
      </c>
      <c r="U36" s="40">
        <f t="shared" si="2"/>
        <v>1</v>
      </c>
      <c r="V36" s="40">
        <f t="shared" si="3"/>
        <v>2</v>
      </c>
      <c r="W36" s="40">
        <f t="shared" si="4"/>
        <v>1</v>
      </c>
      <c r="X36" s="40">
        <f t="shared" si="5"/>
        <v>4</v>
      </c>
      <c r="Y36" s="40">
        <f t="shared" si="6"/>
        <v>0</v>
      </c>
      <c r="Z36" s="40">
        <f t="shared" si="7"/>
        <v>0</v>
      </c>
      <c r="AA36" s="40">
        <f t="shared" si="8"/>
        <v>0</v>
      </c>
      <c r="AB36" s="40">
        <f t="shared" si="9"/>
        <v>0</v>
      </c>
      <c r="AC36" s="41">
        <f t="shared" si="10"/>
        <v>0</v>
      </c>
      <c r="AD36" s="49"/>
      <c r="AE36" s="50"/>
      <c r="AF36" s="49" t="s">
        <v>31</v>
      </c>
      <c r="AG36" s="50" t="s">
        <v>154</v>
      </c>
      <c r="AH36" s="49"/>
      <c r="AI36" s="50"/>
      <c r="AJ36" s="49" t="s">
        <v>30</v>
      </c>
      <c r="AK36" s="50" t="s">
        <v>83</v>
      </c>
      <c r="AL36" s="49"/>
      <c r="AM36" s="50"/>
      <c r="AN36" s="49" t="s">
        <v>5</v>
      </c>
      <c r="AO36" s="50" t="s">
        <v>163</v>
      </c>
      <c r="AP36" s="49"/>
      <c r="AQ36" s="50"/>
      <c r="AR36" s="49" t="s">
        <v>5</v>
      </c>
      <c r="AS36" s="50" t="s">
        <v>722</v>
      </c>
      <c r="AT36" s="49"/>
      <c r="AU36" s="50"/>
      <c r="AV36" s="49" t="s">
        <v>5</v>
      </c>
      <c r="AW36" s="50" t="s">
        <v>117</v>
      </c>
      <c r="AX36" s="49"/>
      <c r="AY36" s="50"/>
      <c r="AZ36" s="49" t="s">
        <v>32</v>
      </c>
      <c r="BA36" s="50" t="s">
        <v>92</v>
      </c>
      <c r="BB36" s="49"/>
      <c r="BC36" s="50"/>
      <c r="BD36" s="49"/>
      <c r="BE36" s="50"/>
      <c r="BF36" s="49"/>
      <c r="BG36" s="50"/>
      <c r="BH36" s="49" t="s">
        <v>31</v>
      </c>
      <c r="BI36" s="50" t="s">
        <v>79</v>
      </c>
      <c r="BJ36" s="49"/>
      <c r="BK36" s="50"/>
      <c r="BL36" s="49"/>
      <c r="BM36" s="50"/>
      <c r="BN36" s="49" t="s">
        <v>5</v>
      </c>
      <c r="BO36" s="50" t="s">
        <v>96</v>
      </c>
      <c r="BP36" s="49"/>
      <c r="BQ36" s="50"/>
      <c r="BR36" s="49" t="s">
        <v>5</v>
      </c>
      <c r="BS36" s="50" t="s">
        <v>98</v>
      </c>
      <c r="BT36" s="49"/>
      <c r="BU36" s="50"/>
      <c r="BV36" s="49" t="s">
        <v>5</v>
      </c>
      <c r="BW36" s="50" t="s">
        <v>602</v>
      </c>
      <c r="BX36" s="49"/>
      <c r="BY36" s="50"/>
      <c r="BZ36" s="49" t="s">
        <v>5</v>
      </c>
      <c r="CA36" s="50" t="s">
        <v>84</v>
      </c>
    </row>
    <row r="37" spans="1:79" x14ac:dyDescent="0.25">
      <c r="A37" s="76">
        <v>151925</v>
      </c>
      <c r="B37" s="77" t="s">
        <v>993</v>
      </c>
      <c r="C37" s="78" t="s">
        <v>954</v>
      </c>
      <c r="D37" s="76" t="s">
        <v>70</v>
      </c>
      <c r="E37" s="79" t="s">
        <v>14</v>
      </c>
      <c r="F37" s="79" t="s">
        <v>71</v>
      </c>
      <c r="G37" s="79" t="s">
        <v>14</v>
      </c>
      <c r="H37" s="79" t="s">
        <v>14</v>
      </c>
      <c r="I37" s="78" t="s">
        <v>14</v>
      </c>
      <c r="J37" s="79" t="s">
        <v>14</v>
      </c>
      <c r="K37" s="142" t="s">
        <v>1850</v>
      </c>
      <c r="L37" s="149" t="s">
        <v>1842</v>
      </c>
      <c r="M37" s="150" t="s">
        <v>12</v>
      </c>
      <c r="N37" s="151">
        <v>17</v>
      </c>
      <c r="O37" s="151">
        <v>6</v>
      </c>
      <c r="P37" s="152">
        <v>0</v>
      </c>
      <c r="Q37" s="153">
        <v>93.48</v>
      </c>
      <c r="R37" s="154">
        <v>11</v>
      </c>
      <c r="S37" s="38">
        <f t="shared" si="0"/>
        <v>0</v>
      </c>
      <c r="T37" s="39">
        <f t="shared" si="1"/>
        <v>6</v>
      </c>
      <c r="U37" s="40">
        <f t="shared" si="2"/>
        <v>3</v>
      </c>
      <c r="V37" s="40">
        <f t="shared" si="3"/>
        <v>0</v>
      </c>
      <c r="W37" s="40">
        <f t="shared" si="4"/>
        <v>1</v>
      </c>
      <c r="X37" s="40">
        <f t="shared" si="5"/>
        <v>4</v>
      </c>
      <c r="Y37" s="40">
        <f t="shared" si="6"/>
        <v>0</v>
      </c>
      <c r="Z37" s="40">
        <f t="shared" si="7"/>
        <v>0</v>
      </c>
      <c r="AA37" s="40">
        <f t="shared" si="8"/>
        <v>0</v>
      </c>
      <c r="AB37" s="40">
        <f t="shared" si="9"/>
        <v>0</v>
      </c>
      <c r="AC37" s="41">
        <f t="shared" si="10"/>
        <v>0</v>
      </c>
      <c r="AD37" s="49"/>
      <c r="AE37" s="50"/>
      <c r="AF37" s="49"/>
      <c r="AG37" s="50"/>
      <c r="AH37" s="49"/>
      <c r="AI37" s="50"/>
      <c r="AJ37" s="49"/>
      <c r="AK37" s="50"/>
      <c r="AL37" s="49"/>
      <c r="AM37" s="50"/>
      <c r="AN37" s="49"/>
      <c r="AO37" s="50"/>
      <c r="AP37" s="49"/>
      <c r="AQ37" s="50"/>
      <c r="AR37" s="49" t="s">
        <v>30</v>
      </c>
      <c r="AS37" s="50" t="s">
        <v>142</v>
      </c>
      <c r="AT37" s="49" t="s">
        <v>5</v>
      </c>
      <c r="AU37" s="50" t="s">
        <v>73</v>
      </c>
      <c r="AV37" s="49" t="s">
        <v>5</v>
      </c>
      <c r="AW37" s="50" t="s">
        <v>955</v>
      </c>
      <c r="AX37" s="49" t="s">
        <v>5</v>
      </c>
      <c r="AY37" s="50" t="s">
        <v>103</v>
      </c>
      <c r="AZ37" s="49" t="s">
        <v>5</v>
      </c>
      <c r="BA37" s="50" t="s">
        <v>76</v>
      </c>
      <c r="BB37" s="49"/>
      <c r="BC37" s="50"/>
      <c r="BD37" s="49"/>
      <c r="BE37" s="50"/>
      <c r="BF37" s="49"/>
      <c r="BG37" s="50"/>
      <c r="BH37" s="49" t="s">
        <v>5</v>
      </c>
      <c r="BI37" s="50" t="s">
        <v>136</v>
      </c>
      <c r="BJ37" s="49"/>
      <c r="BK37" s="50"/>
      <c r="BL37" s="49"/>
      <c r="BM37" s="50"/>
      <c r="BN37" s="49" t="s">
        <v>5</v>
      </c>
      <c r="BO37" s="50" t="s">
        <v>81</v>
      </c>
      <c r="BP37" s="49" t="s">
        <v>32</v>
      </c>
      <c r="BQ37" s="50" t="s">
        <v>152</v>
      </c>
      <c r="BR37" s="49"/>
      <c r="BS37" s="50"/>
      <c r="BT37" s="49"/>
      <c r="BU37" s="50"/>
      <c r="BV37" s="49" t="s">
        <v>30</v>
      </c>
      <c r="BW37" s="50" t="s">
        <v>715</v>
      </c>
      <c r="BX37" s="49" t="s">
        <v>30</v>
      </c>
      <c r="BY37" s="50" t="s">
        <v>137</v>
      </c>
      <c r="BZ37" s="49"/>
      <c r="CA37" s="50"/>
    </row>
    <row r="38" spans="1:79" x14ac:dyDescent="0.25">
      <c r="A38" s="76">
        <v>151842</v>
      </c>
      <c r="B38" s="77" t="s">
        <v>994</v>
      </c>
      <c r="C38" s="78" t="s">
        <v>954</v>
      </c>
      <c r="D38" s="76" t="s">
        <v>12</v>
      </c>
      <c r="E38" s="79" t="s">
        <v>14</v>
      </c>
      <c r="F38" s="79" t="s">
        <v>71</v>
      </c>
      <c r="G38" s="79" t="s">
        <v>14</v>
      </c>
      <c r="H38" s="79" t="s">
        <v>14</v>
      </c>
      <c r="I38" s="78" t="s">
        <v>14</v>
      </c>
      <c r="J38" s="79" t="s">
        <v>14</v>
      </c>
      <c r="K38" s="142" t="s">
        <v>1850</v>
      </c>
      <c r="L38" s="149" t="s">
        <v>1843</v>
      </c>
      <c r="M38" s="150" t="s">
        <v>1852</v>
      </c>
      <c r="N38" s="151">
        <v>11</v>
      </c>
      <c r="O38" s="151">
        <v>13</v>
      </c>
      <c r="P38" s="152">
        <v>5</v>
      </c>
      <c r="Q38" s="153">
        <v>97.78</v>
      </c>
      <c r="R38" s="154">
        <v>14</v>
      </c>
      <c r="S38" s="38">
        <f t="shared" si="0"/>
        <v>0</v>
      </c>
      <c r="T38" s="39">
        <f t="shared" si="1"/>
        <v>4</v>
      </c>
      <c r="U38" s="40">
        <f t="shared" si="2"/>
        <v>3</v>
      </c>
      <c r="V38" s="40">
        <f t="shared" si="3"/>
        <v>1</v>
      </c>
      <c r="W38" s="40">
        <f t="shared" si="4"/>
        <v>2</v>
      </c>
      <c r="X38" s="40">
        <f t="shared" si="5"/>
        <v>6</v>
      </c>
      <c r="Y38" s="40">
        <f t="shared" si="6"/>
        <v>0</v>
      </c>
      <c r="Z38" s="40">
        <f t="shared" si="7"/>
        <v>0</v>
      </c>
      <c r="AA38" s="40">
        <f t="shared" si="8"/>
        <v>0</v>
      </c>
      <c r="AB38" s="40">
        <f t="shared" si="9"/>
        <v>0</v>
      </c>
      <c r="AC38" s="41">
        <f t="shared" si="10"/>
        <v>0</v>
      </c>
      <c r="AD38" s="49" t="s">
        <v>32</v>
      </c>
      <c r="AE38" s="50" t="s">
        <v>116</v>
      </c>
      <c r="AF38" s="49"/>
      <c r="AG38" s="50"/>
      <c r="AH38" s="49"/>
      <c r="AI38" s="50"/>
      <c r="AJ38" s="49"/>
      <c r="AK38" s="50"/>
      <c r="AL38" s="49"/>
      <c r="AM38" s="50"/>
      <c r="AN38" s="49"/>
      <c r="AO38" s="50"/>
      <c r="AP38" s="49"/>
      <c r="AQ38" s="50"/>
      <c r="AR38" s="49" t="s">
        <v>5</v>
      </c>
      <c r="AS38" s="50" t="s">
        <v>194</v>
      </c>
      <c r="AT38" s="49"/>
      <c r="AU38" s="50"/>
      <c r="AV38" s="49" t="s">
        <v>31</v>
      </c>
      <c r="AW38" s="50" t="s">
        <v>955</v>
      </c>
      <c r="AX38" s="49" t="s">
        <v>30</v>
      </c>
      <c r="AY38" s="50" t="s">
        <v>84</v>
      </c>
      <c r="AZ38" s="49"/>
      <c r="BA38" s="50"/>
      <c r="BB38" s="49"/>
      <c r="BC38" s="50"/>
      <c r="BD38" s="49"/>
      <c r="BE38" s="50"/>
      <c r="BF38" s="49"/>
      <c r="BG38" s="50"/>
      <c r="BH38" s="49" t="s">
        <v>5</v>
      </c>
      <c r="BI38" s="50" t="s">
        <v>995</v>
      </c>
      <c r="BJ38" s="49" t="s">
        <v>5</v>
      </c>
      <c r="BK38" s="50" t="s">
        <v>95</v>
      </c>
      <c r="BL38" s="49" t="s">
        <v>32</v>
      </c>
      <c r="BM38" s="50" t="s">
        <v>116</v>
      </c>
      <c r="BN38" s="49" t="s">
        <v>30</v>
      </c>
      <c r="BO38" s="50" t="s">
        <v>107</v>
      </c>
      <c r="BP38" s="49"/>
      <c r="BQ38" s="50"/>
      <c r="BR38" s="49"/>
      <c r="BS38" s="50"/>
      <c r="BT38" s="49"/>
      <c r="BU38" s="50"/>
      <c r="BV38" s="49" t="s">
        <v>5</v>
      </c>
      <c r="BW38" s="50" t="s">
        <v>602</v>
      </c>
      <c r="BX38" s="49" t="s">
        <v>30</v>
      </c>
      <c r="BY38" s="50" t="s">
        <v>164</v>
      </c>
      <c r="BZ38" s="49"/>
      <c r="CA38" s="50"/>
    </row>
    <row r="39" spans="1:79" x14ac:dyDescent="0.25">
      <c r="A39" s="76">
        <v>151814</v>
      </c>
      <c r="B39" s="77" t="s">
        <v>996</v>
      </c>
      <c r="C39" s="78" t="s">
        <v>957</v>
      </c>
      <c r="D39" s="76" t="s">
        <v>70</v>
      </c>
      <c r="E39" s="79" t="s">
        <v>14</v>
      </c>
      <c r="F39" s="79" t="s">
        <v>71</v>
      </c>
      <c r="G39" s="79" t="s">
        <v>14</v>
      </c>
      <c r="H39" s="79" t="s">
        <v>14</v>
      </c>
      <c r="I39" s="78" t="s">
        <v>14</v>
      </c>
      <c r="J39" s="79" t="s">
        <v>14</v>
      </c>
      <c r="K39" s="142" t="s">
        <v>1851</v>
      </c>
      <c r="L39" s="149" t="s">
        <v>1845</v>
      </c>
      <c r="M39" s="150" t="s">
        <v>12</v>
      </c>
      <c r="N39" s="151">
        <v>6</v>
      </c>
      <c r="O39" s="151">
        <v>21</v>
      </c>
      <c r="P39" s="152">
        <v>8</v>
      </c>
      <c r="Q39" s="153">
        <v>95.65</v>
      </c>
      <c r="R39" s="154">
        <v>11</v>
      </c>
      <c r="S39" s="38">
        <f t="shared" si="0"/>
        <v>0</v>
      </c>
      <c r="T39" s="39">
        <f t="shared" si="1"/>
        <v>4</v>
      </c>
      <c r="U39" s="40">
        <f t="shared" si="2"/>
        <v>2</v>
      </c>
      <c r="V39" s="40">
        <f t="shared" si="3"/>
        <v>0</v>
      </c>
      <c r="W39" s="40">
        <f t="shared" si="4"/>
        <v>1</v>
      </c>
      <c r="X39" s="40">
        <f t="shared" si="5"/>
        <v>3</v>
      </c>
      <c r="Y39" s="40">
        <f t="shared" si="6"/>
        <v>2</v>
      </c>
      <c r="Z39" s="40">
        <f t="shared" si="7"/>
        <v>2</v>
      </c>
      <c r="AA39" s="40">
        <f t="shared" si="8"/>
        <v>0</v>
      </c>
      <c r="AB39" s="40">
        <f t="shared" si="9"/>
        <v>4</v>
      </c>
      <c r="AC39" s="41">
        <f t="shared" si="10"/>
        <v>0</v>
      </c>
      <c r="AD39" s="49"/>
      <c r="AE39" s="50"/>
      <c r="AF39" s="49" t="s">
        <v>34</v>
      </c>
      <c r="AG39" s="50" t="s">
        <v>154</v>
      </c>
      <c r="AH39" s="49" t="s">
        <v>5</v>
      </c>
      <c r="AI39" s="50" t="s">
        <v>78</v>
      </c>
      <c r="AJ39" s="49" t="s">
        <v>32</v>
      </c>
      <c r="AK39" s="50" t="s">
        <v>83</v>
      </c>
      <c r="AL39" s="49" t="s">
        <v>35</v>
      </c>
      <c r="AM39" s="50" t="s">
        <v>436</v>
      </c>
      <c r="AN39" s="49"/>
      <c r="AO39" s="50"/>
      <c r="AP39" s="49"/>
      <c r="AQ39" s="50"/>
      <c r="AR39" s="49" t="s">
        <v>5</v>
      </c>
      <c r="AS39" s="50" t="s">
        <v>102</v>
      </c>
      <c r="AT39" s="49"/>
      <c r="AU39" s="50"/>
      <c r="AV39" s="49" t="s">
        <v>35</v>
      </c>
      <c r="AW39" s="50" t="s">
        <v>77</v>
      </c>
      <c r="AX39" s="49"/>
      <c r="AY39" s="50"/>
      <c r="AZ39" s="49"/>
      <c r="BA39" s="50"/>
      <c r="BB39" s="49"/>
      <c r="BC39" s="50"/>
      <c r="BD39" s="49"/>
      <c r="BE39" s="50"/>
      <c r="BF39" s="49"/>
      <c r="BG39" s="50"/>
      <c r="BH39" s="49" t="s">
        <v>30</v>
      </c>
      <c r="BI39" s="50" t="s">
        <v>79</v>
      </c>
      <c r="BJ39" s="49"/>
      <c r="BK39" s="50"/>
      <c r="BL39" s="49"/>
      <c r="BM39" s="50"/>
      <c r="BN39" s="49" t="s">
        <v>34</v>
      </c>
      <c r="BO39" s="50" t="s">
        <v>81</v>
      </c>
      <c r="BP39" s="49"/>
      <c r="BQ39" s="50"/>
      <c r="BR39" s="49" t="s">
        <v>5</v>
      </c>
      <c r="BS39" s="50" t="s">
        <v>98</v>
      </c>
      <c r="BT39" s="49"/>
      <c r="BU39" s="50"/>
      <c r="BV39" s="49" t="s">
        <v>5</v>
      </c>
      <c r="BW39" s="50" t="s">
        <v>457</v>
      </c>
      <c r="BX39" s="49"/>
      <c r="BY39" s="50"/>
      <c r="BZ39" s="49" t="s">
        <v>30</v>
      </c>
      <c r="CA39" s="50" t="s">
        <v>75</v>
      </c>
    </row>
    <row r="40" spans="1:79" x14ac:dyDescent="0.25">
      <c r="A40" s="76">
        <v>151836</v>
      </c>
      <c r="B40" s="77" t="s">
        <v>997</v>
      </c>
      <c r="C40" s="78" t="s">
        <v>954</v>
      </c>
      <c r="D40" s="76" t="s">
        <v>12</v>
      </c>
      <c r="E40" s="79" t="s">
        <v>14</v>
      </c>
      <c r="F40" s="79" t="s">
        <v>146</v>
      </c>
      <c r="G40" s="79" t="s">
        <v>14</v>
      </c>
      <c r="H40" s="79" t="s">
        <v>14</v>
      </c>
      <c r="I40" s="78" t="s">
        <v>14</v>
      </c>
      <c r="J40" s="79" t="s">
        <v>14</v>
      </c>
      <c r="K40" s="142" t="s">
        <v>1850</v>
      </c>
      <c r="L40" s="149" t="s">
        <v>1844</v>
      </c>
      <c r="M40" s="150" t="s">
        <v>12</v>
      </c>
      <c r="N40" s="151">
        <v>12</v>
      </c>
      <c r="O40" s="151">
        <v>1</v>
      </c>
      <c r="P40" s="152">
        <v>3</v>
      </c>
      <c r="Q40" s="153">
        <v>100</v>
      </c>
      <c r="R40" s="154">
        <v>0</v>
      </c>
      <c r="S40" s="38">
        <f t="shared" si="0"/>
        <v>1</v>
      </c>
      <c r="T40" s="39">
        <f t="shared" si="1"/>
        <v>9</v>
      </c>
      <c r="U40" s="40">
        <f t="shared" si="2"/>
        <v>0</v>
      </c>
      <c r="V40" s="40">
        <f t="shared" si="3"/>
        <v>0</v>
      </c>
      <c r="W40" s="40">
        <f t="shared" si="4"/>
        <v>0</v>
      </c>
      <c r="X40" s="40">
        <f t="shared" si="5"/>
        <v>0</v>
      </c>
      <c r="Y40" s="40">
        <f t="shared" si="6"/>
        <v>0</v>
      </c>
      <c r="Z40" s="40">
        <f t="shared" si="7"/>
        <v>0</v>
      </c>
      <c r="AA40" s="40">
        <f t="shared" si="8"/>
        <v>0</v>
      </c>
      <c r="AB40" s="40">
        <f t="shared" si="9"/>
        <v>0</v>
      </c>
      <c r="AC40" s="41">
        <f t="shared" si="10"/>
        <v>0</v>
      </c>
      <c r="AD40" s="49"/>
      <c r="AE40" s="50"/>
      <c r="AF40" s="49"/>
      <c r="AG40" s="50"/>
      <c r="AH40" s="49"/>
      <c r="AI40" s="50"/>
      <c r="AJ40" s="49"/>
      <c r="AK40" s="50"/>
      <c r="AL40" s="49"/>
      <c r="AM40" s="50"/>
      <c r="AN40" s="49"/>
      <c r="AO40" s="50"/>
      <c r="AP40" s="49"/>
      <c r="AQ40" s="50"/>
      <c r="AR40" s="49" t="s">
        <v>5</v>
      </c>
      <c r="AS40" s="50" t="s">
        <v>722</v>
      </c>
      <c r="AT40" s="49"/>
      <c r="AU40" s="50"/>
      <c r="AV40" s="49" t="s">
        <v>5</v>
      </c>
      <c r="AW40" s="50" t="s">
        <v>955</v>
      </c>
      <c r="AX40" s="49" t="s">
        <v>5</v>
      </c>
      <c r="AY40" s="50" t="s">
        <v>143</v>
      </c>
      <c r="AZ40" s="49" t="s">
        <v>5</v>
      </c>
      <c r="BA40" s="50" t="s">
        <v>92</v>
      </c>
      <c r="BB40" s="49"/>
      <c r="BC40" s="50"/>
      <c r="BD40" s="49" t="s">
        <v>5</v>
      </c>
      <c r="BE40" s="50" t="s">
        <v>120</v>
      </c>
      <c r="BF40" s="49"/>
      <c r="BG40" s="50"/>
      <c r="BH40" s="49" t="s">
        <v>5</v>
      </c>
      <c r="BI40" s="50" t="s">
        <v>106</v>
      </c>
      <c r="BJ40" s="49"/>
      <c r="BK40" s="50"/>
      <c r="BL40" s="49"/>
      <c r="BM40" s="50"/>
      <c r="BN40" s="49" t="s">
        <v>5</v>
      </c>
      <c r="BO40" s="50" t="s">
        <v>107</v>
      </c>
      <c r="BP40" s="49"/>
      <c r="BQ40" s="50"/>
      <c r="BR40" s="49"/>
      <c r="BS40" s="50"/>
      <c r="BT40" s="49" t="s">
        <v>5</v>
      </c>
      <c r="BU40" s="50" t="s">
        <v>117</v>
      </c>
      <c r="BV40" s="49" t="s">
        <v>1</v>
      </c>
      <c r="BW40" s="50" t="s">
        <v>122</v>
      </c>
      <c r="BX40" s="49" t="s">
        <v>5</v>
      </c>
      <c r="BY40" s="50" t="s">
        <v>133</v>
      </c>
      <c r="BZ40" s="49"/>
      <c r="CA40" s="50"/>
    </row>
    <row r="41" spans="1:79" x14ac:dyDescent="0.25">
      <c r="A41" s="76">
        <v>151920</v>
      </c>
      <c r="B41" s="77" t="s">
        <v>998</v>
      </c>
      <c r="C41" s="78" t="s">
        <v>957</v>
      </c>
      <c r="D41" s="76" t="s">
        <v>70</v>
      </c>
      <c r="E41" s="79" t="s">
        <v>14</v>
      </c>
      <c r="F41" s="79" t="s">
        <v>71</v>
      </c>
      <c r="G41" s="79" t="s">
        <v>14</v>
      </c>
      <c r="H41" s="79" t="s">
        <v>14</v>
      </c>
      <c r="I41" s="78" t="s">
        <v>14</v>
      </c>
      <c r="J41" s="79" t="s">
        <v>14</v>
      </c>
      <c r="K41" s="142" t="s">
        <v>1850</v>
      </c>
      <c r="L41" s="149" t="s">
        <v>1842</v>
      </c>
      <c r="M41" s="150" t="s">
        <v>12</v>
      </c>
      <c r="N41" s="151">
        <v>10</v>
      </c>
      <c r="O41" s="151">
        <v>0</v>
      </c>
      <c r="P41" s="152">
        <v>1</v>
      </c>
      <c r="Q41" s="153">
        <v>78.260000000000005</v>
      </c>
      <c r="R41" s="154">
        <v>0</v>
      </c>
      <c r="S41" s="38">
        <f t="shared" si="0"/>
        <v>2</v>
      </c>
      <c r="T41" s="39">
        <f t="shared" si="1"/>
        <v>8</v>
      </c>
      <c r="U41" s="40">
        <f t="shared" si="2"/>
        <v>0</v>
      </c>
      <c r="V41" s="40">
        <f t="shared" si="3"/>
        <v>0</v>
      </c>
      <c r="W41" s="40">
        <f t="shared" si="4"/>
        <v>0</v>
      </c>
      <c r="X41" s="40">
        <f t="shared" si="5"/>
        <v>0</v>
      </c>
      <c r="Y41" s="40">
        <f t="shared" si="6"/>
        <v>0</v>
      </c>
      <c r="Z41" s="40">
        <f t="shared" si="7"/>
        <v>0</v>
      </c>
      <c r="AA41" s="40">
        <f t="shared" si="8"/>
        <v>0</v>
      </c>
      <c r="AB41" s="40">
        <f t="shared" si="9"/>
        <v>0</v>
      </c>
      <c r="AC41" s="41">
        <f t="shared" si="10"/>
        <v>0</v>
      </c>
      <c r="AD41" s="49"/>
      <c r="AE41" s="50"/>
      <c r="AF41" s="49"/>
      <c r="AG41" s="50"/>
      <c r="AH41" s="49" t="s">
        <v>5</v>
      </c>
      <c r="AI41" s="50" t="s">
        <v>131</v>
      </c>
      <c r="AJ41" s="49"/>
      <c r="AK41" s="50"/>
      <c r="AL41" s="49"/>
      <c r="AM41" s="50"/>
      <c r="AN41" s="49"/>
      <c r="AO41" s="50"/>
      <c r="AP41" s="49"/>
      <c r="AQ41" s="50"/>
      <c r="AR41" s="49" t="s">
        <v>5</v>
      </c>
      <c r="AS41" s="50" t="s">
        <v>102</v>
      </c>
      <c r="AT41" s="49"/>
      <c r="AU41" s="50"/>
      <c r="AV41" s="49" t="s">
        <v>5</v>
      </c>
      <c r="AW41" s="50" t="s">
        <v>77</v>
      </c>
      <c r="AX41" s="49"/>
      <c r="AY41" s="50"/>
      <c r="AZ41" s="49" t="s">
        <v>1</v>
      </c>
      <c r="BA41" s="50" t="s">
        <v>92</v>
      </c>
      <c r="BB41" s="49"/>
      <c r="BC41" s="50"/>
      <c r="BD41" s="49"/>
      <c r="BE41" s="50"/>
      <c r="BF41" s="49"/>
      <c r="BG41" s="50"/>
      <c r="BH41" s="49" t="s">
        <v>5</v>
      </c>
      <c r="BI41" s="50" t="s">
        <v>112</v>
      </c>
      <c r="BJ41" s="49"/>
      <c r="BK41" s="50"/>
      <c r="BL41" s="49" t="s">
        <v>1</v>
      </c>
      <c r="BM41" s="50" t="s">
        <v>72</v>
      </c>
      <c r="BN41" s="49" t="s">
        <v>5</v>
      </c>
      <c r="BO41" s="50" t="s">
        <v>81</v>
      </c>
      <c r="BP41" s="49"/>
      <c r="BQ41" s="50"/>
      <c r="BR41" s="49"/>
      <c r="BS41" s="50"/>
      <c r="BT41" s="49"/>
      <c r="BU41" s="50"/>
      <c r="BV41" s="49" t="s">
        <v>5</v>
      </c>
      <c r="BW41" s="50" t="s">
        <v>122</v>
      </c>
      <c r="BX41" s="49" t="s">
        <v>5</v>
      </c>
      <c r="BY41" s="50" t="s">
        <v>137</v>
      </c>
      <c r="BZ41" s="49" t="s">
        <v>5</v>
      </c>
      <c r="CA41" s="50" t="s">
        <v>124</v>
      </c>
    </row>
    <row r="42" spans="1:79" x14ac:dyDescent="0.25">
      <c r="A42" s="76">
        <v>151832</v>
      </c>
      <c r="B42" s="77" t="s">
        <v>999</v>
      </c>
      <c r="C42" s="78" t="s">
        <v>950</v>
      </c>
      <c r="D42" s="76" t="s">
        <v>70</v>
      </c>
      <c r="E42" s="79" t="s">
        <v>87</v>
      </c>
      <c r="F42" s="79" t="s">
        <v>88</v>
      </c>
      <c r="G42" s="79" t="s">
        <v>14</v>
      </c>
      <c r="H42" s="79" t="s">
        <v>87</v>
      </c>
      <c r="I42" s="78" t="s">
        <v>14</v>
      </c>
      <c r="J42" s="79" t="s">
        <v>14</v>
      </c>
      <c r="K42" s="142" t="s">
        <v>1850</v>
      </c>
      <c r="L42" s="149" t="s">
        <v>1841</v>
      </c>
      <c r="M42" s="150" t="s">
        <v>12</v>
      </c>
      <c r="N42" s="151">
        <v>23</v>
      </c>
      <c r="O42" s="151">
        <v>0</v>
      </c>
      <c r="P42" s="152">
        <v>0</v>
      </c>
      <c r="Q42" s="153">
        <v>97.83</v>
      </c>
      <c r="R42" s="154">
        <v>5</v>
      </c>
      <c r="S42" s="38">
        <f t="shared" si="0"/>
        <v>2</v>
      </c>
      <c r="T42" s="39">
        <f t="shared" si="1"/>
        <v>9</v>
      </c>
      <c r="U42" s="40">
        <f t="shared" si="2"/>
        <v>0</v>
      </c>
      <c r="V42" s="40">
        <f t="shared" si="3"/>
        <v>0</v>
      </c>
      <c r="W42" s="40">
        <f t="shared" si="4"/>
        <v>0</v>
      </c>
      <c r="X42" s="40">
        <f t="shared" si="5"/>
        <v>0</v>
      </c>
      <c r="Y42" s="40">
        <f t="shared" si="6"/>
        <v>0</v>
      </c>
      <c r="Z42" s="40">
        <f t="shared" si="7"/>
        <v>0</v>
      </c>
      <c r="AA42" s="40">
        <f t="shared" si="8"/>
        <v>0</v>
      </c>
      <c r="AB42" s="40">
        <f t="shared" si="9"/>
        <v>0</v>
      </c>
      <c r="AC42" s="41">
        <f t="shared" si="10"/>
        <v>0</v>
      </c>
      <c r="AD42" s="49"/>
      <c r="AE42" s="50"/>
      <c r="AF42" s="49" t="s">
        <v>5</v>
      </c>
      <c r="AG42" s="50" t="s">
        <v>154</v>
      </c>
      <c r="AH42" s="49" t="s">
        <v>5</v>
      </c>
      <c r="AI42" s="50" t="s">
        <v>131</v>
      </c>
      <c r="AJ42" s="49" t="s">
        <v>5</v>
      </c>
      <c r="AK42" s="50" t="s">
        <v>714</v>
      </c>
      <c r="AL42" s="49"/>
      <c r="AM42" s="50"/>
      <c r="AN42" s="49"/>
      <c r="AO42" s="50"/>
      <c r="AP42" s="49"/>
      <c r="AQ42" s="50"/>
      <c r="AR42" s="49" t="s">
        <v>5</v>
      </c>
      <c r="AS42" s="50" t="s">
        <v>151</v>
      </c>
      <c r="AT42" s="49"/>
      <c r="AU42" s="50"/>
      <c r="AV42" s="49" t="s">
        <v>1</v>
      </c>
      <c r="AW42" s="50" t="s">
        <v>96</v>
      </c>
      <c r="AX42" s="49" t="s">
        <v>5</v>
      </c>
      <c r="AY42" s="50" t="s">
        <v>103</v>
      </c>
      <c r="AZ42" s="49"/>
      <c r="BA42" s="50"/>
      <c r="BB42" s="49" t="s">
        <v>5</v>
      </c>
      <c r="BC42" s="50" t="s">
        <v>420</v>
      </c>
      <c r="BD42" s="49"/>
      <c r="BE42" s="50"/>
      <c r="BF42" s="49"/>
      <c r="BG42" s="50"/>
      <c r="BH42" s="49" t="s">
        <v>5</v>
      </c>
      <c r="BI42" s="50" t="s">
        <v>711</v>
      </c>
      <c r="BJ42" s="49"/>
      <c r="BK42" s="50"/>
      <c r="BL42" s="49"/>
      <c r="BM42" s="50"/>
      <c r="BN42" s="49" t="s">
        <v>5</v>
      </c>
      <c r="BO42" s="50" t="s">
        <v>152</v>
      </c>
      <c r="BP42" s="49"/>
      <c r="BQ42" s="50"/>
      <c r="BR42" s="49" t="s">
        <v>5</v>
      </c>
      <c r="BS42" s="50" t="s">
        <v>140</v>
      </c>
      <c r="BT42" s="49"/>
      <c r="BU42" s="50"/>
      <c r="BV42" s="49" t="s">
        <v>1</v>
      </c>
      <c r="BW42" s="50" t="s">
        <v>715</v>
      </c>
      <c r="BX42" s="49"/>
      <c r="BY42" s="50"/>
      <c r="BZ42" s="49"/>
      <c r="CA42" s="50"/>
    </row>
    <row r="43" spans="1:79" x14ac:dyDescent="0.25">
      <c r="A43" s="76">
        <v>151919</v>
      </c>
      <c r="B43" s="77" t="s">
        <v>1000</v>
      </c>
      <c r="C43" s="78" t="s">
        <v>963</v>
      </c>
      <c r="D43" s="76" t="s">
        <v>70</v>
      </c>
      <c r="E43" s="79" t="s">
        <v>14</v>
      </c>
      <c r="F43" s="79" t="s">
        <v>71</v>
      </c>
      <c r="G43" s="79" t="s">
        <v>14</v>
      </c>
      <c r="H43" s="79" t="s">
        <v>14</v>
      </c>
      <c r="I43" s="78" t="s">
        <v>14</v>
      </c>
      <c r="J43" s="79" t="s">
        <v>14</v>
      </c>
      <c r="K43" s="142" t="s">
        <v>1850</v>
      </c>
      <c r="L43" s="149" t="s">
        <v>1845</v>
      </c>
      <c r="M43" s="150" t="s">
        <v>12</v>
      </c>
      <c r="N43" s="151">
        <v>18</v>
      </c>
      <c r="O43" s="151">
        <v>1</v>
      </c>
      <c r="P43" s="152">
        <v>0</v>
      </c>
      <c r="Q43" s="153">
        <v>100</v>
      </c>
      <c r="R43" s="154">
        <v>6</v>
      </c>
      <c r="S43" s="38">
        <f t="shared" si="0"/>
        <v>0</v>
      </c>
      <c r="T43" s="39">
        <f t="shared" si="1"/>
        <v>10</v>
      </c>
      <c r="U43" s="40">
        <f t="shared" si="2"/>
        <v>0</v>
      </c>
      <c r="V43" s="40">
        <f t="shared" si="3"/>
        <v>0</v>
      </c>
      <c r="W43" s="40">
        <f t="shared" si="4"/>
        <v>0</v>
      </c>
      <c r="X43" s="40">
        <f t="shared" si="5"/>
        <v>0</v>
      </c>
      <c r="Y43" s="40">
        <f t="shared" si="6"/>
        <v>0</v>
      </c>
      <c r="Z43" s="40">
        <f t="shared" si="7"/>
        <v>0</v>
      </c>
      <c r="AA43" s="40">
        <f t="shared" si="8"/>
        <v>0</v>
      </c>
      <c r="AB43" s="40">
        <f t="shared" si="9"/>
        <v>0</v>
      </c>
      <c r="AC43" s="41">
        <f t="shared" si="10"/>
        <v>0</v>
      </c>
      <c r="AD43" s="49"/>
      <c r="AE43" s="50"/>
      <c r="AF43" s="49"/>
      <c r="AG43" s="50"/>
      <c r="AH43" s="49"/>
      <c r="AI43" s="50"/>
      <c r="AJ43" s="49"/>
      <c r="AK43" s="50"/>
      <c r="AL43" s="49"/>
      <c r="AM43" s="50"/>
      <c r="AN43" s="49"/>
      <c r="AO43" s="50"/>
      <c r="AP43" s="49" t="s">
        <v>5</v>
      </c>
      <c r="AQ43" s="50" t="s">
        <v>101</v>
      </c>
      <c r="AR43" s="49" t="s">
        <v>5</v>
      </c>
      <c r="AS43" s="50" t="s">
        <v>142</v>
      </c>
      <c r="AT43" s="49" t="s">
        <v>5</v>
      </c>
      <c r="AU43" s="50" t="s">
        <v>73</v>
      </c>
      <c r="AV43" s="49" t="s">
        <v>5</v>
      </c>
      <c r="AW43" s="50" t="s">
        <v>495</v>
      </c>
      <c r="AX43" s="49" t="s">
        <v>5</v>
      </c>
      <c r="AY43" s="50" t="s">
        <v>84</v>
      </c>
      <c r="AZ43" s="49"/>
      <c r="BA43" s="50"/>
      <c r="BB43" s="49"/>
      <c r="BC43" s="50"/>
      <c r="BD43" s="49"/>
      <c r="BE43" s="50"/>
      <c r="BF43" s="49"/>
      <c r="BG43" s="50"/>
      <c r="BH43" s="49" t="s">
        <v>5</v>
      </c>
      <c r="BI43" s="50" t="s">
        <v>106</v>
      </c>
      <c r="BJ43" s="49"/>
      <c r="BK43" s="50"/>
      <c r="BL43" s="49"/>
      <c r="BM43" s="50"/>
      <c r="BN43" s="49" t="s">
        <v>5</v>
      </c>
      <c r="BO43" s="50" t="s">
        <v>152</v>
      </c>
      <c r="BP43" s="49" t="s">
        <v>5</v>
      </c>
      <c r="BQ43" s="50" t="s">
        <v>152</v>
      </c>
      <c r="BR43" s="49"/>
      <c r="BS43" s="50"/>
      <c r="BT43" s="49"/>
      <c r="BU43" s="50"/>
      <c r="BV43" s="49" t="s">
        <v>5</v>
      </c>
      <c r="BW43" s="50" t="s">
        <v>602</v>
      </c>
      <c r="BX43" s="49" t="s">
        <v>5</v>
      </c>
      <c r="BY43" s="50" t="s">
        <v>137</v>
      </c>
      <c r="BZ43" s="49"/>
      <c r="CA43" s="50"/>
    </row>
    <row r="44" spans="1:79" x14ac:dyDescent="0.25">
      <c r="A44" s="76">
        <v>151838</v>
      </c>
      <c r="B44" s="77" t="s">
        <v>1001</v>
      </c>
      <c r="C44" s="78" t="s">
        <v>954</v>
      </c>
      <c r="D44" s="76" t="s">
        <v>12</v>
      </c>
      <c r="E44" s="79" t="s">
        <v>14</v>
      </c>
      <c r="F44" s="79" t="s">
        <v>71</v>
      </c>
      <c r="G44" s="79" t="s">
        <v>14</v>
      </c>
      <c r="H44" s="79" t="s">
        <v>14</v>
      </c>
      <c r="I44" s="78" t="s">
        <v>14</v>
      </c>
      <c r="J44" s="79" t="s">
        <v>14</v>
      </c>
      <c r="K44" s="142" t="s">
        <v>1850</v>
      </c>
      <c r="L44" s="149" t="s">
        <v>1846</v>
      </c>
      <c r="M44" s="150" t="s">
        <v>1853</v>
      </c>
      <c r="N44" s="151">
        <v>15</v>
      </c>
      <c r="O44" s="151">
        <v>0</v>
      </c>
      <c r="P44" s="152">
        <v>0</v>
      </c>
      <c r="Q44" s="153">
        <v>78.260000000000005</v>
      </c>
      <c r="R44" s="154">
        <v>0</v>
      </c>
      <c r="S44" s="38">
        <f t="shared" si="0"/>
        <v>2</v>
      </c>
      <c r="T44" s="39">
        <f t="shared" si="1"/>
        <v>9</v>
      </c>
      <c r="U44" s="40">
        <f t="shared" si="2"/>
        <v>0</v>
      </c>
      <c r="V44" s="40">
        <f t="shared" si="3"/>
        <v>0</v>
      </c>
      <c r="W44" s="40">
        <f t="shared" si="4"/>
        <v>0</v>
      </c>
      <c r="X44" s="40">
        <f t="shared" si="5"/>
        <v>0</v>
      </c>
      <c r="Y44" s="40">
        <f t="shared" si="6"/>
        <v>0</v>
      </c>
      <c r="Z44" s="40">
        <f t="shared" si="7"/>
        <v>0</v>
      </c>
      <c r="AA44" s="40">
        <f t="shared" si="8"/>
        <v>0</v>
      </c>
      <c r="AB44" s="40">
        <f t="shared" si="9"/>
        <v>0</v>
      </c>
      <c r="AC44" s="41">
        <f t="shared" si="10"/>
        <v>0</v>
      </c>
      <c r="AD44" s="49"/>
      <c r="AE44" s="50"/>
      <c r="AF44" s="49" t="s">
        <v>5</v>
      </c>
      <c r="AG44" s="50" t="s">
        <v>433</v>
      </c>
      <c r="AH44" s="49"/>
      <c r="AI44" s="50"/>
      <c r="AJ44" s="49" t="s">
        <v>5</v>
      </c>
      <c r="AK44" s="50" t="s">
        <v>419</v>
      </c>
      <c r="AL44" s="49"/>
      <c r="AM44" s="50"/>
      <c r="AN44" s="49"/>
      <c r="AO44" s="50"/>
      <c r="AP44" s="49"/>
      <c r="AQ44" s="50"/>
      <c r="AR44" s="49" t="s">
        <v>5</v>
      </c>
      <c r="AS44" s="50" t="s">
        <v>169</v>
      </c>
      <c r="AT44" s="49"/>
      <c r="AU44" s="50"/>
      <c r="AV44" s="49" t="s">
        <v>1</v>
      </c>
      <c r="AW44" s="50" t="s">
        <v>955</v>
      </c>
      <c r="AX44" s="49" t="s">
        <v>5</v>
      </c>
      <c r="AY44" s="50" t="s">
        <v>143</v>
      </c>
      <c r="AZ44" s="49"/>
      <c r="BA44" s="50"/>
      <c r="BB44" s="49"/>
      <c r="BC44" s="50"/>
      <c r="BD44" s="49" t="s">
        <v>5</v>
      </c>
      <c r="BE44" s="50" t="s">
        <v>132</v>
      </c>
      <c r="BF44" s="49"/>
      <c r="BG44" s="50"/>
      <c r="BH44" s="49" t="s">
        <v>5</v>
      </c>
      <c r="BI44" s="50" t="s">
        <v>711</v>
      </c>
      <c r="BJ44" s="49"/>
      <c r="BK44" s="50"/>
      <c r="BL44" s="49"/>
      <c r="BM44" s="50"/>
      <c r="BN44" s="49" t="s">
        <v>1</v>
      </c>
      <c r="BO44" s="50" t="s">
        <v>96</v>
      </c>
      <c r="BP44" s="49"/>
      <c r="BQ44" s="50"/>
      <c r="BR44" s="49" t="s">
        <v>5</v>
      </c>
      <c r="BS44" s="50" t="s">
        <v>140</v>
      </c>
      <c r="BT44" s="49" t="s">
        <v>5</v>
      </c>
      <c r="BU44" s="50" t="s">
        <v>90</v>
      </c>
      <c r="BV44" s="49" t="s">
        <v>5</v>
      </c>
      <c r="BW44" s="50" t="s">
        <v>132</v>
      </c>
      <c r="BX44" s="49"/>
      <c r="BY44" s="50"/>
      <c r="BZ44" s="49"/>
      <c r="CA44" s="50"/>
    </row>
    <row r="45" spans="1:79" x14ac:dyDescent="0.25">
      <c r="A45" s="76">
        <v>151776</v>
      </c>
      <c r="B45" s="77" t="s">
        <v>1002</v>
      </c>
      <c r="C45" s="78" t="s">
        <v>961</v>
      </c>
      <c r="D45" s="76" t="s">
        <v>12</v>
      </c>
      <c r="E45" s="79" t="s">
        <v>14</v>
      </c>
      <c r="F45" s="79" t="s">
        <v>503</v>
      </c>
      <c r="G45" s="79" t="s">
        <v>87</v>
      </c>
      <c r="H45" s="79" t="s">
        <v>14</v>
      </c>
      <c r="I45" s="78" t="s">
        <v>14</v>
      </c>
      <c r="J45" s="79" t="s">
        <v>14</v>
      </c>
      <c r="K45" s="142" t="s">
        <v>1850</v>
      </c>
      <c r="L45" s="149" t="s">
        <v>1842</v>
      </c>
      <c r="M45" s="150" t="s">
        <v>12</v>
      </c>
      <c r="N45" s="151">
        <v>17</v>
      </c>
      <c r="O45" s="151">
        <v>6</v>
      </c>
      <c r="P45" s="152">
        <v>3</v>
      </c>
      <c r="Q45" s="153">
        <v>95.65</v>
      </c>
      <c r="R45" s="154">
        <v>9</v>
      </c>
      <c r="S45" s="38">
        <f t="shared" si="0"/>
        <v>1</v>
      </c>
      <c r="T45" s="39">
        <f t="shared" si="1"/>
        <v>8</v>
      </c>
      <c r="U45" s="40">
        <f t="shared" si="2"/>
        <v>1</v>
      </c>
      <c r="V45" s="40">
        <f t="shared" si="3"/>
        <v>0</v>
      </c>
      <c r="W45" s="40">
        <f t="shared" si="4"/>
        <v>1</v>
      </c>
      <c r="X45" s="40">
        <f t="shared" si="5"/>
        <v>2</v>
      </c>
      <c r="Y45" s="40">
        <f t="shared" si="6"/>
        <v>0</v>
      </c>
      <c r="Z45" s="40">
        <f t="shared" si="7"/>
        <v>0</v>
      </c>
      <c r="AA45" s="40">
        <f t="shared" si="8"/>
        <v>0</v>
      </c>
      <c r="AB45" s="40">
        <f t="shared" si="9"/>
        <v>0</v>
      </c>
      <c r="AC45" s="41">
        <f t="shared" si="10"/>
        <v>0</v>
      </c>
      <c r="AD45" s="49"/>
      <c r="AE45" s="50"/>
      <c r="AF45" s="49" t="s">
        <v>5</v>
      </c>
      <c r="AG45" s="50" t="s">
        <v>438</v>
      </c>
      <c r="AH45" s="49" t="s">
        <v>5</v>
      </c>
      <c r="AI45" s="50" t="s">
        <v>78</v>
      </c>
      <c r="AJ45" s="49" t="s">
        <v>5</v>
      </c>
      <c r="AK45" s="50" t="s">
        <v>83</v>
      </c>
      <c r="AL45" s="49"/>
      <c r="AM45" s="50"/>
      <c r="AN45" s="49"/>
      <c r="AO45" s="50"/>
      <c r="AP45" s="49"/>
      <c r="AQ45" s="50"/>
      <c r="AR45" s="49" t="s">
        <v>5</v>
      </c>
      <c r="AS45" s="50" t="s">
        <v>142</v>
      </c>
      <c r="AT45" s="49" t="s">
        <v>5</v>
      </c>
      <c r="AU45" s="50" t="s">
        <v>73</v>
      </c>
      <c r="AV45" s="49" t="s">
        <v>5</v>
      </c>
      <c r="AW45" s="50" t="s">
        <v>139</v>
      </c>
      <c r="AX45" s="49"/>
      <c r="AY45" s="50"/>
      <c r="AZ45" s="49"/>
      <c r="BA45" s="50"/>
      <c r="BB45" s="49"/>
      <c r="BC45" s="50"/>
      <c r="BD45" s="49"/>
      <c r="BE45" s="50"/>
      <c r="BF45" s="49"/>
      <c r="BG45" s="50"/>
      <c r="BH45" s="49" t="s">
        <v>5</v>
      </c>
      <c r="BI45" s="50" t="s">
        <v>136</v>
      </c>
      <c r="BJ45" s="49"/>
      <c r="BK45" s="50"/>
      <c r="BL45" s="49"/>
      <c r="BM45" s="50"/>
      <c r="BN45" s="49" t="s">
        <v>1</v>
      </c>
      <c r="BO45" s="50" t="s">
        <v>96</v>
      </c>
      <c r="BP45" s="49"/>
      <c r="BQ45" s="50"/>
      <c r="BR45" s="49" t="s">
        <v>32</v>
      </c>
      <c r="BS45" s="50" t="s">
        <v>123</v>
      </c>
      <c r="BT45" s="49"/>
      <c r="BU45" s="50"/>
      <c r="BV45" s="49" t="s">
        <v>5</v>
      </c>
      <c r="BW45" s="50" t="s">
        <v>97</v>
      </c>
      <c r="BX45" s="49"/>
      <c r="BY45" s="50"/>
      <c r="BZ45" s="49" t="s">
        <v>30</v>
      </c>
      <c r="CA45" s="50" t="s">
        <v>75</v>
      </c>
    </row>
    <row r="46" spans="1:79" x14ac:dyDescent="0.25">
      <c r="A46" s="76">
        <v>151851</v>
      </c>
      <c r="B46" s="77" t="s">
        <v>1003</v>
      </c>
      <c r="C46" s="78" t="s">
        <v>959</v>
      </c>
      <c r="D46" s="76" t="s">
        <v>12</v>
      </c>
      <c r="E46" s="79" t="s">
        <v>14</v>
      </c>
      <c r="F46" s="79" t="s">
        <v>503</v>
      </c>
      <c r="G46" s="79" t="s">
        <v>87</v>
      </c>
      <c r="H46" s="79" t="s">
        <v>14</v>
      </c>
      <c r="I46" s="78" t="s">
        <v>14</v>
      </c>
      <c r="J46" s="79" t="s">
        <v>14</v>
      </c>
      <c r="K46" s="142" t="s">
        <v>1851</v>
      </c>
      <c r="L46" s="149" t="s">
        <v>1846</v>
      </c>
      <c r="M46" s="150" t="s">
        <v>1853</v>
      </c>
      <c r="N46" s="151">
        <v>16</v>
      </c>
      <c r="O46" s="151">
        <v>1</v>
      </c>
      <c r="P46" s="152">
        <v>2</v>
      </c>
      <c r="Q46" s="153">
        <v>100</v>
      </c>
      <c r="R46" s="154">
        <v>2</v>
      </c>
      <c r="S46" s="38">
        <f t="shared" si="0"/>
        <v>3</v>
      </c>
      <c r="T46" s="39">
        <f t="shared" si="1"/>
        <v>6</v>
      </c>
      <c r="U46" s="40">
        <f t="shared" si="2"/>
        <v>1</v>
      </c>
      <c r="V46" s="40">
        <f t="shared" si="3"/>
        <v>0</v>
      </c>
      <c r="W46" s="40">
        <f t="shared" si="4"/>
        <v>1</v>
      </c>
      <c r="X46" s="40">
        <f t="shared" si="5"/>
        <v>2</v>
      </c>
      <c r="Y46" s="40">
        <f t="shared" si="6"/>
        <v>0</v>
      </c>
      <c r="Z46" s="40">
        <f t="shared" si="7"/>
        <v>0</v>
      </c>
      <c r="AA46" s="40">
        <f t="shared" si="8"/>
        <v>0</v>
      </c>
      <c r="AB46" s="40">
        <f t="shared" si="9"/>
        <v>0</v>
      </c>
      <c r="AC46" s="41">
        <f t="shared" si="10"/>
        <v>0</v>
      </c>
      <c r="AD46" s="49"/>
      <c r="AE46" s="50"/>
      <c r="AF46" s="49" t="s">
        <v>1</v>
      </c>
      <c r="AG46" s="50" t="s">
        <v>154</v>
      </c>
      <c r="AH46" s="49"/>
      <c r="AI46" s="50"/>
      <c r="AJ46" s="49" t="s">
        <v>5</v>
      </c>
      <c r="AK46" s="50" t="s">
        <v>83</v>
      </c>
      <c r="AL46" s="49"/>
      <c r="AM46" s="50"/>
      <c r="AN46" s="49" t="s">
        <v>1</v>
      </c>
      <c r="AO46" s="50" t="s">
        <v>163</v>
      </c>
      <c r="AP46" s="49"/>
      <c r="AQ46" s="50"/>
      <c r="AR46" s="49" t="s">
        <v>5</v>
      </c>
      <c r="AS46" s="50" t="s">
        <v>74</v>
      </c>
      <c r="AT46" s="49"/>
      <c r="AU46" s="50"/>
      <c r="AV46" s="49" t="s">
        <v>32</v>
      </c>
      <c r="AW46" s="50" t="s">
        <v>194</v>
      </c>
      <c r="AX46" s="49" t="s">
        <v>30</v>
      </c>
      <c r="AY46" s="50" t="s">
        <v>143</v>
      </c>
      <c r="AZ46" s="49"/>
      <c r="BA46" s="50"/>
      <c r="BB46" s="49"/>
      <c r="BC46" s="50"/>
      <c r="BD46" s="49"/>
      <c r="BE46" s="50"/>
      <c r="BF46" s="49" t="s">
        <v>5</v>
      </c>
      <c r="BG46" s="50" t="s">
        <v>105</v>
      </c>
      <c r="BH46" s="49" t="s">
        <v>5</v>
      </c>
      <c r="BI46" s="50" t="s">
        <v>106</v>
      </c>
      <c r="BJ46" s="49"/>
      <c r="BK46" s="50"/>
      <c r="BL46" s="49"/>
      <c r="BM46" s="50"/>
      <c r="BN46" s="49" t="s">
        <v>1</v>
      </c>
      <c r="BO46" s="50" t="s">
        <v>96</v>
      </c>
      <c r="BP46" s="49"/>
      <c r="BQ46" s="50"/>
      <c r="BR46" s="49" t="s">
        <v>5</v>
      </c>
      <c r="BS46" s="50" t="s">
        <v>98</v>
      </c>
      <c r="BT46" s="49"/>
      <c r="BU46" s="50"/>
      <c r="BV46" s="49" t="s">
        <v>5</v>
      </c>
      <c r="BW46" s="50" t="s">
        <v>122</v>
      </c>
      <c r="BX46" s="49"/>
      <c r="BY46" s="50"/>
      <c r="BZ46" s="49"/>
      <c r="CA46" s="50"/>
    </row>
    <row r="47" spans="1:79" x14ac:dyDescent="0.25">
      <c r="A47" s="76">
        <v>151756</v>
      </c>
      <c r="B47" s="77" t="s">
        <v>1004</v>
      </c>
      <c r="C47" s="78" t="s">
        <v>954</v>
      </c>
      <c r="D47" s="76" t="s">
        <v>12</v>
      </c>
      <c r="E47" s="79" t="s">
        <v>14</v>
      </c>
      <c r="F47" s="79" t="s">
        <v>184</v>
      </c>
      <c r="G47" s="79" t="s">
        <v>87</v>
      </c>
      <c r="H47" s="79" t="s">
        <v>14</v>
      </c>
      <c r="I47" s="78" t="s">
        <v>14</v>
      </c>
      <c r="J47" s="79" t="s">
        <v>14</v>
      </c>
      <c r="K47" s="142" t="s">
        <v>1850</v>
      </c>
      <c r="L47" s="149" t="s">
        <v>1844</v>
      </c>
      <c r="M47" s="150" t="s">
        <v>12</v>
      </c>
      <c r="N47" s="151">
        <v>20</v>
      </c>
      <c r="O47" s="151">
        <v>0</v>
      </c>
      <c r="P47" s="152">
        <v>0</v>
      </c>
      <c r="Q47" s="153">
        <v>100</v>
      </c>
      <c r="R47" s="154">
        <v>0</v>
      </c>
      <c r="S47" s="38">
        <f t="shared" si="0"/>
        <v>5</v>
      </c>
      <c r="T47" s="39">
        <f t="shared" si="1"/>
        <v>6</v>
      </c>
      <c r="U47" s="40">
        <f t="shared" si="2"/>
        <v>0</v>
      </c>
      <c r="V47" s="40">
        <f t="shared" si="3"/>
        <v>0</v>
      </c>
      <c r="W47" s="40">
        <f t="shared" si="4"/>
        <v>0</v>
      </c>
      <c r="X47" s="40">
        <f t="shared" si="5"/>
        <v>0</v>
      </c>
      <c r="Y47" s="40">
        <f t="shared" si="6"/>
        <v>0</v>
      </c>
      <c r="Z47" s="40">
        <f t="shared" si="7"/>
        <v>0</v>
      </c>
      <c r="AA47" s="40">
        <f t="shared" si="8"/>
        <v>0</v>
      </c>
      <c r="AB47" s="40">
        <f t="shared" si="9"/>
        <v>0</v>
      </c>
      <c r="AC47" s="41">
        <f t="shared" si="10"/>
        <v>0</v>
      </c>
      <c r="AD47" s="49"/>
      <c r="AE47" s="50"/>
      <c r="AF47" s="49" t="s">
        <v>1</v>
      </c>
      <c r="AG47" s="50" t="s">
        <v>433</v>
      </c>
      <c r="AH47" s="49"/>
      <c r="AI47" s="50"/>
      <c r="AJ47" s="49" t="s">
        <v>5</v>
      </c>
      <c r="AK47" s="50" t="s">
        <v>419</v>
      </c>
      <c r="AL47" s="49"/>
      <c r="AM47" s="50"/>
      <c r="AN47" s="49"/>
      <c r="AO47" s="50"/>
      <c r="AP47" s="49"/>
      <c r="AQ47" s="50"/>
      <c r="AR47" s="49" t="s">
        <v>5</v>
      </c>
      <c r="AS47" s="50" t="s">
        <v>142</v>
      </c>
      <c r="AT47" s="49"/>
      <c r="AU47" s="50"/>
      <c r="AV47" s="49" t="s">
        <v>1</v>
      </c>
      <c r="AW47" s="50" t="s">
        <v>955</v>
      </c>
      <c r="AX47" s="49" t="s">
        <v>5</v>
      </c>
      <c r="AY47" s="50" t="s">
        <v>143</v>
      </c>
      <c r="AZ47" s="49" t="s">
        <v>1</v>
      </c>
      <c r="BA47" s="50" t="s">
        <v>92</v>
      </c>
      <c r="BB47" s="49"/>
      <c r="BC47" s="50"/>
      <c r="BD47" s="49"/>
      <c r="BE47" s="50"/>
      <c r="BF47" s="49"/>
      <c r="BG47" s="50"/>
      <c r="BH47" s="49" t="s">
        <v>5</v>
      </c>
      <c r="BI47" s="50" t="s">
        <v>711</v>
      </c>
      <c r="BJ47" s="49" t="s">
        <v>1</v>
      </c>
      <c r="BK47" s="50" t="s">
        <v>95</v>
      </c>
      <c r="BL47" s="49"/>
      <c r="BM47" s="50"/>
      <c r="BN47" s="49" t="s">
        <v>1</v>
      </c>
      <c r="BO47" s="50" t="s">
        <v>96</v>
      </c>
      <c r="BP47" s="49"/>
      <c r="BQ47" s="50"/>
      <c r="BR47" s="49" t="s">
        <v>5</v>
      </c>
      <c r="BS47" s="50" t="s">
        <v>140</v>
      </c>
      <c r="BT47" s="49"/>
      <c r="BU47" s="50"/>
      <c r="BV47" s="49" t="s">
        <v>5</v>
      </c>
      <c r="BW47" s="50" t="s">
        <v>132</v>
      </c>
      <c r="BX47" s="49"/>
      <c r="BY47" s="50"/>
      <c r="BZ47" s="49"/>
      <c r="CA47" s="50"/>
    </row>
    <row r="48" spans="1:79" x14ac:dyDescent="0.25">
      <c r="A48" s="76">
        <v>151962</v>
      </c>
      <c r="B48" s="77" t="s">
        <v>1005</v>
      </c>
      <c r="C48" s="78" t="s">
        <v>959</v>
      </c>
      <c r="D48" s="76" t="s">
        <v>12</v>
      </c>
      <c r="E48" s="79" t="s">
        <v>87</v>
      </c>
      <c r="F48" s="79" t="s">
        <v>71</v>
      </c>
      <c r="G48" s="79" t="s">
        <v>14</v>
      </c>
      <c r="H48" s="79" t="s">
        <v>87</v>
      </c>
      <c r="I48" s="78" t="s">
        <v>14</v>
      </c>
      <c r="J48" s="79" t="s">
        <v>14</v>
      </c>
      <c r="K48" s="142" t="s">
        <v>1851</v>
      </c>
      <c r="L48" s="149" t="s">
        <v>1841</v>
      </c>
      <c r="M48" s="150" t="s">
        <v>12</v>
      </c>
      <c r="N48" s="151">
        <v>9</v>
      </c>
      <c r="O48" s="151">
        <v>4</v>
      </c>
      <c r="P48" s="152">
        <v>1</v>
      </c>
      <c r="Q48" s="153">
        <v>100</v>
      </c>
      <c r="R48" s="154">
        <v>1</v>
      </c>
      <c r="S48" s="38">
        <f t="shared" si="0"/>
        <v>1</v>
      </c>
      <c r="T48" s="39">
        <f t="shared" si="1"/>
        <v>6</v>
      </c>
      <c r="U48" s="40">
        <f t="shared" si="2"/>
        <v>2</v>
      </c>
      <c r="V48" s="40">
        <f t="shared" si="3"/>
        <v>0</v>
      </c>
      <c r="W48" s="40">
        <f t="shared" si="4"/>
        <v>1</v>
      </c>
      <c r="X48" s="40">
        <f t="shared" si="5"/>
        <v>3</v>
      </c>
      <c r="Y48" s="40">
        <f t="shared" si="6"/>
        <v>0</v>
      </c>
      <c r="Z48" s="40">
        <f t="shared" si="7"/>
        <v>0</v>
      </c>
      <c r="AA48" s="40">
        <f t="shared" si="8"/>
        <v>0</v>
      </c>
      <c r="AB48" s="40">
        <f t="shared" si="9"/>
        <v>0</v>
      </c>
      <c r="AC48" s="41">
        <f t="shared" si="10"/>
        <v>0</v>
      </c>
      <c r="AD48" s="49"/>
      <c r="AE48" s="50"/>
      <c r="AF48" s="49"/>
      <c r="AG48" s="50"/>
      <c r="AH48" s="49"/>
      <c r="AI48" s="50"/>
      <c r="AJ48" s="49"/>
      <c r="AK48" s="50"/>
      <c r="AL48" s="49"/>
      <c r="AM48" s="50"/>
      <c r="AN48" s="49"/>
      <c r="AO48" s="50"/>
      <c r="AP48" s="49" t="s">
        <v>5</v>
      </c>
      <c r="AQ48" s="50" t="s">
        <v>101</v>
      </c>
      <c r="AR48" s="49" t="s">
        <v>5</v>
      </c>
      <c r="AS48" s="50" t="s">
        <v>102</v>
      </c>
      <c r="AT48" s="49" t="s">
        <v>5</v>
      </c>
      <c r="AU48" s="50" t="s">
        <v>73</v>
      </c>
      <c r="AV48" s="49" t="s">
        <v>32</v>
      </c>
      <c r="AW48" s="50" t="s">
        <v>194</v>
      </c>
      <c r="AX48" s="49" t="s">
        <v>5</v>
      </c>
      <c r="AY48" s="50" t="s">
        <v>143</v>
      </c>
      <c r="AZ48" s="49"/>
      <c r="BA48" s="50"/>
      <c r="BB48" s="49"/>
      <c r="BC48" s="50"/>
      <c r="BD48" s="49"/>
      <c r="BE48" s="50"/>
      <c r="BF48" s="49"/>
      <c r="BG48" s="50"/>
      <c r="BH48" s="49" t="s">
        <v>5</v>
      </c>
      <c r="BI48" s="50" t="s">
        <v>94</v>
      </c>
      <c r="BJ48" s="49"/>
      <c r="BK48" s="50"/>
      <c r="BL48" s="49" t="s">
        <v>30</v>
      </c>
      <c r="BM48" s="50" t="s">
        <v>116</v>
      </c>
      <c r="BN48" s="49" t="s">
        <v>1</v>
      </c>
      <c r="BO48" s="50" t="s">
        <v>107</v>
      </c>
      <c r="BP48" s="49"/>
      <c r="BQ48" s="50"/>
      <c r="BR48" s="49"/>
      <c r="BS48" s="50"/>
      <c r="BT48" s="49"/>
      <c r="BU48" s="50"/>
      <c r="BV48" s="49" t="s">
        <v>5</v>
      </c>
      <c r="BW48" s="50" t="s">
        <v>602</v>
      </c>
      <c r="BX48" s="49" t="s">
        <v>30</v>
      </c>
      <c r="BY48" s="50" t="s">
        <v>137</v>
      </c>
      <c r="BZ48" s="49"/>
      <c r="CA48" s="50"/>
    </row>
    <row r="49" spans="1:79" x14ac:dyDescent="0.25">
      <c r="A49" s="76">
        <v>151843</v>
      </c>
      <c r="B49" s="77" t="s">
        <v>1006</v>
      </c>
      <c r="C49" s="78" t="s">
        <v>970</v>
      </c>
      <c r="D49" s="76" t="s">
        <v>12</v>
      </c>
      <c r="E49" s="79" t="s">
        <v>14</v>
      </c>
      <c r="F49" s="79" t="s">
        <v>508</v>
      </c>
      <c r="G49" s="79" t="s">
        <v>14</v>
      </c>
      <c r="H49" s="79" t="s">
        <v>14</v>
      </c>
      <c r="I49" s="78" t="s">
        <v>14</v>
      </c>
      <c r="J49" s="79" t="s">
        <v>14</v>
      </c>
      <c r="K49" s="142" t="s">
        <v>1850</v>
      </c>
      <c r="L49" s="149" t="s">
        <v>1845</v>
      </c>
      <c r="M49" s="150" t="s">
        <v>12</v>
      </c>
      <c r="N49" s="151">
        <v>14</v>
      </c>
      <c r="O49" s="151">
        <v>3</v>
      </c>
      <c r="P49" s="152">
        <v>3</v>
      </c>
      <c r="Q49" s="153">
        <v>100</v>
      </c>
      <c r="R49" s="154">
        <v>2</v>
      </c>
      <c r="S49" s="38">
        <f t="shared" si="0"/>
        <v>1</v>
      </c>
      <c r="T49" s="39">
        <f t="shared" si="1"/>
        <v>9</v>
      </c>
      <c r="U49" s="40">
        <f t="shared" si="2"/>
        <v>0</v>
      </c>
      <c r="V49" s="40">
        <f t="shared" si="3"/>
        <v>0</v>
      </c>
      <c r="W49" s="40">
        <f t="shared" si="4"/>
        <v>1</v>
      </c>
      <c r="X49" s="40">
        <f t="shared" si="5"/>
        <v>1</v>
      </c>
      <c r="Y49" s="40">
        <f t="shared" si="6"/>
        <v>0</v>
      </c>
      <c r="Z49" s="40">
        <f t="shared" si="7"/>
        <v>0</v>
      </c>
      <c r="AA49" s="40">
        <f t="shared" si="8"/>
        <v>0</v>
      </c>
      <c r="AB49" s="40">
        <f t="shared" si="9"/>
        <v>0</v>
      </c>
      <c r="AC49" s="41">
        <f t="shared" si="10"/>
        <v>0</v>
      </c>
      <c r="AD49" s="49"/>
      <c r="AE49" s="50"/>
      <c r="AF49" s="49" t="s">
        <v>5</v>
      </c>
      <c r="AG49" s="50" t="s">
        <v>154</v>
      </c>
      <c r="AH49" s="49"/>
      <c r="AI49" s="50"/>
      <c r="AJ49" s="49" t="s">
        <v>5</v>
      </c>
      <c r="AK49" s="50" t="s">
        <v>83</v>
      </c>
      <c r="AL49" s="49"/>
      <c r="AM49" s="50"/>
      <c r="AN49" s="49"/>
      <c r="AO49" s="50"/>
      <c r="AP49" s="49"/>
      <c r="AQ49" s="50"/>
      <c r="AR49" s="49" t="s">
        <v>5</v>
      </c>
      <c r="AS49" s="50" t="s">
        <v>102</v>
      </c>
      <c r="AT49" s="49"/>
      <c r="AU49" s="50"/>
      <c r="AV49" s="49" t="s">
        <v>5</v>
      </c>
      <c r="AW49" s="50" t="s">
        <v>140</v>
      </c>
      <c r="AX49" s="49"/>
      <c r="AY49" s="50"/>
      <c r="AZ49" s="49" t="s">
        <v>5</v>
      </c>
      <c r="BA49" s="50" t="s">
        <v>92</v>
      </c>
      <c r="BB49" s="49"/>
      <c r="BC49" s="50"/>
      <c r="BD49" s="49"/>
      <c r="BE49" s="50"/>
      <c r="BF49" s="49"/>
      <c r="BG49" s="50"/>
      <c r="BH49" s="49" t="s">
        <v>1</v>
      </c>
      <c r="BI49" s="50" t="s">
        <v>79</v>
      </c>
      <c r="BJ49" s="49"/>
      <c r="BK49" s="50"/>
      <c r="BL49" s="49"/>
      <c r="BM49" s="50"/>
      <c r="BN49" s="49" t="s">
        <v>5</v>
      </c>
      <c r="BO49" s="50" t="s">
        <v>107</v>
      </c>
      <c r="BP49" s="49" t="s">
        <v>5</v>
      </c>
      <c r="BQ49" s="50" t="s">
        <v>107</v>
      </c>
      <c r="BR49" s="49" t="s">
        <v>5</v>
      </c>
      <c r="BS49" s="50" t="s">
        <v>98</v>
      </c>
      <c r="BT49" s="49"/>
      <c r="BU49" s="50"/>
      <c r="BV49" s="49" t="s">
        <v>5</v>
      </c>
      <c r="BW49" s="50" t="s">
        <v>82</v>
      </c>
      <c r="BX49" s="49"/>
      <c r="BY49" s="50"/>
      <c r="BZ49" s="49" t="s">
        <v>32</v>
      </c>
      <c r="CA49" s="50" t="s">
        <v>124</v>
      </c>
    </row>
    <row r="50" spans="1:79" x14ac:dyDescent="0.25">
      <c r="A50" s="76">
        <v>151758</v>
      </c>
      <c r="B50" s="77" t="s">
        <v>1007</v>
      </c>
      <c r="C50" s="78" t="s">
        <v>961</v>
      </c>
      <c r="D50" s="76" t="s">
        <v>70</v>
      </c>
      <c r="E50" s="79" t="s">
        <v>87</v>
      </c>
      <c r="F50" s="79" t="s">
        <v>71</v>
      </c>
      <c r="G50" s="79" t="s">
        <v>14</v>
      </c>
      <c r="H50" s="79" t="s">
        <v>87</v>
      </c>
      <c r="I50" s="78" t="s">
        <v>14</v>
      </c>
      <c r="J50" s="79" t="s">
        <v>14</v>
      </c>
      <c r="K50" s="142" t="s">
        <v>1850</v>
      </c>
      <c r="L50" s="149" t="s">
        <v>1846</v>
      </c>
      <c r="M50" s="150" t="s">
        <v>1853</v>
      </c>
      <c r="N50" s="151">
        <v>14</v>
      </c>
      <c r="O50" s="151">
        <v>0</v>
      </c>
      <c r="P50" s="152">
        <v>0</v>
      </c>
      <c r="Q50" s="153">
        <v>100</v>
      </c>
      <c r="R50" s="154">
        <v>0</v>
      </c>
      <c r="S50" s="38">
        <f t="shared" si="0"/>
        <v>3</v>
      </c>
      <c r="T50" s="39">
        <f t="shared" si="1"/>
        <v>7</v>
      </c>
      <c r="U50" s="40">
        <f t="shared" si="2"/>
        <v>0</v>
      </c>
      <c r="V50" s="40">
        <f t="shared" si="3"/>
        <v>0</v>
      </c>
      <c r="W50" s="40">
        <f t="shared" si="4"/>
        <v>0</v>
      </c>
      <c r="X50" s="40">
        <f t="shared" si="5"/>
        <v>0</v>
      </c>
      <c r="Y50" s="40">
        <f t="shared" si="6"/>
        <v>0</v>
      </c>
      <c r="Z50" s="40">
        <f t="shared" si="7"/>
        <v>0</v>
      </c>
      <c r="AA50" s="40">
        <f t="shared" si="8"/>
        <v>0</v>
      </c>
      <c r="AB50" s="40">
        <f t="shared" si="9"/>
        <v>0</v>
      </c>
      <c r="AC50" s="41">
        <f t="shared" si="10"/>
        <v>0</v>
      </c>
      <c r="AD50" s="49" t="s">
        <v>1</v>
      </c>
      <c r="AE50" s="50" t="s">
        <v>116</v>
      </c>
      <c r="AF50" s="49"/>
      <c r="AG50" s="50"/>
      <c r="AH50" s="49"/>
      <c r="AI50" s="50"/>
      <c r="AJ50" s="49"/>
      <c r="AK50" s="50"/>
      <c r="AL50" s="49"/>
      <c r="AM50" s="50"/>
      <c r="AN50" s="49"/>
      <c r="AO50" s="50"/>
      <c r="AP50" s="49"/>
      <c r="AQ50" s="50"/>
      <c r="AR50" s="49" t="s">
        <v>5</v>
      </c>
      <c r="AS50" s="50" t="s">
        <v>169</v>
      </c>
      <c r="AT50" s="49"/>
      <c r="AU50" s="50"/>
      <c r="AV50" s="49" t="s">
        <v>5</v>
      </c>
      <c r="AW50" s="50" t="s">
        <v>139</v>
      </c>
      <c r="AX50" s="49"/>
      <c r="AY50" s="50"/>
      <c r="AZ50" s="49" t="s">
        <v>5</v>
      </c>
      <c r="BA50" s="50" t="s">
        <v>76</v>
      </c>
      <c r="BB50" s="49"/>
      <c r="BC50" s="50"/>
      <c r="BD50" s="49"/>
      <c r="BE50" s="50"/>
      <c r="BF50" s="49"/>
      <c r="BG50" s="50"/>
      <c r="BH50" s="49" t="s">
        <v>1</v>
      </c>
      <c r="BI50" s="50" t="s">
        <v>112</v>
      </c>
      <c r="BJ50" s="49"/>
      <c r="BK50" s="50"/>
      <c r="BL50" s="49" t="s">
        <v>1</v>
      </c>
      <c r="BM50" s="50" t="s">
        <v>116</v>
      </c>
      <c r="BN50" s="49" t="s">
        <v>5</v>
      </c>
      <c r="BO50" s="50" t="s">
        <v>152</v>
      </c>
      <c r="BP50" s="49"/>
      <c r="BQ50" s="50"/>
      <c r="BR50" s="49"/>
      <c r="BS50" s="50"/>
      <c r="BT50" s="49"/>
      <c r="BU50" s="50"/>
      <c r="BV50" s="49" t="s">
        <v>5</v>
      </c>
      <c r="BW50" s="50" t="s">
        <v>132</v>
      </c>
      <c r="BX50" s="49" t="s">
        <v>5</v>
      </c>
      <c r="BY50" s="50" t="s">
        <v>137</v>
      </c>
      <c r="BZ50" s="49" t="s">
        <v>5</v>
      </c>
      <c r="CA50" s="50" t="s">
        <v>75</v>
      </c>
    </row>
    <row r="51" spans="1:79" x14ac:dyDescent="0.25">
      <c r="A51" s="76">
        <v>151934</v>
      </c>
      <c r="B51" s="77" t="s">
        <v>1008</v>
      </c>
      <c r="C51" s="78" t="s">
        <v>961</v>
      </c>
      <c r="D51" s="76" t="s">
        <v>70</v>
      </c>
      <c r="E51" s="79" t="s">
        <v>14</v>
      </c>
      <c r="F51" s="79" t="s">
        <v>158</v>
      </c>
      <c r="G51" s="79" t="s">
        <v>14</v>
      </c>
      <c r="H51" s="79" t="s">
        <v>14</v>
      </c>
      <c r="I51" s="78" t="s">
        <v>14</v>
      </c>
      <c r="J51" s="79" t="s">
        <v>14</v>
      </c>
      <c r="K51" s="142" t="s">
        <v>1850</v>
      </c>
      <c r="L51" s="149" t="s">
        <v>1845</v>
      </c>
      <c r="M51" s="150" t="s">
        <v>12</v>
      </c>
      <c r="N51" s="151">
        <v>13</v>
      </c>
      <c r="O51" s="151">
        <v>8</v>
      </c>
      <c r="P51" s="152">
        <v>2</v>
      </c>
      <c r="Q51" s="153">
        <v>73.91</v>
      </c>
      <c r="R51" s="154">
        <v>13</v>
      </c>
      <c r="S51" s="38">
        <f t="shared" si="0"/>
        <v>0</v>
      </c>
      <c r="T51" s="39">
        <f t="shared" si="1"/>
        <v>5</v>
      </c>
      <c r="U51" s="40">
        <f t="shared" si="2"/>
        <v>4</v>
      </c>
      <c r="V51" s="40">
        <f t="shared" si="3"/>
        <v>0</v>
      </c>
      <c r="W51" s="40">
        <f t="shared" si="4"/>
        <v>1</v>
      </c>
      <c r="X51" s="40">
        <f t="shared" si="5"/>
        <v>5</v>
      </c>
      <c r="Y51" s="40">
        <f t="shared" si="6"/>
        <v>0</v>
      </c>
      <c r="Z51" s="40">
        <f t="shared" si="7"/>
        <v>0</v>
      </c>
      <c r="AA51" s="40">
        <f t="shared" si="8"/>
        <v>0</v>
      </c>
      <c r="AB51" s="40">
        <f t="shared" si="9"/>
        <v>0</v>
      </c>
      <c r="AC51" s="41">
        <f t="shared" si="10"/>
        <v>0</v>
      </c>
      <c r="AD51" s="49"/>
      <c r="AE51" s="50"/>
      <c r="AF51" s="49"/>
      <c r="AG51" s="50"/>
      <c r="AH51" s="49" t="s">
        <v>5</v>
      </c>
      <c r="AI51" s="50" t="s">
        <v>131</v>
      </c>
      <c r="AJ51" s="49"/>
      <c r="AK51" s="50"/>
      <c r="AL51" s="49"/>
      <c r="AM51" s="50"/>
      <c r="AN51" s="49"/>
      <c r="AO51" s="50"/>
      <c r="AP51" s="49" t="s">
        <v>30</v>
      </c>
      <c r="AQ51" s="50" t="s">
        <v>101</v>
      </c>
      <c r="AR51" s="49" t="s">
        <v>5</v>
      </c>
      <c r="AS51" s="50" t="s">
        <v>142</v>
      </c>
      <c r="AT51" s="49"/>
      <c r="AU51" s="50"/>
      <c r="AV51" s="49" t="s">
        <v>5</v>
      </c>
      <c r="AW51" s="50" t="s">
        <v>139</v>
      </c>
      <c r="AX51" s="49"/>
      <c r="AY51" s="50"/>
      <c r="AZ51" s="49"/>
      <c r="BA51" s="50"/>
      <c r="BB51" s="49" t="s">
        <v>30</v>
      </c>
      <c r="BC51" s="50" t="s">
        <v>425</v>
      </c>
      <c r="BD51" s="49"/>
      <c r="BE51" s="50"/>
      <c r="BF51" s="49"/>
      <c r="BG51" s="50"/>
      <c r="BH51" s="49" t="s">
        <v>5</v>
      </c>
      <c r="BI51" s="50" t="s">
        <v>505</v>
      </c>
      <c r="BJ51" s="49"/>
      <c r="BK51" s="50"/>
      <c r="BL51" s="49"/>
      <c r="BM51" s="50"/>
      <c r="BN51" s="49" t="s">
        <v>30</v>
      </c>
      <c r="BO51" s="50" t="s">
        <v>152</v>
      </c>
      <c r="BP51" s="49"/>
      <c r="BQ51" s="50"/>
      <c r="BR51" s="49"/>
      <c r="BS51" s="50"/>
      <c r="BT51" s="49"/>
      <c r="BU51" s="50"/>
      <c r="BV51" s="49" t="s">
        <v>32</v>
      </c>
      <c r="BW51" s="50" t="s">
        <v>82</v>
      </c>
      <c r="BX51" s="49" t="s">
        <v>5</v>
      </c>
      <c r="BY51" s="50" t="s">
        <v>133</v>
      </c>
      <c r="BZ51" s="49" t="s">
        <v>30</v>
      </c>
      <c r="CA51" s="50" t="s">
        <v>75</v>
      </c>
    </row>
    <row r="52" spans="1:79" x14ac:dyDescent="0.25">
      <c r="A52" s="76">
        <v>151967</v>
      </c>
      <c r="B52" s="77" t="s">
        <v>1009</v>
      </c>
      <c r="C52" s="78" t="s">
        <v>963</v>
      </c>
      <c r="D52" s="76" t="s">
        <v>12</v>
      </c>
      <c r="E52" s="79" t="s">
        <v>14</v>
      </c>
      <c r="F52" s="79" t="s">
        <v>88</v>
      </c>
      <c r="G52" s="79" t="s">
        <v>14</v>
      </c>
      <c r="H52" s="79" t="s">
        <v>14</v>
      </c>
      <c r="I52" s="78" t="s">
        <v>14</v>
      </c>
      <c r="J52" s="79" t="s">
        <v>4</v>
      </c>
      <c r="K52" s="142" t="s">
        <v>1850</v>
      </c>
      <c r="L52" s="149" t="s">
        <v>1843</v>
      </c>
      <c r="M52" s="150" t="s">
        <v>1852</v>
      </c>
      <c r="N52" s="151">
        <v>14</v>
      </c>
      <c r="O52" s="151">
        <v>2</v>
      </c>
      <c r="P52" s="152">
        <v>0</v>
      </c>
      <c r="Q52" s="153">
        <v>97.78</v>
      </c>
      <c r="R52" s="154">
        <v>3</v>
      </c>
      <c r="S52" s="38">
        <f t="shared" si="0"/>
        <v>0</v>
      </c>
      <c r="T52" s="39">
        <f t="shared" si="1"/>
        <v>5</v>
      </c>
      <c r="U52" s="40">
        <f t="shared" si="2"/>
        <v>3</v>
      </c>
      <c r="V52" s="40">
        <f t="shared" si="3"/>
        <v>0</v>
      </c>
      <c r="W52" s="40">
        <f t="shared" si="4"/>
        <v>0</v>
      </c>
      <c r="X52" s="40">
        <f t="shared" si="5"/>
        <v>3</v>
      </c>
      <c r="Y52" s="40">
        <f t="shared" si="6"/>
        <v>0</v>
      </c>
      <c r="Z52" s="40">
        <f t="shared" si="7"/>
        <v>0</v>
      </c>
      <c r="AA52" s="40">
        <f t="shared" si="8"/>
        <v>0</v>
      </c>
      <c r="AB52" s="40">
        <f t="shared" si="9"/>
        <v>0</v>
      </c>
      <c r="AC52" s="41">
        <f t="shared" si="10"/>
        <v>0</v>
      </c>
      <c r="AD52" s="49"/>
      <c r="AE52" s="50"/>
      <c r="AF52" s="49"/>
      <c r="AG52" s="50"/>
      <c r="AH52" s="49"/>
      <c r="AI52" s="50"/>
      <c r="AJ52" s="49"/>
      <c r="AK52" s="50"/>
      <c r="AL52" s="49"/>
      <c r="AM52" s="50"/>
      <c r="AN52" s="49"/>
      <c r="AO52" s="50"/>
      <c r="AP52" s="49"/>
      <c r="AQ52" s="50"/>
      <c r="AR52" s="49" t="s">
        <v>30</v>
      </c>
      <c r="AS52" s="50" t="s">
        <v>91</v>
      </c>
      <c r="AT52" s="49" t="s">
        <v>5</v>
      </c>
      <c r="AU52" s="50" t="s">
        <v>73</v>
      </c>
      <c r="AV52" s="49" t="s">
        <v>5</v>
      </c>
      <c r="AW52" s="50" t="s">
        <v>130</v>
      </c>
      <c r="AX52" s="49"/>
      <c r="AY52" s="50"/>
      <c r="AZ52" s="49"/>
      <c r="BA52" s="50"/>
      <c r="BB52" s="49"/>
      <c r="BC52" s="50"/>
      <c r="BD52" s="49"/>
      <c r="BE52" s="50"/>
      <c r="BF52" s="49" t="s">
        <v>30</v>
      </c>
      <c r="BG52" s="50" t="s">
        <v>105</v>
      </c>
      <c r="BH52" s="49" t="s">
        <v>5</v>
      </c>
      <c r="BI52" s="50" t="s">
        <v>995</v>
      </c>
      <c r="BJ52" s="49"/>
      <c r="BK52" s="50"/>
      <c r="BL52" s="49"/>
      <c r="BM52" s="50"/>
      <c r="BN52" s="49" t="s">
        <v>5</v>
      </c>
      <c r="BO52" s="50" t="s">
        <v>96</v>
      </c>
      <c r="BP52" s="49"/>
      <c r="BQ52" s="50"/>
      <c r="BR52" s="49"/>
      <c r="BS52" s="50"/>
      <c r="BT52" s="49"/>
      <c r="BU52" s="50"/>
      <c r="BV52" s="49" t="s">
        <v>5</v>
      </c>
      <c r="BW52" s="50" t="s">
        <v>457</v>
      </c>
      <c r="BX52" s="49" t="s">
        <v>30</v>
      </c>
      <c r="BY52" s="50" t="s">
        <v>164</v>
      </c>
      <c r="BZ52" s="49"/>
      <c r="CA52" s="50" t="s">
        <v>75</v>
      </c>
    </row>
    <row r="53" spans="1:79" x14ac:dyDescent="0.25">
      <c r="A53" s="76">
        <v>151752</v>
      </c>
      <c r="B53" s="77" t="s">
        <v>1010</v>
      </c>
      <c r="C53" s="78" t="s">
        <v>952</v>
      </c>
      <c r="D53" s="76" t="s">
        <v>12</v>
      </c>
      <c r="E53" s="79" t="s">
        <v>14</v>
      </c>
      <c r="F53" s="79" t="s">
        <v>71</v>
      </c>
      <c r="G53" s="79" t="s">
        <v>14</v>
      </c>
      <c r="H53" s="79" t="s">
        <v>14</v>
      </c>
      <c r="I53" s="78" t="s">
        <v>14</v>
      </c>
      <c r="J53" s="79" t="s">
        <v>14</v>
      </c>
      <c r="K53" s="142" t="s">
        <v>1850</v>
      </c>
      <c r="L53" s="149" t="s">
        <v>1844</v>
      </c>
      <c r="M53" s="150" t="s">
        <v>12</v>
      </c>
      <c r="N53" s="151">
        <v>12</v>
      </c>
      <c r="O53" s="151">
        <v>1</v>
      </c>
      <c r="P53" s="152">
        <v>2</v>
      </c>
      <c r="Q53" s="153">
        <v>95.65</v>
      </c>
      <c r="R53" s="154">
        <v>5</v>
      </c>
      <c r="S53" s="38">
        <f t="shared" si="0"/>
        <v>2</v>
      </c>
      <c r="T53" s="39">
        <f t="shared" si="1"/>
        <v>8</v>
      </c>
      <c r="U53" s="40">
        <f t="shared" si="2"/>
        <v>1</v>
      </c>
      <c r="V53" s="40">
        <f t="shared" si="3"/>
        <v>0</v>
      </c>
      <c r="W53" s="40">
        <f t="shared" si="4"/>
        <v>0</v>
      </c>
      <c r="X53" s="40">
        <f t="shared" si="5"/>
        <v>1</v>
      </c>
      <c r="Y53" s="40">
        <f t="shared" si="6"/>
        <v>0</v>
      </c>
      <c r="Z53" s="40">
        <f t="shared" si="7"/>
        <v>0</v>
      </c>
      <c r="AA53" s="40">
        <f t="shared" si="8"/>
        <v>0</v>
      </c>
      <c r="AB53" s="40">
        <f t="shared" si="9"/>
        <v>0</v>
      </c>
      <c r="AC53" s="41">
        <f t="shared" si="10"/>
        <v>0</v>
      </c>
      <c r="AD53" s="49"/>
      <c r="AE53" s="50"/>
      <c r="AF53" s="49" t="s">
        <v>5</v>
      </c>
      <c r="AG53" s="50" t="s">
        <v>438</v>
      </c>
      <c r="AH53" s="49" t="s">
        <v>1</v>
      </c>
      <c r="AI53" s="50" t="s">
        <v>131</v>
      </c>
      <c r="AJ53" s="49" t="s">
        <v>5</v>
      </c>
      <c r="AK53" s="50" t="s">
        <v>83</v>
      </c>
      <c r="AL53" s="49"/>
      <c r="AM53" s="50"/>
      <c r="AN53" s="49"/>
      <c r="AO53" s="50"/>
      <c r="AP53" s="49"/>
      <c r="AQ53" s="50"/>
      <c r="AR53" s="49" t="s">
        <v>5</v>
      </c>
      <c r="AS53" s="50" t="s">
        <v>102</v>
      </c>
      <c r="AT53" s="49"/>
      <c r="AU53" s="50"/>
      <c r="AV53" s="49" t="s">
        <v>5</v>
      </c>
      <c r="AW53" s="50" t="s">
        <v>117</v>
      </c>
      <c r="AX53" s="49"/>
      <c r="AY53" s="50"/>
      <c r="AZ53" s="49"/>
      <c r="BA53" s="50"/>
      <c r="BB53" s="49"/>
      <c r="BC53" s="50"/>
      <c r="BD53" s="49"/>
      <c r="BE53" s="50"/>
      <c r="BF53" s="49" t="s">
        <v>1</v>
      </c>
      <c r="BG53" s="50" t="s">
        <v>105</v>
      </c>
      <c r="BH53" s="49" t="s">
        <v>5</v>
      </c>
      <c r="BI53" s="50" t="s">
        <v>136</v>
      </c>
      <c r="BJ53" s="49"/>
      <c r="BK53" s="50"/>
      <c r="BL53" s="49"/>
      <c r="BM53" s="50"/>
      <c r="BN53" s="49" t="s">
        <v>5</v>
      </c>
      <c r="BO53" s="50" t="s">
        <v>107</v>
      </c>
      <c r="BP53" s="49"/>
      <c r="BQ53" s="50"/>
      <c r="BR53" s="49" t="s">
        <v>5</v>
      </c>
      <c r="BS53" s="50" t="s">
        <v>123</v>
      </c>
      <c r="BT53" s="49"/>
      <c r="BU53" s="50"/>
      <c r="BV53" s="49" t="s">
        <v>5</v>
      </c>
      <c r="BW53" s="50" t="s">
        <v>97</v>
      </c>
      <c r="BX53" s="49"/>
      <c r="BY53" s="50"/>
      <c r="BZ53" s="49" t="s">
        <v>30</v>
      </c>
      <c r="CA53" s="50" t="s">
        <v>75</v>
      </c>
    </row>
    <row r="54" spans="1:79" x14ac:dyDescent="0.25">
      <c r="A54" s="76">
        <v>151789</v>
      </c>
      <c r="B54" s="77" t="s">
        <v>1011</v>
      </c>
      <c r="C54" s="78" t="s">
        <v>963</v>
      </c>
      <c r="D54" s="76" t="s">
        <v>12</v>
      </c>
      <c r="E54" s="79" t="s">
        <v>14</v>
      </c>
      <c r="F54" s="79" t="s">
        <v>71</v>
      </c>
      <c r="G54" s="79" t="s">
        <v>14</v>
      </c>
      <c r="H54" s="79" t="s">
        <v>14</v>
      </c>
      <c r="I54" s="78" t="s">
        <v>14</v>
      </c>
      <c r="J54" s="79" t="s">
        <v>14</v>
      </c>
      <c r="K54" s="142" t="s">
        <v>1851</v>
      </c>
      <c r="L54" s="149" t="s">
        <v>1845</v>
      </c>
      <c r="M54" s="150" t="s">
        <v>12</v>
      </c>
      <c r="N54" s="151">
        <v>21</v>
      </c>
      <c r="O54" s="151">
        <v>0</v>
      </c>
      <c r="P54" s="152">
        <v>0</v>
      </c>
      <c r="Q54" s="153">
        <v>95.65</v>
      </c>
      <c r="R54" s="154">
        <v>1</v>
      </c>
      <c r="S54" s="38">
        <f t="shared" si="0"/>
        <v>4</v>
      </c>
      <c r="T54" s="39">
        <f t="shared" si="1"/>
        <v>7</v>
      </c>
      <c r="U54" s="40">
        <f t="shared" si="2"/>
        <v>0</v>
      </c>
      <c r="V54" s="40">
        <f t="shared" si="3"/>
        <v>0</v>
      </c>
      <c r="W54" s="40">
        <f t="shared" si="4"/>
        <v>0</v>
      </c>
      <c r="X54" s="40">
        <f t="shared" si="5"/>
        <v>0</v>
      </c>
      <c r="Y54" s="40">
        <f t="shared" si="6"/>
        <v>0</v>
      </c>
      <c r="Z54" s="40">
        <f t="shared" si="7"/>
        <v>0</v>
      </c>
      <c r="AA54" s="40">
        <f t="shared" si="8"/>
        <v>0</v>
      </c>
      <c r="AB54" s="40">
        <f t="shared" si="9"/>
        <v>0</v>
      </c>
      <c r="AC54" s="41">
        <f t="shared" si="10"/>
        <v>0</v>
      </c>
      <c r="AD54" s="49"/>
      <c r="AE54" s="50"/>
      <c r="AF54" s="49" t="s">
        <v>1</v>
      </c>
      <c r="AG54" s="50" t="s">
        <v>154</v>
      </c>
      <c r="AH54" s="49"/>
      <c r="AI54" s="50"/>
      <c r="AJ54" s="49" t="s">
        <v>5</v>
      </c>
      <c r="AK54" s="50" t="s">
        <v>714</v>
      </c>
      <c r="AL54" s="49"/>
      <c r="AM54" s="50"/>
      <c r="AN54" s="49"/>
      <c r="AO54" s="50"/>
      <c r="AP54" s="49"/>
      <c r="AQ54" s="50"/>
      <c r="AR54" s="49" t="s">
        <v>5</v>
      </c>
      <c r="AS54" s="50" t="s">
        <v>102</v>
      </c>
      <c r="AT54" s="49"/>
      <c r="AU54" s="50"/>
      <c r="AV54" s="49" t="s">
        <v>5</v>
      </c>
      <c r="AW54" s="50" t="s">
        <v>495</v>
      </c>
      <c r="AX54" s="49" t="s">
        <v>5</v>
      </c>
      <c r="AY54" s="50" t="s">
        <v>84</v>
      </c>
      <c r="AZ54" s="49" t="s">
        <v>5</v>
      </c>
      <c r="BA54" s="50" t="s">
        <v>92</v>
      </c>
      <c r="BB54" s="49"/>
      <c r="BC54" s="50"/>
      <c r="BD54" s="49"/>
      <c r="BE54" s="50"/>
      <c r="BF54" s="49"/>
      <c r="BG54" s="50"/>
      <c r="BH54" s="49" t="s">
        <v>1</v>
      </c>
      <c r="BI54" s="50" t="s">
        <v>112</v>
      </c>
      <c r="BJ54" s="49"/>
      <c r="BK54" s="50"/>
      <c r="BL54" s="49"/>
      <c r="BM54" s="50"/>
      <c r="BN54" s="49" t="s">
        <v>1</v>
      </c>
      <c r="BO54" s="50" t="s">
        <v>107</v>
      </c>
      <c r="BP54" s="49" t="s">
        <v>1</v>
      </c>
      <c r="BQ54" s="50" t="s">
        <v>107</v>
      </c>
      <c r="BR54" s="49" t="s">
        <v>5</v>
      </c>
      <c r="BS54" s="50" t="s">
        <v>140</v>
      </c>
      <c r="BT54" s="49"/>
      <c r="BU54" s="50"/>
      <c r="BV54" s="49" t="s">
        <v>5</v>
      </c>
      <c r="BW54" s="50" t="s">
        <v>82</v>
      </c>
      <c r="BX54" s="49"/>
      <c r="BY54" s="50"/>
      <c r="BZ54" s="49"/>
      <c r="CA54" s="50"/>
    </row>
    <row r="55" spans="1:79" x14ac:dyDescent="0.25">
      <c r="A55" s="76">
        <v>151890</v>
      </c>
      <c r="B55" s="77" t="s">
        <v>1012</v>
      </c>
      <c r="C55" s="78" t="s">
        <v>959</v>
      </c>
      <c r="D55" s="76" t="s">
        <v>70</v>
      </c>
      <c r="E55" s="79" t="s">
        <v>14</v>
      </c>
      <c r="F55" s="79" t="s">
        <v>71</v>
      </c>
      <c r="G55" s="79" t="s">
        <v>14</v>
      </c>
      <c r="H55" s="79" t="s">
        <v>14</v>
      </c>
      <c r="I55" s="78" t="s">
        <v>14</v>
      </c>
      <c r="J55" s="79" t="s">
        <v>14</v>
      </c>
      <c r="K55" s="142" t="s">
        <v>1850</v>
      </c>
      <c r="L55" s="149" t="s">
        <v>1844</v>
      </c>
      <c r="M55" s="150" t="s">
        <v>12</v>
      </c>
      <c r="N55" s="151">
        <v>14</v>
      </c>
      <c r="O55" s="151">
        <v>0</v>
      </c>
      <c r="P55" s="152">
        <v>0</v>
      </c>
      <c r="Q55" s="153">
        <v>97.83</v>
      </c>
      <c r="R55" s="154">
        <v>0</v>
      </c>
      <c r="S55" s="38">
        <f t="shared" si="0"/>
        <v>2</v>
      </c>
      <c r="T55" s="39">
        <f t="shared" si="1"/>
        <v>8</v>
      </c>
      <c r="U55" s="40">
        <f t="shared" si="2"/>
        <v>0</v>
      </c>
      <c r="V55" s="40">
        <f t="shared" si="3"/>
        <v>0</v>
      </c>
      <c r="W55" s="40">
        <f t="shared" si="4"/>
        <v>0</v>
      </c>
      <c r="X55" s="40">
        <f t="shared" si="5"/>
        <v>0</v>
      </c>
      <c r="Y55" s="40">
        <f t="shared" si="6"/>
        <v>0</v>
      </c>
      <c r="Z55" s="40">
        <f t="shared" si="7"/>
        <v>0</v>
      </c>
      <c r="AA55" s="40">
        <f t="shared" si="8"/>
        <v>0</v>
      </c>
      <c r="AB55" s="40">
        <f t="shared" si="9"/>
        <v>0</v>
      </c>
      <c r="AC55" s="41">
        <f t="shared" si="10"/>
        <v>0</v>
      </c>
      <c r="AD55" s="49"/>
      <c r="AE55" s="50"/>
      <c r="AF55" s="49"/>
      <c r="AG55" s="50"/>
      <c r="AH55" s="49"/>
      <c r="AI55" s="50"/>
      <c r="AJ55" s="49"/>
      <c r="AK55" s="50"/>
      <c r="AL55" s="49"/>
      <c r="AM55" s="50"/>
      <c r="AN55" s="49"/>
      <c r="AO55" s="50"/>
      <c r="AP55" s="49"/>
      <c r="AQ55" s="50"/>
      <c r="AR55" s="49" t="s">
        <v>5</v>
      </c>
      <c r="AS55" s="50" t="s">
        <v>74</v>
      </c>
      <c r="AT55" s="49" t="s">
        <v>5</v>
      </c>
      <c r="AU55" s="50" t="s">
        <v>73</v>
      </c>
      <c r="AV55" s="49" t="s">
        <v>5</v>
      </c>
      <c r="AW55" s="50" t="s">
        <v>194</v>
      </c>
      <c r="AX55" s="49" t="s">
        <v>5</v>
      </c>
      <c r="AY55" s="50" t="s">
        <v>103</v>
      </c>
      <c r="AZ55" s="49" t="s">
        <v>1</v>
      </c>
      <c r="BA55" s="50" t="s">
        <v>92</v>
      </c>
      <c r="BB55" s="49"/>
      <c r="BC55" s="50"/>
      <c r="BD55" s="49"/>
      <c r="BE55" s="50"/>
      <c r="BF55" s="49"/>
      <c r="BG55" s="50"/>
      <c r="BH55" s="49" t="s">
        <v>5</v>
      </c>
      <c r="BI55" s="50" t="s">
        <v>106</v>
      </c>
      <c r="BJ55" s="49" t="s">
        <v>1</v>
      </c>
      <c r="BK55" s="50" t="s">
        <v>95</v>
      </c>
      <c r="BL55" s="49"/>
      <c r="BM55" s="50"/>
      <c r="BN55" s="49" t="s">
        <v>5</v>
      </c>
      <c r="BO55" s="50" t="s">
        <v>152</v>
      </c>
      <c r="BP55" s="49"/>
      <c r="BQ55" s="50"/>
      <c r="BR55" s="49"/>
      <c r="BS55" s="50"/>
      <c r="BT55" s="49"/>
      <c r="BU55" s="50"/>
      <c r="BV55" s="49" t="s">
        <v>5</v>
      </c>
      <c r="BW55" s="50" t="s">
        <v>132</v>
      </c>
      <c r="BX55" s="49" t="s">
        <v>5</v>
      </c>
      <c r="BY55" s="50" t="s">
        <v>137</v>
      </c>
      <c r="BZ55" s="49"/>
      <c r="CA55" s="50"/>
    </row>
    <row r="56" spans="1:79" x14ac:dyDescent="0.25">
      <c r="A56" s="76">
        <v>151891</v>
      </c>
      <c r="B56" s="77" t="s">
        <v>1013</v>
      </c>
      <c r="C56" s="78" t="s">
        <v>952</v>
      </c>
      <c r="D56" s="76" t="s">
        <v>70</v>
      </c>
      <c r="E56" s="79" t="s">
        <v>14</v>
      </c>
      <c r="F56" s="79" t="s">
        <v>71</v>
      </c>
      <c r="G56" s="79" t="s">
        <v>14</v>
      </c>
      <c r="H56" s="79" t="s">
        <v>14</v>
      </c>
      <c r="I56" s="78" t="s">
        <v>14</v>
      </c>
      <c r="J56" s="79" t="s">
        <v>14</v>
      </c>
      <c r="K56" s="142" t="s">
        <v>1850</v>
      </c>
      <c r="L56" s="149" t="s">
        <v>1842</v>
      </c>
      <c r="M56" s="150" t="s">
        <v>12</v>
      </c>
      <c r="N56" s="151">
        <v>12</v>
      </c>
      <c r="O56" s="151">
        <v>0</v>
      </c>
      <c r="P56" s="152">
        <v>0</v>
      </c>
      <c r="Q56" s="153">
        <v>100</v>
      </c>
      <c r="R56" s="154">
        <v>0</v>
      </c>
      <c r="S56" s="38">
        <f t="shared" si="0"/>
        <v>4</v>
      </c>
      <c r="T56" s="39">
        <f t="shared" si="1"/>
        <v>6</v>
      </c>
      <c r="U56" s="40">
        <f t="shared" si="2"/>
        <v>0</v>
      </c>
      <c r="V56" s="40">
        <f t="shared" si="3"/>
        <v>0</v>
      </c>
      <c r="W56" s="40">
        <f t="shared" si="4"/>
        <v>0</v>
      </c>
      <c r="X56" s="40">
        <f t="shared" si="5"/>
        <v>0</v>
      </c>
      <c r="Y56" s="40">
        <f t="shared" si="6"/>
        <v>0</v>
      </c>
      <c r="Z56" s="40">
        <f t="shared" si="7"/>
        <v>0</v>
      </c>
      <c r="AA56" s="40">
        <f t="shared" si="8"/>
        <v>0</v>
      </c>
      <c r="AB56" s="40">
        <f t="shared" si="9"/>
        <v>0</v>
      </c>
      <c r="AC56" s="41">
        <f t="shared" si="10"/>
        <v>0</v>
      </c>
      <c r="AD56" s="49" t="s">
        <v>1</v>
      </c>
      <c r="AE56" s="50" t="s">
        <v>116</v>
      </c>
      <c r="AF56" s="49"/>
      <c r="AG56" s="50"/>
      <c r="AH56" s="49"/>
      <c r="AI56" s="50"/>
      <c r="AJ56" s="49"/>
      <c r="AK56" s="50"/>
      <c r="AL56" s="49"/>
      <c r="AM56" s="50"/>
      <c r="AN56" s="49"/>
      <c r="AO56" s="50"/>
      <c r="AP56" s="49"/>
      <c r="AQ56" s="50"/>
      <c r="AR56" s="49" t="s">
        <v>5</v>
      </c>
      <c r="AS56" s="50" t="s">
        <v>102</v>
      </c>
      <c r="AT56" s="49"/>
      <c r="AU56" s="50"/>
      <c r="AV56" s="49" t="s">
        <v>5</v>
      </c>
      <c r="AW56" s="50" t="s">
        <v>117</v>
      </c>
      <c r="AX56" s="49"/>
      <c r="AY56" s="50"/>
      <c r="AZ56" s="49" t="s">
        <v>5</v>
      </c>
      <c r="BA56" s="50" t="s">
        <v>76</v>
      </c>
      <c r="BB56" s="49"/>
      <c r="BC56" s="50"/>
      <c r="BD56" s="49"/>
      <c r="BE56" s="50"/>
      <c r="BF56" s="49"/>
      <c r="BG56" s="50"/>
      <c r="BH56" s="49" t="s">
        <v>1</v>
      </c>
      <c r="BI56" s="50" t="s">
        <v>136</v>
      </c>
      <c r="BJ56" s="49"/>
      <c r="BK56" s="50"/>
      <c r="BL56" s="49" t="s">
        <v>5</v>
      </c>
      <c r="BM56" s="50" t="s">
        <v>116</v>
      </c>
      <c r="BN56" s="49" t="s">
        <v>1</v>
      </c>
      <c r="BO56" s="50" t="s">
        <v>152</v>
      </c>
      <c r="BP56" s="49"/>
      <c r="BQ56" s="50"/>
      <c r="BR56" s="49"/>
      <c r="BS56" s="50"/>
      <c r="BT56" s="49"/>
      <c r="BU56" s="50"/>
      <c r="BV56" s="49" t="s">
        <v>1</v>
      </c>
      <c r="BW56" s="50" t="s">
        <v>122</v>
      </c>
      <c r="BX56" s="49" t="s">
        <v>5</v>
      </c>
      <c r="BY56" s="50" t="s">
        <v>137</v>
      </c>
      <c r="BZ56" s="49" t="s">
        <v>5</v>
      </c>
      <c r="CA56" s="50" t="s">
        <v>124</v>
      </c>
    </row>
    <row r="57" spans="1:79" x14ac:dyDescent="0.25">
      <c r="A57" s="76">
        <v>151845</v>
      </c>
      <c r="B57" s="77" t="s">
        <v>1014</v>
      </c>
      <c r="C57" s="78" t="s">
        <v>970</v>
      </c>
      <c r="D57" s="76" t="s">
        <v>12</v>
      </c>
      <c r="E57" s="79" t="s">
        <v>14</v>
      </c>
      <c r="F57" s="79" t="s">
        <v>71</v>
      </c>
      <c r="G57" s="79" t="s">
        <v>14</v>
      </c>
      <c r="H57" s="79" t="s">
        <v>14</v>
      </c>
      <c r="I57" s="78" t="s">
        <v>14</v>
      </c>
      <c r="J57" s="79" t="s">
        <v>14</v>
      </c>
      <c r="K57" s="142" t="s">
        <v>1850</v>
      </c>
      <c r="L57" s="149" t="s">
        <v>1846</v>
      </c>
      <c r="M57" s="150" t="s">
        <v>1853</v>
      </c>
      <c r="N57" s="151">
        <v>8</v>
      </c>
      <c r="O57" s="151">
        <v>1</v>
      </c>
      <c r="P57" s="152">
        <v>2</v>
      </c>
      <c r="Q57" s="153">
        <v>100</v>
      </c>
      <c r="R57" s="154">
        <v>0</v>
      </c>
      <c r="S57" s="38">
        <f t="shared" si="0"/>
        <v>2</v>
      </c>
      <c r="T57" s="39">
        <f t="shared" si="1"/>
        <v>8</v>
      </c>
      <c r="U57" s="40">
        <f t="shared" si="2"/>
        <v>1</v>
      </c>
      <c r="V57" s="40">
        <f t="shared" si="3"/>
        <v>0</v>
      </c>
      <c r="W57" s="40">
        <f t="shared" si="4"/>
        <v>0</v>
      </c>
      <c r="X57" s="40">
        <f t="shared" si="5"/>
        <v>1</v>
      </c>
      <c r="Y57" s="40">
        <f t="shared" si="6"/>
        <v>0</v>
      </c>
      <c r="Z57" s="40">
        <f t="shared" si="7"/>
        <v>0</v>
      </c>
      <c r="AA57" s="40">
        <f t="shared" si="8"/>
        <v>0</v>
      </c>
      <c r="AB57" s="40">
        <f t="shared" si="9"/>
        <v>0</v>
      </c>
      <c r="AC57" s="41">
        <f t="shared" si="10"/>
        <v>0</v>
      </c>
      <c r="AD57" s="49"/>
      <c r="AE57" s="50"/>
      <c r="AF57" s="49" t="s">
        <v>30</v>
      </c>
      <c r="AG57" s="50" t="s">
        <v>154</v>
      </c>
      <c r="AH57" s="49"/>
      <c r="AI57" s="50"/>
      <c r="AJ57" s="49" t="s">
        <v>5</v>
      </c>
      <c r="AK57" s="50" t="s">
        <v>714</v>
      </c>
      <c r="AL57" s="49"/>
      <c r="AM57" s="50"/>
      <c r="AN57" s="49" t="s">
        <v>1</v>
      </c>
      <c r="AO57" s="50" t="s">
        <v>163</v>
      </c>
      <c r="AP57" s="49"/>
      <c r="AQ57" s="50"/>
      <c r="AR57" s="49" t="s">
        <v>5</v>
      </c>
      <c r="AS57" s="50" t="s">
        <v>169</v>
      </c>
      <c r="AT57" s="49"/>
      <c r="AU57" s="50"/>
      <c r="AV57" s="49" t="s">
        <v>5</v>
      </c>
      <c r="AW57" s="50" t="s">
        <v>140</v>
      </c>
      <c r="AX57" s="49"/>
      <c r="AY57" s="50"/>
      <c r="AZ57" s="49" t="s">
        <v>5</v>
      </c>
      <c r="BA57" s="50" t="s">
        <v>92</v>
      </c>
      <c r="BB57" s="49"/>
      <c r="BC57" s="50"/>
      <c r="BD57" s="49"/>
      <c r="BE57" s="50"/>
      <c r="BF57" s="49"/>
      <c r="BG57" s="50"/>
      <c r="BH57" s="49" t="s">
        <v>5</v>
      </c>
      <c r="BI57" s="50" t="s">
        <v>94</v>
      </c>
      <c r="BJ57" s="49"/>
      <c r="BK57" s="50"/>
      <c r="BL57" s="49"/>
      <c r="BM57" s="50"/>
      <c r="BN57" s="49" t="s">
        <v>1</v>
      </c>
      <c r="BO57" s="50" t="s">
        <v>107</v>
      </c>
      <c r="BP57" s="49"/>
      <c r="BQ57" s="50"/>
      <c r="BR57" s="49" t="s">
        <v>5</v>
      </c>
      <c r="BS57" s="50" t="s">
        <v>140</v>
      </c>
      <c r="BT57" s="49"/>
      <c r="BU57" s="50"/>
      <c r="BV57" s="49" t="s">
        <v>5</v>
      </c>
      <c r="BW57" s="50" t="s">
        <v>132</v>
      </c>
      <c r="BX57" s="49"/>
      <c r="BY57" s="50"/>
      <c r="BZ57" s="49" t="s">
        <v>5</v>
      </c>
      <c r="CA57" s="50" t="s">
        <v>75</v>
      </c>
    </row>
    <row r="58" spans="1:79" x14ac:dyDescent="0.25">
      <c r="A58" s="76">
        <v>151816</v>
      </c>
      <c r="B58" s="77" t="s">
        <v>1015</v>
      </c>
      <c r="C58" s="78" t="s">
        <v>952</v>
      </c>
      <c r="D58" s="76" t="s">
        <v>12</v>
      </c>
      <c r="E58" s="79" t="s">
        <v>14</v>
      </c>
      <c r="F58" s="79" t="s">
        <v>450</v>
      </c>
      <c r="G58" s="79" t="s">
        <v>14</v>
      </c>
      <c r="H58" s="79" t="s">
        <v>14</v>
      </c>
      <c r="I58" s="78" t="s">
        <v>14</v>
      </c>
      <c r="J58" s="79" t="s">
        <v>14</v>
      </c>
      <c r="K58" s="142" t="s">
        <v>1851</v>
      </c>
      <c r="L58" s="149" t="s">
        <v>1845</v>
      </c>
      <c r="M58" s="150" t="s">
        <v>12</v>
      </c>
      <c r="N58" s="151">
        <v>12</v>
      </c>
      <c r="O58" s="151">
        <v>5</v>
      </c>
      <c r="P58" s="152">
        <v>0</v>
      </c>
      <c r="Q58" s="153">
        <v>97.83</v>
      </c>
      <c r="R58" s="154">
        <v>3</v>
      </c>
      <c r="S58" s="38">
        <f t="shared" si="0"/>
        <v>0</v>
      </c>
      <c r="T58" s="39">
        <f t="shared" si="1"/>
        <v>10</v>
      </c>
      <c r="U58" s="40">
        <f t="shared" si="2"/>
        <v>0</v>
      </c>
      <c r="V58" s="40">
        <f t="shared" si="3"/>
        <v>0</v>
      </c>
      <c r="W58" s="40">
        <f t="shared" si="4"/>
        <v>0</v>
      </c>
      <c r="X58" s="40">
        <f t="shared" si="5"/>
        <v>0</v>
      </c>
      <c r="Y58" s="40">
        <f t="shared" si="6"/>
        <v>0</v>
      </c>
      <c r="Z58" s="40">
        <f t="shared" si="7"/>
        <v>0</v>
      </c>
      <c r="AA58" s="40">
        <f t="shared" si="8"/>
        <v>0</v>
      </c>
      <c r="AB58" s="40">
        <f t="shared" si="9"/>
        <v>0</v>
      </c>
      <c r="AC58" s="41">
        <f t="shared" si="10"/>
        <v>0</v>
      </c>
      <c r="AD58" s="49"/>
      <c r="AE58" s="50"/>
      <c r="AF58" s="49" t="s">
        <v>5</v>
      </c>
      <c r="AG58" s="50" t="s">
        <v>438</v>
      </c>
      <c r="AH58" s="49" t="s">
        <v>5</v>
      </c>
      <c r="AI58" s="50" t="s">
        <v>78</v>
      </c>
      <c r="AJ58" s="49" t="s">
        <v>5</v>
      </c>
      <c r="AK58" s="50" t="s">
        <v>83</v>
      </c>
      <c r="AL58" s="49"/>
      <c r="AM58" s="50"/>
      <c r="AN58" s="49"/>
      <c r="AO58" s="50"/>
      <c r="AP58" s="49"/>
      <c r="AQ58" s="50"/>
      <c r="AR58" s="49" t="s">
        <v>5</v>
      </c>
      <c r="AS58" s="50" t="s">
        <v>722</v>
      </c>
      <c r="AT58" s="49"/>
      <c r="AU58" s="50"/>
      <c r="AV58" s="49" t="s">
        <v>5</v>
      </c>
      <c r="AW58" s="50" t="s">
        <v>117</v>
      </c>
      <c r="AX58" s="49"/>
      <c r="AY58" s="50"/>
      <c r="AZ58" s="49" t="s">
        <v>5</v>
      </c>
      <c r="BA58" s="50" t="s">
        <v>76</v>
      </c>
      <c r="BB58" s="49"/>
      <c r="BC58" s="50"/>
      <c r="BD58" s="49"/>
      <c r="BE58" s="50"/>
      <c r="BF58" s="49"/>
      <c r="BG58" s="50"/>
      <c r="BH58" s="49" t="s">
        <v>5</v>
      </c>
      <c r="BI58" s="50" t="s">
        <v>112</v>
      </c>
      <c r="BJ58" s="49"/>
      <c r="BK58" s="50"/>
      <c r="BL58" s="49"/>
      <c r="BM58" s="50"/>
      <c r="BN58" s="49" t="s">
        <v>5</v>
      </c>
      <c r="BO58" s="50" t="s">
        <v>107</v>
      </c>
      <c r="BP58" s="49"/>
      <c r="BQ58" s="50"/>
      <c r="BR58" s="49" t="s">
        <v>5</v>
      </c>
      <c r="BS58" s="50" t="s">
        <v>123</v>
      </c>
      <c r="BT58" s="49"/>
      <c r="BU58" s="50"/>
      <c r="BV58" s="49" t="s">
        <v>5</v>
      </c>
      <c r="BW58" s="50" t="s">
        <v>602</v>
      </c>
      <c r="BX58" s="49"/>
      <c r="BY58" s="50"/>
      <c r="BZ58" s="49"/>
      <c r="CA58" s="50" t="s">
        <v>75</v>
      </c>
    </row>
    <row r="59" spans="1:79" x14ac:dyDescent="0.25">
      <c r="A59" s="76">
        <v>151880</v>
      </c>
      <c r="B59" s="77" t="s">
        <v>1016</v>
      </c>
      <c r="C59" s="78" t="s">
        <v>950</v>
      </c>
      <c r="D59" s="76" t="s">
        <v>12</v>
      </c>
      <c r="E59" s="79" t="s">
        <v>87</v>
      </c>
      <c r="F59" s="79" t="s">
        <v>88</v>
      </c>
      <c r="G59" s="79" t="s">
        <v>14</v>
      </c>
      <c r="H59" s="79" t="s">
        <v>87</v>
      </c>
      <c r="I59" s="78" t="s">
        <v>14</v>
      </c>
      <c r="J59" s="79" t="s">
        <v>4</v>
      </c>
      <c r="K59" s="142" t="s">
        <v>1850</v>
      </c>
      <c r="L59" s="149" t="s">
        <v>1843</v>
      </c>
      <c r="M59" s="150" t="s">
        <v>1852</v>
      </c>
      <c r="N59" s="151">
        <v>14</v>
      </c>
      <c r="O59" s="151">
        <v>16</v>
      </c>
      <c r="P59" s="152">
        <v>0</v>
      </c>
      <c r="Q59" s="153">
        <v>93.33</v>
      </c>
      <c r="R59" s="154">
        <v>9</v>
      </c>
      <c r="S59" s="38">
        <f t="shared" si="0"/>
        <v>0</v>
      </c>
      <c r="T59" s="39">
        <f t="shared" si="1"/>
        <v>4</v>
      </c>
      <c r="U59" s="40">
        <f t="shared" si="2"/>
        <v>4</v>
      </c>
      <c r="V59" s="40">
        <f t="shared" si="3"/>
        <v>0</v>
      </c>
      <c r="W59" s="40">
        <f t="shared" si="4"/>
        <v>0</v>
      </c>
      <c r="X59" s="40">
        <f t="shared" si="5"/>
        <v>4</v>
      </c>
      <c r="Y59" s="40">
        <f t="shared" si="6"/>
        <v>0</v>
      </c>
      <c r="Z59" s="40">
        <f t="shared" si="7"/>
        <v>0</v>
      </c>
      <c r="AA59" s="40">
        <f t="shared" si="8"/>
        <v>0</v>
      </c>
      <c r="AB59" s="40">
        <f t="shared" si="9"/>
        <v>0</v>
      </c>
      <c r="AC59" s="41">
        <f t="shared" si="10"/>
        <v>0</v>
      </c>
      <c r="AD59" s="49"/>
      <c r="AE59" s="50"/>
      <c r="AF59" s="49"/>
      <c r="AG59" s="50"/>
      <c r="AH59" s="49" t="s">
        <v>30</v>
      </c>
      <c r="AI59" s="50" t="s">
        <v>78</v>
      </c>
      <c r="AJ59" s="49"/>
      <c r="AK59" s="50"/>
      <c r="AL59" s="49"/>
      <c r="AM59" s="50"/>
      <c r="AN59" s="49"/>
      <c r="AO59" s="50"/>
      <c r="AP59" s="49"/>
      <c r="AQ59" s="50"/>
      <c r="AR59" s="49" t="s">
        <v>30</v>
      </c>
      <c r="AS59" s="50" t="s">
        <v>91</v>
      </c>
      <c r="AT59" s="49"/>
      <c r="AU59" s="50"/>
      <c r="AV59" s="49" t="s">
        <v>5</v>
      </c>
      <c r="AW59" s="50" t="s">
        <v>96</v>
      </c>
      <c r="AX59" s="49"/>
      <c r="AY59" s="50" t="s">
        <v>143</v>
      </c>
      <c r="AZ59" s="49" t="s">
        <v>5</v>
      </c>
      <c r="BA59" s="50" t="s">
        <v>76</v>
      </c>
      <c r="BB59" s="49"/>
      <c r="BC59" s="50"/>
      <c r="BD59" s="49"/>
      <c r="BE59" s="50"/>
      <c r="BF59" s="49"/>
      <c r="BG59" s="50"/>
      <c r="BH59" s="49" t="s">
        <v>30</v>
      </c>
      <c r="BI59" s="50" t="s">
        <v>505</v>
      </c>
      <c r="BJ59" s="49"/>
      <c r="BK59" s="50"/>
      <c r="BL59" s="49"/>
      <c r="BM59" s="50"/>
      <c r="BN59" s="49" t="s">
        <v>5</v>
      </c>
      <c r="BO59" s="50" t="s">
        <v>96</v>
      </c>
      <c r="BP59" s="49"/>
      <c r="BQ59" s="50"/>
      <c r="BR59" s="49"/>
      <c r="BS59" s="50"/>
      <c r="BT59" s="49"/>
      <c r="BU59" s="50"/>
      <c r="BV59" s="49" t="s">
        <v>5</v>
      </c>
      <c r="BW59" s="50" t="s">
        <v>602</v>
      </c>
      <c r="BX59" s="49" t="s">
        <v>30</v>
      </c>
      <c r="BY59" s="50" t="s">
        <v>164</v>
      </c>
      <c r="BZ59" s="49"/>
      <c r="CA59" s="50"/>
    </row>
    <row r="60" spans="1:79" x14ac:dyDescent="0.25">
      <c r="A60" s="76">
        <v>151885</v>
      </c>
      <c r="B60" s="77" t="s">
        <v>1017</v>
      </c>
      <c r="C60" s="78" t="s">
        <v>970</v>
      </c>
      <c r="D60" s="76" t="s">
        <v>12</v>
      </c>
      <c r="E60" s="79" t="s">
        <v>14</v>
      </c>
      <c r="F60" s="79" t="s">
        <v>71</v>
      </c>
      <c r="G60" s="79" t="s">
        <v>14</v>
      </c>
      <c r="H60" s="79" t="s">
        <v>14</v>
      </c>
      <c r="I60" s="78" t="s">
        <v>14</v>
      </c>
      <c r="J60" s="79" t="s">
        <v>14</v>
      </c>
      <c r="K60" s="142" t="s">
        <v>1850</v>
      </c>
      <c r="L60" s="149" t="s">
        <v>1844</v>
      </c>
      <c r="M60" s="150" t="s">
        <v>12</v>
      </c>
      <c r="N60" s="151">
        <v>11</v>
      </c>
      <c r="O60" s="151">
        <v>1</v>
      </c>
      <c r="P60" s="152">
        <v>0</v>
      </c>
      <c r="Q60" s="153">
        <v>100</v>
      </c>
      <c r="R60" s="154">
        <v>3</v>
      </c>
      <c r="S60" s="38">
        <f t="shared" si="0"/>
        <v>1</v>
      </c>
      <c r="T60" s="39">
        <f t="shared" si="1"/>
        <v>10</v>
      </c>
      <c r="U60" s="40">
        <f t="shared" si="2"/>
        <v>0</v>
      </c>
      <c r="V60" s="40">
        <f t="shared" si="3"/>
        <v>0</v>
      </c>
      <c r="W60" s="40">
        <f t="shared" si="4"/>
        <v>0</v>
      </c>
      <c r="X60" s="40">
        <f t="shared" si="5"/>
        <v>0</v>
      </c>
      <c r="Y60" s="40">
        <f t="shared" si="6"/>
        <v>0</v>
      </c>
      <c r="Z60" s="40">
        <f t="shared" si="7"/>
        <v>0</v>
      </c>
      <c r="AA60" s="40">
        <f t="shared" si="8"/>
        <v>0</v>
      </c>
      <c r="AB60" s="40">
        <f t="shared" si="9"/>
        <v>0</v>
      </c>
      <c r="AC60" s="41">
        <f t="shared" si="10"/>
        <v>0</v>
      </c>
      <c r="AD60" s="49"/>
      <c r="AE60" s="50"/>
      <c r="AF60" s="49" t="s">
        <v>5</v>
      </c>
      <c r="AG60" s="50" t="s">
        <v>154</v>
      </c>
      <c r="AH60" s="49"/>
      <c r="AI60" s="50"/>
      <c r="AJ60" s="49" t="s">
        <v>5</v>
      </c>
      <c r="AK60" s="50" t="s">
        <v>83</v>
      </c>
      <c r="AL60" s="49"/>
      <c r="AM60" s="50"/>
      <c r="AN60" s="49"/>
      <c r="AO60" s="50"/>
      <c r="AP60" s="49"/>
      <c r="AQ60" s="50"/>
      <c r="AR60" s="49" t="s">
        <v>5</v>
      </c>
      <c r="AS60" s="50" t="s">
        <v>722</v>
      </c>
      <c r="AT60" s="49"/>
      <c r="AU60" s="50"/>
      <c r="AV60" s="49" t="s">
        <v>5</v>
      </c>
      <c r="AW60" s="50" t="s">
        <v>140</v>
      </c>
      <c r="AX60" s="49"/>
      <c r="AY60" s="50"/>
      <c r="AZ60" s="49"/>
      <c r="BA60" s="50"/>
      <c r="BB60" s="49" t="s">
        <v>1</v>
      </c>
      <c r="BC60" s="50" t="s">
        <v>425</v>
      </c>
      <c r="BD60" s="49"/>
      <c r="BE60" s="50"/>
      <c r="BF60" s="49"/>
      <c r="BG60" s="50"/>
      <c r="BH60" s="49" t="s">
        <v>5</v>
      </c>
      <c r="BI60" s="50" t="s">
        <v>136</v>
      </c>
      <c r="BJ60" s="49"/>
      <c r="BK60" s="50"/>
      <c r="BL60" s="49"/>
      <c r="BM60" s="50"/>
      <c r="BN60" s="49" t="s">
        <v>5</v>
      </c>
      <c r="BO60" s="50" t="s">
        <v>96</v>
      </c>
      <c r="BP60" s="49"/>
      <c r="BQ60" s="50"/>
      <c r="BR60" s="49" t="s">
        <v>5</v>
      </c>
      <c r="BS60" s="50" t="s">
        <v>98</v>
      </c>
      <c r="BT60" s="49" t="s">
        <v>5</v>
      </c>
      <c r="BU60" s="50" t="s">
        <v>90</v>
      </c>
      <c r="BV60" s="49" t="s">
        <v>5</v>
      </c>
      <c r="BW60" s="50" t="s">
        <v>97</v>
      </c>
      <c r="BX60" s="49"/>
      <c r="BY60" s="50"/>
      <c r="BZ60" s="49" t="s">
        <v>5</v>
      </c>
      <c r="CA60" s="50" t="s">
        <v>124</v>
      </c>
    </row>
    <row r="61" spans="1:79" x14ac:dyDescent="0.25">
      <c r="A61" s="76">
        <v>151863</v>
      </c>
      <c r="B61" s="77" t="s">
        <v>1018</v>
      </c>
      <c r="C61" s="78" t="s">
        <v>959</v>
      </c>
      <c r="D61" s="76" t="s">
        <v>12</v>
      </c>
      <c r="E61" s="79" t="s">
        <v>14</v>
      </c>
      <c r="F61" s="79" t="s">
        <v>71</v>
      </c>
      <c r="G61" s="79" t="s">
        <v>14</v>
      </c>
      <c r="H61" s="79" t="s">
        <v>14</v>
      </c>
      <c r="I61" s="78" t="s">
        <v>14</v>
      </c>
      <c r="J61" s="79" t="s">
        <v>14</v>
      </c>
      <c r="K61" s="142" t="s">
        <v>1850</v>
      </c>
      <c r="L61" s="149" t="s">
        <v>1845</v>
      </c>
      <c r="M61" s="150" t="s">
        <v>12</v>
      </c>
      <c r="N61" s="151">
        <v>23</v>
      </c>
      <c r="O61" s="151">
        <v>0</v>
      </c>
      <c r="P61" s="152">
        <v>0</v>
      </c>
      <c r="Q61" s="153">
        <v>95.65</v>
      </c>
      <c r="R61" s="154">
        <v>0</v>
      </c>
      <c r="S61" s="38">
        <f t="shared" si="0"/>
        <v>2</v>
      </c>
      <c r="T61" s="39">
        <f t="shared" si="1"/>
        <v>8</v>
      </c>
      <c r="U61" s="40">
        <f t="shared" si="2"/>
        <v>0</v>
      </c>
      <c r="V61" s="40">
        <f t="shared" si="3"/>
        <v>0</v>
      </c>
      <c r="W61" s="40">
        <f t="shared" si="4"/>
        <v>0</v>
      </c>
      <c r="X61" s="40">
        <f t="shared" si="5"/>
        <v>0</v>
      </c>
      <c r="Y61" s="40">
        <f t="shared" si="6"/>
        <v>0</v>
      </c>
      <c r="Z61" s="40">
        <f t="shared" si="7"/>
        <v>0</v>
      </c>
      <c r="AA61" s="40">
        <f t="shared" si="8"/>
        <v>0</v>
      </c>
      <c r="AB61" s="40">
        <f t="shared" si="9"/>
        <v>0</v>
      </c>
      <c r="AC61" s="41">
        <f t="shared" si="10"/>
        <v>0</v>
      </c>
      <c r="AD61" s="49" t="s">
        <v>5</v>
      </c>
      <c r="AE61" s="50" t="s">
        <v>116</v>
      </c>
      <c r="AF61" s="49"/>
      <c r="AG61" s="50"/>
      <c r="AH61" s="49"/>
      <c r="AI61" s="50"/>
      <c r="AJ61" s="49"/>
      <c r="AK61" s="50"/>
      <c r="AL61" s="49"/>
      <c r="AM61" s="50"/>
      <c r="AN61" s="49"/>
      <c r="AO61" s="50"/>
      <c r="AP61" s="49"/>
      <c r="AQ61" s="50"/>
      <c r="AR61" s="49" t="s">
        <v>5</v>
      </c>
      <c r="AS61" s="50" t="s">
        <v>194</v>
      </c>
      <c r="AT61" s="49"/>
      <c r="AU61" s="50"/>
      <c r="AV61" s="49" t="s">
        <v>5</v>
      </c>
      <c r="AW61" s="50" t="s">
        <v>194</v>
      </c>
      <c r="AX61" s="49" t="s">
        <v>5</v>
      </c>
      <c r="AY61" s="50" t="s">
        <v>84</v>
      </c>
      <c r="AZ61" s="49" t="s">
        <v>5</v>
      </c>
      <c r="BA61" s="50" t="s">
        <v>92</v>
      </c>
      <c r="BB61" s="49"/>
      <c r="BC61" s="50"/>
      <c r="BD61" s="49" t="s">
        <v>5</v>
      </c>
      <c r="BE61" s="50" t="s">
        <v>120</v>
      </c>
      <c r="BF61" s="49"/>
      <c r="BG61" s="50"/>
      <c r="BH61" s="49" t="s">
        <v>1</v>
      </c>
      <c r="BI61" s="50" t="s">
        <v>79</v>
      </c>
      <c r="BJ61" s="49"/>
      <c r="BK61" s="50"/>
      <c r="BL61" s="49"/>
      <c r="BM61" s="50"/>
      <c r="BN61" s="49" t="s">
        <v>1</v>
      </c>
      <c r="BO61" s="50" t="s">
        <v>96</v>
      </c>
      <c r="BP61" s="49"/>
      <c r="BQ61" s="50"/>
      <c r="BR61" s="49"/>
      <c r="BS61" s="50"/>
      <c r="BT61" s="49"/>
      <c r="BU61" s="50"/>
      <c r="BV61" s="49" t="s">
        <v>5</v>
      </c>
      <c r="BW61" s="50" t="s">
        <v>602</v>
      </c>
      <c r="BX61" s="49" t="s">
        <v>5</v>
      </c>
      <c r="BY61" s="50" t="s">
        <v>133</v>
      </c>
      <c r="BZ61" s="49"/>
      <c r="CA61" s="50"/>
    </row>
    <row r="62" spans="1:79" x14ac:dyDescent="0.25">
      <c r="A62" s="76">
        <v>151959</v>
      </c>
      <c r="B62" s="77" t="s">
        <v>1019</v>
      </c>
      <c r="C62" s="78" t="s">
        <v>959</v>
      </c>
      <c r="D62" s="76" t="s">
        <v>70</v>
      </c>
      <c r="E62" s="79" t="s">
        <v>14</v>
      </c>
      <c r="F62" s="79" t="s">
        <v>71</v>
      </c>
      <c r="G62" s="79" t="s">
        <v>14</v>
      </c>
      <c r="H62" s="79" t="s">
        <v>14</v>
      </c>
      <c r="I62" s="78" t="s">
        <v>14</v>
      </c>
      <c r="J62" s="79" t="s">
        <v>14</v>
      </c>
      <c r="K62" s="142" t="s">
        <v>1850</v>
      </c>
      <c r="L62" s="149" t="s">
        <v>1844</v>
      </c>
      <c r="M62" s="150" t="s">
        <v>12</v>
      </c>
      <c r="N62" s="151">
        <v>26</v>
      </c>
      <c r="O62" s="151">
        <v>0</v>
      </c>
      <c r="P62" s="152">
        <v>0</v>
      </c>
      <c r="Q62" s="153">
        <v>100</v>
      </c>
      <c r="R62" s="154">
        <v>0</v>
      </c>
      <c r="S62" s="38">
        <f t="shared" si="0"/>
        <v>3</v>
      </c>
      <c r="T62" s="39">
        <f t="shared" si="1"/>
        <v>7</v>
      </c>
      <c r="U62" s="40">
        <f t="shared" si="2"/>
        <v>0</v>
      </c>
      <c r="V62" s="40">
        <f t="shared" si="3"/>
        <v>0</v>
      </c>
      <c r="W62" s="40">
        <f t="shared" si="4"/>
        <v>0</v>
      </c>
      <c r="X62" s="40">
        <f t="shared" si="5"/>
        <v>0</v>
      </c>
      <c r="Y62" s="40">
        <f t="shared" si="6"/>
        <v>0</v>
      </c>
      <c r="Z62" s="40">
        <f t="shared" si="7"/>
        <v>0</v>
      </c>
      <c r="AA62" s="40">
        <f t="shared" si="8"/>
        <v>0</v>
      </c>
      <c r="AB62" s="40">
        <f t="shared" si="9"/>
        <v>0</v>
      </c>
      <c r="AC62" s="41">
        <f t="shared" si="10"/>
        <v>0</v>
      </c>
      <c r="AD62" s="49"/>
      <c r="AE62" s="50"/>
      <c r="AF62" s="49"/>
      <c r="AG62" s="50"/>
      <c r="AH62" s="49"/>
      <c r="AI62" s="50"/>
      <c r="AJ62" s="49"/>
      <c r="AK62" s="50"/>
      <c r="AL62" s="49"/>
      <c r="AM62" s="50"/>
      <c r="AN62" s="49"/>
      <c r="AO62" s="50"/>
      <c r="AP62" s="49"/>
      <c r="AQ62" s="50"/>
      <c r="AR62" s="49" t="s">
        <v>5</v>
      </c>
      <c r="AS62" s="50" t="s">
        <v>142</v>
      </c>
      <c r="AT62" s="49" t="s">
        <v>5</v>
      </c>
      <c r="AU62" s="50" t="s">
        <v>73</v>
      </c>
      <c r="AV62" s="49" t="s">
        <v>5</v>
      </c>
      <c r="AW62" s="50" t="s">
        <v>194</v>
      </c>
      <c r="AX62" s="49" t="s">
        <v>5</v>
      </c>
      <c r="AY62" s="50" t="s">
        <v>84</v>
      </c>
      <c r="AZ62" s="49"/>
      <c r="BA62" s="50"/>
      <c r="BB62" s="49"/>
      <c r="BC62" s="50"/>
      <c r="BD62" s="49" t="s">
        <v>1</v>
      </c>
      <c r="BE62" s="50" t="s">
        <v>120</v>
      </c>
      <c r="BF62" s="49"/>
      <c r="BG62" s="50"/>
      <c r="BH62" s="49" t="s">
        <v>1</v>
      </c>
      <c r="BI62" s="50" t="s">
        <v>106</v>
      </c>
      <c r="BJ62" s="49"/>
      <c r="BK62" s="50"/>
      <c r="BL62" s="49"/>
      <c r="BM62" s="50"/>
      <c r="BN62" s="49" t="s">
        <v>5</v>
      </c>
      <c r="BO62" s="50" t="s">
        <v>152</v>
      </c>
      <c r="BP62" s="49" t="s">
        <v>1</v>
      </c>
      <c r="BQ62" s="50" t="s">
        <v>152</v>
      </c>
      <c r="BR62" s="49"/>
      <c r="BS62" s="50"/>
      <c r="BT62" s="49"/>
      <c r="BU62" s="50"/>
      <c r="BV62" s="49" t="s">
        <v>5</v>
      </c>
      <c r="BW62" s="50" t="s">
        <v>82</v>
      </c>
      <c r="BX62" s="49" t="s">
        <v>5</v>
      </c>
      <c r="BY62" s="50" t="s">
        <v>137</v>
      </c>
      <c r="BZ62" s="49"/>
      <c r="CA62" s="50"/>
    </row>
    <row r="63" spans="1:79" x14ac:dyDescent="0.25">
      <c r="A63" s="76">
        <v>151944</v>
      </c>
      <c r="B63" s="77" t="s">
        <v>1020</v>
      </c>
      <c r="C63" s="78" t="s">
        <v>970</v>
      </c>
      <c r="D63" s="76" t="s">
        <v>70</v>
      </c>
      <c r="E63" s="79" t="s">
        <v>87</v>
      </c>
      <c r="F63" s="79" t="s">
        <v>71</v>
      </c>
      <c r="G63" s="79" t="s">
        <v>14</v>
      </c>
      <c r="H63" s="79" t="s">
        <v>87</v>
      </c>
      <c r="I63" s="78" t="s">
        <v>14</v>
      </c>
      <c r="J63" s="79" t="s">
        <v>14</v>
      </c>
      <c r="K63" s="142" t="s">
        <v>1850</v>
      </c>
      <c r="L63" s="149" t="s">
        <v>1844</v>
      </c>
      <c r="M63" s="150" t="s">
        <v>12</v>
      </c>
      <c r="N63" s="151">
        <v>13</v>
      </c>
      <c r="O63" s="151">
        <v>2</v>
      </c>
      <c r="P63" s="152">
        <v>1</v>
      </c>
      <c r="Q63" s="153">
        <v>69.569999999999993</v>
      </c>
      <c r="R63" s="154">
        <v>1</v>
      </c>
      <c r="S63" s="38">
        <f t="shared" si="0"/>
        <v>0</v>
      </c>
      <c r="T63" s="39">
        <f t="shared" si="1"/>
        <v>8</v>
      </c>
      <c r="U63" s="40">
        <f t="shared" si="2"/>
        <v>1</v>
      </c>
      <c r="V63" s="40">
        <f t="shared" si="3"/>
        <v>0</v>
      </c>
      <c r="W63" s="40">
        <f t="shared" si="4"/>
        <v>1</v>
      </c>
      <c r="X63" s="40">
        <f t="shared" si="5"/>
        <v>2</v>
      </c>
      <c r="Y63" s="40">
        <f t="shared" si="6"/>
        <v>0</v>
      </c>
      <c r="Z63" s="40">
        <f t="shared" si="7"/>
        <v>0</v>
      </c>
      <c r="AA63" s="40">
        <f t="shared" si="8"/>
        <v>0</v>
      </c>
      <c r="AB63" s="40">
        <f t="shared" si="9"/>
        <v>0</v>
      </c>
      <c r="AC63" s="41">
        <f t="shared" si="10"/>
        <v>0</v>
      </c>
      <c r="AD63" s="49"/>
      <c r="AE63" s="50"/>
      <c r="AF63" s="49"/>
      <c r="AG63" s="50"/>
      <c r="AH63" s="49"/>
      <c r="AI63" s="50"/>
      <c r="AJ63" s="49"/>
      <c r="AK63" s="50"/>
      <c r="AL63" s="49"/>
      <c r="AM63" s="50"/>
      <c r="AN63" s="49"/>
      <c r="AO63" s="50"/>
      <c r="AP63" s="49" t="s">
        <v>5</v>
      </c>
      <c r="AQ63" s="50" t="s">
        <v>101</v>
      </c>
      <c r="AR63" s="49" t="s">
        <v>5</v>
      </c>
      <c r="AS63" s="50" t="s">
        <v>194</v>
      </c>
      <c r="AT63" s="49" t="s">
        <v>5</v>
      </c>
      <c r="AU63" s="50" t="s">
        <v>73</v>
      </c>
      <c r="AV63" s="49" t="s">
        <v>5</v>
      </c>
      <c r="AW63" s="50" t="s">
        <v>140</v>
      </c>
      <c r="AX63" s="49"/>
      <c r="AY63" s="50"/>
      <c r="AZ63" s="49"/>
      <c r="BA63" s="50"/>
      <c r="BB63" s="49"/>
      <c r="BC63" s="50"/>
      <c r="BD63" s="49"/>
      <c r="BE63" s="50"/>
      <c r="BF63" s="49"/>
      <c r="BG63" s="50"/>
      <c r="BH63" s="49" t="s">
        <v>5</v>
      </c>
      <c r="BI63" s="50" t="s">
        <v>422</v>
      </c>
      <c r="BJ63" s="49"/>
      <c r="BK63" s="50"/>
      <c r="BL63" s="49"/>
      <c r="BM63" s="50"/>
      <c r="BN63" s="49" t="s">
        <v>5</v>
      </c>
      <c r="BO63" s="50" t="s">
        <v>81</v>
      </c>
      <c r="BP63" s="49" t="s">
        <v>32</v>
      </c>
      <c r="BQ63" s="50" t="s">
        <v>152</v>
      </c>
      <c r="BR63" s="49"/>
      <c r="BS63" s="50"/>
      <c r="BT63" s="49"/>
      <c r="BU63" s="50"/>
      <c r="BV63" s="49" t="s">
        <v>5</v>
      </c>
      <c r="BW63" s="50" t="s">
        <v>602</v>
      </c>
      <c r="BX63" s="49" t="s">
        <v>5</v>
      </c>
      <c r="BY63" s="50" t="s">
        <v>133</v>
      </c>
      <c r="BZ63" s="49" t="s">
        <v>30</v>
      </c>
      <c r="CA63" s="50" t="s">
        <v>75</v>
      </c>
    </row>
    <row r="64" spans="1:79" x14ac:dyDescent="0.25">
      <c r="A64" s="76">
        <v>151765</v>
      </c>
      <c r="B64" s="77" t="s">
        <v>1021</v>
      </c>
      <c r="C64" s="78" t="s">
        <v>959</v>
      </c>
      <c r="D64" s="76" t="s">
        <v>70</v>
      </c>
      <c r="E64" s="79" t="s">
        <v>14</v>
      </c>
      <c r="F64" s="79" t="s">
        <v>71</v>
      </c>
      <c r="G64" s="79" t="s">
        <v>14</v>
      </c>
      <c r="H64" s="79" t="s">
        <v>14</v>
      </c>
      <c r="I64" s="78" t="s">
        <v>14</v>
      </c>
      <c r="J64" s="79" t="s">
        <v>4</v>
      </c>
      <c r="K64" s="142" t="s">
        <v>1850</v>
      </c>
      <c r="L64" s="149" t="s">
        <v>1841</v>
      </c>
      <c r="M64" s="150" t="s">
        <v>1853</v>
      </c>
      <c r="N64" s="151">
        <v>12</v>
      </c>
      <c r="O64" s="151">
        <v>0</v>
      </c>
      <c r="P64" s="152">
        <v>0</v>
      </c>
      <c r="Q64" s="153">
        <v>97.83</v>
      </c>
      <c r="R64" s="154">
        <v>0</v>
      </c>
      <c r="S64" s="38">
        <f t="shared" si="0"/>
        <v>4</v>
      </c>
      <c r="T64" s="39">
        <f t="shared" si="1"/>
        <v>6</v>
      </c>
      <c r="U64" s="40">
        <f t="shared" si="2"/>
        <v>0</v>
      </c>
      <c r="V64" s="40">
        <f t="shared" si="3"/>
        <v>0</v>
      </c>
      <c r="W64" s="40">
        <f t="shared" si="4"/>
        <v>0</v>
      </c>
      <c r="X64" s="40">
        <f t="shared" si="5"/>
        <v>0</v>
      </c>
      <c r="Y64" s="40">
        <f t="shared" si="6"/>
        <v>0</v>
      </c>
      <c r="Z64" s="40">
        <f t="shared" si="7"/>
        <v>0</v>
      </c>
      <c r="AA64" s="40">
        <f t="shared" si="8"/>
        <v>0</v>
      </c>
      <c r="AB64" s="40">
        <f t="shared" si="9"/>
        <v>0</v>
      </c>
      <c r="AC64" s="41">
        <f t="shared" si="10"/>
        <v>0</v>
      </c>
      <c r="AD64" s="49"/>
      <c r="AE64" s="50"/>
      <c r="AF64" s="49"/>
      <c r="AG64" s="50"/>
      <c r="AH64" s="49"/>
      <c r="AI64" s="50"/>
      <c r="AJ64" s="49"/>
      <c r="AK64" s="50"/>
      <c r="AL64" s="49"/>
      <c r="AM64" s="50"/>
      <c r="AN64" s="49" t="s">
        <v>1</v>
      </c>
      <c r="AO64" s="50" t="s">
        <v>163</v>
      </c>
      <c r="AP64" s="49"/>
      <c r="AQ64" s="50"/>
      <c r="AR64" s="49" t="s">
        <v>5</v>
      </c>
      <c r="AS64" s="50" t="s">
        <v>169</v>
      </c>
      <c r="AT64" s="49"/>
      <c r="AU64" s="50"/>
      <c r="AV64" s="49" t="s">
        <v>5</v>
      </c>
      <c r="AW64" s="50" t="s">
        <v>194</v>
      </c>
      <c r="AX64" s="49" t="s">
        <v>5</v>
      </c>
      <c r="AY64" s="50" t="s">
        <v>103</v>
      </c>
      <c r="AZ64" s="49"/>
      <c r="BA64" s="50"/>
      <c r="BB64" s="49"/>
      <c r="BC64" s="50"/>
      <c r="BD64" s="49"/>
      <c r="BE64" s="50"/>
      <c r="BF64" s="49" t="s">
        <v>1</v>
      </c>
      <c r="BG64" s="50" t="s">
        <v>105</v>
      </c>
      <c r="BH64" s="49" t="s">
        <v>1</v>
      </c>
      <c r="BI64" s="50" t="s">
        <v>94</v>
      </c>
      <c r="BJ64" s="49"/>
      <c r="BK64" s="50"/>
      <c r="BL64" s="49"/>
      <c r="BM64" s="50"/>
      <c r="BN64" s="49" t="s">
        <v>1</v>
      </c>
      <c r="BO64" s="50" t="s">
        <v>152</v>
      </c>
      <c r="BP64" s="49"/>
      <c r="BQ64" s="50"/>
      <c r="BR64" s="49"/>
      <c r="BS64" s="50"/>
      <c r="BT64" s="49" t="s">
        <v>5</v>
      </c>
      <c r="BU64" s="50" t="s">
        <v>117</v>
      </c>
      <c r="BV64" s="49" t="s">
        <v>5</v>
      </c>
      <c r="BW64" s="50" t="s">
        <v>132</v>
      </c>
      <c r="BX64" s="49" t="s">
        <v>5</v>
      </c>
      <c r="BY64" s="50" t="s">
        <v>137</v>
      </c>
      <c r="BZ64" s="49"/>
      <c r="CA64" s="50"/>
    </row>
    <row r="65" spans="1:79" x14ac:dyDescent="0.25">
      <c r="A65" s="76">
        <v>151781</v>
      </c>
      <c r="B65" s="77" t="s">
        <v>1022</v>
      </c>
      <c r="C65" s="78" t="s">
        <v>954</v>
      </c>
      <c r="D65" s="76" t="s">
        <v>12</v>
      </c>
      <c r="E65" s="79" t="s">
        <v>14</v>
      </c>
      <c r="F65" s="79" t="s">
        <v>88</v>
      </c>
      <c r="G65" s="79" t="s">
        <v>14</v>
      </c>
      <c r="H65" s="79" t="s">
        <v>87</v>
      </c>
      <c r="I65" s="78" t="s">
        <v>14</v>
      </c>
      <c r="J65" s="79" t="s">
        <v>14</v>
      </c>
      <c r="K65" s="142" t="s">
        <v>1850</v>
      </c>
      <c r="L65" s="149" t="s">
        <v>1841</v>
      </c>
      <c r="M65" s="150" t="s">
        <v>12</v>
      </c>
      <c r="N65" s="151">
        <v>15</v>
      </c>
      <c r="O65" s="151">
        <v>6</v>
      </c>
      <c r="P65" s="152">
        <v>2</v>
      </c>
      <c r="Q65" s="153">
        <v>91.3</v>
      </c>
      <c r="R65" s="154">
        <v>8</v>
      </c>
      <c r="S65" s="38">
        <f t="shared" si="0"/>
        <v>0</v>
      </c>
      <c r="T65" s="39">
        <f t="shared" si="1"/>
        <v>8</v>
      </c>
      <c r="U65" s="40">
        <f t="shared" si="2"/>
        <v>2</v>
      </c>
      <c r="V65" s="40">
        <f t="shared" si="3"/>
        <v>0</v>
      </c>
      <c r="W65" s="40">
        <f t="shared" si="4"/>
        <v>1</v>
      </c>
      <c r="X65" s="40">
        <f t="shared" si="5"/>
        <v>3</v>
      </c>
      <c r="Y65" s="40">
        <f t="shared" si="6"/>
        <v>0</v>
      </c>
      <c r="Z65" s="40">
        <f t="shared" si="7"/>
        <v>0</v>
      </c>
      <c r="AA65" s="40">
        <f t="shared" si="8"/>
        <v>0</v>
      </c>
      <c r="AB65" s="40">
        <f t="shared" si="9"/>
        <v>0</v>
      </c>
      <c r="AC65" s="41">
        <f t="shared" si="10"/>
        <v>0</v>
      </c>
      <c r="AD65" s="49"/>
      <c r="AE65" s="50"/>
      <c r="AF65" s="49" t="s">
        <v>5</v>
      </c>
      <c r="AG65" s="50" t="s">
        <v>154</v>
      </c>
      <c r="AH65" s="49" t="s">
        <v>30</v>
      </c>
      <c r="AI65" s="50" t="s">
        <v>78</v>
      </c>
      <c r="AJ65" s="49" t="s">
        <v>5</v>
      </c>
      <c r="AK65" s="50" t="s">
        <v>83</v>
      </c>
      <c r="AL65" s="49"/>
      <c r="AM65" s="50"/>
      <c r="AN65" s="49"/>
      <c r="AO65" s="50"/>
      <c r="AP65" s="49"/>
      <c r="AQ65" s="50"/>
      <c r="AR65" s="49" t="s">
        <v>5</v>
      </c>
      <c r="AS65" s="50" t="s">
        <v>74</v>
      </c>
      <c r="AT65" s="49"/>
      <c r="AU65" s="50"/>
      <c r="AV65" s="49" t="s">
        <v>5</v>
      </c>
      <c r="AW65" s="50" t="s">
        <v>955</v>
      </c>
      <c r="AX65" s="49" t="s">
        <v>5</v>
      </c>
      <c r="AY65" s="50" t="s">
        <v>103</v>
      </c>
      <c r="AZ65" s="49"/>
      <c r="BA65" s="50"/>
      <c r="BB65" s="49"/>
      <c r="BC65" s="50"/>
      <c r="BD65" s="49"/>
      <c r="BE65" s="50"/>
      <c r="BF65" s="49"/>
      <c r="BG65" s="50"/>
      <c r="BH65" s="49" t="s">
        <v>5</v>
      </c>
      <c r="BI65" s="50" t="s">
        <v>106</v>
      </c>
      <c r="BJ65" s="49"/>
      <c r="BK65" s="50"/>
      <c r="BL65" s="49"/>
      <c r="BM65" s="50"/>
      <c r="BN65" s="49" t="s">
        <v>30</v>
      </c>
      <c r="BO65" s="50" t="s">
        <v>107</v>
      </c>
      <c r="BP65" s="49" t="s">
        <v>5</v>
      </c>
      <c r="BQ65" s="50" t="s">
        <v>107</v>
      </c>
      <c r="BR65" s="49" t="s">
        <v>5</v>
      </c>
      <c r="BS65" s="50" t="s">
        <v>98</v>
      </c>
      <c r="BT65" s="49"/>
      <c r="BU65" s="50"/>
      <c r="BV65" s="49" t="s">
        <v>32</v>
      </c>
      <c r="BW65" s="50" t="s">
        <v>132</v>
      </c>
      <c r="BX65" s="49"/>
      <c r="BY65" s="50"/>
      <c r="BZ65" s="49"/>
      <c r="CA65" s="50"/>
    </row>
    <row r="66" spans="1:79" x14ac:dyDescent="0.25">
      <c r="A66" s="76">
        <v>151828</v>
      </c>
      <c r="B66" s="77" t="s">
        <v>1023</v>
      </c>
      <c r="C66" s="78" t="s">
        <v>970</v>
      </c>
      <c r="D66" s="76" t="s">
        <v>70</v>
      </c>
      <c r="E66" s="79" t="s">
        <v>87</v>
      </c>
      <c r="F66" s="79" t="s">
        <v>508</v>
      </c>
      <c r="G66" s="79" t="s">
        <v>14</v>
      </c>
      <c r="H66" s="79" t="s">
        <v>87</v>
      </c>
      <c r="I66" s="78" t="s">
        <v>14</v>
      </c>
      <c r="J66" s="79" t="s">
        <v>14</v>
      </c>
      <c r="K66" s="142" t="s">
        <v>1850</v>
      </c>
      <c r="L66" s="149" t="s">
        <v>1846</v>
      </c>
      <c r="M66" s="150" t="s">
        <v>1853</v>
      </c>
      <c r="N66" s="151">
        <v>5</v>
      </c>
      <c r="O66" s="151">
        <v>1</v>
      </c>
      <c r="P66" s="152">
        <v>2</v>
      </c>
      <c r="Q66" s="153">
        <v>36.96</v>
      </c>
      <c r="R66" s="154">
        <v>0</v>
      </c>
      <c r="S66" s="38">
        <f t="shared" ref="S66:S129" si="11">COUNTIF($AD66:$CA66,"Outstanding")</f>
        <v>0</v>
      </c>
      <c r="T66" s="39">
        <f t="shared" ref="T66:T129" si="12">COUNTIF($AD66:$CA66,"Good")</f>
        <v>9</v>
      </c>
      <c r="U66" s="40">
        <f t="shared" ref="U66:U129" si="13">COUNTIF($AD66:$CA66,"N2Improve - Engagement")</f>
        <v>0</v>
      </c>
      <c r="V66" s="40">
        <f t="shared" ref="V66:V129" si="14">COUNTIF($AD66:$CA66,"N2Improve - Community Conduct")</f>
        <v>0</v>
      </c>
      <c r="W66" s="40">
        <f t="shared" ref="W66:W129" si="15">COUNTIF($AD66:$CA66,"N2Improve - Personal Org.")</f>
        <v>1</v>
      </c>
      <c r="X66" s="40">
        <f t="shared" ref="X66:X129" si="16">SUM(U66:W66)</f>
        <v>1</v>
      </c>
      <c r="Y66" s="40">
        <f t="shared" ref="Y66:Y129" si="17">COUNTIF($AD66:$CA66,"Serious Conc - Engagement")</f>
        <v>0</v>
      </c>
      <c r="Z66" s="40">
        <f t="shared" ref="Z66:Z129" si="18">COUNTIF($AD66:$CA66,"Serious Conc - Comm. Concern")</f>
        <v>0</v>
      </c>
      <c r="AA66" s="40">
        <f t="shared" ref="AA66:AA129" si="19">COUNTIF($AD66:$CA66,"Serious Conc - Personal Org.")</f>
        <v>0</v>
      </c>
      <c r="AB66" s="40">
        <f t="shared" ref="AB66:AB129" si="20">SUM(Y66:AA66)</f>
        <v>0</v>
      </c>
      <c r="AC66" s="41">
        <f t="shared" si="10"/>
        <v>0</v>
      </c>
      <c r="AD66" s="49" t="s">
        <v>32</v>
      </c>
      <c r="AE66" s="50" t="s">
        <v>116</v>
      </c>
      <c r="AF66" s="49"/>
      <c r="AG66" s="50"/>
      <c r="AH66" s="49"/>
      <c r="AI66" s="50"/>
      <c r="AJ66" s="49"/>
      <c r="AK66" s="50"/>
      <c r="AL66" s="49"/>
      <c r="AM66" s="50"/>
      <c r="AN66" s="49"/>
      <c r="AO66" s="50"/>
      <c r="AP66" s="49"/>
      <c r="AQ66" s="50"/>
      <c r="AR66" s="49" t="s">
        <v>5</v>
      </c>
      <c r="AS66" s="50" t="s">
        <v>169</v>
      </c>
      <c r="AT66" s="49"/>
      <c r="AU66" s="50"/>
      <c r="AV66" s="49" t="s">
        <v>5</v>
      </c>
      <c r="AW66" s="50" t="s">
        <v>140</v>
      </c>
      <c r="AX66" s="49" t="s">
        <v>5</v>
      </c>
      <c r="AY66" s="50" t="s">
        <v>103</v>
      </c>
      <c r="AZ66" s="49" t="s">
        <v>5</v>
      </c>
      <c r="BA66" s="50" t="s">
        <v>76</v>
      </c>
      <c r="BB66" s="49"/>
      <c r="BC66" s="50"/>
      <c r="BD66" s="49"/>
      <c r="BE66" s="50"/>
      <c r="BF66" s="49"/>
      <c r="BG66" s="50"/>
      <c r="BH66" s="49" t="s">
        <v>5</v>
      </c>
      <c r="BI66" s="50" t="s">
        <v>106</v>
      </c>
      <c r="BJ66" s="49"/>
      <c r="BK66" s="50"/>
      <c r="BL66" s="49" t="s">
        <v>5</v>
      </c>
      <c r="BM66" s="50" t="s">
        <v>116</v>
      </c>
      <c r="BN66" s="49" t="s">
        <v>5</v>
      </c>
      <c r="BO66" s="50" t="s">
        <v>152</v>
      </c>
      <c r="BP66" s="49"/>
      <c r="BQ66" s="50"/>
      <c r="BR66" s="49"/>
      <c r="BS66" s="50"/>
      <c r="BT66" s="49"/>
      <c r="BU66" s="50"/>
      <c r="BV66" s="49" t="s">
        <v>5</v>
      </c>
      <c r="BW66" s="50" t="s">
        <v>132</v>
      </c>
      <c r="BX66" s="49" t="s">
        <v>5</v>
      </c>
      <c r="BY66" s="50" t="s">
        <v>137</v>
      </c>
      <c r="BZ66" s="49"/>
      <c r="CA66" s="50"/>
    </row>
    <row r="67" spans="1:79" x14ac:dyDescent="0.25">
      <c r="A67" s="76">
        <v>151886</v>
      </c>
      <c r="B67" s="77" t="s">
        <v>1024</v>
      </c>
      <c r="C67" s="78" t="s">
        <v>954</v>
      </c>
      <c r="D67" s="76" t="s">
        <v>12</v>
      </c>
      <c r="E67" s="79" t="s">
        <v>14</v>
      </c>
      <c r="F67" s="79" t="s">
        <v>71</v>
      </c>
      <c r="G67" s="79" t="s">
        <v>14</v>
      </c>
      <c r="H67" s="79" t="s">
        <v>14</v>
      </c>
      <c r="I67" s="78" t="s">
        <v>14</v>
      </c>
      <c r="J67" s="79" t="s">
        <v>14</v>
      </c>
      <c r="K67" s="142" t="s">
        <v>1850</v>
      </c>
      <c r="L67" s="149" t="s">
        <v>1842</v>
      </c>
      <c r="M67" s="150" t="s">
        <v>1853</v>
      </c>
      <c r="N67" s="151">
        <v>24</v>
      </c>
      <c r="O67" s="151">
        <v>0</v>
      </c>
      <c r="P67" s="152">
        <v>0</v>
      </c>
      <c r="Q67" s="153">
        <v>97.83</v>
      </c>
      <c r="R67" s="154">
        <v>1</v>
      </c>
      <c r="S67" s="38">
        <f t="shared" si="11"/>
        <v>3</v>
      </c>
      <c r="T67" s="39">
        <f t="shared" si="12"/>
        <v>7</v>
      </c>
      <c r="U67" s="40">
        <f t="shared" si="13"/>
        <v>0</v>
      </c>
      <c r="V67" s="40">
        <f t="shared" si="14"/>
        <v>0</v>
      </c>
      <c r="W67" s="40">
        <f t="shared" si="15"/>
        <v>1</v>
      </c>
      <c r="X67" s="40">
        <f t="shared" si="16"/>
        <v>1</v>
      </c>
      <c r="Y67" s="40">
        <f t="shared" si="17"/>
        <v>0</v>
      </c>
      <c r="Z67" s="40">
        <f t="shared" si="18"/>
        <v>0</v>
      </c>
      <c r="AA67" s="40">
        <f t="shared" si="19"/>
        <v>0</v>
      </c>
      <c r="AB67" s="40">
        <f t="shared" si="20"/>
        <v>0</v>
      </c>
      <c r="AC67" s="41">
        <f t="shared" ref="AC67:AC130" si="21">COUNTIF(AD67:CA67,"*still*")</f>
        <v>0</v>
      </c>
      <c r="AD67" s="49"/>
      <c r="AE67" s="50"/>
      <c r="AF67" s="49" t="s">
        <v>5</v>
      </c>
      <c r="AG67" s="50" t="s">
        <v>433</v>
      </c>
      <c r="AH67" s="49"/>
      <c r="AI67" s="50"/>
      <c r="AJ67" s="49" t="s">
        <v>5</v>
      </c>
      <c r="AK67" s="50" t="s">
        <v>714</v>
      </c>
      <c r="AL67" s="49"/>
      <c r="AM67" s="50"/>
      <c r="AN67" s="49"/>
      <c r="AO67" s="50"/>
      <c r="AP67" s="49"/>
      <c r="AQ67" s="50"/>
      <c r="AR67" s="49" t="s">
        <v>5</v>
      </c>
      <c r="AS67" s="50" t="s">
        <v>142</v>
      </c>
      <c r="AT67" s="49"/>
      <c r="AU67" s="50"/>
      <c r="AV67" s="49" t="s">
        <v>1</v>
      </c>
      <c r="AW67" s="50" t="s">
        <v>955</v>
      </c>
      <c r="AX67" s="49" t="s">
        <v>5</v>
      </c>
      <c r="AY67" s="50" t="s">
        <v>103</v>
      </c>
      <c r="AZ67" s="49" t="s">
        <v>5</v>
      </c>
      <c r="BA67" s="50" t="s">
        <v>76</v>
      </c>
      <c r="BB67" s="49"/>
      <c r="BC67" s="50"/>
      <c r="BD67" s="49"/>
      <c r="BE67" s="50"/>
      <c r="BF67" s="49"/>
      <c r="BG67" s="50"/>
      <c r="BH67" s="49" t="s">
        <v>5</v>
      </c>
      <c r="BI67" s="50" t="s">
        <v>106</v>
      </c>
      <c r="BJ67" s="49"/>
      <c r="BK67" s="50"/>
      <c r="BL67" s="49" t="s">
        <v>5</v>
      </c>
      <c r="BM67" s="50" t="s">
        <v>116</v>
      </c>
      <c r="BN67" s="49" t="s">
        <v>1</v>
      </c>
      <c r="BO67" s="50" t="s">
        <v>96</v>
      </c>
      <c r="BP67" s="49"/>
      <c r="BQ67" s="50"/>
      <c r="BR67" s="49" t="s">
        <v>1</v>
      </c>
      <c r="BS67" s="50" t="s">
        <v>170</v>
      </c>
      <c r="BT67" s="49"/>
      <c r="BU67" s="50"/>
      <c r="BV67" s="49" t="s">
        <v>32</v>
      </c>
      <c r="BW67" s="50" t="s">
        <v>132</v>
      </c>
      <c r="BX67" s="49"/>
      <c r="BY67" s="50"/>
      <c r="BZ67" s="49"/>
      <c r="CA67" s="50"/>
    </row>
    <row r="68" spans="1:79" ht="30" x14ac:dyDescent="0.25">
      <c r="A68" s="76">
        <v>151779</v>
      </c>
      <c r="B68" s="77" t="s">
        <v>1025</v>
      </c>
      <c r="C68" s="78" t="s">
        <v>954</v>
      </c>
      <c r="D68" s="76" t="s">
        <v>12</v>
      </c>
      <c r="E68" s="79" t="s">
        <v>14</v>
      </c>
      <c r="F68" s="79" t="s">
        <v>184</v>
      </c>
      <c r="G68" s="79" t="s">
        <v>14</v>
      </c>
      <c r="H68" s="79" t="s">
        <v>14</v>
      </c>
      <c r="I68" s="78" t="s">
        <v>14</v>
      </c>
      <c r="J68" s="79" t="s">
        <v>14</v>
      </c>
      <c r="K68" s="142" t="s">
        <v>1850</v>
      </c>
      <c r="L68" s="149" t="s">
        <v>1842</v>
      </c>
      <c r="M68" s="150" t="s">
        <v>12</v>
      </c>
      <c r="N68" s="151">
        <v>13</v>
      </c>
      <c r="O68" s="151">
        <v>0</v>
      </c>
      <c r="P68" s="152">
        <v>0</v>
      </c>
      <c r="Q68" s="153">
        <v>100</v>
      </c>
      <c r="R68" s="154">
        <v>0</v>
      </c>
      <c r="S68" s="38">
        <f t="shared" si="11"/>
        <v>3</v>
      </c>
      <c r="T68" s="39">
        <f t="shared" si="12"/>
        <v>7</v>
      </c>
      <c r="U68" s="40">
        <f t="shared" si="13"/>
        <v>0</v>
      </c>
      <c r="V68" s="40">
        <f t="shared" si="14"/>
        <v>0</v>
      </c>
      <c r="W68" s="40">
        <f t="shared" si="15"/>
        <v>0</v>
      </c>
      <c r="X68" s="40">
        <f t="shared" si="16"/>
        <v>0</v>
      </c>
      <c r="Y68" s="40">
        <f t="shared" si="17"/>
        <v>0</v>
      </c>
      <c r="Z68" s="40">
        <f t="shared" si="18"/>
        <v>0</v>
      </c>
      <c r="AA68" s="40">
        <f t="shared" si="19"/>
        <v>0</v>
      </c>
      <c r="AB68" s="40">
        <f t="shared" si="20"/>
        <v>0</v>
      </c>
      <c r="AC68" s="41">
        <f t="shared" si="21"/>
        <v>0</v>
      </c>
      <c r="AD68" s="49"/>
      <c r="AE68" s="50"/>
      <c r="AF68" s="49"/>
      <c r="AG68" s="50"/>
      <c r="AH68" s="49"/>
      <c r="AI68" s="50"/>
      <c r="AJ68" s="49"/>
      <c r="AK68" s="50"/>
      <c r="AL68" s="49"/>
      <c r="AM68" s="50"/>
      <c r="AN68" s="49" t="s">
        <v>1</v>
      </c>
      <c r="AO68" s="50" t="s">
        <v>163</v>
      </c>
      <c r="AP68" s="49"/>
      <c r="AQ68" s="50"/>
      <c r="AR68" s="49" t="s">
        <v>5</v>
      </c>
      <c r="AS68" s="50" t="s">
        <v>169</v>
      </c>
      <c r="AT68" s="49"/>
      <c r="AU68" s="50"/>
      <c r="AV68" s="49" t="s">
        <v>5</v>
      </c>
      <c r="AW68" s="50" t="s">
        <v>955</v>
      </c>
      <c r="AX68" s="49" t="s">
        <v>5</v>
      </c>
      <c r="AY68" s="50" t="s">
        <v>143</v>
      </c>
      <c r="AZ68" s="49"/>
      <c r="BA68" s="50"/>
      <c r="BB68" s="49"/>
      <c r="BC68" s="50"/>
      <c r="BD68" s="49"/>
      <c r="BE68" s="50"/>
      <c r="BF68" s="49" t="s">
        <v>1</v>
      </c>
      <c r="BG68" s="50" t="s">
        <v>105</v>
      </c>
      <c r="BH68" s="49" t="s">
        <v>5</v>
      </c>
      <c r="BI68" s="50" t="s">
        <v>112</v>
      </c>
      <c r="BJ68" s="49"/>
      <c r="BK68" s="50"/>
      <c r="BL68" s="49"/>
      <c r="BM68" s="50"/>
      <c r="BN68" s="49" t="s">
        <v>1</v>
      </c>
      <c r="BO68" s="50" t="s">
        <v>96</v>
      </c>
      <c r="BP68" s="49"/>
      <c r="BQ68" s="50"/>
      <c r="BR68" s="49"/>
      <c r="BS68" s="50"/>
      <c r="BT68" s="49" t="s">
        <v>5</v>
      </c>
      <c r="BU68" s="50" t="s">
        <v>117</v>
      </c>
      <c r="BV68" s="49" t="s">
        <v>5</v>
      </c>
      <c r="BW68" s="50" t="s">
        <v>132</v>
      </c>
      <c r="BX68" s="49" t="s">
        <v>5</v>
      </c>
      <c r="BY68" s="50" t="s">
        <v>137</v>
      </c>
      <c r="BZ68" s="49"/>
      <c r="CA68" s="50"/>
    </row>
    <row r="69" spans="1:79" x14ac:dyDescent="0.25">
      <c r="A69" s="76">
        <v>151895</v>
      </c>
      <c r="B69" s="77" t="s">
        <v>1026</v>
      </c>
      <c r="C69" s="78" t="s">
        <v>954</v>
      </c>
      <c r="D69" s="76" t="s">
        <v>12</v>
      </c>
      <c r="E69" s="79" t="s">
        <v>14</v>
      </c>
      <c r="F69" s="79" t="s">
        <v>71</v>
      </c>
      <c r="G69" s="79" t="s">
        <v>14</v>
      </c>
      <c r="H69" s="79" t="s">
        <v>14</v>
      </c>
      <c r="I69" s="78" t="s">
        <v>14</v>
      </c>
      <c r="J69" s="79" t="s">
        <v>14</v>
      </c>
      <c r="K69" s="142" t="s">
        <v>1850</v>
      </c>
      <c r="L69" s="149" t="s">
        <v>1845</v>
      </c>
      <c r="M69" s="150" t="s">
        <v>12</v>
      </c>
      <c r="N69" s="151">
        <v>17</v>
      </c>
      <c r="O69" s="151">
        <v>3</v>
      </c>
      <c r="P69" s="152">
        <v>1</v>
      </c>
      <c r="Q69" s="153">
        <v>100</v>
      </c>
      <c r="R69" s="154">
        <v>2</v>
      </c>
      <c r="S69" s="38">
        <f t="shared" si="11"/>
        <v>0</v>
      </c>
      <c r="T69" s="39">
        <f t="shared" si="12"/>
        <v>9</v>
      </c>
      <c r="U69" s="40">
        <f t="shared" si="13"/>
        <v>2</v>
      </c>
      <c r="V69" s="40">
        <f t="shared" si="14"/>
        <v>0</v>
      </c>
      <c r="W69" s="40">
        <f t="shared" si="15"/>
        <v>0</v>
      </c>
      <c r="X69" s="40">
        <f t="shared" si="16"/>
        <v>2</v>
      </c>
      <c r="Y69" s="40">
        <f t="shared" si="17"/>
        <v>0</v>
      </c>
      <c r="Z69" s="40">
        <f t="shared" si="18"/>
        <v>0</v>
      </c>
      <c r="AA69" s="40">
        <f t="shared" si="19"/>
        <v>0</v>
      </c>
      <c r="AB69" s="40">
        <f t="shared" si="20"/>
        <v>0</v>
      </c>
      <c r="AC69" s="41">
        <f t="shared" si="21"/>
        <v>0</v>
      </c>
      <c r="AD69" s="49"/>
      <c r="AE69" s="50"/>
      <c r="AF69" s="49" t="s">
        <v>5</v>
      </c>
      <c r="AG69" s="50" t="s">
        <v>438</v>
      </c>
      <c r="AH69" s="49"/>
      <c r="AI69" s="50"/>
      <c r="AJ69" s="49" t="s">
        <v>5</v>
      </c>
      <c r="AK69" s="50" t="s">
        <v>83</v>
      </c>
      <c r="AL69" s="49"/>
      <c r="AM69" s="50"/>
      <c r="AN69" s="49"/>
      <c r="AO69" s="50"/>
      <c r="AP69" s="49"/>
      <c r="AQ69" s="50"/>
      <c r="AR69" s="49" t="s">
        <v>5</v>
      </c>
      <c r="AS69" s="50" t="s">
        <v>111</v>
      </c>
      <c r="AT69" s="49"/>
      <c r="AU69" s="50"/>
      <c r="AV69" s="49" t="s">
        <v>5</v>
      </c>
      <c r="AW69" s="50" t="s">
        <v>955</v>
      </c>
      <c r="AX69" s="49" t="s">
        <v>5</v>
      </c>
      <c r="AY69" s="50" t="s">
        <v>103</v>
      </c>
      <c r="AZ69" s="49" t="s">
        <v>5</v>
      </c>
      <c r="BA69" s="50" t="s">
        <v>76</v>
      </c>
      <c r="BB69" s="49"/>
      <c r="BC69" s="50"/>
      <c r="BD69" s="49"/>
      <c r="BE69" s="50"/>
      <c r="BF69" s="49"/>
      <c r="BG69" s="50"/>
      <c r="BH69" s="49" t="s">
        <v>5</v>
      </c>
      <c r="BI69" s="50" t="s">
        <v>136</v>
      </c>
      <c r="BJ69" s="49"/>
      <c r="BK69" s="50"/>
      <c r="BL69" s="49"/>
      <c r="BM69" s="50"/>
      <c r="BN69" s="49" t="s">
        <v>30</v>
      </c>
      <c r="BO69" s="50" t="s">
        <v>107</v>
      </c>
      <c r="BP69" s="49" t="s">
        <v>30</v>
      </c>
      <c r="BQ69" s="50" t="s">
        <v>152</v>
      </c>
      <c r="BR69" s="49" t="s">
        <v>5</v>
      </c>
      <c r="BS69" s="50" t="s">
        <v>123</v>
      </c>
      <c r="BT69" s="49"/>
      <c r="BU69" s="50"/>
      <c r="BV69" s="49" t="s">
        <v>5</v>
      </c>
      <c r="BW69" s="50" t="s">
        <v>82</v>
      </c>
      <c r="BX69" s="49"/>
      <c r="BY69" s="50"/>
      <c r="BZ69" s="49"/>
      <c r="CA69" s="50"/>
    </row>
    <row r="70" spans="1:79" x14ac:dyDescent="0.25">
      <c r="A70" s="76">
        <v>151941</v>
      </c>
      <c r="B70" s="77" t="s">
        <v>1027</v>
      </c>
      <c r="C70" s="78" t="s">
        <v>957</v>
      </c>
      <c r="D70" s="76" t="s">
        <v>70</v>
      </c>
      <c r="E70" s="79" t="s">
        <v>14</v>
      </c>
      <c r="F70" s="79" t="s">
        <v>71</v>
      </c>
      <c r="G70" s="79" t="s">
        <v>14</v>
      </c>
      <c r="H70" s="79" t="s">
        <v>14</v>
      </c>
      <c r="I70" s="78" t="s">
        <v>14</v>
      </c>
      <c r="J70" s="79" t="s">
        <v>14</v>
      </c>
      <c r="K70" s="142" t="s">
        <v>1850</v>
      </c>
      <c r="L70" s="149" t="s">
        <v>1842</v>
      </c>
      <c r="M70" s="150" t="s">
        <v>1853</v>
      </c>
      <c r="N70" s="151">
        <v>19</v>
      </c>
      <c r="O70" s="151">
        <v>1</v>
      </c>
      <c r="P70" s="152">
        <v>1</v>
      </c>
      <c r="Q70" s="153">
        <v>82.61</v>
      </c>
      <c r="R70" s="154">
        <v>1</v>
      </c>
      <c r="S70" s="38">
        <f t="shared" si="11"/>
        <v>3</v>
      </c>
      <c r="T70" s="39">
        <f t="shared" si="12"/>
        <v>8</v>
      </c>
      <c r="U70" s="40">
        <f t="shared" si="13"/>
        <v>0</v>
      </c>
      <c r="V70" s="40">
        <f t="shared" si="14"/>
        <v>0</v>
      </c>
      <c r="W70" s="40">
        <f t="shared" si="15"/>
        <v>0</v>
      </c>
      <c r="X70" s="40">
        <f t="shared" si="16"/>
        <v>0</v>
      </c>
      <c r="Y70" s="40">
        <f t="shared" si="17"/>
        <v>0</v>
      </c>
      <c r="Z70" s="40">
        <f t="shared" si="18"/>
        <v>0</v>
      </c>
      <c r="AA70" s="40">
        <f t="shared" si="19"/>
        <v>0</v>
      </c>
      <c r="AB70" s="40">
        <f t="shared" si="20"/>
        <v>0</v>
      </c>
      <c r="AC70" s="41">
        <f t="shared" si="21"/>
        <v>0</v>
      </c>
      <c r="AD70" s="49"/>
      <c r="AE70" s="50"/>
      <c r="AF70" s="49" t="s">
        <v>1</v>
      </c>
      <c r="AG70" s="50" t="s">
        <v>433</v>
      </c>
      <c r="AH70" s="49"/>
      <c r="AI70" s="50"/>
      <c r="AJ70" s="49" t="s">
        <v>5</v>
      </c>
      <c r="AK70" s="50" t="s">
        <v>419</v>
      </c>
      <c r="AL70" s="49"/>
      <c r="AM70" s="50"/>
      <c r="AN70" s="49" t="s">
        <v>5</v>
      </c>
      <c r="AO70" s="50" t="s">
        <v>163</v>
      </c>
      <c r="AP70" s="49"/>
      <c r="AQ70" s="50"/>
      <c r="AR70" s="49" t="s">
        <v>5</v>
      </c>
      <c r="AS70" s="50" t="s">
        <v>74</v>
      </c>
      <c r="AT70" s="49"/>
      <c r="AU70" s="50"/>
      <c r="AV70" s="49" t="s">
        <v>5</v>
      </c>
      <c r="AW70" s="50" t="s">
        <v>77</v>
      </c>
      <c r="AX70" s="49"/>
      <c r="AY70" s="50"/>
      <c r="AZ70" s="49" t="s">
        <v>1</v>
      </c>
      <c r="BA70" s="50" t="s">
        <v>92</v>
      </c>
      <c r="BB70" s="49"/>
      <c r="BC70" s="50"/>
      <c r="BD70" s="49"/>
      <c r="BE70" s="50"/>
      <c r="BF70" s="49"/>
      <c r="BG70" s="50"/>
      <c r="BH70" s="49" t="s">
        <v>5</v>
      </c>
      <c r="BI70" s="50" t="s">
        <v>711</v>
      </c>
      <c r="BJ70" s="49"/>
      <c r="BK70" s="50"/>
      <c r="BL70" s="49"/>
      <c r="BM70" s="50"/>
      <c r="BN70" s="49" t="s">
        <v>5</v>
      </c>
      <c r="BO70" s="50" t="s">
        <v>152</v>
      </c>
      <c r="BP70" s="49"/>
      <c r="BQ70" s="50"/>
      <c r="BR70" s="49" t="s">
        <v>5</v>
      </c>
      <c r="BS70" s="50" t="s">
        <v>140</v>
      </c>
      <c r="BT70" s="49"/>
      <c r="BU70" s="50"/>
      <c r="BV70" s="49" t="s">
        <v>1</v>
      </c>
      <c r="BW70" s="50" t="s">
        <v>715</v>
      </c>
      <c r="BX70" s="49"/>
      <c r="BY70" s="50"/>
      <c r="BZ70" s="49" t="s">
        <v>5</v>
      </c>
      <c r="CA70" s="50" t="s">
        <v>75</v>
      </c>
    </row>
    <row r="71" spans="1:79" x14ac:dyDescent="0.25">
      <c r="A71" s="76">
        <v>151791</v>
      </c>
      <c r="B71" s="77" t="s">
        <v>1028</v>
      </c>
      <c r="C71" s="78" t="s">
        <v>954</v>
      </c>
      <c r="D71" s="76" t="s">
        <v>70</v>
      </c>
      <c r="E71" s="79" t="s">
        <v>87</v>
      </c>
      <c r="F71" s="79" t="s">
        <v>503</v>
      </c>
      <c r="G71" s="79" t="s">
        <v>14</v>
      </c>
      <c r="H71" s="79" t="s">
        <v>87</v>
      </c>
      <c r="I71" s="78" t="s">
        <v>14</v>
      </c>
      <c r="J71" s="79" t="s">
        <v>14</v>
      </c>
      <c r="K71" s="142" t="s">
        <v>1851</v>
      </c>
      <c r="L71" s="149" t="s">
        <v>1843</v>
      </c>
      <c r="M71" s="150" t="s">
        <v>1852</v>
      </c>
      <c r="N71" s="151">
        <v>14</v>
      </c>
      <c r="O71" s="151">
        <v>2</v>
      </c>
      <c r="P71" s="152">
        <v>3</v>
      </c>
      <c r="Q71" s="153">
        <v>88.89</v>
      </c>
      <c r="R71" s="154">
        <v>10</v>
      </c>
      <c r="S71" s="38">
        <f t="shared" si="11"/>
        <v>0</v>
      </c>
      <c r="T71" s="39">
        <f t="shared" si="12"/>
        <v>6</v>
      </c>
      <c r="U71" s="40">
        <f t="shared" si="13"/>
        <v>2</v>
      </c>
      <c r="V71" s="40">
        <f t="shared" si="14"/>
        <v>2</v>
      </c>
      <c r="W71" s="40">
        <f t="shared" si="15"/>
        <v>0</v>
      </c>
      <c r="X71" s="40">
        <f t="shared" si="16"/>
        <v>4</v>
      </c>
      <c r="Y71" s="40">
        <f t="shared" si="17"/>
        <v>0</v>
      </c>
      <c r="Z71" s="40">
        <f t="shared" si="18"/>
        <v>0</v>
      </c>
      <c r="AA71" s="40">
        <f t="shared" si="19"/>
        <v>0</v>
      </c>
      <c r="AB71" s="40">
        <f t="shared" si="20"/>
        <v>0</v>
      </c>
      <c r="AC71" s="41">
        <f t="shared" si="21"/>
        <v>0</v>
      </c>
      <c r="AD71" s="49"/>
      <c r="AE71" s="50"/>
      <c r="AF71" s="49"/>
      <c r="AG71" s="50"/>
      <c r="AH71" s="49"/>
      <c r="AI71" s="50"/>
      <c r="AJ71" s="49"/>
      <c r="AK71" s="50"/>
      <c r="AL71" s="49" t="s">
        <v>30</v>
      </c>
      <c r="AM71" s="50" t="s">
        <v>436</v>
      </c>
      <c r="AN71" s="49"/>
      <c r="AO71" s="50"/>
      <c r="AP71" s="49"/>
      <c r="AQ71" s="50"/>
      <c r="AR71" s="49" t="s">
        <v>5</v>
      </c>
      <c r="AS71" s="50" t="s">
        <v>194</v>
      </c>
      <c r="AT71" s="49" t="s">
        <v>5</v>
      </c>
      <c r="AU71" s="50" t="s">
        <v>73</v>
      </c>
      <c r="AV71" s="49" t="s">
        <v>31</v>
      </c>
      <c r="AW71" s="50" t="s">
        <v>955</v>
      </c>
      <c r="AX71" s="49" t="s">
        <v>5</v>
      </c>
      <c r="AY71" s="50" t="s">
        <v>103</v>
      </c>
      <c r="AZ71" s="49"/>
      <c r="BA71" s="50"/>
      <c r="BB71" s="49" t="s">
        <v>31</v>
      </c>
      <c r="BC71" s="50" t="s">
        <v>420</v>
      </c>
      <c r="BD71" s="49"/>
      <c r="BE71" s="50"/>
      <c r="BF71" s="49"/>
      <c r="BG71" s="50"/>
      <c r="BH71" s="49" t="s">
        <v>5</v>
      </c>
      <c r="BI71" s="50" t="s">
        <v>995</v>
      </c>
      <c r="BJ71" s="49"/>
      <c r="BK71" s="50"/>
      <c r="BL71" s="49"/>
      <c r="BM71" s="50"/>
      <c r="BN71" s="49" t="s">
        <v>5</v>
      </c>
      <c r="BO71" s="50" t="s">
        <v>81</v>
      </c>
      <c r="BP71" s="49"/>
      <c r="BQ71" s="50"/>
      <c r="BR71" s="49"/>
      <c r="BS71" s="50"/>
      <c r="BT71" s="49"/>
      <c r="BU71" s="50"/>
      <c r="BV71" s="49" t="s">
        <v>30</v>
      </c>
      <c r="BW71" s="50" t="s">
        <v>457</v>
      </c>
      <c r="BX71" s="49" t="s">
        <v>5</v>
      </c>
      <c r="BY71" s="50" t="s">
        <v>164</v>
      </c>
      <c r="BZ71" s="49"/>
      <c r="CA71" s="50"/>
    </row>
    <row r="72" spans="1:79" x14ac:dyDescent="0.25">
      <c r="A72" s="76">
        <v>151904</v>
      </c>
      <c r="B72" s="77" t="s">
        <v>1029</v>
      </c>
      <c r="C72" s="78" t="s">
        <v>959</v>
      </c>
      <c r="D72" s="76" t="s">
        <v>12</v>
      </c>
      <c r="E72" s="79" t="s">
        <v>14</v>
      </c>
      <c r="F72" s="77" t="s">
        <v>71</v>
      </c>
      <c r="G72" s="79" t="s">
        <v>14</v>
      </c>
      <c r="H72" s="79" t="s">
        <v>14</v>
      </c>
      <c r="I72" s="78" t="s">
        <v>14</v>
      </c>
      <c r="J72" s="79" t="s">
        <v>14</v>
      </c>
      <c r="K72" s="142" t="s">
        <v>1851</v>
      </c>
      <c r="L72" s="149" t="s">
        <v>1844</v>
      </c>
      <c r="M72" s="150" t="s">
        <v>12</v>
      </c>
      <c r="N72" s="151">
        <v>12</v>
      </c>
      <c r="O72" s="151">
        <v>6</v>
      </c>
      <c r="P72" s="152">
        <v>1</v>
      </c>
      <c r="Q72" s="153">
        <v>100</v>
      </c>
      <c r="R72" s="154">
        <v>0</v>
      </c>
      <c r="S72" s="38">
        <f t="shared" si="11"/>
        <v>1</v>
      </c>
      <c r="T72" s="39">
        <f t="shared" si="12"/>
        <v>5</v>
      </c>
      <c r="U72" s="40">
        <f t="shared" si="13"/>
        <v>2</v>
      </c>
      <c r="V72" s="40">
        <f t="shared" si="14"/>
        <v>2</v>
      </c>
      <c r="W72" s="40">
        <f t="shared" si="15"/>
        <v>1</v>
      </c>
      <c r="X72" s="40">
        <f t="shared" si="16"/>
        <v>5</v>
      </c>
      <c r="Y72" s="40">
        <f t="shared" si="17"/>
        <v>0</v>
      </c>
      <c r="Z72" s="40">
        <f t="shared" si="18"/>
        <v>0</v>
      </c>
      <c r="AA72" s="40">
        <f t="shared" si="19"/>
        <v>0</v>
      </c>
      <c r="AB72" s="40">
        <f t="shared" si="20"/>
        <v>0</v>
      </c>
      <c r="AC72" s="41">
        <f t="shared" si="21"/>
        <v>0</v>
      </c>
      <c r="AD72" s="49"/>
      <c r="AE72" s="50"/>
      <c r="AF72" s="49" t="s">
        <v>31</v>
      </c>
      <c r="AG72" s="50" t="s">
        <v>154</v>
      </c>
      <c r="AH72" s="49"/>
      <c r="AI72" s="50"/>
      <c r="AJ72" s="49" t="s">
        <v>5</v>
      </c>
      <c r="AK72" s="50" t="s">
        <v>83</v>
      </c>
      <c r="AL72" s="49"/>
      <c r="AM72" s="50"/>
      <c r="AN72" s="49"/>
      <c r="AO72" s="50"/>
      <c r="AP72" s="49"/>
      <c r="AQ72" s="50"/>
      <c r="AR72" s="49" t="s">
        <v>5</v>
      </c>
      <c r="AS72" s="50" t="s">
        <v>722</v>
      </c>
      <c r="AT72" s="49"/>
      <c r="AU72" s="50"/>
      <c r="AV72" s="49" t="s">
        <v>32</v>
      </c>
      <c r="AW72" s="50" t="s">
        <v>194</v>
      </c>
      <c r="AX72" s="49" t="s">
        <v>5</v>
      </c>
      <c r="AY72" s="50" t="s">
        <v>143</v>
      </c>
      <c r="AZ72" s="49"/>
      <c r="BA72" s="50"/>
      <c r="BB72" s="49"/>
      <c r="BC72" s="50"/>
      <c r="BD72" s="49" t="s">
        <v>5</v>
      </c>
      <c r="BE72" s="50" t="s">
        <v>120</v>
      </c>
      <c r="BF72" s="49"/>
      <c r="BG72" s="50"/>
      <c r="BH72" s="49" t="s">
        <v>30</v>
      </c>
      <c r="BI72" s="50" t="s">
        <v>112</v>
      </c>
      <c r="BJ72" s="49"/>
      <c r="BK72" s="50"/>
      <c r="BL72" s="49"/>
      <c r="BM72" s="50"/>
      <c r="BN72" s="49" t="s">
        <v>31</v>
      </c>
      <c r="BO72" s="50" t="s">
        <v>107</v>
      </c>
      <c r="BP72" s="49" t="s">
        <v>30</v>
      </c>
      <c r="BQ72" s="50" t="s">
        <v>152</v>
      </c>
      <c r="BR72" s="49" t="s">
        <v>5</v>
      </c>
      <c r="BS72" s="50" t="s">
        <v>98</v>
      </c>
      <c r="BT72" s="49"/>
      <c r="BU72" s="50"/>
      <c r="BV72" s="49" t="s">
        <v>1</v>
      </c>
      <c r="BW72" s="50" t="s">
        <v>122</v>
      </c>
      <c r="BX72" s="49"/>
      <c r="BY72" s="50"/>
      <c r="BZ72" s="49"/>
      <c r="CA72" s="50"/>
    </row>
    <row r="73" spans="1:79" x14ac:dyDescent="0.25">
      <c r="A73" s="76">
        <v>151767</v>
      </c>
      <c r="B73" s="77" t="s">
        <v>1030</v>
      </c>
      <c r="C73" s="78" t="s">
        <v>970</v>
      </c>
      <c r="D73" s="76" t="s">
        <v>70</v>
      </c>
      <c r="E73" s="79" t="s">
        <v>14</v>
      </c>
      <c r="F73" s="79" t="s">
        <v>150</v>
      </c>
      <c r="G73" s="79" t="s">
        <v>87</v>
      </c>
      <c r="H73" s="79" t="s">
        <v>14</v>
      </c>
      <c r="I73" s="78" t="s">
        <v>14</v>
      </c>
      <c r="J73" s="79" t="s">
        <v>14</v>
      </c>
      <c r="K73" s="142" t="s">
        <v>1850</v>
      </c>
      <c r="L73" s="149" t="s">
        <v>1844</v>
      </c>
      <c r="M73" s="150" t="s">
        <v>12</v>
      </c>
      <c r="N73" s="151">
        <v>10</v>
      </c>
      <c r="O73" s="151">
        <v>1</v>
      </c>
      <c r="P73" s="152">
        <v>1</v>
      </c>
      <c r="Q73" s="153">
        <v>100</v>
      </c>
      <c r="R73" s="154">
        <v>0</v>
      </c>
      <c r="S73" s="38">
        <f t="shared" si="11"/>
        <v>1</v>
      </c>
      <c r="T73" s="39">
        <f t="shared" si="12"/>
        <v>9</v>
      </c>
      <c r="U73" s="40">
        <f t="shared" si="13"/>
        <v>0</v>
      </c>
      <c r="V73" s="40">
        <f t="shared" si="14"/>
        <v>0</v>
      </c>
      <c r="W73" s="40">
        <f t="shared" si="15"/>
        <v>0</v>
      </c>
      <c r="X73" s="40">
        <f t="shared" si="16"/>
        <v>0</v>
      </c>
      <c r="Y73" s="40">
        <f t="shared" si="17"/>
        <v>0</v>
      </c>
      <c r="Z73" s="40">
        <f t="shared" si="18"/>
        <v>0</v>
      </c>
      <c r="AA73" s="40">
        <f t="shared" si="19"/>
        <v>0</v>
      </c>
      <c r="AB73" s="40">
        <f t="shared" si="20"/>
        <v>0</v>
      </c>
      <c r="AC73" s="41">
        <f t="shared" si="21"/>
        <v>0</v>
      </c>
      <c r="AD73" s="49" t="s">
        <v>5</v>
      </c>
      <c r="AE73" s="50" t="s">
        <v>116</v>
      </c>
      <c r="AF73" s="49"/>
      <c r="AG73" s="50"/>
      <c r="AH73" s="49" t="s">
        <v>5</v>
      </c>
      <c r="AI73" s="50" t="s">
        <v>78</v>
      </c>
      <c r="AJ73" s="49"/>
      <c r="AK73" s="50"/>
      <c r="AL73" s="49"/>
      <c r="AM73" s="50"/>
      <c r="AN73" s="49" t="s">
        <v>5</v>
      </c>
      <c r="AO73" s="50" t="s">
        <v>163</v>
      </c>
      <c r="AP73" s="49"/>
      <c r="AQ73" s="50"/>
      <c r="AR73" s="49" t="s">
        <v>5</v>
      </c>
      <c r="AS73" s="50" t="s">
        <v>722</v>
      </c>
      <c r="AT73" s="49"/>
      <c r="AU73" s="50"/>
      <c r="AV73" s="49" t="s">
        <v>5</v>
      </c>
      <c r="AW73" s="50" t="s">
        <v>140</v>
      </c>
      <c r="AX73" s="49"/>
      <c r="AY73" s="50"/>
      <c r="AZ73" s="49"/>
      <c r="BA73" s="50"/>
      <c r="BB73" s="49"/>
      <c r="BC73" s="50"/>
      <c r="BD73" s="49"/>
      <c r="BE73" s="50"/>
      <c r="BF73" s="49"/>
      <c r="BG73" s="50"/>
      <c r="BH73" s="49" t="s">
        <v>1</v>
      </c>
      <c r="BI73" s="50" t="s">
        <v>136</v>
      </c>
      <c r="BJ73" s="49"/>
      <c r="BK73" s="50"/>
      <c r="BL73" s="49"/>
      <c r="BM73" s="50"/>
      <c r="BN73" s="49" t="s">
        <v>5</v>
      </c>
      <c r="BO73" s="50" t="s">
        <v>152</v>
      </c>
      <c r="BP73" s="49"/>
      <c r="BQ73" s="50"/>
      <c r="BR73" s="49"/>
      <c r="BS73" s="50"/>
      <c r="BT73" s="49"/>
      <c r="BU73" s="50"/>
      <c r="BV73" s="49" t="s">
        <v>5</v>
      </c>
      <c r="BW73" s="50" t="s">
        <v>97</v>
      </c>
      <c r="BX73" s="49" t="s">
        <v>5</v>
      </c>
      <c r="BY73" s="50" t="s">
        <v>137</v>
      </c>
      <c r="BZ73" s="49" t="s">
        <v>5</v>
      </c>
      <c r="CA73" s="50" t="s">
        <v>124</v>
      </c>
    </row>
    <row r="74" spans="1:79" x14ac:dyDescent="0.25">
      <c r="A74" s="76">
        <v>151855</v>
      </c>
      <c r="B74" s="77" t="s">
        <v>1031</v>
      </c>
      <c r="C74" s="78" t="s">
        <v>954</v>
      </c>
      <c r="D74" s="76" t="s">
        <v>70</v>
      </c>
      <c r="E74" s="79" t="s">
        <v>14</v>
      </c>
      <c r="F74" s="77" t="s">
        <v>198</v>
      </c>
      <c r="G74" s="79" t="s">
        <v>14</v>
      </c>
      <c r="H74" s="79" t="s">
        <v>14</v>
      </c>
      <c r="I74" s="78" t="s">
        <v>14</v>
      </c>
      <c r="J74" s="79" t="s">
        <v>14</v>
      </c>
      <c r="K74" s="142" t="s">
        <v>1850</v>
      </c>
      <c r="L74" s="149" t="s">
        <v>1846</v>
      </c>
      <c r="M74" s="150" t="s">
        <v>1853</v>
      </c>
      <c r="N74" s="151">
        <v>15</v>
      </c>
      <c r="O74" s="151">
        <v>0</v>
      </c>
      <c r="P74" s="152">
        <v>0</v>
      </c>
      <c r="Q74" s="153">
        <v>100</v>
      </c>
      <c r="R74" s="154">
        <v>0</v>
      </c>
      <c r="S74" s="38">
        <f t="shared" si="11"/>
        <v>2</v>
      </c>
      <c r="T74" s="39">
        <f t="shared" si="12"/>
        <v>9</v>
      </c>
      <c r="U74" s="40">
        <f t="shared" si="13"/>
        <v>0</v>
      </c>
      <c r="V74" s="40">
        <f t="shared" si="14"/>
        <v>0</v>
      </c>
      <c r="W74" s="40">
        <f t="shared" si="15"/>
        <v>0</v>
      </c>
      <c r="X74" s="40">
        <f t="shared" si="16"/>
        <v>0</v>
      </c>
      <c r="Y74" s="40">
        <f t="shared" si="17"/>
        <v>0</v>
      </c>
      <c r="Z74" s="40">
        <f t="shared" si="18"/>
        <v>0</v>
      </c>
      <c r="AA74" s="40">
        <f t="shared" si="19"/>
        <v>0</v>
      </c>
      <c r="AB74" s="40">
        <f t="shared" si="20"/>
        <v>0</v>
      </c>
      <c r="AC74" s="41">
        <f t="shared" si="21"/>
        <v>0</v>
      </c>
      <c r="AD74" s="49"/>
      <c r="AE74" s="50"/>
      <c r="AF74" s="49" t="s">
        <v>1</v>
      </c>
      <c r="AG74" s="50" t="s">
        <v>433</v>
      </c>
      <c r="AH74" s="49" t="s">
        <v>5</v>
      </c>
      <c r="AI74" s="50" t="s">
        <v>131</v>
      </c>
      <c r="AJ74" s="49" t="s">
        <v>5</v>
      </c>
      <c r="AK74" s="50" t="s">
        <v>419</v>
      </c>
      <c r="AL74" s="49"/>
      <c r="AM74" s="50"/>
      <c r="AN74" s="49"/>
      <c r="AO74" s="50"/>
      <c r="AP74" s="49"/>
      <c r="AQ74" s="50"/>
      <c r="AR74" s="49" t="s">
        <v>5</v>
      </c>
      <c r="AS74" s="50" t="s">
        <v>169</v>
      </c>
      <c r="AT74" s="49"/>
      <c r="AU74" s="50"/>
      <c r="AV74" s="49" t="s">
        <v>5</v>
      </c>
      <c r="AW74" s="50" t="s">
        <v>955</v>
      </c>
      <c r="AX74" s="49" t="s">
        <v>5</v>
      </c>
      <c r="AY74" s="50" t="s">
        <v>143</v>
      </c>
      <c r="AZ74" s="49" t="s">
        <v>1</v>
      </c>
      <c r="BA74" s="50" t="s">
        <v>92</v>
      </c>
      <c r="BB74" s="49"/>
      <c r="BC74" s="50"/>
      <c r="BD74" s="49"/>
      <c r="BE74" s="50"/>
      <c r="BF74" s="49"/>
      <c r="BG74" s="50"/>
      <c r="BH74" s="49" t="s">
        <v>5</v>
      </c>
      <c r="BI74" s="50" t="s">
        <v>711</v>
      </c>
      <c r="BJ74" s="49"/>
      <c r="BK74" s="50"/>
      <c r="BL74" s="49"/>
      <c r="BM74" s="50"/>
      <c r="BN74" s="49" t="s">
        <v>5</v>
      </c>
      <c r="BO74" s="50" t="s">
        <v>81</v>
      </c>
      <c r="BP74" s="49"/>
      <c r="BQ74" s="50"/>
      <c r="BR74" s="49" t="s">
        <v>5</v>
      </c>
      <c r="BS74" s="50" t="s">
        <v>140</v>
      </c>
      <c r="BT74" s="49"/>
      <c r="BU74" s="50"/>
      <c r="BV74" s="49" t="s">
        <v>5</v>
      </c>
      <c r="BW74" s="50" t="s">
        <v>132</v>
      </c>
      <c r="BX74" s="49"/>
      <c r="BY74" s="50"/>
      <c r="BZ74" s="49"/>
      <c r="CA74" s="50"/>
    </row>
    <row r="75" spans="1:79" x14ac:dyDescent="0.25">
      <c r="A75" s="76">
        <v>151889</v>
      </c>
      <c r="B75" s="77" t="s">
        <v>1032</v>
      </c>
      <c r="C75" s="78" t="s">
        <v>959</v>
      </c>
      <c r="D75" s="76" t="s">
        <v>12</v>
      </c>
      <c r="E75" s="79" t="s">
        <v>14</v>
      </c>
      <c r="F75" s="79" t="s">
        <v>71</v>
      </c>
      <c r="G75" s="79" t="s">
        <v>14</v>
      </c>
      <c r="H75" s="79" t="s">
        <v>14</v>
      </c>
      <c r="I75" s="78" t="s">
        <v>14</v>
      </c>
      <c r="J75" s="79" t="s">
        <v>14</v>
      </c>
      <c r="K75" s="142" t="s">
        <v>1850</v>
      </c>
      <c r="L75" s="149" t="s">
        <v>1842</v>
      </c>
      <c r="M75" s="150" t="s">
        <v>1853</v>
      </c>
      <c r="N75" s="151">
        <v>22</v>
      </c>
      <c r="O75" s="151">
        <v>0</v>
      </c>
      <c r="P75" s="152">
        <v>0</v>
      </c>
      <c r="Q75" s="153">
        <v>100</v>
      </c>
      <c r="R75" s="154">
        <v>1</v>
      </c>
      <c r="S75" s="38">
        <f t="shared" si="11"/>
        <v>1</v>
      </c>
      <c r="T75" s="39">
        <f t="shared" si="12"/>
        <v>8</v>
      </c>
      <c r="U75" s="40">
        <f t="shared" si="13"/>
        <v>1</v>
      </c>
      <c r="V75" s="40">
        <f t="shared" si="14"/>
        <v>0</v>
      </c>
      <c r="W75" s="40">
        <f t="shared" si="15"/>
        <v>1</v>
      </c>
      <c r="X75" s="40">
        <f t="shared" si="16"/>
        <v>2</v>
      </c>
      <c r="Y75" s="40">
        <f t="shared" si="17"/>
        <v>0</v>
      </c>
      <c r="Z75" s="40">
        <f t="shared" si="18"/>
        <v>0</v>
      </c>
      <c r="AA75" s="40">
        <f t="shared" si="19"/>
        <v>0</v>
      </c>
      <c r="AB75" s="40">
        <f t="shared" si="20"/>
        <v>0</v>
      </c>
      <c r="AC75" s="41">
        <f t="shared" si="21"/>
        <v>0</v>
      </c>
      <c r="AD75" s="49"/>
      <c r="AE75" s="50"/>
      <c r="AF75" s="49" t="s">
        <v>5</v>
      </c>
      <c r="AG75" s="50" t="s">
        <v>433</v>
      </c>
      <c r="AH75" s="49"/>
      <c r="AI75" s="50"/>
      <c r="AJ75" s="49" t="s">
        <v>5</v>
      </c>
      <c r="AK75" s="50" t="s">
        <v>419</v>
      </c>
      <c r="AL75" s="49"/>
      <c r="AM75" s="50"/>
      <c r="AN75" s="49"/>
      <c r="AO75" s="50"/>
      <c r="AP75" s="49"/>
      <c r="AQ75" s="50"/>
      <c r="AR75" s="49" t="s">
        <v>5</v>
      </c>
      <c r="AS75" s="50" t="s">
        <v>151</v>
      </c>
      <c r="AT75" s="49"/>
      <c r="AU75" s="50"/>
      <c r="AV75" s="49" t="s">
        <v>32</v>
      </c>
      <c r="AW75" s="50" t="s">
        <v>194</v>
      </c>
      <c r="AX75" s="49" t="s">
        <v>5</v>
      </c>
      <c r="AY75" s="50" t="s">
        <v>84</v>
      </c>
      <c r="AZ75" s="49"/>
      <c r="BA75" s="50"/>
      <c r="BB75" s="49"/>
      <c r="BC75" s="50"/>
      <c r="BD75" s="49" t="s">
        <v>5</v>
      </c>
      <c r="BE75" s="50" t="s">
        <v>120</v>
      </c>
      <c r="BF75" s="49"/>
      <c r="BG75" s="50"/>
      <c r="BH75" s="49" t="s">
        <v>1</v>
      </c>
      <c r="BI75" s="50" t="s">
        <v>94</v>
      </c>
      <c r="BJ75" s="49"/>
      <c r="BK75" s="50"/>
      <c r="BL75" s="49"/>
      <c r="BM75" s="50"/>
      <c r="BN75" s="49" t="s">
        <v>5</v>
      </c>
      <c r="BO75" s="50" t="s">
        <v>107</v>
      </c>
      <c r="BP75" s="49" t="s">
        <v>30</v>
      </c>
      <c r="BQ75" s="50" t="s">
        <v>152</v>
      </c>
      <c r="BR75" s="49" t="s">
        <v>5</v>
      </c>
      <c r="BS75" s="50" t="s">
        <v>140</v>
      </c>
      <c r="BT75" s="49"/>
      <c r="BU75" s="50"/>
      <c r="BV75" s="49" t="s">
        <v>5</v>
      </c>
      <c r="BW75" s="50" t="s">
        <v>132</v>
      </c>
      <c r="BX75" s="49"/>
      <c r="BY75" s="50"/>
      <c r="BZ75" s="49"/>
      <c r="CA75" s="50"/>
    </row>
    <row r="76" spans="1:79" x14ac:dyDescent="0.25">
      <c r="A76" s="76">
        <v>151963</v>
      </c>
      <c r="B76" s="77" t="s">
        <v>1033</v>
      </c>
      <c r="C76" s="78" t="s">
        <v>961</v>
      </c>
      <c r="D76" s="76" t="s">
        <v>70</v>
      </c>
      <c r="E76" s="79" t="s">
        <v>14</v>
      </c>
      <c r="F76" s="79" t="s">
        <v>71</v>
      </c>
      <c r="G76" s="79" t="s">
        <v>14</v>
      </c>
      <c r="H76" s="79" t="s">
        <v>14</v>
      </c>
      <c r="I76" s="78" t="s">
        <v>14</v>
      </c>
      <c r="J76" s="79" t="s">
        <v>14</v>
      </c>
      <c r="K76" s="142" t="s">
        <v>1851</v>
      </c>
      <c r="L76" s="149" t="s">
        <v>1841</v>
      </c>
      <c r="M76" s="150" t="s">
        <v>1853</v>
      </c>
      <c r="N76" s="151">
        <v>12</v>
      </c>
      <c r="O76" s="151">
        <v>0</v>
      </c>
      <c r="P76" s="152">
        <v>0</v>
      </c>
      <c r="Q76" s="153">
        <v>97.83</v>
      </c>
      <c r="R76" s="154">
        <v>0</v>
      </c>
      <c r="S76" s="38">
        <f t="shared" si="11"/>
        <v>3</v>
      </c>
      <c r="T76" s="39">
        <f t="shared" si="12"/>
        <v>7</v>
      </c>
      <c r="U76" s="40">
        <f t="shared" si="13"/>
        <v>0</v>
      </c>
      <c r="V76" s="40">
        <f t="shared" si="14"/>
        <v>0</v>
      </c>
      <c r="W76" s="40">
        <f t="shared" si="15"/>
        <v>0</v>
      </c>
      <c r="X76" s="40">
        <f t="shared" si="16"/>
        <v>0</v>
      </c>
      <c r="Y76" s="40">
        <f t="shared" si="17"/>
        <v>0</v>
      </c>
      <c r="Z76" s="40">
        <f t="shared" si="18"/>
        <v>0</v>
      </c>
      <c r="AA76" s="40">
        <f t="shared" si="19"/>
        <v>0</v>
      </c>
      <c r="AB76" s="40">
        <f t="shared" si="20"/>
        <v>0</v>
      </c>
      <c r="AC76" s="41">
        <f t="shared" si="21"/>
        <v>0</v>
      </c>
      <c r="AD76" s="49" t="s">
        <v>5</v>
      </c>
      <c r="AE76" s="50" t="s">
        <v>72</v>
      </c>
      <c r="AF76" s="49"/>
      <c r="AG76" s="50"/>
      <c r="AH76" s="49"/>
      <c r="AI76" s="50"/>
      <c r="AJ76" s="49"/>
      <c r="AK76" s="50"/>
      <c r="AL76" s="49"/>
      <c r="AM76" s="50"/>
      <c r="AN76" s="49"/>
      <c r="AO76" s="50"/>
      <c r="AP76" s="49" t="s">
        <v>5</v>
      </c>
      <c r="AQ76" s="50" t="s">
        <v>101</v>
      </c>
      <c r="AR76" s="49" t="s">
        <v>1</v>
      </c>
      <c r="AS76" s="50" t="s">
        <v>169</v>
      </c>
      <c r="AT76" s="49"/>
      <c r="AU76" s="50"/>
      <c r="AV76" s="49" t="s">
        <v>5</v>
      </c>
      <c r="AW76" s="50" t="s">
        <v>139</v>
      </c>
      <c r="AX76" s="49"/>
      <c r="AY76" s="50"/>
      <c r="AZ76" s="49"/>
      <c r="BA76" s="50"/>
      <c r="BB76" s="49"/>
      <c r="BC76" s="50"/>
      <c r="BD76" s="49"/>
      <c r="BE76" s="50"/>
      <c r="BF76" s="49"/>
      <c r="BG76" s="50"/>
      <c r="BH76" s="49" t="s">
        <v>1</v>
      </c>
      <c r="BI76" s="50" t="s">
        <v>94</v>
      </c>
      <c r="BJ76" s="49"/>
      <c r="BK76" s="50"/>
      <c r="BL76" s="49"/>
      <c r="BM76" s="50"/>
      <c r="BN76" s="49" t="s">
        <v>5</v>
      </c>
      <c r="BO76" s="50" t="s">
        <v>81</v>
      </c>
      <c r="BP76" s="49"/>
      <c r="BQ76" s="50"/>
      <c r="BR76" s="49"/>
      <c r="BS76" s="50"/>
      <c r="BT76" s="49" t="s">
        <v>5</v>
      </c>
      <c r="BU76" s="50" t="s">
        <v>90</v>
      </c>
      <c r="BV76" s="49" t="s">
        <v>1</v>
      </c>
      <c r="BW76" s="50" t="s">
        <v>132</v>
      </c>
      <c r="BX76" s="49" t="s">
        <v>5</v>
      </c>
      <c r="BY76" s="50" t="s">
        <v>137</v>
      </c>
      <c r="BZ76" s="49" t="s">
        <v>5</v>
      </c>
      <c r="CA76" s="50" t="s">
        <v>75</v>
      </c>
    </row>
    <row r="77" spans="1:79" x14ac:dyDescent="0.25">
      <c r="A77" s="76">
        <v>151800</v>
      </c>
      <c r="B77" s="77" t="s">
        <v>1034</v>
      </c>
      <c r="C77" s="78" t="s">
        <v>950</v>
      </c>
      <c r="D77" s="76" t="s">
        <v>70</v>
      </c>
      <c r="E77" s="79" t="s">
        <v>14</v>
      </c>
      <c r="F77" s="79" t="s">
        <v>198</v>
      </c>
      <c r="G77" s="79" t="s">
        <v>14</v>
      </c>
      <c r="H77" s="79" t="s">
        <v>14</v>
      </c>
      <c r="I77" s="78" t="s">
        <v>14</v>
      </c>
      <c r="J77" s="79" t="s">
        <v>14</v>
      </c>
      <c r="K77" s="142" t="s">
        <v>1851</v>
      </c>
      <c r="L77" s="149" t="s">
        <v>1844</v>
      </c>
      <c r="M77" s="150" t="s">
        <v>12</v>
      </c>
      <c r="N77" s="151">
        <v>3</v>
      </c>
      <c r="O77" s="151">
        <v>0</v>
      </c>
      <c r="P77" s="152">
        <v>0</v>
      </c>
      <c r="Q77" s="153">
        <v>0</v>
      </c>
      <c r="R77" s="154">
        <v>0</v>
      </c>
      <c r="S77" s="38">
        <f t="shared" si="11"/>
        <v>0</v>
      </c>
      <c r="T77" s="39">
        <f t="shared" si="12"/>
        <v>2</v>
      </c>
      <c r="U77" s="40">
        <f t="shared" si="13"/>
        <v>1</v>
      </c>
      <c r="V77" s="40">
        <f t="shared" si="14"/>
        <v>0</v>
      </c>
      <c r="W77" s="40">
        <f t="shared" si="15"/>
        <v>0</v>
      </c>
      <c r="X77" s="40">
        <f t="shared" si="16"/>
        <v>1</v>
      </c>
      <c r="Y77" s="40">
        <f t="shared" si="17"/>
        <v>0</v>
      </c>
      <c r="Z77" s="40">
        <f t="shared" si="18"/>
        <v>0</v>
      </c>
      <c r="AA77" s="40">
        <f t="shared" si="19"/>
        <v>0</v>
      </c>
      <c r="AB77" s="40">
        <f t="shared" si="20"/>
        <v>0</v>
      </c>
      <c r="AC77" s="41">
        <f t="shared" si="21"/>
        <v>0</v>
      </c>
      <c r="AD77" s="49"/>
      <c r="AE77" s="50"/>
      <c r="AF77" s="49"/>
      <c r="AG77" s="50" t="s">
        <v>438</v>
      </c>
      <c r="AH77" s="49" t="s">
        <v>189</v>
      </c>
      <c r="AI77" s="50" t="s">
        <v>78</v>
      </c>
      <c r="AJ77" s="49" t="s">
        <v>30</v>
      </c>
      <c r="AK77" s="50" t="s">
        <v>83</v>
      </c>
      <c r="AL77" s="49"/>
      <c r="AM77" s="50"/>
      <c r="AN77" s="49"/>
      <c r="AO77" s="50"/>
      <c r="AP77" s="49"/>
      <c r="AQ77" s="50"/>
      <c r="AR77" s="49" t="s">
        <v>5</v>
      </c>
      <c r="AS77" s="50" t="s">
        <v>151</v>
      </c>
      <c r="AT77" s="49"/>
      <c r="AU77" s="50"/>
      <c r="AV77" s="49" t="s">
        <v>189</v>
      </c>
      <c r="AW77" s="50" t="s">
        <v>96</v>
      </c>
      <c r="AX77" s="49" t="s">
        <v>189</v>
      </c>
      <c r="AY77" s="50" t="s">
        <v>84</v>
      </c>
      <c r="AZ77" s="49"/>
      <c r="BA77" s="50"/>
      <c r="BB77" s="49"/>
      <c r="BC77" s="50"/>
      <c r="BD77" s="49" t="s">
        <v>5</v>
      </c>
      <c r="BE77" s="50" t="s">
        <v>120</v>
      </c>
      <c r="BF77" s="49"/>
      <c r="BG77" s="50"/>
      <c r="BH77" s="49" t="s">
        <v>189</v>
      </c>
      <c r="BI77" s="50" t="s">
        <v>505</v>
      </c>
      <c r="BJ77" s="49"/>
      <c r="BK77" s="50"/>
      <c r="BL77" s="49"/>
      <c r="BM77" s="50"/>
      <c r="BN77" s="49" t="s">
        <v>189</v>
      </c>
      <c r="BO77" s="50" t="s">
        <v>81</v>
      </c>
      <c r="BP77" s="49"/>
      <c r="BQ77" s="50"/>
      <c r="BR77" s="49" t="s">
        <v>189</v>
      </c>
      <c r="BS77" s="50" t="s">
        <v>123</v>
      </c>
      <c r="BT77" s="49"/>
      <c r="BU77" s="50"/>
      <c r="BV77" s="49"/>
      <c r="BW77" s="50" t="s">
        <v>82</v>
      </c>
      <c r="BX77" s="49"/>
      <c r="BY77" s="50"/>
      <c r="BZ77" s="49"/>
      <c r="CA77" s="50"/>
    </row>
    <row r="78" spans="1:79" x14ac:dyDescent="0.25">
      <c r="A78" s="76">
        <v>151940</v>
      </c>
      <c r="B78" s="77" t="s">
        <v>1035</v>
      </c>
      <c r="C78" s="78" t="s">
        <v>950</v>
      </c>
      <c r="D78" s="76" t="s">
        <v>12</v>
      </c>
      <c r="E78" s="79" t="s">
        <v>14</v>
      </c>
      <c r="F78" s="79" t="s">
        <v>71</v>
      </c>
      <c r="G78" s="79" t="s">
        <v>14</v>
      </c>
      <c r="H78" s="79" t="s">
        <v>14</v>
      </c>
      <c r="I78" s="78" t="s">
        <v>14</v>
      </c>
      <c r="J78" s="79" t="s">
        <v>14</v>
      </c>
      <c r="K78" s="142" t="s">
        <v>1850</v>
      </c>
      <c r="L78" s="149" t="s">
        <v>1845</v>
      </c>
      <c r="M78" s="150" t="s">
        <v>12</v>
      </c>
      <c r="N78" s="151">
        <v>15</v>
      </c>
      <c r="O78" s="151">
        <v>4</v>
      </c>
      <c r="P78" s="152">
        <v>1</v>
      </c>
      <c r="Q78" s="153">
        <v>100</v>
      </c>
      <c r="R78" s="154">
        <v>2</v>
      </c>
      <c r="S78" s="38">
        <f t="shared" si="11"/>
        <v>1</v>
      </c>
      <c r="T78" s="39">
        <f t="shared" si="12"/>
        <v>10</v>
      </c>
      <c r="U78" s="40">
        <f t="shared" si="13"/>
        <v>0</v>
      </c>
      <c r="V78" s="40">
        <f t="shared" si="14"/>
        <v>0</v>
      </c>
      <c r="W78" s="40">
        <f t="shared" si="15"/>
        <v>0</v>
      </c>
      <c r="X78" s="40">
        <f t="shared" si="16"/>
        <v>0</v>
      </c>
      <c r="Y78" s="40">
        <f t="shared" si="17"/>
        <v>0</v>
      </c>
      <c r="Z78" s="40">
        <f t="shared" si="18"/>
        <v>0</v>
      </c>
      <c r="AA78" s="40">
        <f t="shared" si="19"/>
        <v>0</v>
      </c>
      <c r="AB78" s="40">
        <f t="shared" si="20"/>
        <v>0</v>
      </c>
      <c r="AC78" s="41">
        <f t="shared" si="21"/>
        <v>0</v>
      </c>
      <c r="AD78" s="49"/>
      <c r="AE78" s="50"/>
      <c r="AF78" s="49" t="s">
        <v>5</v>
      </c>
      <c r="AG78" s="50" t="s">
        <v>433</v>
      </c>
      <c r="AH78" s="49" t="s">
        <v>5</v>
      </c>
      <c r="AI78" s="50" t="s">
        <v>78</v>
      </c>
      <c r="AJ78" s="49" t="s">
        <v>5</v>
      </c>
      <c r="AK78" s="50" t="s">
        <v>714</v>
      </c>
      <c r="AL78" s="49"/>
      <c r="AM78" s="50"/>
      <c r="AN78" s="49"/>
      <c r="AO78" s="50"/>
      <c r="AP78" s="49"/>
      <c r="AQ78" s="50"/>
      <c r="AR78" s="49" t="s">
        <v>5</v>
      </c>
      <c r="AS78" s="50" t="s">
        <v>194</v>
      </c>
      <c r="AT78" s="49"/>
      <c r="AU78" s="50"/>
      <c r="AV78" s="49" t="s">
        <v>5</v>
      </c>
      <c r="AW78" s="50" t="s">
        <v>96</v>
      </c>
      <c r="AX78" s="49" t="s">
        <v>5</v>
      </c>
      <c r="AY78" s="50" t="s">
        <v>84</v>
      </c>
      <c r="AZ78" s="49"/>
      <c r="BA78" s="50"/>
      <c r="BB78" s="49"/>
      <c r="BC78" s="50"/>
      <c r="BD78" s="49"/>
      <c r="BE78" s="50"/>
      <c r="BF78" s="49"/>
      <c r="BG78" s="50"/>
      <c r="BH78" s="49" t="s">
        <v>5</v>
      </c>
      <c r="BI78" s="50" t="s">
        <v>79</v>
      </c>
      <c r="BJ78" s="49"/>
      <c r="BK78" s="50"/>
      <c r="BL78" s="49"/>
      <c r="BM78" s="50"/>
      <c r="BN78" s="49" t="s">
        <v>1</v>
      </c>
      <c r="BO78" s="50" t="s">
        <v>96</v>
      </c>
      <c r="BP78" s="49"/>
      <c r="BQ78" s="50"/>
      <c r="BR78" s="49" t="s">
        <v>5</v>
      </c>
      <c r="BS78" s="50" t="s">
        <v>170</v>
      </c>
      <c r="BT78" s="49" t="s">
        <v>5</v>
      </c>
      <c r="BU78" s="50" t="s">
        <v>90</v>
      </c>
      <c r="BV78" s="49" t="s">
        <v>5</v>
      </c>
      <c r="BW78" s="50" t="s">
        <v>602</v>
      </c>
      <c r="BX78" s="49"/>
      <c r="BY78" s="50"/>
      <c r="BZ78" s="49"/>
      <c r="CA78" s="50"/>
    </row>
    <row r="79" spans="1:79" x14ac:dyDescent="0.25">
      <c r="A79" s="76">
        <v>151907</v>
      </c>
      <c r="B79" s="77" t="s">
        <v>1036</v>
      </c>
      <c r="C79" s="78" t="s">
        <v>959</v>
      </c>
      <c r="D79" s="76" t="s">
        <v>70</v>
      </c>
      <c r="E79" s="79" t="s">
        <v>87</v>
      </c>
      <c r="F79" s="79" t="s">
        <v>71</v>
      </c>
      <c r="G79" s="79" t="s">
        <v>14</v>
      </c>
      <c r="H79" s="79" t="s">
        <v>87</v>
      </c>
      <c r="I79" s="78" t="s">
        <v>14</v>
      </c>
      <c r="J79" s="79" t="s">
        <v>14</v>
      </c>
      <c r="K79" s="142" t="s">
        <v>1850</v>
      </c>
      <c r="L79" s="149" t="s">
        <v>1842</v>
      </c>
      <c r="M79" s="150" t="s">
        <v>12</v>
      </c>
      <c r="N79" s="151">
        <v>18</v>
      </c>
      <c r="O79" s="151">
        <v>0</v>
      </c>
      <c r="P79" s="152">
        <v>0</v>
      </c>
      <c r="Q79" s="153">
        <v>100</v>
      </c>
      <c r="R79" s="154">
        <v>0</v>
      </c>
      <c r="S79" s="38">
        <f t="shared" si="11"/>
        <v>2</v>
      </c>
      <c r="T79" s="39">
        <f t="shared" si="12"/>
        <v>8</v>
      </c>
      <c r="U79" s="40">
        <f t="shared" si="13"/>
        <v>0</v>
      </c>
      <c r="V79" s="40">
        <f t="shared" si="14"/>
        <v>0</v>
      </c>
      <c r="W79" s="40">
        <f t="shared" si="15"/>
        <v>0</v>
      </c>
      <c r="X79" s="40">
        <f t="shared" si="16"/>
        <v>0</v>
      </c>
      <c r="Y79" s="40">
        <f t="shared" si="17"/>
        <v>0</v>
      </c>
      <c r="Z79" s="40">
        <f t="shared" si="18"/>
        <v>0</v>
      </c>
      <c r="AA79" s="40">
        <f t="shared" si="19"/>
        <v>0</v>
      </c>
      <c r="AB79" s="40">
        <f t="shared" si="20"/>
        <v>0</v>
      </c>
      <c r="AC79" s="41">
        <f t="shared" si="21"/>
        <v>0</v>
      </c>
      <c r="AD79" s="49" t="s">
        <v>5</v>
      </c>
      <c r="AE79" s="50" t="s">
        <v>72</v>
      </c>
      <c r="AF79" s="49"/>
      <c r="AG79" s="50"/>
      <c r="AH79" s="49"/>
      <c r="AI79" s="50"/>
      <c r="AJ79" s="49"/>
      <c r="AK79" s="50"/>
      <c r="AL79" s="49"/>
      <c r="AM79" s="50"/>
      <c r="AN79" s="49"/>
      <c r="AO79" s="50"/>
      <c r="AP79" s="49" t="s">
        <v>5</v>
      </c>
      <c r="AQ79" s="50" t="s">
        <v>101</v>
      </c>
      <c r="AR79" s="49" t="s">
        <v>5</v>
      </c>
      <c r="AS79" s="50" t="s">
        <v>151</v>
      </c>
      <c r="AT79" s="49"/>
      <c r="AU79" s="50"/>
      <c r="AV79" s="49" t="s">
        <v>5</v>
      </c>
      <c r="AW79" s="50" t="s">
        <v>194</v>
      </c>
      <c r="AX79" s="49" t="s">
        <v>5</v>
      </c>
      <c r="AY79" s="50" t="s">
        <v>103</v>
      </c>
      <c r="AZ79" s="49"/>
      <c r="BA79" s="50"/>
      <c r="BB79" s="49"/>
      <c r="BC79" s="50"/>
      <c r="BD79" s="49"/>
      <c r="BE79" s="50"/>
      <c r="BF79" s="49"/>
      <c r="BG79" s="50"/>
      <c r="BH79" s="49" t="s">
        <v>1</v>
      </c>
      <c r="BI79" s="50" t="s">
        <v>106</v>
      </c>
      <c r="BJ79" s="49" t="s">
        <v>1</v>
      </c>
      <c r="BK79" s="50" t="s">
        <v>95</v>
      </c>
      <c r="BL79" s="49"/>
      <c r="BM79" s="50"/>
      <c r="BN79" s="49" t="s">
        <v>5</v>
      </c>
      <c r="BO79" s="50" t="s">
        <v>81</v>
      </c>
      <c r="BP79" s="49"/>
      <c r="BQ79" s="50"/>
      <c r="BR79" s="49"/>
      <c r="BS79" s="50"/>
      <c r="BT79" s="49"/>
      <c r="BU79" s="50"/>
      <c r="BV79" s="49" t="s">
        <v>5</v>
      </c>
      <c r="BW79" s="50" t="s">
        <v>82</v>
      </c>
      <c r="BX79" s="49" t="s">
        <v>5</v>
      </c>
      <c r="BY79" s="50" t="s">
        <v>137</v>
      </c>
      <c r="BZ79" s="49"/>
      <c r="CA79" s="50"/>
    </row>
    <row r="80" spans="1:79" x14ac:dyDescent="0.25">
      <c r="A80" s="76">
        <v>151801</v>
      </c>
      <c r="B80" s="77" t="s">
        <v>1037</v>
      </c>
      <c r="C80" s="78" t="s">
        <v>952</v>
      </c>
      <c r="D80" s="76" t="s">
        <v>12</v>
      </c>
      <c r="E80" s="79" t="s">
        <v>14</v>
      </c>
      <c r="F80" s="79" t="s">
        <v>71</v>
      </c>
      <c r="G80" s="79" t="s">
        <v>14</v>
      </c>
      <c r="H80" s="79" t="s">
        <v>14</v>
      </c>
      <c r="I80" s="78" t="s">
        <v>14</v>
      </c>
      <c r="J80" s="79" t="s">
        <v>14</v>
      </c>
      <c r="K80" s="142" t="s">
        <v>1850</v>
      </c>
      <c r="L80" s="149" t="s">
        <v>1841</v>
      </c>
      <c r="M80" s="150" t="s">
        <v>1853</v>
      </c>
      <c r="N80" s="151">
        <v>7</v>
      </c>
      <c r="O80" s="151">
        <v>0</v>
      </c>
      <c r="P80" s="152">
        <v>1</v>
      </c>
      <c r="Q80" s="153">
        <v>100</v>
      </c>
      <c r="R80" s="154">
        <v>0</v>
      </c>
      <c r="S80" s="38">
        <f t="shared" si="11"/>
        <v>1</v>
      </c>
      <c r="T80" s="39">
        <f t="shared" si="12"/>
        <v>10</v>
      </c>
      <c r="U80" s="40">
        <f t="shared" si="13"/>
        <v>0</v>
      </c>
      <c r="V80" s="40">
        <f t="shared" si="14"/>
        <v>0</v>
      </c>
      <c r="W80" s="40">
        <f t="shared" si="15"/>
        <v>0</v>
      </c>
      <c r="X80" s="40">
        <f t="shared" si="16"/>
        <v>0</v>
      </c>
      <c r="Y80" s="40">
        <f t="shared" si="17"/>
        <v>0</v>
      </c>
      <c r="Z80" s="40">
        <f t="shared" si="18"/>
        <v>0</v>
      </c>
      <c r="AA80" s="40">
        <f t="shared" si="19"/>
        <v>0</v>
      </c>
      <c r="AB80" s="40">
        <f t="shared" si="20"/>
        <v>0</v>
      </c>
      <c r="AC80" s="41">
        <f t="shared" si="21"/>
        <v>0</v>
      </c>
      <c r="AD80" s="49"/>
      <c r="AE80" s="50"/>
      <c r="AF80" s="49" t="s">
        <v>5</v>
      </c>
      <c r="AG80" s="50" t="s">
        <v>433</v>
      </c>
      <c r="AH80" s="49"/>
      <c r="AI80" s="50"/>
      <c r="AJ80" s="49" t="s">
        <v>5</v>
      </c>
      <c r="AK80" s="50" t="s">
        <v>419</v>
      </c>
      <c r="AL80" s="49"/>
      <c r="AM80" s="50"/>
      <c r="AN80" s="49"/>
      <c r="AO80" s="50"/>
      <c r="AP80" s="49"/>
      <c r="AQ80" s="50"/>
      <c r="AR80" s="49" t="s">
        <v>5</v>
      </c>
      <c r="AS80" s="50" t="s">
        <v>169</v>
      </c>
      <c r="AT80" s="49" t="s">
        <v>5</v>
      </c>
      <c r="AU80" s="50" t="s">
        <v>73</v>
      </c>
      <c r="AV80" s="49" t="s">
        <v>5</v>
      </c>
      <c r="AW80" s="50" t="s">
        <v>117</v>
      </c>
      <c r="AX80" s="49"/>
      <c r="AY80" s="50"/>
      <c r="AZ80" s="49"/>
      <c r="BA80" s="50"/>
      <c r="BB80" s="49"/>
      <c r="BC80" s="50"/>
      <c r="BD80" s="49" t="s">
        <v>5</v>
      </c>
      <c r="BE80" s="50" t="s">
        <v>132</v>
      </c>
      <c r="BF80" s="49"/>
      <c r="BG80" s="50"/>
      <c r="BH80" s="49" t="s">
        <v>5</v>
      </c>
      <c r="BI80" s="50" t="s">
        <v>711</v>
      </c>
      <c r="BJ80" s="49"/>
      <c r="BK80" s="50"/>
      <c r="BL80" s="49"/>
      <c r="BM80" s="50"/>
      <c r="BN80" s="49" t="s">
        <v>1</v>
      </c>
      <c r="BO80" s="50" t="s">
        <v>107</v>
      </c>
      <c r="BP80" s="49"/>
      <c r="BQ80" s="50"/>
      <c r="BR80" s="49" t="s">
        <v>5</v>
      </c>
      <c r="BS80" s="50" t="s">
        <v>140</v>
      </c>
      <c r="BT80" s="49"/>
      <c r="BU80" s="50"/>
      <c r="BV80" s="49" t="s">
        <v>5</v>
      </c>
      <c r="BW80" s="50" t="s">
        <v>132</v>
      </c>
      <c r="BX80" s="49"/>
      <c r="BY80" s="50"/>
      <c r="BZ80" s="49" t="s">
        <v>5</v>
      </c>
      <c r="CA80" s="50" t="s">
        <v>124</v>
      </c>
    </row>
    <row r="81" spans="1:79" x14ac:dyDescent="0.25">
      <c r="A81" s="76">
        <v>152714</v>
      </c>
      <c r="B81" s="77" t="s">
        <v>1038</v>
      </c>
      <c r="C81" s="78" t="s">
        <v>959</v>
      </c>
      <c r="D81" s="76" t="s">
        <v>12</v>
      </c>
      <c r="E81" s="79" t="s">
        <v>14</v>
      </c>
      <c r="F81" s="79" t="s">
        <v>71</v>
      </c>
      <c r="G81" s="79" t="s">
        <v>14</v>
      </c>
      <c r="H81" s="79" t="s">
        <v>14</v>
      </c>
      <c r="I81" s="78" t="s">
        <v>14</v>
      </c>
      <c r="J81" s="79" t="s">
        <v>14</v>
      </c>
      <c r="K81" s="142" t="s">
        <v>1851</v>
      </c>
      <c r="L81" s="149" t="s">
        <v>1845</v>
      </c>
      <c r="M81" s="150" t="s">
        <v>12</v>
      </c>
      <c r="N81" s="151">
        <v>6</v>
      </c>
      <c r="O81" s="151">
        <v>5</v>
      </c>
      <c r="P81" s="152">
        <v>0</v>
      </c>
      <c r="Q81" s="153">
        <v>67.650000000000006</v>
      </c>
      <c r="R81" s="154">
        <v>8</v>
      </c>
      <c r="S81" s="38">
        <f t="shared" si="11"/>
        <v>0</v>
      </c>
      <c r="T81" s="39">
        <f t="shared" si="12"/>
        <v>3</v>
      </c>
      <c r="U81" s="40">
        <f t="shared" si="13"/>
        <v>4</v>
      </c>
      <c r="V81" s="40">
        <f t="shared" si="14"/>
        <v>1</v>
      </c>
      <c r="W81" s="40">
        <f t="shared" si="15"/>
        <v>2</v>
      </c>
      <c r="X81" s="40">
        <f t="shared" si="16"/>
        <v>7</v>
      </c>
      <c r="Y81" s="40">
        <f t="shared" si="17"/>
        <v>0</v>
      </c>
      <c r="Z81" s="40">
        <f t="shared" si="18"/>
        <v>0</v>
      </c>
      <c r="AA81" s="40">
        <f t="shared" si="19"/>
        <v>0</v>
      </c>
      <c r="AB81" s="40">
        <f t="shared" si="20"/>
        <v>0</v>
      </c>
      <c r="AC81" s="41">
        <f t="shared" si="21"/>
        <v>0</v>
      </c>
      <c r="AD81" s="49"/>
      <c r="AE81" s="50"/>
      <c r="AF81" s="49"/>
      <c r="AG81" s="50"/>
      <c r="AH81" s="49" t="s">
        <v>30</v>
      </c>
      <c r="AI81" s="50" t="s">
        <v>78</v>
      </c>
      <c r="AJ81" s="49"/>
      <c r="AK81" s="50"/>
      <c r="AL81" s="49"/>
      <c r="AM81" s="50"/>
      <c r="AN81" s="49"/>
      <c r="AO81" s="50"/>
      <c r="AP81" s="49"/>
      <c r="AQ81" s="50"/>
      <c r="AR81" s="49" t="s">
        <v>5</v>
      </c>
      <c r="AS81" s="50" t="s">
        <v>111</v>
      </c>
      <c r="AT81" s="49"/>
      <c r="AU81" s="50"/>
      <c r="AV81" s="49" t="s">
        <v>32</v>
      </c>
      <c r="AW81" s="50" t="s">
        <v>194</v>
      </c>
      <c r="AX81" s="49" t="s">
        <v>30</v>
      </c>
      <c r="AY81" s="50" t="s">
        <v>143</v>
      </c>
      <c r="AZ81" s="49"/>
      <c r="BA81" s="50"/>
      <c r="BB81" s="49"/>
      <c r="BC81" s="50"/>
      <c r="BD81" s="49"/>
      <c r="BE81" s="50"/>
      <c r="BF81" s="49"/>
      <c r="BG81" s="50"/>
      <c r="BH81" s="49" t="s">
        <v>5</v>
      </c>
      <c r="BI81" s="50" t="s">
        <v>422</v>
      </c>
      <c r="BJ81" s="49"/>
      <c r="BK81" s="50"/>
      <c r="BL81" s="49" t="s">
        <v>32</v>
      </c>
      <c r="BM81" s="50" t="s">
        <v>72</v>
      </c>
      <c r="BN81" s="49" t="s">
        <v>30</v>
      </c>
      <c r="BO81" s="50" t="s">
        <v>107</v>
      </c>
      <c r="BP81" s="49" t="s">
        <v>30</v>
      </c>
      <c r="BQ81" s="50" t="s">
        <v>107</v>
      </c>
      <c r="BR81" s="49"/>
      <c r="BS81" s="50"/>
      <c r="BT81" s="49"/>
      <c r="BU81" s="50"/>
      <c r="BV81" s="49" t="s">
        <v>5</v>
      </c>
      <c r="BW81" s="50" t="s">
        <v>82</v>
      </c>
      <c r="BX81" s="49" t="s">
        <v>31</v>
      </c>
      <c r="BY81" s="50" t="s">
        <v>133</v>
      </c>
      <c r="BZ81" s="49"/>
      <c r="CA81" s="50"/>
    </row>
    <row r="82" spans="1:79" x14ac:dyDescent="0.25">
      <c r="A82" s="76">
        <v>151887</v>
      </c>
      <c r="B82" s="77" t="s">
        <v>1039</v>
      </c>
      <c r="C82" s="78" t="s">
        <v>950</v>
      </c>
      <c r="D82" s="76" t="s">
        <v>12</v>
      </c>
      <c r="E82" s="79" t="s">
        <v>14</v>
      </c>
      <c r="F82" s="79" t="s">
        <v>71</v>
      </c>
      <c r="G82" s="79" t="s">
        <v>14</v>
      </c>
      <c r="H82" s="79" t="s">
        <v>14</v>
      </c>
      <c r="I82" s="78" t="s">
        <v>14</v>
      </c>
      <c r="J82" s="79" t="s">
        <v>14</v>
      </c>
      <c r="K82" s="142" t="s">
        <v>1851</v>
      </c>
      <c r="L82" s="149" t="s">
        <v>1845</v>
      </c>
      <c r="M82" s="150" t="s">
        <v>12</v>
      </c>
      <c r="N82" s="151">
        <v>15</v>
      </c>
      <c r="O82" s="151">
        <v>0</v>
      </c>
      <c r="P82" s="152">
        <v>0</v>
      </c>
      <c r="Q82" s="153">
        <v>97.83</v>
      </c>
      <c r="R82" s="154">
        <v>1</v>
      </c>
      <c r="S82" s="38">
        <f t="shared" si="11"/>
        <v>7</v>
      </c>
      <c r="T82" s="39">
        <f t="shared" si="12"/>
        <v>4</v>
      </c>
      <c r="U82" s="40">
        <f t="shared" si="13"/>
        <v>0</v>
      </c>
      <c r="V82" s="40">
        <f t="shared" si="14"/>
        <v>0</v>
      </c>
      <c r="W82" s="40">
        <f t="shared" si="15"/>
        <v>0</v>
      </c>
      <c r="X82" s="40">
        <f t="shared" si="16"/>
        <v>0</v>
      </c>
      <c r="Y82" s="40">
        <f t="shared" si="17"/>
        <v>0</v>
      </c>
      <c r="Z82" s="40">
        <f t="shared" si="18"/>
        <v>0</v>
      </c>
      <c r="AA82" s="40">
        <f t="shared" si="19"/>
        <v>0</v>
      </c>
      <c r="AB82" s="40">
        <f t="shared" si="20"/>
        <v>0</v>
      </c>
      <c r="AC82" s="41">
        <f t="shared" si="21"/>
        <v>0</v>
      </c>
      <c r="AD82" s="49"/>
      <c r="AE82" s="50"/>
      <c r="AF82" s="49" t="s">
        <v>1</v>
      </c>
      <c r="AG82" s="50" t="s">
        <v>438</v>
      </c>
      <c r="AH82" s="49"/>
      <c r="AI82" s="50"/>
      <c r="AJ82" s="49" t="s">
        <v>1</v>
      </c>
      <c r="AK82" s="50" t="s">
        <v>83</v>
      </c>
      <c r="AL82" s="49"/>
      <c r="AM82" s="50"/>
      <c r="AN82" s="49"/>
      <c r="AO82" s="50"/>
      <c r="AP82" s="49"/>
      <c r="AQ82" s="50"/>
      <c r="AR82" s="49" t="s">
        <v>5</v>
      </c>
      <c r="AS82" s="50" t="s">
        <v>169</v>
      </c>
      <c r="AT82" s="49"/>
      <c r="AU82" s="50"/>
      <c r="AV82" s="49" t="s">
        <v>1</v>
      </c>
      <c r="AW82" s="50" t="s">
        <v>96</v>
      </c>
      <c r="AX82" s="49" t="s">
        <v>5</v>
      </c>
      <c r="AY82" s="50" t="s">
        <v>143</v>
      </c>
      <c r="AZ82" s="49" t="s">
        <v>1</v>
      </c>
      <c r="BA82" s="50" t="s">
        <v>92</v>
      </c>
      <c r="BB82" s="49"/>
      <c r="BC82" s="50"/>
      <c r="BD82" s="49" t="s">
        <v>5</v>
      </c>
      <c r="BE82" s="50" t="s">
        <v>120</v>
      </c>
      <c r="BF82" s="49"/>
      <c r="BG82" s="50"/>
      <c r="BH82" s="49" t="s">
        <v>1</v>
      </c>
      <c r="BI82" s="50" t="s">
        <v>136</v>
      </c>
      <c r="BJ82" s="49"/>
      <c r="BK82" s="50"/>
      <c r="BL82" s="49"/>
      <c r="BM82" s="50"/>
      <c r="BN82" s="49" t="s">
        <v>1</v>
      </c>
      <c r="BO82" s="50" t="s">
        <v>96</v>
      </c>
      <c r="BP82" s="49"/>
      <c r="BQ82" s="50"/>
      <c r="BR82" s="49" t="s">
        <v>5</v>
      </c>
      <c r="BS82" s="50" t="s">
        <v>123</v>
      </c>
      <c r="BT82" s="49"/>
      <c r="BU82" s="50"/>
      <c r="BV82" s="49" t="s">
        <v>1</v>
      </c>
      <c r="BW82" s="50" t="s">
        <v>602</v>
      </c>
      <c r="BX82" s="49"/>
      <c r="BY82" s="50"/>
      <c r="BZ82" s="49"/>
      <c r="CA82" s="50"/>
    </row>
    <row r="83" spans="1:79" x14ac:dyDescent="0.25">
      <c r="A83" s="76">
        <v>151898</v>
      </c>
      <c r="B83" s="77" t="s">
        <v>1040</v>
      </c>
      <c r="C83" s="78" t="s">
        <v>963</v>
      </c>
      <c r="D83" s="76" t="s">
        <v>12</v>
      </c>
      <c r="E83" s="79" t="s">
        <v>14</v>
      </c>
      <c r="F83" s="79" t="s">
        <v>158</v>
      </c>
      <c r="G83" s="79" t="s">
        <v>14</v>
      </c>
      <c r="H83" s="79" t="s">
        <v>14</v>
      </c>
      <c r="I83" s="78" t="s">
        <v>14</v>
      </c>
      <c r="J83" s="79" t="s">
        <v>14</v>
      </c>
      <c r="K83" s="142" t="s">
        <v>1850</v>
      </c>
      <c r="L83" s="149" t="s">
        <v>1844</v>
      </c>
      <c r="M83" s="150" t="s">
        <v>12</v>
      </c>
      <c r="N83" s="151">
        <v>12</v>
      </c>
      <c r="O83" s="151">
        <v>9</v>
      </c>
      <c r="P83" s="152">
        <v>1</v>
      </c>
      <c r="Q83" s="153">
        <v>80.430000000000007</v>
      </c>
      <c r="R83" s="154">
        <v>7</v>
      </c>
      <c r="S83" s="38">
        <f t="shared" si="11"/>
        <v>0</v>
      </c>
      <c r="T83" s="39">
        <f t="shared" si="12"/>
        <v>6</v>
      </c>
      <c r="U83" s="40">
        <f t="shared" si="13"/>
        <v>1</v>
      </c>
      <c r="V83" s="40">
        <f t="shared" si="14"/>
        <v>3</v>
      </c>
      <c r="W83" s="40">
        <f t="shared" si="15"/>
        <v>0</v>
      </c>
      <c r="X83" s="40">
        <f t="shared" si="16"/>
        <v>4</v>
      </c>
      <c r="Y83" s="40">
        <f t="shared" si="17"/>
        <v>0</v>
      </c>
      <c r="Z83" s="40">
        <f t="shared" si="18"/>
        <v>0</v>
      </c>
      <c r="AA83" s="40">
        <f t="shared" si="19"/>
        <v>0</v>
      </c>
      <c r="AB83" s="40">
        <f t="shared" si="20"/>
        <v>0</v>
      </c>
      <c r="AC83" s="41">
        <f t="shared" si="21"/>
        <v>0</v>
      </c>
      <c r="AD83" s="49"/>
      <c r="AE83" s="50"/>
      <c r="AF83" s="49"/>
      <c r="AG83" s="50"/>
      <c r="AH83" s="49"/>
      <c r="AI83" s="50"/>
      <c r="AJ83" s="49"/>
      <c r="AK83" s="50"/>
      <c r="AL83" s="49"/>
      <c r="AM83" s="50"/>
      <c r="AN83" s="49"/>
      <c r="AO83" s="50"/>
      <c r="AP83" s="49"/>
      <c r="AQ83" s="50"/>
      <c r="AR83" s="49" t="s">
        <v>5</v>
      </c>
      <c r="AS83" s="50" t="s">
        <v>102</v>
      </c>
      <c r="AT83" s="49" t="s">
        <v>31</v>
      </c>
      <c r="AU83" s="50" t="s">
        <v>73</v>
      </c>
      <c r="AV83" s="49" t="s">
        <v>5</v>
      </c>
      <c r="AW83" s="50" t="s">
        <v>495</v>
      </c>
      <c r="AX83" s="49" t="s">
        <v>5</v>
      </c>
      <c r="AY83" s="50" t="s">
        <v>143</v>
      </c>
      <c r="AZ83" s="49" t="s">
        <v>5</v>
      </c>
      <c r="BA83" s="50" t="s">
        <v>92</v>
      </c>
      <c r="BB83" s="49"/>
      <c r="BC83" s="50"/>
      <c r="BD83" s="49"/>
      <c r="BE83" s="50"/>
      <c r="BF83" s="49"/>
      <c r="BG83" s="50"/>
      <c r="BH83" s="49" t="s">
        <v>31</v>
      </c>
      <c r="BI83" s="50" t="s">
        <v>136</v>
      </c>
      <c r="BJ83" s="49"/>
      <c r="BK83" s="50"/>
      <c r="BL83" s="49"/>
      <c r="BM83" s="50"/>
      <c r="BN83" s="49" t="s">
        <v>30</v>
      </c>
      <c r="BO83" s="50" t="s">
        <v>107</v>
      </c>
      <c r="BP83" s="49" t="s">
        <v>5</v>
      </c>
      <c r="BQ83" s="50" t="s">
        <v>107</v>
      </c>
      <c r="BR83" s="49"/>
      <c r="BS83" s="50"/>
      <c r="BT83" s="49"/>
      <c r="BU83" s="50"/>
      <c r="BV83" s="49" t="s">
        <v>31</v>
      </c>
      <c r="BW83" s="50" t="s">
        <v>122</v>
      </c>
      <c r="BX83" s="49" t="s">
        <v>5</v>
      </c>
      <c r="BY83" s="50" t="s">
        <v>137</v>
      </c>
      <c r="BZ83" s="49"/>
      <c r="CA83" s="50"/>
    </row>
    <row r="84" spans="1:79" x14ac:dyDescent="0.25">
      <c r="A84" s="76">
        <v>151926</v>
      </c>
      <c r="B84" s="77" t="s">
        <v>1041</v>
      </c>
      <c r="C84" s="78" t="s">
        <v>963</v>
      </c>
      <c r="D84" s="76" t="s">
        <v>70</v>
      </c>
      <c r="E84" s="79" t="s">
        <v>14</v>
      </c>
      <c r="F84" s="79" t="s">
        <v>71</v>
      </c>
      <c r="G84" s="79" t="s">
        <v>14</v>
      </c>
      <c r="H84" s="79" t="s">
        <v>14</v>
      </c>
      <c r="I84" s="78" t="s">
        <v>14</v>
      </c>
      <c r="J84" s="79" t="s">
        <v>14</v>
      </c>
      <c r="K84" s="142" t="s">
        <v>1850</v>
      </c>
      <c r="L84" s="149" t="s">
        <v>1844</v>
      </c>
      <c r="M84" s="150" t="s">
        <v>12</v>
      </c>
      <c r="N84" s="151">
        <v>13</v>
      </c>
      <c r="O84" s="151">
        <v>0</v>
      </c>
      <c r="P84" s="152">
        <v>1</v>
      </c>
      <c r="Q84" s="153">
        <v>100</v>
      </c>
      <c r="R84" s="154">
        <v>0</v>
      </c>
      <c r="S84" s="38">
        <f t="shared" si="11"/>
        <v>1</v>
      </c>
      <c r="T84" s="39">
        <f t="shared" si="12"/>
        <v>10</v>
      </c>
      <c r="U84" s="40">
        <f t="shared" si="13"/>
        <v>0</v>
      </c>
      <c r="V84" s="40">
        <f t="shared" si="14"/>
        <v>0</v>
      </c>
      <c r="W84" s="40">
        <f t="shared" si="15"/>
        <v>0</v>
      </c>
      <c r="X84" s="40">
        <f t="shared" si="16"/>
        <v>0</v>
      </c>
      <c r="Y84" s="40">
        <f t="shared" si="17"/>
        <v>0</v>
      </c>
      <c r="Z84" s="40">
        <f t="shared" si="18"/>
        <v>0</v>
      </c>
      <c r="AA84" s="40">
        <f t="shared" si="19"/>
        <v>0</v>
      </c>
      <c r="AB84" s="40">
        <f t="shared" si="20"/>
        <v>0</v>
      </c>
      <c r="AC84" s="41">
        <f t="shared" si="21"/>
        <v>0</v>
      </c>
      <c r="AD84" s="49" t="s">
        <v>5</v>
      </c>
      <c r="AE84" s="50" t="s">
        <v>72</v>
      </c>
      <c r="AF84" s="49" t="s">
        <v>1</v>
      </c>
      <c r="AG84" s="50" t="s">
        <v>433</v>
      </c>
      <c r="AH84" s="49"/>
      <c r="AI84" s="50"/>
      <c r="AJ84" s="49" t="s">
        <v>5</v>
      </c>
      <c r="AK84" s="50" t="s">
        <v>419</v>
      </c>
      <c r="AL84" s="49"/>
      <c r="AM84" s="50"/>
      <c r="AN84" s="49"/>
      <c r="AO84" s="50"/>
      <c r="AP84" s="49"/>
      <c r="AQ84" s="50"/>
      <c r="AR84" s="49" t="s">
        <v>5</v>
      </c>
      <c r="AS84" s="50" t="s">
        <v>74</v>
      </c>
      <c r="AT84" s="49"/>
      <c r="AU84" s="50"/>
      <c r="AV84" s="49" t="s">
        <v>5</v>
      </c>
      <c r="AW84" s="50" t="s">
        <v>495</v>
      </c>
      <c r="AX84" s="49" t="s">
        <v>5</v>
      </c>
      <c r="AY84" s="50" t="s">
        <v>103</v>
      </c>
      <c r="AZ84" s="49" t="s">
        <v>5</v>
      </c>
      <c r="BA84" s="50" t="s">
        <v>76</v>
      </c>
      <c r="BB84" s="49"/>
      <c r="BC84" s="50"/>
      <c r="BD84" s="49"/>
      <c r="BE84" s="50"/>
      <c r="BF84" s="49"/>
      <c r="BG84" s="50"/>
      <c r="BH84" s="49" t="s">
        <v>5</v>
      </c>
      <c r="BI84" s="50" t="s">
        <v>112</v>
      </c>
      <c r="BJ84" s="49"/>
      <c r="BK84" s="50"/>
      <c r="BL84" s="49"/>
      <c r="BM84" s="50"/>
      <c r="BN84" s="49" t="s">
        <v>5</v>
      </c>
      <c r="BO84" s="50" t="s">
        <v>81</v>
      </c>
      <c r="BP84" s="49"/>
      <c r="BQ84" s="50"/>
      <c r="BR84" s="49" t="s">
        <v>5</v>
      </c>
      <c r="BS84" s="50" t="s">
        <v>140</v>
      </c>
      <c r="BT84" s="49"/>
      <c r="BU84" s="50"/>
      <c r="BV84" s="49" t="s">
        <v>5</v>
      </c>
      <c r="BW84" s="50" t="s">
        <v>132</v>
      </c>
      <c r="BX84" s="49"/>
      <c r="BY84" s="50"/>
      <c r="BZ84" s="49"/>
      <c r="CA84" s="50"/>
    </row>
    <row r="85" spans="1:79" x14ac:dyDescent="0.25">
      <c r="A85" s="76">
        <v>151786</v>
      </c>
      <c r="B85" s="77" t="s">
        <v>1042</v>
      </c>
      <c r="C85" s="78" t="s">
        <v>970</v>
      </c>
      <c r="D85" s="76" t="s">
        <v>12</v>
      </c>
      <c r="E85" s="79" t="s">
        <v>14</v>
      </c>
      <c r="F85" s="79" t="s">
        <v>71</v>
      </c>
      <c r="G85" s="79" t="s">
        <v>14</v>
      </c>
      <c r="H85" s="79" t="s">
        <v>14</v>
      </c>
      <c r="I85" s="78" t="s">
        <v>14</v>
      </c>
      <c r="J85" s="79" t="s">
        <v>14</v>
      </c>
      <c r="K85" s="142" t="s">
        <v>1850</v>
      </c>
      <c r="L85" s="149" t="s">
        <v>1842</v>
      </c>
      <c r="M85" s="150" t="s">
        <v>1853</v>
      </c>
      <c r="N85" s="151">
        <v>9</v>
      </c>
      <c r="O85" s="151">
        <v>0</v>
      </c>
      <c r="P85" s="152">
        <v>0</v>
      </c>
      <c r="Q85" s="153">
        <v>100</v>
      </c>
      <c r="R85" s="154">
        <v>0</v>
      </c>
      <c r="S85" s="38">
        <f t="shared" si="11"/>
        <v>3</v>
      </c>
      <c r="T85" s="39">
        <f t="shared" si="12"/>
        <v>7</v>
      </c>
      <c r="U85" s="40">
        <f t="shared" si="13"/>
        <v>0</v>
      </c>
      <c r="V85" s="40">
        <f t="shared" si="14"/>
        <v>0</v>
      </c>
      <c r="W85" s="40">
        <f t="shared" si="15"/>
        <v>0</v>
      </c>
      <c r="X85" s="40">
        <f t="shared" si="16"/>
        <v>0</v>
      </c>
      <c r="Y85" s="40">
        <f t="shared" si="17"/>
        <v>0</v>
      </c>
      <c r="Z85" s="40">
        <f t="shared" si="18"/>
        <v>0</v>
      </c>
      <c r="AA85" s="40">
        <f t="shared" si="19"/>
        <v>0</v>
      </c>
      <c r="AB85" s="40">
        <f t="shared" si="20"/>
        <v>0</v>
      </c>
      <c r="AC85" s="41">
        <f t="shared" si="21"/>
        <v>0</v>
      </c>
      <c r="AD85" s="49"/>
      <c r="AE85" s="50"/>
      <c r="AF85" s="49"/>
      <c r="AG85" s="50"/>
      <c r="AH85" s="49"/>
      <c r="AI85" s="50"/>
      <c r="AJ85" s="49"/>
      <c r="AK85" s="50"/>
      <c r="AL85" s="49"/>
      <c r="AM85" s="50"/>
      <c r="AN85" s="49" t="s">
        <v>5</v>
      </c>
      <c r="AO85" s="50" t="s">
        <v>163</v>
      </c>
      <c r="AP85" s="49"/>
      <c r="AQ85" s="50"/>
      <c r="AR85" s="49" t="s">
        <v>5</v>
      </c>
      <c r="AS85" s="50" t="s">
        <v>169</v>
      </c>
      <c r="AT85" s="49"/>
      <c r="AU85" s="50"/>
      <c r="AV85" s="49" t="s">
        <v>5</v>
      </c>
      <c r="AW85" s="50" t="s">
        <v>140</v>
      </c>
      <c r="AX85" s="49"/>
      <c r="AY85" s="50"/>
      <c r="AZ85" s="49"/>
      <c r="BA85" s="50"/>
      <c r="BB85" s="49"/>
      <c r="BC85" s="50"/>
      <c r="BD85" s="49"/>
      <c r="BE85" s="50"/>
      <c r="BF85" s="49" t="s">
        <v>1</v>
      </c>
      <c r="BG85" s="50" t="s">
        <v>105</v>
      </c>
      <c r="BH85" s="49" t="s">
        <v>1</v>
      </c>
      <c r="BI85" s="50" t="s">
        <v>94</v>
      </c>
      <c r="BJ85" s="49"/>
      <c r="BK85" s="50"/>
      <c r="BL85" s="49"/>
      <c r="BM85" s="50"/>
      <c r="BN85" s="49" t="s">
        <v>1</v>
      </c>
      <c r="BO85" s="50" t="s">
        <v>107</v>
      </c>
      <c r="BP85" s="49"/>
      <c r="BQ85" s="50"/>
      <c r="BR85" s="49"/>
      <c r="BS85" s="50"/>
      <c r="BT85" s="49" t="s">
        <v>5</v>
      </c>
      <c r="BU85" s="50" t="s">
        <v>117</v>
      </c>
      <c r="BV85" s="49" t="s">
        <v>5</v>
      </c>
      <c r="BW85" s="50" t="s">
        <v>132</v>
      </c>
      <c r="BX85" s="49" t="s">
        <v>5</v>
      </c>
      <c r="BY85" s="50" t="s">
        <v>137</v>
      </c>
      <c r="BZ85" s="49" t="s">
        <v>5</v>
      </c>
      <c r="CA85" s="50" t="s">
        <v>124</v>
      </c>
    </row>
    <row r="86" spans="1:79" x14ac:dyDescent="0.25">
      <c r="A86" s="76">
        <v>151924</v>
      </c>
      <c r="B86" s="77" t="s">
        <v>1043</v>
      </c>
      <c r="C86" s="78" t="s">
        <v>952</v>
      </c>
      <c r="D86" s="76" t="s">
        <v>70</v>
      </c>
      <c r="E86" s="79" t="s">
        <v>14</v>
      </c>
      <c r="F86" s="79" t="s">
        <v>115</v>
      </c>
      <c r="G86" s="79" t="s">
        <v>14</v>
      </c>
      <c r="H86" s="79" t="s">
        <v>14</v>
      </c>
      <c r="I86" s="78" t="s">
        <v>14</v>
      </c>
      <c r="J86" s="79" t="s">
        <v>14</v>
      </c>
      <c r="K86" s="142" t="s">
        <v>1850</v>
      </c>
      <c r="L86" s="149" t="s">
        <v>1844</v>
      </c>
      <c r="M86" s="150" t="s">
        <v>12</v>
      </c>
      <c r="N86" s="151">
        <v>19</v>
      </c>
      <c r="O86" s="151">
        <v>0</v>
      </c>
      <c r="P86" s="152">
        <v>3</v>
      </c>
      <c r="Q86" s="153">
        <v>95.65</v>
      </c>
      <c r="R86" s="154">
        <v>2</v>
      </c>
      <c r="S86" s="38">
        <f t="shared" si="11"/>
        <v>0</v>
      </c>
      <c r="T86" s="39">
        <f t="shared" si="12"/>
        <v>10</v>
      </c>
      <c r="U86" s="40">
        <f t="shared" si="13"/>
        <v>0</v>
      </c>
      <c r="V86" s="40">
        <f t="shared" si="14"/>
        <v>0</v>
      </c>
      <c r="W86" s="40">
        <f t="shared" si="15"/>
        <v>1</v>
      </c>
      <c r="X86" s="40">
        <f t="shared" si="16"/>
        <v>1</v>
      </c>
      <c r="Y86" s="40">
        <f t="shared" si="17"/>
        <v>0</v>
      </c>
      <c r="Z86" s="40">
        <f t="shared" si="18"/>
        <v>0</v>
      </c>
      <c r="AA86" s="40">
        <f t="shared" si="19"/>
        <v>0</v>
      </c>
      <c r="AB86" s="40">
        <f t="shared" si="20"/>
        <v>0</v>
      </c>
      <c r="AC86" s="41">
        <f t="shared" si="21"/>
        <v>0</v>
      </c>
      <c r="AD86" s="49"/>
      <c r="AE86" s="50"/>
      <c r="AF86" s="49" t="s">
        <v>5</v>
      </c>
      <c r="AG86" s="50" t="s">
        <v>433</v>
      </c>
      <c r="AH86" s="49" t="s">
        <v>5</v>
      </c>
      <c r="AI86" s="50" t="s">
        <v>131</v>
      </c>
      <c r="AJ86" s="49" t="s">
        <v>5</v>
      </c>
      <c r="AK86" s="50" t="s">
        <v>714</v>
      </c>
      <c r="AL86" s="49"/>
      <c r="AM86" s="50"/>
      <c r="AN86" s="49"/>
      <c r="AO86" s="50"/>
      <c r="AP86" s="49"/>
      <c r="AQ86" s="50"/>
      <c r="AR86" s="49" t="s">
        <v>5</v>
      </c>
      <c r="AS86" s="50" t="s">
        <v>142</v>
      </c>
      <c r="AT86" s="49"/>
      <c r="AU86" s="50"/>
      <c r="AV86" s="49" t="s">
        <v>5</v>
      </c>
      <c r="AW86" s="50" t="s">
        <v>117</v>
      </c>
      <c r="AX86" s="49"/>
      <c r="AY86" s="50"/>
      <c r="AZ86" s="49" t="s">
        <v>5</v>
      </c>
      <c r="BA86" s="50" t="s">
        <v>92</v>
      </c>
      <c r="BB86" s="49"/>
      <c r="BC86" s="50"/>
      <c r="BD86" s="49"/>
      <c r="BE86" s="50"/>
      <c r="BF86" s="49"/>
      <c r="BG86" s="50"/>
      <c r="BH86" s="49" t="s">
        <v>5</v>
      </c>
      <c r="BI86" s="50" t="s">
        <v>505</v>
      </c>
      <c r="BJ86" s="49"/>
      <c r="BK86" s="50"/>
      <c r="BL86" s="49"/>
      <c r="BM86" s="50"/>
      <c r="BN86" s="49" t="s">
        <v>5</v>
      </c>
      <c r="BO86" s="50" t="s">
        <v>81</v>
      </c>
      <c r="BP86" s="49"/>
      <c r="BQ86" s="50"/>
      <c r="BR86" s="49" t="s">
        <v>5</v>
      </c>
      <c r="BS86" s="50" t="s">
        <v>170</v>
      </c>
      <c r="BT86" s="49"/>
      <c r="BU86" s="50"/>
      <c r="BV86" s="49" t="s">
        <v>5</v>
      </c>
      <c r="BW86" s="50" t="s">
        <v>602</v>
      </c>
      <c r="BX86" s="49"/>
      <c r="BY86" s="50"/>
      <c r="BZ86" s="49" t="s">
        <v>32</v>
      </c>
      <c r="CA86" s="50" t="s">
        <v>124</v>
      </c>
    </row>
    <row r="87" spans="1:79" x14ac:dyDescent="0.25">
      <c r="A87" s="76">
        <v>151865</v>
      </c>
      <c r="B87" s="77" t="s">
        <v>1044</v>
      </c>
      <c r="C87" s="78" t="s">
        <v>954</v>
      </c>
      <c r="D87" s="76" t="s">
        <v>12</v>
      </c>
      <c r="E87" s="79" t="s">
        <v>14</v>
      </c>
      <c r="F87" s="79" t="s">
        <v>71</v>
      </c>
      <c r="G87" s="79" t="s">
        <v>14</v>
      </c>
      <c r="H87" s="79" t="s">
        <v>14</v>
      </c>
      <c r="I87" s="78" t="s">
        <v>14</v>
      </c>
      <c r="J87" s="79" t="s">
        <v>6</v>
      </c>
      <c r="K87" s="142" t="s">
        <v>1851</v>
      </c>
      <c r="L87" s="149" t="s">
        <v>1845</v>
      </c>
      <c r="M87" s="150" t="s">
        <v>12</v>
      </c>
      <c r="N87" s="151">
        <v>21</v>
      </c>
      <c r="O87" s="151">
        <v>8</v>
      </c>
      <c r="P87" s="152">
        <v>0</v>
      </c>
      <c r="Q87" s="153">
        <v>100</v>
      </c>
      <c r="R87" s="154">
        <v>8</v>
      </c>
      <c r="S87" s="38">
        <f t="shared" si="11"/>
        <v>1</v>
      </c>
      <c r="T87" s="39">
        <f t="shared" si="12"/>
        <v>3</v>
      </c>
      <c r="U87" s="40">
        <f t="shared" si="13"/>
        <v>3</v>
      </c>
      <c r="V87" s="40">
        <f t="shared" si="14"/>
        <v>1</v>
      </c>
      <c r="W87" s="40">
        <f t="shared" si="15"/>
        <v>1</v>
      </c>
      <c r="X87" s="40">
        <f t="shared" si="16"/>
        <v>5</v>
      </c>
      <c r="Y87" s="40">
        <f t="shared" si="17"/>
        <v>0</v>
      </c>
      <c r="Z87" s="40">
        <f t="shared" si="18"/>
        <v>0</v>
      </c>
      <c r="AA87" s="40">
        <f t="shared" si="19"/>
        <v>0</v>
      </c>
      <c r="AB87" s="40">
        <f t="shared" si="20"/>
        <v>0</v>
      </c>
      <c r="AC87" s="41">
        <f t="shared" si="21"/>
        <v>0</v>
      </c>
      <c r="AD87" s="49"/>
      <c r="AE87" s="50"/>
      <c r="AF87" s="49"/>
      <c r="AG87" s="50"/>
      <c r="AH87" s="49"/>
      <c r="AI87" s="50"/>
      <c r="AJ87" s="49"/>
      <c r="AK87" s="50"/>
      <c r="AL87" s="49"/>
      <c r="AM87" s="50"/>
      <c r="AN87" s="49"/>
      <c r="AO87" s="50"/>
      <c r="AP87" s="49"/>
      <c r="AQ87" s="50"/>
      <c r="AR87" s="49" t="s">
        <v>5</v>
      </c>
      <c r="AS87" s="50" t="s">
        <v>91</v>
      </c>
      <c r="AT87" s="49"/>
      <c r="AU87" s="50"/>
      <c r="AV87" s="49" t="s">
        <v>32</v>
      </c>
      <c r="AW87" s="50" t="s">
        <v>955</v>
      </c>
      <c r="AX87" s="49" t="s">
        <v>5</v>
      </c>
      <c r="AY87" s="50" t="s">
        <v>103</v>
      </c>
      <c r="AZ87" s="49" t="s">
        <v>30</v>
      </c>
      <c r="BA87" s="50" t="s">
        <v>92</v>
      </c>
      <c r="BB87" s="49"/>
      <c r="BC87" s="50"/>
      <c r="BD87" s="49"/>
      <c r="BE87" s="50"/>
      <c r="BF87" s="49"/>
      <c r="BG87" s="50"/>
      <c r="BH87" s="49" t="s">
        <v>30</v>
      </c>
      <c r="BI87" s="50" t="s">
        <v>79</v>
      </c>
      <c r="BJ87" s="49"/>
      <c r="BK87" s="50"/>
      <c r="BL87" s="49"/>
      <c r="BM87" s="50"/>
      <c r="BN87" s="49" t="s">
        <v>30</v>
      </c>
      <c r="BO87" s="50" t="s">
        <v>107</v>
      </c>
      <c r="BP87" s="49" t="s">
        <v>1</v>
      </c>
      <c r="BQ87" s="50" t="s">
        <v>107</v>
      </c>
      <c r="BR87" s="49"/>
      <c r="BS87" s="50"/>
      <c r="BT87" s="49"/>
      <c r="BU87" s="50"/>
      <c r="BV87" s="49" t="s">
        <v>5</v>
      </c>
      <c r="BW87" s="50" t="s">
        <v>715</v>
      </c>
      <c r="BX87" s="49" t="s">
        <v>31</v>
      </c>
      <c r="BY87" s="50" t="s">
        <v>133</v>
      </c>
      <c r="BZ87" s="49"/>
      <c r="CA87" s="50"/>
    </row>
    <row r="88" spans="1:79" x14ac:dyDescent="0.25">
      <c r="A88" s="76">
        <v>151874</v>
      </c>
      <c r="B88" s="77" t="s">
        <v>1045</v>
      </c>
      <c r="C88" s="78" t="s">
        <v>961</v>
      </c>
      <c r="D88" s="76" t="s">
        <v>70</v>
      </c>
      <c r="E88" s="79" t="s">
        <v>14</v>
      </c>
      <c r="F88" s="79" t="s">
        <v>220</v>
      </c>
      <c r="G88" s="79" t="s">
        <v>14</v>
      </c>
      <c r="H88" s="79" t="s">
        <v>14</v>
      </c>
      <c r="I88" s="78" t="s">
        <v>14</v>
      </c>
      <c r="J88" s="79" t="s">
        <v>14</v>
      </c>
      <c r="K88" s="142" t="s">
        <v>1850</v>
      </c>
      <c r="L88" s="149" t="s">
        <v>1846</v>
      </c>
      <c r="M88" s="150" t="s">
        <v>1853</v>
      </c>
      <c r="N88" s="151">
        <v>12</v>
      </c>
      <c r="O88" s="151">
        <v>1</v>
      </c>
      <c r="P88" s="152">
        <v>0</v>
      </c>
      <c r="Q88" s="153">
        <v>97.83</v>
      </c>
      <c r="R88" s="154">
        <v>2</v>
      </c>
      <c r="S88" s="38">
        <f t="shared" si="11"/>
        <v>2</v>
      </c>
      <c r="T88" s="39">
        <f t="shared" si="12"/>
        <v>9</v>
      </c>
      <c r="U88" s="40">
        <f t="shared" si="13"/>
        <v>0</v>
      </c>
      <c r="V88" s="40">
        <f t="shared" si="14"/>
        <v>0</v>
      </c>
      <c r="W88" s="40">
        <f t="shared" si="15"/>
        <v>0</v>
      </c>
      <c r="X88" s="40">
        <f t="shared" si="16"/>
        <v>0</v>
      </c>
      <c r="Y88" s="40">
        <f t="shared" si="17"/>
        <v>0</v>
      </c>
      <c r="Z88" s="40">
        <f t="shared" si="18"/>
        <v>0</v>
      </c>
      <c r="AA88" s="40">
        <f t="shared" si="19"/>
        <v>0</v>
      </c>
      <c r="AB88" s="40">
        <f t="shared" si="20"/>
        <v>0</v>
      </c>
      <c r="AC88" s="41">
        <f t="shared" si="21"/>
        <v>0</v>
      </c>
      <c r="AD88" s="49"/>
      <c r="AE88" s="50"/>
      <c r="AF88" s="49" t="s">
        <v>1</v>
      </c>
      <c r="AG88" s="50" t="s">
        <v>433</v>
      </c>
      <c r="AH88" s="49" t="s">
        <v>1</v>
      </c>
      <c r="AI88" s="50" t="s">
        <v>78</v>
      </c>
      <c r="AJ88" s="49" t="s">
        <v>5</v>
      </c>
      <c r="AK88" s="50" t="s">
        <v>419</v>
      </c>
      <c r="AL88" s="49"/>
      <c r="AM88" s="50"/>
      <c r="AN88" s="49"/>
      <c r="AO88" s="50"/>
      <c r="AP88" s="49"/>
      <c r="AQ88" s="50"/>
      <c r="AR88" s="49" t="s">
        <v>5</v>
      </c>
      <c r="AS88" s="50" t="s">
        <v>74</v>
      </c>
      <c r="AT88" s="49" t="s">
        <v>5</v>
      </c>
      <c r="AU88" s="50" t="s">
        <v>73</v>
      </c>
      <c r="AV88" s="49" t="s">
        <v>5</v>
      </c>
      <c r="AW88" s="50" t="s">
        <v>139</v>
      </c>
      <c r="AX88" s="49"/>
      <c r="AY88" s="50"/>
      <c r="AZ88" s="49"/>
      <c r="BA88" s="50"/>
      <c r="BB88" s="49"/>
      <c r="BC88" s="50"/>
      <c r="BD88" s="49"/>
      <c r="BE88" s="50"/>
      <c r="BF88" s="49"/>
      <c r="BG88" s="50"/>
      <c r="BH88" s="49" t="s">
        <v>5</v>
      </c>
      <c r="BI88" s="50" t="s">
        <v>711</v>
      </c>
      <c r="BJ88" s="49"/>
      <c r="BK88" s="50"/>
      <c r="BL88" s="49"/>
      <c r="BM88" s="50"/>
      <c r="BN88" s="49" t="s">
        <v>5</v>
      </c>
      <c r="BO88" s="50" t="s">
        <v>152</v>
      </c>
      <c r="BP88" s="49"/>
      <c r="BQ88" s="50"/>
      <c r="BR88" s="49" t="s">
        <v>5</v>
      </c>
      <c r="BS88" s="50" t="s">
        <v>140</v>
      </c>
      <c r="BT88" s="49"/>
      <c r="BU88" s="50"/>
      <c r="BV88" s="49" t="s">
        <v>5</v>
      </c>
      <c r="BW88" s="50" t="s">
        <v>132</v>
      </c>
      <c r="BX88" s="49"/>
      <c r="BY88" s="50"/>
      <c r="BZ88" s="49" t="s">
        <v>5</v>
      </c>
      <c r="CA88" s="50" t="s">
        <v>75</v>
      </c>
    </row>
    <row r="89" spans="1:79" x14ac:dyDescent="0.25">
      <c r="A89" s="76">
        <v>151899</v>
      </c>
      <c r="B89" s="77" t="s">
        <v>1046</v>
      </c>
      <c r="C89" s="78" t="s">
        <v>952</v>
      </c>
      <c r="D89" s="76" t="s">
        <v>70</v>
      </c>
      <c r="E89" s="79" t="s">
        <v>14</v>
      </c>
      <c r="F89" s="79" t="s">
        <v>71</v>
      </c>
      <c r="G89" s="79" t="s">
        <v>14</v>
      </c>
      <c r="H89" s="79" t="s">
        <v>14</v>
      </c>
      <c r="I89" s="78" t="s">
        <v>14</v>
      </c>
      <c r="J89" s="79" t="s">
        <v>14</v>
      </c>
      <c r="K89" s="142" t="s">
        <v>1850</v>
      </c>
      <c r="L89" s="149" t="s">
        <v>1846</v>
      </c>
      <c r="M89" s="150" t="s">
        <v>1853</v>
      </c>
      <c r="N89" s="151">
        <v>7</v>
      </c>
      <c r="O89" s="151">
        <v>1</v>
      </c>
      <c r="P89" s="152">
        <v>0</v>
      </c>
      <c r="Q89" s="153">
        <v>100</v>
      </c>
      <c r="R89" s="154">
        <v>1</v>
      </c>
      <c r="S89" s="38">
        <f t="shared" si="11"/>
        <v>0</v>
      </c>
      <c r="T89" s="39">
        <f t="shared" si="12"/>
        <v>9</v>
      </c>
      <c r="U89" s="40">
        <f t="shared" si="13"/>
        <v>1</v>
      </c>
      <c r="V89" s="40">
        <f t="shared" si="14"/>
        <v>0</v>
      </c>
      <c r="W89" s="40">
        <f t="shared" si="15"/>
        <v>0</v>
      </c>
      <c r="X89" s="40">
        <f t="shared" si="16"/>
        <v>1</v>
      </c>
      <c r="Y89" s="40">
        <f t="shared" si="17"/>
        <v>0</v>
      </c>
      <c r="Z89" s="40">
        <f t="shared" si="18"/>
        <v>0</v>
      </c>
      <c r="AA89" s="40">
        <f t="shared" si="19"/>
        <v>0</v>
      </c>
      <c r="AB89" s="40">
        <f t="shared" si="20"/>
        <v>0</v>
      </c>
      <c r="AC89" s="41">
        <f t="shared" si="21"/>
        <v>0</v>
      </c>
      <c r="AD89" s="49"/>
      <c r="AE89" s="50"/>
      <c r="AF89" s="49"/>
      <c r="AG89" s="50"/>
      <c r="AH89" s="49" t="s">
        <v>5</v>
      </c>
      <c r="AI89" s="50" t="s">
        <v>131</v>
      </c>
      <c r="AJ89" s="49"/>
      <c r="AK89" s="50"/>
      <c r="AL89" s="49"/>
      <c r="AM89" s="50"/>
      <c r="AN89" s="49"/>
      <c r="AO89" s="50"/>
      <c r="AP89" s="49" t="s">
        <v>5</v>
      </c>
      <c r="AQ89" s="50" t="s">
        <v>101</v>
      </c>
      <c r="AR89" s="49" t="s">
        <v>5</v>
      </c>
      <c r="AS89" s="50" t="s">
        <v>169</v>
      </c>
      <c r="AT89" s="49"/>
      <c r="AU89" s="50"/>
      <c r="AV89" s="49" t="s">
        <v>5</v>
      </c>
      <c r="AW89" s="50" t="s">
        <v>117</v>
      </c>
      <c r="AX89" s="49"/>
      <c r="AY89" s="50"/>
      <c r="AZ89" s="49"/>
      <c r="BA89" s="50"/>
      <c r="BB89" s="49"/>
      <c r="BC89" s="50"/>
      <c r="BD89" s="49"/>
      <c r="BE89" s="50"/>
      <c r="BF89" s="49"/>
      <c r="BG89" s="50"/>
      <c r="BH89" s="49" t="s">
        <v>5</v>
      </c>
      <c r="BI89" s="50" t="s">
        <v>112</v>
      </c>
      <c r="BJ89" s="49"/>
      <c r="BK89" s="50"/>
      <c r="BL89" s="49" t="s">
        <v>30</v>
      </c>
      <c r="BM89" s="50" t="s">
        <v>116</v>
      </c>
      <c r="BN89" s="49" t="s">
        <v>5</v>
      </c>
      <c r="BO89" s="50" t="s">
        <v>81</v>
      </c>
      <c r="BP89" s="49"/>
      <c r="BQ89" s="50"/>
      <c r="BR89" s="49"/>
      <c r="BS89" s="50"/>
      <c r="BT89" s="49"/>
      <c r="BU89" s="50"/>
      <c r="BV89" s="49" t="s">
        <v>5</v>
      </c>
      <c r="BW89" s="50" t="s">
        <v>132</v>
      </c>
      <c r="BX89" s="49" t="s">
        <v>5</v>
      </c>
      <c r="BY89" s="50" t="s">
        <v>137</v>
      </c>
      <c r="BZ89" s="49" t="s">
        <v>5</v>
      </c>
      <c r="CA89" s="50" t="s">
        <v>75</v>
      </c>
    </row>
    <row r="90" spans="1:79" x14ac:dyDescent="0.25">
      <c r="A90" s="76">
        <v>151810</v>
      </c>
      <c r="B90" s="77" t="s">
        <v>1047</v>
      </c>
      <c r="C90" s="78" t="s">
        <v>954</v>
      </c>
      <c r="D90" s="76" t="s">
        <v>70</v>
      </c>
      <c r="E90" s="79" t="s">
        <v>14</v>
      </c>
      <c r="F90" s="79" t="s">
        <v>71</v>
      </c>
      <c r="G90" s="79" t="s">
        <v>14</v>
      </c>
      <c r="H90" s="79" t="s">
        <v>14</v>
      </c>
      <c r="I90" s="78" t="s">
        <v>14</v>
      </c>
      <c r="J90" s="79" t="s">
        <v>14</v>
      </c>
      <c r="K90" s="142" t="s">
        <v>1850</v>
      </c>
      <c r="L90" s="149" t="s">
        <v>1842</v>
      </c>
      <c r="M90" s="150" t="s">
        <v>12</v>
      </c>
      <c r="N90" s="151">
        <v>12</v>
      </c>
      <c r="O90" s="151">
        <v>0</v>
      </c>
      <c r="P90" s="152">
        <v>0</v>
      </c>
      <c r="Q90" s="153">
        <v>100</v>
      </c>
      <c r="R90" s="154">
        <v>0</v>
      </c>
      <c r="S90" s="38">
        <f t="shared" si="11"/>
        <v>2</v>
      </c>
      <c r="T90" s="39">
        <f t="shared" si="12"/>
        <v>8</v>
      </c>
      <c r="U90" s="40">
        <f t="shared" si="13"/>
        <v>0</v>
      </c>
      <c r="V90" s="40">
        <f t="shared" si="14"/>
        <v>0</v>
      </c>
      <c r="W90" s="40">
        <f t="shared" si="15"/>
        <v>0</v>
      </c>
      <c r="X90" s="40">
        <f t="shared" si="16"/>
        <v>0</v>
      </c>
      <c r="Y90" s="40">
        <f t="shared" si="17"/>
        <v>0</v>
      </c>
      <c r="Z90" s="40">
        <f t="shared" si="18"/>
        <v>0</v>
      </c>
      <c r="AA90" s="40">
        <f t="shared" si="19"/>
        <v>0</v>
      </c>
      <c r="AB90" s="40">
        <f t="shared" si="20"/>
        <v>0</v>
      </c>
      <c r="AC90" s="41">
        <f t="shared" si="21"/>
        <v>0</v>
      </c>
      <c r="AD90" s="49" t="s">
        <v>5</v>
      </c>
      <c r="AE90" s="50" t="s">
        <v>72</v>
      </c>
      <c r="AF90" s="49"/>
      <c r="AG90" s="50"/>
      <c r="AH90" s="49"/>
      <c r="AI90" s="50"/>
      <c r="AJ90" s="49"/>
      <c r="AK90" s="50"/>
      <c r="AL90" s="49"/>
      <c r="AM90" s="50"/>
      <c r="AN90" s="49"/>
      <c r="AO90" s="50"/>
      <c r="AP90" s="49" t="s">
        <v>5</v>
      </c>
      <c r="AQ90" s="50" t="s">
        <v>101</v>
      </c>
      <c r="AR90" s="49" t="s">
        <v>5</v>
      </c>
      <c r="AS90" s="50" t="s">
        <v>151</v>
      </c>
      <c r="AT90" s="49"/>
      <c r="AU90" s="50"/>
      <c r="AV90" s="49" t="s">
        <v>5</v>
      </c>
      <c r="AW90" s="50" t="s">
        <v>955</v>
      </c>
      <c r="AX90" s="49" t="s">
        <v>5</v>
      </c>
      <c r="AY90" s="50" t="s">
        <v>143</v>
      </c>
      <c r="AZ90" s="49" t="s">
        <v>5</v>
      </c>
      <c r="BA90" s="50" t="s">
        <v>76</v>
      </c>
      <c r="BB90" s="49"/>
      <c r="BC90" s="50"/>
      <c r="BD90" s="49"/>
      <c r="BE90" s="50"/>
      <c r="BF90" s="49"/>
      <c r="BG90" s="50"/>
      <c r="BH90" s="49" t="s">
        <v>1</v>
      </c>
      <c r="BI90" s="50" t="s">
        <v>112</v>
      </c>
      <c r="BJ90" s="49"/>
      <c r="BK90" s="50"/>
      <c r="BL90" s="49"/>
      <c r="BM90" s="50"/>
      <c r="BN90" s="49" t="s">
        <v>5</v>
      </c>
      <c r="BO90" s="50" t="s">
        <v>152</v>
      </c>
      <c r="BP90" s="49"/>
      <c r="BQ90" s="50"/>
      <c r="BR90" s="49"/>
      <c r="BS90" s="50"/>
      <c r="BT90" s="49"/>
      <c r="BU90" s="50"/>
      <c r="BV90" s="49" t="s">
        <v>1</v>
      </c>
      <c r="BW90" s="50" t="s">
        <v>122</v>
      </c>
      <c r="BX90" s="49" t="s">
        <v>5</v>
      </c>
      <c r="BY90" s="50" t="s">
        <v>137</v>
      </c>
      <c r="BZ90" s="49"/>
      <c r="CA90" s="50"/>
    </row>
    <row r="91" spans="1:79" x14ac:dyDescent="0.25">
      <c r="A91" s="76">
        <v>151754</v>
      </c>
      <c r="B91" s="77" t="s">
        <v>1048</v>
      </c>
      <c r="C91" s="78" t="s">
        <v>963</v>
      </c>
      <c r="D91" s="76" t="s">
        <v>70</v>
      </c>
      <c r="E91" s="79" t="s">
        <v>14</v>
      </c>
      <c r="F91" s="79" t="s">
        <v>88</v>
      </c>
      <c r="G91" s="79" t="s">
        <v>14</v>
      </c>
      <c r="H91" s="79" t="s">
        <v>14</v>
      </c>
      <c r="I91" s="78" t="s">
        <v>14</v>
      </c>
      <c r="J91" s="79" t="s">
        <v>14</v>
      </c>
      <c r="K91" s="142" t="s">
        <v>1851</v>
      </c>
      <c r="L91" s="149" t="s">
        <v>1848</v>
      </c>
      <c r="M91" s="150" t="s">
        <v>1852</v>
      </c>
      <c r="N91" s="151">
        <v>25</v>
      </c>
      <c r="O91" s="151">
        <v>0</v>
      </c>
      <c r="P91" s="152">
        <v>0</v>
      </c>
      <c r="Q91" s="153">
        <v>100</v>
      </c>
      <c r="R91" s="154">
        <v>0</v>
      </c>
      <c r="S91" s="38">
        <f t="shared" si="11"/>
        <v>1</v>
      </c>
      <c r="T91" s="39">
        <f t="shared" si="12"/>
        <v>9</v>
      </c>
      <c r="U91" s="40">
        <f t="shared" si="13"/>
        <v>0</v>
      </c>
      <c r="V91" s="40">
        <f t="shared" si="14"/>
        <v>0</v>
      </c>
      <c r="W91" s="40">
        <f t="shared" si="15"/>
        <v>0</v>
      </c>
      <c r="X91" s="40">
        <f t="shared" si="16"/>
        <v>0</v>
      </c>
      <c r="Y91" s="40">
        <f t="shared" si="17"/>
        <v>0</v>
      </c>
      <c r="Z91" s="40">
        <f t="shared" si="18"/>
        <v>0</v>
      </c>
      <c r="AA91" s="40">
        <f t="shared" si="19"/>
        <v>0</v>
      </c>
      <c r="AB91" s="40">
        <f t="shared" si="20"/>
        <v>0</v>
      </c>
      <c r="AC91" s="41">
        <f t="shared" si="21"/>
        <v>0</v>
      </c>
      <c r="AD91" s="49" t="s">
        <v>5</v>
      </c>
      <c r="AE91" s="50" t="s">
        <v>72</v>
      </c>
      <c r="AF91" s="49"/>
      <c r="AG91" s="50"/>
      <c r="AH91" s="49"/>
      <c r="AI91" s="50"/>
      <c r="AJ91" s="49"/>
      <c r="AK91" s="50"/>
      <c r="AL91" s="49"/>
      <c r="AM91" s="50" t="s">
        <v>436</v>
      </c>
      <c r="AN91" s="49"/>
      <c r="AO91" s="50"/>
      <c r="AP91" s="49"/>
      <c r="AQ91" s="50"/>
      <c r="AR91" s="49" t="s">
        <v>5</v>
      </c>
      <c r="AS91" s="50" t="s">
        <v>111</v>
      </c>
      <c r="AT91" s="49"/>
      <c r="AU91" s="50"/>
      <c r="AV91" s="49" t="s">
        <v>1</v>
      </c>
      <c r="AW91" s="50" t="s">
        <v>495</v>
      </c>
      <c r="AX91" s="49" t="s">
        <v>5</v>
      </c>
      <c r="AY91" s="50" t="s">
        <v>84</v>
      </c>
      <c r="AZ91" s="49"/>
      <c r="BA91" s="50"/>
      <c r="BB91" s="49"/>
      <c r="BC91" s="50"/>
      <c r="BD91" s="49"/>
      <c r="BE91" s="50"/>
      <c r="BF91" s="49"/>
      <c r="BG91" s="50"/>
      <c r="BH91" s="49" t="s">
        <v>5</v>
      </c>
      <c r="BI91" s="50" t="s">
        <v>505</v>
      </c>
      <c r="BJ91" s="49"/>
      <c r="BK91" s="50"/>
      <c r="BL91" s="49" t="s">
        <v>5</v>
      </c>
      <c r="BM91" s="50" t="s">
        <v>72</v>
      </c>
      <c r="BN91" s="49" t="s">
        <v>5</v>
      </c>
      <c r="BO91" s="50" t="s">
        <v>81</v>
      </c>
      <c r="BP91" s="49"/>
      <c r="BQ91" s="50"/>
      <c r="BR91" s="49"/>
      <c r="BS91" s="50"/>
      <c r="BT91" s="49" t="s">
        <v>5</v>
      </c>
      <c r="BU91" s="50" t="s">
        <v>90</v>
      </c>
      <c r="BV91" s="49" t="s">
        <v>5</v>
      </c>
      <c r="BW91" s="50" t="s">
        <v>602</v>
      </c>
      <c r="BX91" s="49" t="s">
        <v>5</v>
      </c>
      <c r="BY91" s="50" t="s">
        <v>133</v>
      </c>
      <c r="BZ91" s="49"/>
      <c r="CA91" s="50"/>
    </row>
    <row r="92" spans="1:79" x14ac:dyDescent="0.25">
      <c r="A92" s="76">
        <v>151867</v>
      </c>
      <c r="B92" s="77" t="s">
        <v>1049</v>
      </c>
      <c r="C92" s="78" t="s">
        <v>952</v>
      </c>
      <c r="D92" s="76" t="s">
        <v>70</v>
      </c>
      <c r="E92" s="79" t="s">
        <v>87</v>
      </c>
      <c r="F92" s="79" t="s">
        <v>88</v>
      </c>
      <c r="G92" s="79" t="s">
        <v>14</v>
      </c>
      <c r="H92" s="79" t="s">
        <v>87</v>
      </c>
      <c r="I92" s="78" t="s">
        <v>14</v>
      </c>
      <c r="J92" s="79" t="s">
        <v>14</v>
      </c>
      <c r="K92" s="142" t="s">
        <v>1850</v>
      </c>
      <c r="L92" s="149" t="s">
        <v>1844</v>
      </c>
      <c r="M92" s="150" t="s">
        <v>12</v>
      </c>
      <c r="N92" s="151">
        <v>12</v>
      </c>
      <c r="O92" s="151">
        <v>0</v>
      </c>
      <c r="P92" s="152">
        <v>0</v>
      </c>
      <c r="Q92" s="153">
        <v>100</v>
      </c>
      <c r="R92" s="154">
        <v>1</v>
      </c>
      <c r="S92" s="38">
        <f t="shared" si="11"/>
        <v>4</v>
      </c>
      <c r="T92" s="39">
        <f t="shared" si="12"/>
        <v>6</v>
      </c>
      <c r="U92" s="40">
        <f t="shared" si="13"/>
        <v>1</v>
      </c>
      <c r="V92" s="40">
        <f t="shared" si="14"/>
        <v>0</v>
      </c>
      <c r="W92" s="40">
        <f t="shared" si="15"/>
        <v>0</v>
      </c>
      <c r="X92" s="40">
        <f t="shared" si="16"/>
        <v>1</v>
      </c>
      <c r="Y92" s="40">
        <f t="shared" si="17"/>
        <v>0</v>
      </c>
      <c r="Z92" s="40">
        <f t="shared" si="18"/>
        <v>0</v>
      </c>
      <c r="AA92" s="40">
        <f t="shared" si="19"/>
        <v>0</v>
      </c>
      <c r="AB92" s="40">
        <f t="shared" si="20"/>
        <v>0</v>
      </c>
      <c r="AC92" s="41">
        <f t="shared" si="21"/>
        <v>0</v>
      </c>
      <c r="AD92" s="49"/>
      <c r="AE92" s="50"/>
      <c r="AF92" s="49" t="s">
        <v>1</v>
      </c>
      <c r="AG92" s="50" t="s">
        <v>433</v>
      </c>
      <c r="AH92" s="49"/>
      <c r="AI92" s="50"/>
      <c r="AJ92" s="49" t="s">
        <v>1</v>
      </c>
      <c r="AK92" s="50" t="s">
        <v>714</v>
      </c>
      <c r="AL92" s="49"/>
      <c r="AM92" s="50"/>
      <c r="AN92" s="49"/>
      <c r="AO92" s="50"/>
      <c r="AP92" s="49"/>
      <c r="AQ92" s="50"/>
      <c r="AR92" s="49" t="s">
        <v>5</v>
      </c>
      <c r="AS92" s="50" t="s">
        <v>142</v>
      </c>
      <c r="AT92" s="49"/>
      <c r="AU92" s="50"/>
      <c r="AV92" s="49" t="s">
        <v>5</v>
      </c>
      <c r="AW92" s="50" t="s">
        <v>117</v>
      </c>
      <c r="AX92" s="49"/>
      <c r="AY92" s="50"/>
      <c r="AZ92" s="49"/>
      <c r="BA92" s="50"/>
      <c r="BB92" s="49" t="s">
        <v>30</v>
      </c>
      <c r="BC92" s="50" t="s">
        <v>425</v>
      </c>
      <c r="BD92" s="49" t="s">
        <v>5</v>
      </c>
      <c r="BE92" s="50" t="s">
        <v>120</v>
      </c>
      <c r="BF92" s="49"/>
      <c r="BG92" s="50"/>
      <c r="BH92" s="49" t="s">
        <v>5</v>
      </c>
      <c r="BI92" s="50" t="s">
        <v>79</v>
      </c>
      <c r="BJ92" s="49"/>
      <c r="BK92" s="50"/>
      <c r="BL92" s="49"/>
      <c r="BM92" s="50"/>
      <c r="BN92" s="49" t="s">
        <v>5</v>
      </c>
      <c r="BO92" s="50" t="s">
        <v>152</v>
      </c>
      <c r="BP92" s="49"/>
      <c r="BQ92" s="50"/>
      <c r="BR92" s="49" t="s">
        <v>1</v>
      </c>
      <c r="BS92" s="50" t="s">
        <v>170</v>
      </c>
      <c r="BT92" s="49"/>
      <c r="BU92" s="50"/>
      <c r="BV92" s="49" t="s">
        <v>1</v>
      </c>
      <c r="BW92" s="50" t="s">
        <v>602</v>
      </c>
      <c r="BX92" s="49"/>
      <c r="BY92" s="50"/>
      <c r="BZ92" s="49" t="s">
        <v>5</v>
      </c>
      <c r="CA92" s="50" t="s">
        <v>124</v>
      </c>
    </row>
    <row r="93" spans="1:79" x14ac:dyDescent="0.25">
      <c r="A93" s="76">
        <v>151850</v>
      </c>
      <c r="B93" s="77" t="s">
        <v>1050</v>
      </c>
      <c r="C93" s="78" t="s">
        <v>957</v>
      </c>
      <c r="D93" s="76" t="s">
        <v>12</v>
      </c>
      <c r="E93" s="79" t="s">
        <v>87</v>
      </c>
      <c r="F93" s="79" t="s">
        <v>158</v>
      </c>
      <c r="G93" s="79" t="s">
        <v>14</v>
      </c>
      <c r="H93" s="79" t="s">
        <v>87</v>
      </c>
      <c r="I93" s="78" t="s">
        <v>14</v>
      </c>
      <c r="J93" s="79" t="s">
        <v>14</v>
      </c>
      <c r="K93" s="142" t="s">
        <v>1850</v>
      </c>
      <c r="L93" s="149" t="s">
        <v>1844</v>
      </c>
      <c r="M93" s="150" t="s">
        <v>12</v>
      </c>
      <c r="N93" s="151">
        <v>9</v>
      </c>
      <c r="O93" s="151">
        <v>6</v>
      </c>
      <c r="P93" s="152">
        <v>5</v>
      </c>
      <c r="Q93" s="153">
        <v>97.83</v>
      </c>
      <c r="R93" s="154">
        <v>9</v>
      </c>
      <c r="S93" s="38">
        <f t="shared" si="11"/>
        <v>0</v>
      </c>
      <c r="T93" s="39">
        <f t="shared" si="12"/>
        <v>7</v>
      </c>
      <c r="U93" s="40">
        <f t="shared" si="13"/>
        <v>1</v>
      </c>
      <c r="V93" s="40">
        <f t="shared" si="14"/>
        <v>1</v>
      </c>
      <c r="W93" s="40">
        <f t="shared" si="15"/>
        <v>2</v>
      </c>
      <c r="X93" s="40">
        <f t="shared" si="16"/>
        <v>4</v>
      </c>
      <c r="Y93" s="40">
        <f t="shared" si="17"/>
        <v>0</v>
      </c>
      <c r="Z93" s="40">
        <f t="shared" si="18"/>
        <v>0</v>
      </c>
      <c r="AA93" s="40">
        <f t="shared" si="19"/>
        <v>0</v>
      </c>
      <c r="AB93" s="40">
        <f t="shared" si="20"/>
        <v>0</v>
      </c>
      <c r="AC93" s="41">
        <f t="shared" si="21"/>
        <v>0</v>
      </c>
      <c r="AD93" s="49" t="s">
        <v>32</v>
      </c>
      <c r="AE93" s="50" t="s">
        <v>72</v>
      </c>
      <c r="AF93" s="49" t="s">
        <v>31</v>
      </c>
      <c r="AG93" s="50" t="s">
        <v>433</v>
      </c>
      <c r="AH93" s="49" t="s">
        <v>5</v>
      </c>
      <c r="AI93" s="50" t="s">
        <v>131</v>
      </c>
      <c r="AJ93" s="49" t="s">
        <v>5</v>
      </c>
      <c r="AK93" s="50" t="s">
        <v>714</v>
      </c>
      <c r="AL93" s="49"/>
      <c r="AM93" s="50"/>
      <c r="AN93" s="49"/>
      <c r="AO93" s="50"/>
      <c r="AP93" s="49"/>
      <c r="AQ93" s="50"/>
      <c r="AR93" s="49" t="s">
        <v>32</v>
      </c>
      <c r="AS93" s="50" t="s">
        <v>111</v>
      </c>
      <c r="AT93" s="49"/>
      <c r="AU93" s="50"/>
      <c r="AV93" s="49" t="s">
        <v>5</v>
      </c>
      <c r="AW93" s="50" t="s">
        <v>77</v>
      </c>
      <c r="AX93" s="49"/>
      <c r="AY93" s="50"/>
      <c r="AZ93" s="49"/>
      <c r="BA93" s="50"/>
      <c r="BB93" s="49"/>
      <c r="BC93" s="50"/>
      <c r="BD93" s="49"/>
      <c r="BE93" s="50"/>
      <c r="BF93" s="49"/>
      <c r="BG93" s="50"/>
      <c r="BH93" s="49" t="s">
        <v>5</v>
      </c>
      <c r="BI93" s="50" t="s">
        <v>136</v>
      </c>
      <c r="BJ93" s="49"/>
      <c r="BK93" s="50"/>
      <c r="BL93" s="49"/>
      <c r="BM93" s="50"/>
      <c r="BN93" s="49" t="s">
        <v>5</v>
      </c>
      <c r="BO93" s="50" t="s">
        <v>107</v>
      </c>
      <c r="BP93" s="49"/>
      <c r="BQ93" s="50"/>
      <c r="BR93" s="49" t="s">
        <v>5</v>
      </c>
      <c r="BS93" s="50" t="s">
        <v>170</v>
      </c>
      <c r="BT93" s="49"/>
      <c r="BU93" s="50"/>
      <c r="BV93" s="49" t="s">
        <v>5</v>
      </c>
      <c r="BW93" s="50" t="s">
        <v>97</v>
      </c>
      <c r="BX93" s="49"/>
      <c r="BY93" s="50"/>
      <c r="BZ93" s="49" t="s">
        <v>30</v>
      </c>
      <c r="CA93" s="50" t="s">
        <v>75</v>
      </c>
    </row>
    <row r="94" spans="1:79" x14ac:dyDescent="0.25">
      <c r="A94" s="76">
        <v>151922</v>
      </c>
      <c r="B94" s="77" t="s">
        <v>1051</v>
      </c>
      <c r="C94" s="78" t="s">
        <v>959</v>
      </c>
      <c r="D94" s="76" t="s">
        <v>70</v>
      </c>
      <c r="E94" s="79" t="s">
        <v>87</v>
      </c>
      <c r="F94" s="79" t="s">
        <v>88</v>
      </c>
      <c r="G94" s="79" t="s">
        <v>14</v>
      </c>
      <c r="H94" s="79" t="s">
        <v>87</v>
      </c>
      <c r="I94" s="78" t="s">
        <v>14</v>
      </c>
      <c r="J94" s="79" t="s">
        <v>14</v>
      </c>
      <c r="K94" s="142" t="s">
        <v>1850</v>
      </c>
      <c r="L94" s="149" t="s">
        <v>1846</v>
      </c>
      <c r="M94" s="150" t="s">
        <v>1853</v>
      </c>
      <c r="N94" s="151">
        <v>28</v>
      </c>
      <c r="O94" s="151">
        <v>3</v>
      </c>
      <c r="P94" s="152">
        <v>0</v>
      </c>
      <c r="Q94" s="153">
        <v>100</v>
      </c>
      <c r="R94" s="154">
        <v>5</v>
      </c>
      <c r="S94" s="38">
        <f t="shared" si="11"/>
        <v>1</v>
      </c>
      <c r="T94" s="39">
        <f t="shared" si="12"/>
        <v>10</v>
      </c>
      <c r="U94" s="40">
        <f t="shared" si="13"/>
        <v>0</v>
      </c>
      <c r="V94" s="40">
        <f t="shared" si="14"/>
        <v>0</v>
      </c>
      <c r="W94" s="40">
        <f t="shared" si="15"/>
        <v>0</v>
      </c>
      <c r="X94" s="40">
        <f t="shared" si="16"/>
        <v>0</v>
      </c>
      <c r="Y94" s="40">
        <f t="shared" si="17"/>
        <v>0</v>
      </c>
      <c r="Z94" s="40">
        <f t="shared" si="18"/>
        <v>0</v>
      </c>
      <c r="AA94" s="40">
        <f t="shared" si="19"/>
        <v>0</v>
      </c>
      <c r="AB94" s="40">
        <f t="shared" si="20"/>
        <v>0</v>
      </c>
      <c r="AC94" s="41">
        <f t="shared" si="21"/>
        <v>0</v>
      </c>
      <c r="AD94" s="49"/>
      <c r="AE94" s="50"/>
      <c r="AF94" s="49" t="s">
        <v>5</v>
      </c>
      <c r="AG94" s="50" t="s">
        <v>154</v>
      </c>
      <c r="AH94" s="49"/>
      <c r="AI94" s="50"/>
      <c r="AJ94" s="49" t="s">
        <v>1</v>
      </c>
      <c r="AK94" s="50" t="s">
        <v>83</v>
      </c>
      <c r="AL94" s="49" t="s">
        <v>5</v>
      </c>
      <c r="AM94" s="50" t="s">
        <v>436</v>
      </c>
      <c r="AN94" s="49"/>
      <c r="AO94" s="50"/>
      <c r="AP94" s="49"/>
      <c r="AQ94" s="50"/>
      <c r="AR94" s="49" t="s">
        <v>5</v>
      </c>
      <c r="AS94" s="50" t="s">
        <v>151</v>
      </c>
      <c r="AT94" s="49"/>
      <c r="AU94" s="50"/>
      <c r="AV94" s="49" t="s">
        <v>5</v>
      </c>
      <c r="AW94" s="50" t="s">
        <v>194</v>
      </c>
      <c r="AX94" s="49" t="s">
        <v>5</v>
      </c>
      <c r="AY94" s="50" t="s">
        <v>103</v>
      </c>
      <c r="AZ94" s="49"/>
      <c r="BA94" s="50"/>
      <c r="BB94" s="49" t="s">
        <v>5</v>
      </c>
      <c r="BC94" s="50" t="s">
        <v>420</v>
      </c>
      <c r="BD94" s="49"/>
      <c r="BE94" s="50"/>
      <c r="BF94" s="49"/>
      <c r="BG94" s="50"/>
      <c r="BH94" s="49" t="s">
        <v>5</v>
      </c>
      <c r="BI94" s="50" t="s">
        <v>106</v>
      </c>
      <c r="BJ94" s="49"/>
      <c r="BK94" s="50"/>
      <c r="BL94" s="49"/>
      <c r="BM94" s="50"/>
      <c r="BN94" s="49" t="s">
        <v>5</v>
      </c>
      <c r="BO94" s="50" t="s">
        <v>81</v>
      </c>
      <c r="BP94" s="49"/>
      <c r="BQ94" s="50"/>
      <c r="BR94" s="49" t="s">
        <v>5</v>
      </c>
      <c r="BS94" s="50" t="s">
        <v>98</v>
      </c>
      <c r="BT94" s="49"/>
      <c r="BU94" s="50"/>
      <c r="BV94" s="49" t="s">
        <v>5</v>
      </c>
      <c r="BW94" s="50" t="s">
        <v>715</v>
      </c>
      <c r="BX94" s="49"/>
      <c r="BY94" s="50"/>
      <c r="BZ94" s="49"/>
      <c r="CA94" s="50"/>
    </row>
    <row r="95" spans="1:79" x14ac:dyDescent="0.25">
      <c r="A95" s="76">
        <v>151837</v>
      </c>
      <c r="B95" s="77" t="s">
        <v>1052</v>
      </c>
      <c r="C95" s="78" t="s">
        <v>970</v>
      </c>
      <c r="D95" s="76" t="s">
        <v>12</v>
      </c>
      <c r="E95" s="79" t="s">
        <v>87</v>
      </c>
      <c r="F95" s="79" t="s">
        <v>450</v>
      </c>
      <c r="G95" s="79" t="s">
        <v>14</v>
      </c>
      <c r="H95" s="79" t="s">
        <v>87</v>
      </c>
      <c r="I95" s="78" t="s">
        <v>14</v>
      </c>
      <c r="J95" s="79" t="s">
        <v>14</v>
      </c>
      <c r="K95" s="142" t="s">
        <v>1850</v>
      </c>
      <c r="L95" s="149" t="s">
        <v>1846</v>
      </c>
      <c r="M95" s="150" t="s">
        <v>1853</v>
      </c>
      <c r="N95" s="151">
        <v>10</v>
      </c>
      <c r="O95" s="151">
        <v>1</v>
      </c>
      <c r="P95" s="152">
        <v>1</v>
      </c>
      <c r="Q95" s="153">
        <v>100</v>
      </c>
      <c r="R95" s="154">
        <v>0</v>
      </c>
      <c r="S95" s="38">
        <f t="shared" si="11"/>
        <v>2</v>
      </c>
      <c r="T95" s="39">
        <f t="shared" si="12"/>
        <v>9</v>
      </c>
      <c r="U95" s="40">
        <f t="shared" si="13"/>
        <v>0</v>
      </c>
      <c r="V95" s="40">
        <f t="shared" si="14"/>
        <v>0</v>
      </c>
      <c r="W95" s="40">
        <f t="shared" si="15"/>
        <v>0</v>
      </c>
      <c r="X95" s="40">
        <f t="shared" si="16"/>
        <v>0</v>
      </c>
      <c r="Y95" s="40">
        <f t="shared" si="17"/>
        <v>0</v>
      </c>
      <c r="Z95" s="40">
        <f t="shared" si="18"/>
        <v>0</v>
      </c>
      <c r="AA95" s="40">
        <f t="shared" si="19"/>
        <v>0</v>
      </c>
      <c r="AB95" s="40">
        <f t="shared" si="20"/>
        <v>0</v>
      </c>
      <c r="AC95" s="41">
        <f t="shared" si="21"/>
        <v>0</v>
      </c>
      <c r="AD95" s="49" t="s">
        <v>5</v>
      </c>
      <c r="AE95" s="50" t="s">
        <v>72</v>
      </c>
      <c r="AF95" s="49" t="s">
        <v>1</v>
      </c>
      <c r="AG95" s="50" t="s">
        <v>154</v>
      </c>
      <c r="AH95" s="49" t="s">
        <v>5</v>
      </c>
      <c r="AI95" s="50" t="s">
        <v>131</v>
      </c>
      <c r="AJ95" s="49" t="s">
        <v>5</v>
      </c>
      <c r="AK95" s="50" t="s">
        <v>714</v>
      </c>
      <c r="AL95" s="49"/>
      <c r="AM95" s="50"/>
      <c r="AN95" s="49"/>
      <c r="AO95" s="50"/>
      <c r="AP95" s="49"/>
      <c r="AQ95" s="50"/>
      <c r="AR95" s="49" t="s">
        <v>5</v>
      </c>
      <c r="AS95" s="50" t="s">
        <v>151</v>
      </c>
      <c r="AT95" s="49"/>
      <c r="AU95" s="50"/>
      <c r="AV95" s="49" t="s">
        <v>5</v>
      </c>
      <c r="AW95" s="50" t="s">
        <v>140</v>
      </c>
      <c r="AX95" s="49"/>
      <c r="AY95" s="50"/>
      <c r="AZ95" s="49"/>
      <c r="BA95" s="50"/>
      <c r="BB95" s="49"/>
      <c r="BC95" s="50"/>
      <c r="BD95" s="49"/>
      <c r="BE95" s="50"/>
      <c r="BF95" s="49"/>
      <c r="BG95" s="50"/>
      <c r="BH95" s="49" t="s">
        <v>5</v>
      </c>
      <c r="BI95" s="50" t="s">
        <v>711</v>
      </c>
      <c r="BJ95" s="49"/>
      <c r="BK95" s="50"/>
      <c r="BL95" s="49"/>
      <c r="BM95" s="50"/>
      <c r="BN95" s="49" t="s">
        <v>1</v>
      </c>
      <c r="BO95" s="50" t="s">
        <v>107</v>
      </c>
      <c r="BP95" s="49"/>
      <c r="BQ95" s="50"/>
      <c r="BR95" s="49" t="s">
        <v>5</v>
      </c>
      <c r="BS95" s="50" t="s">
        <v>140</v>
      </c>
      <c r="BT95" s="49"/>
      <c r="BU95" s="50"/>
      <c r="BV95" s="49" t="s">
        <v>5</v>
      </c>
      <c r="BW95" s="50" t="s">
        <v>132</v>
      </c>
      <c r="BX95" s="49"/>
      <c r="BY95" s="50"/>
      <c r="BZ95" s="49" t="s">
        <v>5</v>
      </c>
      <c r="CA95" s="50" t="s">
        <v>124</v>
      </c>
    </row>
    <row r="96" spans="1:79" x14ac:dyDescent="0.25">
      <c r="A96" s="76">
        <v>151805</v>
      </c>
      <c r="B96" s="77" t="s">
        <v>1053</v>
      </c>
      <c r="C96" s="78" t="s">
        <v>950</v>
      </c>
      <c r="D96" s="76" t="s">
        <v>70</v>
      </c>
      <c r="E96" s="79" t="s">
        <v>14</v>
      </c>
      <c r="F96" s="79" t="s">
        <v>508</v>
      </c>
      <c r="G96" s="79" t="s">
        <v>14</v>
      </c>
      <c r="H96" s="79" t="s">
        <v>14</v>
      </c>
      <c r="I96" s="78" t="s">
        <v>14</v>
      </c>
      <c r="J96" s="79" t="s">
        <v>14</v>
      </c>
      <c r="K96" s="142" t="s">
        <v>1850</v>
      </c>
      <c r="L96" s="149" t="s">
        <v>1844</v>
      </c>
      <c r="M96" s="150" t="s">
        <v>12</v>
      </c>
      <c r="N96" s="151">
        <v>10</v>
      </c>
      <c r="O96" s="151">
        <v>0</v>
      </c>
      <c r="P96" s="152">
        <v>0</v>
      </c>
      <c r="Q96" s="153">
        <v>97.83</v>
      </c>
      <c r="R96" s="154">
        <v>0</v>
      </c>
      <c r="S96" s="38">
        <f t="shared" si="11"/>
        <v>1</v>
      </c>
      <c r="T96" s="39">
        <f t="shared" si="12"/>
        <v>8</v>
      </c>
      <c r="U96" s="40">
        <f t="shared" si="13"/>
        <v>0</v>
      </c>
      <c r="V96" s="40">
        <f t="shared" si="14"/>
        <v>0</v>
      </c>
      <c r="W96" s="40">
        <f t="shared" si="15"/>
        <v>1</v>
      </c>
      <c r="X96" s="40">
        <f t="shared" si="16"/>
        <v>1</v>
      </c>
      <c r="Y96" s="40">
        <f t="shared" si="17"/>
        <v>0</v>
      </c>
      <c r="Z96" s="40">
        <f t="shared" si="18"/>
        <v>0</v>
      </c>
      <c r="AA96" s="40">
        <f t="shared" si="19"/>
        <v>0</v>
      </c>
      <c r="AB96" s="40">
        <f t="shared" si="20"/>
        <v>0</v>
      </c>
      <c r="AC96" s="41">
        <f t="shared" si="21"/>
        <v>0</v>
      </c>
      <c r="AD96" s="49"/>
      <c r="AE96" s="50"/>
      <c r="AF96" s="49"/>
      <c r="AG96" s="50"/>
      <c r="AH96" s="49"/>
      <c r="AI96" s="50"/>
      <c r="AJ96" s="49"/>
      <c r="AK96" s="50"/>
      <c r="AL96" s="49"/>
      <c r="AM96" s="50"/>
      <c r="AN96" s="49"/>
      <c r="AO96" s="50"/>
      <c r="AP96" s="49"/>
      <c r="AQ96" s="50"/>
      <c r="AR96" s="49" t="s">
        <v>5</v>
      </c>
      <c r="AS96" s="50" t="s">
        <v>722</v>
      </c>
      <c r="AT96" s="49" t="s">
        <v>5</v>
      </c>
      <c r="AU96" s="50" t="s">
        <v>73</v>
      </c>
      <c r="AV96" s="49" t="s">
        <v>1</v>
      </c>
      <c r="AW96" s="50" t="s">
        <v>96</v>
      </c>
      <c r="AX96" s="49" t="s">
        <v>5</v>
      </c>
      <c r="AY96" s="50" t="s">
        <v>103</v>
      </c>
      <c r="AZ96" s="49"/>
      <c r="BA96" s="50"/>
      <c r="BB96" s="49"/>
      <c r="BC96" s="50"/>
      <c r="BD96" s="49" t="s">
        <v>5</v>
      </c>
      <c r="BE96" s="50" t="s">
        <v>120</v>
      </c>
      <c r="BF96" s="49"/>
      <c r="BG96" s="50"/>
      <c r="BH96" s="49" t="s">
        <v>5</v>
      </c>
      <c r="BI96" s="50" t="s">
        <v>79</v>
      </c>
      <c r="BJ96" s="49"/>
      <c r="BK96" s="50"/>
      <c r="BL96" s="49"/>
      <c r="BM96" s="50"/>
      <c r="BN96" s="49" t="s">
        <v>5</v>
      </c>
      <c r="BO96" s="50" t="s">
        <v>81</v>
      </c>
      <c r="BP96" s="49" t="s">
        <v>32</v>
      </c>
      <c r="BQ96" s="50" t="s">
        <v>152</v>
      </c>
      <c r="BR96" s="49"/>
      <c r="BS96" s="50"/>
      <c r="BT96" s="49"/>
      <c r="BU96" s="50"/>
      <c r="BV96" s="49" t="s">
        <v>5</v>
      </c>
      <c r="BW96" s="50" t="s">
        <v>82</v>
      </c>
      <c r="BX96" s="49" t="s">
        <v>5</v>
      </c>
      <c r="BY96" s="50" t="s">
        <v>137</v>
      </c>
      <c r="BZ96" s="49"/>
      <c r="CA96" s="50"/>
    </row>
    <row r="97" spans="1:79" x14ac:dyDescent="0.25">
      <c r="A97" s="76">
        <v>151780</v>
      </c>
      <c r="B97" s="77" t="s">
        <v>1054</v>
      </c>
      <c r="C97" s="78" t="s">
        <v>961</v>
      </c>
      <c r="D97" s="76" t="s">
        <v>70</v>
      </c>
      <c r="E97" s="79" t="s">
        <v>14</v>
      </c>
      <c r="F97" s="79" t="s">
        <v>115</v>
      </c>
      <c r="G97" s="79" t="s">
        <v>14</v>
      </c>
      <c r="H97" s="79" t="s">
        <v>14</v>
      </c>
      <c r="I97" s="78" t="s">
        <v>14</v>
      </c>
      <c r="J97" s="79" t="s">
        <v>14</v>
      </c>
      <c r="K97" s="142" t="s">
        <v>1850</v>
      </c>
      <c r="L97" s="149" t="s">
        <v>1841</v>
      </c>
      <c r="M97" s="150" t="s">
        <v>1853</v>
      </c>
      <c r="N97" s="151">
        <v>11</v>
      </c>
      <c r="O97" s="151">
        <v>0</v>
      </c>
      <c r="P97" s="152">
        <v>0</v>
      </c>
      <c r="Q97" s="153">
        <v>95.65</v>
      </c>
      <c r="R97" s="154">
        <v>0</v>
      </c>
      <c r="S97" s="38">
        <f t="shared" si="11"/>
        <v>4</v>
      </c>
      <c r="T97" s="39">
        <f t="shared" si="12"/>
        <v>7</v>
      </c>
      <c r="U97" s="40">
        <f t="shared" si="13"/>
        <v>0</v>
      </c>
      <c r="V97" s="40">
        <f t="shared" si="14"/>
        <v>0</v>
      </c>
      <c r="W97" s="40">
        <f t="shared" si="15"/>
        <v>0</v>
      </c>
      <c r="X97" s="40">
        <f t="shared" si="16"/>
        <v>0</v>
      </c>
      <c r="Y97" s="40">
        <f t="shared" si="17"/>
        <v>0</v>
      </c>
      <c r="Z97" s="40">
        <f t="shared" si="18"/>
        <v>0</v>
      </c>
      <c r="AA97" s="40">
        <f t="shared" si="19"/>
        <v>0</v>
      </c>
      <c r="AB97" s="40">
        <f t="shared" si="20"/>
        <v>0</v>
      </c>
      <c r="AC97" s="41">
        <f t="shared" si="21"/>
        <v>0</v>
      </c>
      <c r="AD97" s="49"/>
      <c r="AE97" s="50"/>
      <c r="AF97" s="49" t="s">
        <v>1</v>
      </c>
      <c r="AG97" s="50" t="s">
        <v>433</v>
      </c>
      <c r="AH97" s="49"/>
      <c r="AI97" s="50"/>
      <c r="AJ97" s="49" t="s">
        <v>5</v>
      </c>
      <c r="AK97" s="50" t="s">
        <v>419</v>
      </c>
      <c r="AL97" s="49"/>
      <c r="AM97" s="50"/>
      <c r="AN97" s="49"/>
      <c r="AO97" s="50"/>
      <c r="AP97" s="49"/>
      <c r="AQ97" s="50"/>
      <c r="AR97" s="49" t="s">
        <v>5</v>
      </c>
      <c r="AS97" s="50" t="s">
        <v>102</v>
      </c>
      <c r="AT97" s="49"/>
      <c r="AU97" s="50"/>
      <c r="AV97" s="49" t="s">
        <v>5</v>
      </c>
      <c r="AW97" s="50" t="s">
        <v>139</v>
      </c>
      <c r="AX97" s="49"/>
      <c r="AY97" s="50"/>
      <c r="AZ97" s="49"/>
      <c r="BA97" s="50"/>
      <c r="BB97" s="49"/>
      <c r="BC97" s="50"/>
      <c r="BD97" s="49" t="s">
        <v>1</v>
      </c>
      <c r="BE97" s="50" t="s">
        <v>132</v>
      </c>
      <c r="BF97" s="49"/>
      <c r="BG97" s="50"/>
      <c r="BH97" s="49" t="s">
        <v>5</v>
      </c>
      <c r="BI97" s="50" t="s">
        <v>112</v>
      </c>
      <c r="BJ97" s="49" t="s">
        <v>1</v>
      </c>
      <c r="BK97" s="50" t="s">
        <v>95</v>
      </c>
      <c r="BL97" s="49"/>
      <c r="BM97" s="50"/>
      <c r="BN97" s="49" t="s">
        <v>5</v>
      </c>
      <c r="BO97" s="50" t="s">
        <v>152</v>
      </c>
      <c r="BP97" s="49"/>
      <c r="BQ97" s="50"/>
      <c r="BR97" s="49" t="s">
        <v>5</v>
      </c>
      <c r="BS97" s="50" t="s">
        <v>140</v>
      </c>
      <c r="BT97" s="49"/>
      <c r="BU97" s="50"/>
      <c r="BV97" s="49" t="s">
        <v>1</v>
      </c>
      <c r="BW97" s="50" t="s">
        <v>132</v>
      </c>
      <c r="BX97" s="49"/>
      <c r="BY97" s="50"/>
      <c r="BZ97" s="49" t="s">
        <v>5</v>
      </c>
      <c r="CA97" s="50" t="s">
        <v>75</v>
      </c>
    </row>
    <row r="98" spans="1:79" x14ac:dyDescent="0.25">
      <c r="A98" s="76">
        <v>151947</v>
      </c>
      <c r="B98" s="77" t="s">
        <v>1055</v>
      </c>
      <c r="C98" s="78" t="s">
        <v>950</v>
      </c>
      <c r="D98" s="76" t="s">
        <v>70</v>
      </c>
      <c r="E98" s="79" t="s">
        <v>14</v>
      </c>
      <c r="F98" s="79" t="s">
        <v>88</v>
      </c>
      <c r="G98" s="79" t="s">
        <v>14</v>
      </c>
      <c r="H98" s="79" t="s">
        <v>14</v>
      </c>
      <c r="I98" s="78" t="s">
        <v>14</v>
      </c>
      <c r="J98" s="79" t="s">
        <v>14</v>
      </c>
      <c r="K98" s="142" t="s">
        <v>1851</v>
      </c>
      <c r="L98" s="149" t="s">
        <v>1846</v>
      </c>
      <c r="M98" s="150" t="s">
        <v>1853</v>
      </c>
      <c r="N98" s="151">
        <v>11</v>
      </c>
      <c r="O98" s="151">
        <v>0</v>
      </c>
      <c r="P98" s="152">
        <v>0</v>
      </c>
      <c r="Q98" s="153">
        <v>100</v>
      </c>
      <c r="R98" s="154">
        <v>0</v>
      </c>
      <c r="S98" s="38">
        <f t="shared" si="11"/>
        <v>3</v>
      </c>
      <c r="T98" s="39">
        <f t="shared" si="12"/>
        <v>7</v>
      </c>
      <c r="U98" s="40">
        <f t="shared" si="13"/>
        <v>0</v>
      </c>
      <c r="V98" s="40">
        <f t="shared" si="14"/>
        <v>0</v>
      </c>
      <c r="W98" s="40">
        <f t="shared" si="15"/>
        <v>0</v>
      </c>
      <c r="X98" s="40">
        <f t="shared" si="16"/>
        <v>0</v>
      </c>
      <c r="Y98" s="40">
        <f t="shared" si="17"/>
        <v>0</v>
      </c>
      <c r="Z98" s="40">
        <f t="shared" si="18"/>
        <v>0</v>
      </c>
      <c r="AA98" s="40">
        <f t="shared" si="19"/>
        <v>0</v>
      </c>
      <c r="AB98" s="40">
        <f t="shared" si="20"/>
        <v>0</v>
      </c>
      <c r="AC98" s="41">
        <f t="shared" si="21"/>
        <v>0</v>
      </c>
      <c r="AD98" s="49" t="s">
        <v>5</v>
      </c>
      <c r="AE98" s="50" t="s">
        <v>72</v>
      </c>
      <c r="AF98" s="49"/>
      <c r="AG98" s="50"/>
      <c r="AH98" s="49"/>
      <c r="AI98" s="50"/>
      <c r="AJ98" s="49"/>
      <c r="AK98" s="50"/>
      <c r="AL98" s="49"/>
      <c r="AM98" s="50"/>
      <c r="AN98" s="49"/>
      <c r="AO98" s="50"/>
      <c r="AP98" s="49" t="s">
        <v>5</v>
      </c>
      <c r="AQ98" s="50" t="s">
        <v>101</v>
      </c>
      <c r="AR98" s="49" t="s">
        <v>5</v>
      </c>
      <c r="AS98" s="50" t="s">
        <v>169</v>
      </c>
      <c r="AT98" s="49"/>
      <c r="AU98" s="50"/>
      <c r="AV98" s="49" t="s">
        <v>1</v>
      </c>
      <c r="AW98" s="50" t="s">
        <v>96</v>
      </c>
      <c r="AX98" s="49" t="s">
        <v>5</v>
      </c>
      <c r="AY98" s="50" t="s">
        <v>143</v>
      </c>
      <c r="AZ98" s="49"/>
      <c r="BA98" s="50"/>
      <c r="BB98" s="49"/>
      <c r="BC98" s="50"/>
      <c r="BD98" s="49" t="s">
        <v>1</v>
      </c>
      <c r="BE98" s="50" t="s">
        <v>120</v>
      </c>
      <c r="BF98" s="49"/>
      <c r="BG98" s="50"/>
      <c r="BH98" s="49" t="s">
        <v>5</v>
      </c>
      <c r="BI98" s="50" t="s">
        <v>711</v>
      </c>
      <c r="BJ98" s="49"/>
      <c r="BK98" s="50"/>
      <c r="BL98" s="49"/>
      <c r="BM98" s="50"/>
      <c r="BN98" s="49" t="s">
        <v>5</v>
      </c>
      <c r="BO98" s="50" t="s">
        <v>152</v>
      </c>
      <c r="BP98" s="49"/>
      <c r="BQ98" s="50"/>
      <c r="BR98" s="49"/>
      <c r="BS98" s="50"/>
      <c r="BT98" s="49"/>
      <c r="BU98" s="50"/>
      <c r="BV98" s="49" t="s">
        <v>1</v>
      </c>
      <c r="BW98" s="50" t="s">
        <v>122</v>
      </c>
      <c r="BX98" s="49" t="s">
        <v>5</v>
      </c>
      <c r="BY98" s="50" t="s">
        <v>137</v>
      </c>
      <c r="BZ98" s="49"/>
      <c r="CA98" s="50"/>
    </row>
    <row r="99" spans="1:79" x14ac:dyDescent="0.25">
      <c r="A99" s="76">
        <v>151762</v>
      </c>
      <c r="B99" s="77" t="s">
        <v>1056</v>
      </c>
      <c r="C99" s="78" t="s">
        <v>963</v>
      </c>
      <c r="D99" s="76" t="s">
        <v>70</v>
      </c>
      <c r="E99" s="79" t="s">
        <v>14</v>
      </c>
      <c r="F99" s="79" t="s">
        <v>71</v>
      </c>
      <c r="G99" s="79" t="s">
        <v>14</v>
      </c>
      <c r="H99" s="79" t="s">
        <v>14</v>
      </c>
      <c r="I99" s="78" t="s">
        <v>14</v>
      </c>
      <c r="J99" s="79" t="s">
        <v>14</v>
      </c>
      <c r="K99" s="142" t="s">
        <v>1850</v>
      </c>
      <c r="L99" s="149" t="s">
        <v>1842</v>
      </c>
      <c r="M99" s="150" t="s">
        <v>12</v>
      </c>
      <c r="N99" s="151">
        <v>19</v>
      </c>
      <c r="O99" s="151">
        <v>0</v>
      </c>
      <c r="P99" s="152">
        <v>0</v>
      </c>
      <c r="Q99" s="153">
        <v>97.83</v>
      </c>
      <c r="R99" s="154">
        <v>2</v>
      </c>
      <c r="S99" s="38">
        <f t="shared" si="11"/>
        <v>1</v>
      </c>
      <c r="T99" s="39">
        <f t="shared" si="12"/>
        <v>9</v>
      </c>
      <c r="U99" s="40">
        <f t="shared" si="13"/>
        <v>0</v>
      </c>
      <c r="V99" s="40">
        <f t="shared" si="14"/>
        <v>0</v>
      </c>
      <c r="W99" s="40">
        <f t="shared" si="15"/>
        <v>0</v>
      </c>
      <c r="X99" s="40">
        <f t="shared" si="16"/>
        <v>0</v>
      </c>
      <c r="Y99" s="40">
        <f t="shared" si="17"/>
        <v>0</v>
      </c>
      <c r="Z99" s="40">
        <f t="shared" si="18"/>
        <v>0</v>
      </c>
      <c r="AA99" s="40">
        <f t="shared" si="19"/>
        <v>0</v>
      </c>
      <c r="AB99" s="40">
        <f t="shared" si="20"/>
        <v>0</v>
      </c>
      <c r="AC99" s="41">
        <f t="shared" si="21"/>
        <v>0</v>
      </c>
      <c r="AD99" s="49"/>
      <c r="AE99" s="50"/>
      <c r="AF99" s="49"/>
      <c r="AG99" s="50"/>
      <c r="AH99" s="49"/>
      <c r="AI99" s="50"/>
      <c r="AJ99" s="49"/>
      <c r="AK99" s="50"/>
      <c r="AL99" s="49"/>
      <c r="AM99" s="50"/>
      <c r="AN99" s="49"/>
      <c r="AO99" s="50"/>
      <c r="AP99" s="49"/>
      <c r="AQ99" s="50"/>
      <c r="AR99" s="49" t="s">
        <v>5</v>
      </c>
      <c r="AS99" s="50" t="s">
        <v>151</v>
      </c>
      <c r="AT99" s="49" t="s">
        <v>5</v>
      </c>
      <c r="AU99" s="50" t="s">
        <v>73</v>
      </c>
      <c r="AV99" s="49" t="s">
        <v>5</v>
      </c>
      <c r="AW99" s="50" t="s">
        <v>495</v>
      </c>
      <c r="AX99" s="49" t="s">
        <v>5</v>
      </c>
      <c r="AY99" s="50" t="s">
        <v>103</v>
      </c>
      <c r="AZ99" s="49" t="s">
        <v>5</v>
      </c>
      <c r="BA99" s="50" t="s">
        <v>76</v>
      </c>
      <c r="BB99" s="49"/>
      <c r="BC99" s="50"/>
      <c r="BD99" s="49" t="s">
        <v>5</v>
      </c>
      <c r="BE99" s="50" t="s">
        <v>132</v>
      </c>
      <c r="BF99" s="49"/>
      <c r="BG99" s="50"/>
      <c r="BH99" s="49" t="s">
        <v>1</v>
      </c>
      <c r="BI99" s="50" t="s">
        <v>136</v>
      </c>
      <c r="BJ99" s="49"/>
      <c r="BK99" s="50"/>
      <c r="BL99" s="49"/>
      <c r="BM99" s="50"/>
      <c r="BN99" s="49" t="s">
        <v>5</v>
      </c>
      <c r="BO99" s="50" t="s">
        <v>81</v>
      </c>
      <c r="BP99" s="49"/>
      <c r="BQ99" s="50"/>
      <c r="BR99" s="49"/>
      <c r="BS99" s="50"/>
      <c r="BT99" s="49"/>
      <c r="BU99" s="50"/>
      <c r="BV99" s="49" t="s">
        <v>5</v>
      </c>
      <c r="BW99" s="50" t="s">
        <v>715</v>
      </c>
      <c r="BX99" s="49" t="s">
        <v>5</v>
      </c>
      <c r="BY99" s="50" t="s">
        <v>137</v>
      </c>
      <c r="BZ99" s="49"/>
      <c r="CA99" s="50"/>
    </row>
    <row r="100" spans="1:79" x14ac:dyDescent="0.25">
      <c r="A100" s="76">
        <v>151957</v>
      </c>
      <c r="B100" s="77" t="s">
        <v>1057</v>
      </c>
      <c r="C100" s="78" t="s">
        <v>959</v>
      </c>
      <c r="D100" s="76" t="s">
        <v>12</v>
      </c>
      <c r="E100" s="79" t="s">
        <v>14</v>
      </c>
      <c r="F100" s="79" t="s">
        <v>71</v>
      </c>
      <c r="G100" s="79" t="s">
        <v>14</v>
      </c>
      <c r="H100" s="79" t="s">
        <v>14</v>
      </c>
      <c r="I100" s="78" t="s">
        <v>14</v>
      </c>
      <c r="J100" s="79" t="s">
        <v>14</v>
      </c>
      <c r="K100" s="142" t="s">
        <v>1850</v>
      </c>
      <c r="L100" s="149" t="s">
        <v>1848</v>
      </c>
      <c r="M100" s="150" t="s">
        <v>1852</v>
      </c>
      <c r="N100" s="151">
        <v>21</v>
      </c>
      <c r="O100" s="151">
        <v>0</v>
      </c>
      <c r="P100" s="152">
        <v>0</v>
      </c>
      <c r="Q100" s="153">
        <v>100</v>
      </c>
      <c r="R100" s="154">
        <v>1</v>
      </c>
      <c r="S100" s="38">
        <f t="shared" si="11"/>
        <v>2</v>
      </c>
      <c r="T100" s="39">
        <f t="shared" si="12"/>
        <v>8</v>
      </c>
      <c r="U100" s="40">
        <f t="shared" si="13"/>
        <v>0</v>
      </c>
      <c r="V100" s="40">
        <f t="shared" si="14"/>
        <v>0</v>
      </c>
      <c r="W100" s="40">
        <f t="shared" si="15"/>
        <v>0</v>
      </c>
      <c r="X100" s="40">
        <f t="shared" si="16"/>
        <v>0</v>
      </c>
      <c r="Y100" s="40">
        <f t="shared" si="17"/>
        <v>0</v>
      </c>
      <c r="Z100" s="40">
        <f t="shared" si="18"/>
        <v>0</v>
      </c>
      <c r="AA100" s="40">
        <f t="shared" si="19"/>
        <v>0</v>
      </c>
      <c r="AB100" s="40">
        <f t="shared" si="20"/>
        <v>0</v>
      </c>
      <c r="AC100" s="41">
        <f t="shared" si="21"/>
        <v>0</v>
      </c>
      <c r="AD100" s="49"/>
      <c r="AE100" s="50"/>
      <c r="AF100" s="49"/>
      <c r="AG100" s="50"/>
      <c r="AH100" s="49"/>
      <c r="AI100" s="50"/>
      <c r="AJ100" s="49"/>
      <c r="AK100" s="50"/>
      <c r="AL100" s="49"/>
      <c r="AM100" s="50"/>
      <c r="AN100" s="49"/>
      <c r="AO100" s="50"/>
      <c r="AP100" s="49"/>
      <c r="AQ100" s="50"/>
      <c r="AR100" s="49" t="s">
        <v>5</v>
      </c>
      <c r="AS100" s="50" t="s">
        <v>194</v>
      </c>
      <c r="AT100" s="49" t="s">
        <v>5</v>
      </c>
      <c r="AU100" s="50" t="s">
        <v>73</v>
      </c>
      <c r="AV100" s="49" t="s">
        <v>5</v>
      </c>
      <c r="AW100" s="50" t="s">
        <v>194</v>
      </c>
      <c r="AX100" s="49" t="s">
        <v>5</v>
      </c>
      <c r="AY100" s="50" t="s">
        <v>84</v>
      </c>
      <c r="AZ100" s="49" t="s">
        <v>5</v>
      </c>
      <c r="BA100" s="50" t="s">
        <v>76</v>
      </c>
      <c r="BB100" s="49"/>
      <c r="BC100" s="50"/>
      <c r="BD100" s="49"/>
      <c r="BE100" s="50"/>
      <c r="BF100" s="49"/>
      <c r="BG100" s="50"/>
      <c r="BH100" s="49" t="s">
        <v>1</v>
      </c>
      <c r="BI100" s="50" t="s">
        <v>136</v>
      </c>
      <c r="BJ100" s="49"/>
      <c r="BK100" s="50"/>
      <c r="BL100" s="49" t="s">
        <v>5</v>
      </c>
      <c r="BM100" s="50" t="s">
        <v>116</v>
      </c>
      <c r="BN100" s="49" t="s">
        <v>1</v>
      </c>
      <c r="BO100" s="50" t="s">
        <v>96</v>
      </c>
      <c r="BP100" s="49"/>
      <c r="BQ100" s="50"/>
      <c r="BR100" s="49"/>
      <c r="BS100" s="50"/>
      <c r="BT100" s="49"/>
      <c r="BU100" s="50"/>
      <c r="BV100" s="49" t="s">
        <v>5</v>
      </c>
      <c r="BW100" s="50" t="s">
        <v>82</v>
      </c>
      <c r="BX100" s="49" t="s">
        <v>5</v>
      </c>
      <c r="BY100" s="50" t="s">
        <v>137</v>
      </c>
      <c r="BZ100" s="49"/>
      <c r="CA100" s="50"/>
    </row>
    <row r="101" spans="1:79" x14ac:dyDescent="0.25">
      <c r="A101" s="76">
        <v>151905</v>
      </c>
      <c r="B101" s="77" t="s">
        <v>1058</v>
      </c>
      <c r="C101" s="78" t="s">
        <v>954</v>
      </c>
      <c r="D101" s="76" t="s">
        <v>70</v>
      </c>
      <c r="E101" s="79" t="s">
        <v>14</v>
      </c>
      <c r="F101" s="77" t="s">
        <v>150</v>
      </c>
      <c r="G101" s="79" t="s">
        <v>87</v>
      </c>
      <c r="H101" s="79" t="s">
        <v>14</v>
      </c>
      <c r="I101" s="78" t="s">
        <v>14</v>
      </c>
      <c r="J101" s="79" t="s">
        <v>14</v>
      </c>
      <c r="K101" s="142" t="s">
        <v>1850</v>
      </c>
      <c r="L101" s="149" t="s">
        <v>1842</v>
      </c>
      <c r="M101" s="150" t="s">
        <v>1853</v>
      </c>
      <c r="N101" s="151">
        <v>16</v>
      </c>
      <c r="O101" s="151">
        <v>0</v>
      </c>
      <c r="P101" s="152">
        <v>1</v>
      </c>
      <c r="Q101" s="153">
        <v>100</v>
      </c>
      <c r="R101" s="154">
        <v>6</v>
      </c>
      <c r="S101" s="38">
        <f t="shared" si="11"/>
        <v>2</v>
      </c>
      <c r="T101" s="39">
        <f t="shared" si="12"/>
        <v>7</v>
      </c>
      <c r="U101" s="40">
        <f t="shared" si="13"/>
        <v>1</v>
      </c>
      <c r="V101" s="40">
        <f t="shared" si="14"/>
        <v>0</v>
      </c>
      <c r="W101" s="40">
        <f t="shared" si="15"/>
        <v>0</v>
      </c>
      <c r="X101" s="40">
        <f t="shared" si="16"/>
        <v>1</v>
      </c>
      <c r="Y101" s="40">
        <f t="shared" si="17"/>
        <v>0</v>
      </c>
      <c r="Z101" s="40">
        <f t="shared" si="18"/>
        <v>0</v>
      </c>
      <c r="AA101" s="40">
        <f t="shared" si="19"/>
        <v>0</v>
      </c>
      <c r="AB101" s="40">
        <f t="shared" si="20"/>
        <v>0</v>
      </c>
      <c r="AC101" s="41">
        <f t="shared" si="21"/>
        <v>0</v>
      </c>
      <c r="AD101" s="49"/>
      <c r="AE101" s="50"/>
      <c r="AF101" s="49"/>
      <c r="AG101" s="50"/>
      <c r="AH101" s="49" t="s">
        <v>5</v>
      </c>
      <c r="AI101" s="50" t="s">
        <v>131</v>
      </c>
      <c r="AJ101" s="49"/>
      <c r="AK101" s="50"/>
      <c r="AL101" s="49"/>
      <c r="AM101" s="50"/>
      <c r="AN101" s="49"/>
      <c r="AO101" s="50"/>
      <c r="AP101" s="49"/>
      <c r="AQ101" s="50"/>
      <c r="AR101" s="49" t="s">
        <v>30</v>
      </c>
      <c r="AS101" s="50" t="s">
        <v>151</v>
      </c>
      <c r="AT101" s="49" t="s">
        <v>5</v>
      </c>
      <c r="AU101" s="50" t="s">
        <v>73</v>
      </c>
      <c r="AV101" s="49" t="s">
        <v>5</v>
      </c>
      <c r="AW101" s="50" t="s">
        <v>955</v>
      </c>
      <c r="AX101" s="49" t="s">
        <v>5</v>
      </c>
      <c r="AY101" s="50" t="s">
        <v>143</v>
      </c>
      <c r="AZ101" s="49" t="s">
        <v>5</v>
      </c>
      <c r="BA101" s="50" t="s">
        <v>92</v>
      </c>
      <c r="BB101" s="49"/>
      <c r="BC101" s="50"/>
      <c r="BD101" s="49"/>
      <c r="BE101" s="50"/>
      <c r="BF101" s="49"/>
      <c r="BG101" s="50"/>
      <c r="BH101" s="49" t="s">
        <v>1</v>
      </c>
      <c r="BI101" s="50" t="s">
        <v>94</v>
      </c>
      <c r="BJ101" s="49"/>
      <c r="BK101" s="50"/>
      <c r="BL101" s="49"/>
      <c r="BM101" s="50"/>
      <c r="BN101" s="49" t="s">
        <v>5</v>
      </c>
      <c r="BO101" s="50" t="s">
        <v>81</v>
      </c>
      <c r="BP101" s="49"/>
      <c r="BQ101" s="50"/>
      <c r="BR101" s="49"/>
      <c r="BS101" s="50"/>
      <c r="BT101" s="49"/>
      <c r="BU101" s="50"/>
      <c r="BV101" s="49" t="s">
        <v>1</v>
      </c>
      <c r="BW101" s="50" t="s">
        <v>715</v>
      </c>
      <c r="BX101" s="49" t="s">
        <v>5</v>
      </c>
      <c r="BY101" s="50" t="s">
        <v>137</v>
      </c>
      <c r="BZ101" s="49"/>
      <c r="CA101" s="50"/>
    </row>
    <row r="102" spans="1:79" x14ac:dyDescent="0.25">
      <c r="A102" s="76">
        <v>151910</v>
      </c>
      <c r="B102" s="77" t="s">
        <v>1059</v>
      </c>
      <c r="C102" s="78" t="s">
        <v>959</v>
      </c>
      <c r="D102" s="76" t="s">
        <v>70</v>
      </c>
      <c r="E102" s="79" t="s">
        <v>14</v>
      </c>
      <c r="F102" s="79" t="s">
        <v>150</v>
      </c>
      <c r="G102" s="79" t="s">
        <v>87</v>
      </c>
      <c r="H102" s="79" t="s">
        <v>14</v>
      </c>
      <c r="I102" s="78" t="s">
        <v>14</v>
      </c>
      <c r="J102" s="79" t="s">
        <v>14</v>
      </c>
      <c r="K102" s="142" t="s">
        <v>1850</v>
      </c>
      <c r="L102" s="149" t="s">
        <v>1844</v>
      </c>
      <c r="M102" s="150" t="s">
        <v>12</v>
      </c>
      <c r="N102" s="151">
        <v>13</v>
      </c>
      <c r="O102" s="151">
        <v>0</v>
      </c>
      <c r="P102" s="152">
        <v>1</v>
      </c>
      <c r="Q102" s="153">
        <v>100</v>
      </c>
      <c r="R102" s="154">
        <v>7</v>
      </c>
      <c r="S102" s="38">
        <f t="shared" si="11"/>
        <v>0</v>
      </c>
      <c r="T102" s="39">
        <f t="shared" si="12"/>
        <v>10</v>
      </c>
      <c r="U102" s="40">
        <f t="shared" si="13"/>
        <v>1</v>
      </c>
      <c r="V102" s="40">
        <f t="shared" si="14"/>
        <v>0</v>
      </c>
      <c r="W102" s="40">
        <f t="shared" si="15"/>
        <v>0</v>
      </c>
      <c r="X102" s="40">
        <f t="shared" si="16"/>
        <v>1</v>
      </c>
      <c r="Y102" s="40">
        <f t="shared" si="17"/>
        <v>0</v>
      </c>
      <c r="Z102" s="40">
        <f t="shared" si="18"/>
        <v>0</v>
      </c>
      <c r="AA102" s="40">
        <f t="shared" si="19"/>
        <v>0</v>
      </c>
      <c r="AB102" s="40">
        <f t="shared" si="20"/>
        <v>0</v>
      </c>
      <c r="AC102" s="41">
        <f t="shared" si="21"/>
        <v>0</v>
      </c>
      <c r="AD102" s="49"/>
      <c r="AE102" s="50"/>
      <c r="AF102" s="49" t="s">
        <v>5</v>
      </c>
      <c r="AG102" s="50" t="s">
        <v>154</v>
      </c>
      <c r="AH102" s="49"/>
      <c r="AI102" s="50"/>
      <c r="AJ102" s="49" t="s">
        <v>5</v>
      </c>
      <c r="AK102" s="50" t="s">
        <v>714</v>
      </c>
      <c r="AL102" s="49"/>
      <c r="AM102" s="50"/>
      <c r="AN102" s="49"/>
      <c r="AO102" s="50"/>
      <c r="AP102" s="49"/>
      <c r="AQ102" s="50"/>
      <c r="AR102" s="49" t="s">
        <v>5</v>
      </c>
      <c r="AS102" s="50" t="s">
        <v>142</v>
      </c>
      <c r="AT102" s="49" t="s">
        <v>5</v>
      </c>
      <c r="AU102" s="50" t="s">
        <v>73</v>
      </c>
      <c r="AV102" s="49" t="s">
        <v>5</v>
      </c>
      <c r="AW102" s="50" t="s">
        <v>194</v>
      </c>
      <c r="AX102" s="49" t="s">
        <v>5</v>
      </c>
      <c r="AY102" s="50" t="s">
        <v>103</v>
      </c>
      <c r="AZ102" s="49"/>
      <c r="BA102" s="50"/>
      <c r="BB102" s="49" t="s">
        <v>30</v>
      </c>
      <c r="BC102" s="50" t="s">
        <v>425</v>
      </c>
      <c r="BD102" s="49"/>
      <c r="BE102" s="50"/>
      <c r="BF102" s="49"/>
      <c r="BG102" s="50"/>
      <c r="BH102" s="49" t="s">
        <v>5</v>
      </c>
      <c r="BI102" s="50" t="s">
        <v>112</v>
      </c>
      <c r="BJ102" s="49"/>
      <c r="BK102" s="50"/>
      <c r="BL102" s="49"/>
      <c r="BM102" s="50"/>
      <c r="BN102" s="49" t="s">
        <v>5</v>
      </c>
      <c r="BO102" s="50" t="s">
        <v>81</v>
      </c>
      <c r="BP102" s="49"/>
      <c r="BQ102" s="50"/>
      <c r="BR102" s="49" t="s">
        <v>5</v>
      </c>
      <c r="BS102" s="50" t="s">
        <v>140</v>
      </c>
      <c r="BT102" s="49"/>
      <c r="BU102" s="50"/>
      <c r="BV102" s="49" t="s">
        <v>5</v>
      </c>
      <c r="BW102" s="50" t="s">
        <v>82</v>
      </c>
      <c r="BX102" s="49"/>
      <c r="BY102" s="50"/>
      <c r="BZ102" s="49"/>
      <c r="CA102" s="50"/>
    </row>
    <row r="103" spans="1:79" x14ac:dyDescent="0.25">
      <c r="A103" s="76">
        <v>151883</v>
      </c>
      <c r="B103" s="77" t="s">
        <v>1060</v>
      </c>
      <c r="C103" s="78" t="s">
        <v>950</v>
      </c>
      <c r="D103" s="76" t="s">
        <v>12</v>
      </c>
      <c r="E103" s="79" t="s">
        <v>14</v>
      </c>
      <c r="F103" s="79" t="s">
        <v>71</v>
      </c>
      <c r="G103" s="79" t="s">
        <v>14</v>
      </c>
      <c r="H103" s="79" t="s">
        <v>14</v>
      </c>
      <c r="I103" s="78" t="s">
        <v>14</v>
      </c>
      <c r="J103" s="79" t="s">
        <v>14</v>
      </c>
      <c r="K103" s="142" t="s">
        <v>1850</v>
      </c>
      <c r="L103" s="149" t="s">
        <v>1844</v>
      </c>
      <c r="M103" s="150" t="s">
        <v>12</v>
      </c>
      <c r="N103" s="151">
        <v>18</v>
      </c>
      <c r="O103" s="151">
        <v>7</v>
      </c>
      <c r="P103" s="152">
        <v>1</v>
      </c>
      <c r="Q103" s="153">
        <v>91.3</v>
      </c>
      <c r="R103" s="154">
        <v>8</v>
      </c>
      <c r="S103" s="38">
        <f t="shared" si="11"/>
        <v>1</v>
      </c>
      <c r="T103" s="39">
        <f t="shared" si="12"/>
        <v>3</v>
      </c>
      <c r="U103" s="40">
        <f t="shared" si="13"/>
        <v>6</v>
      </c>
      <c r="V103" s="40">
        <f t="shared" si="14"/>
        <v>1</v>
      </c>
      <c r="W103" s="40">
        <f t="shared" si="15"/>
        <v>0</v>
      </c>
      <c r="X103" s="40">
        <f t="shared" si="16"/>
        <v>7</v>
      </c>
      <c r="Y103" s="40">
        <f t="shared" si="17"/>
        <v>0</v>
      </c>
      <c r="Z103" s="40">
        <f t="shared" si="18"/>
        <v>0</v>
      </c>
      <c r="AA103" s="40">
        <f t="shared" si="19"/>
        <v>0</v>
      </c>
      <c r="AB103" s="40">
        <f t="shared" si="20"/>
        <v>0</v>
      </c>
      <c r="AC103" s="41">
        <f t="shared" si="21"/>
        <v>0</v>
      </c>
      <c r="AD103" s="49"/>
      <c r="AE103" s="50"/>
      <c r="AF103" s="49" t="s">
        <v>30</v>
      </c>
      <c r="AG103" s="50" t="s">
        <v>154</v>
      </c>
      <c r="AH103" s="49"/>
      <c r="AI103" s="50"/>
      <c r="AJ103" s="49" t="s">
        <v>30</v>
      </c>
      <c r="AK103" s="50" t="s">
        <v>83</v>
      </c>
      <c r="AL103" s="49"/>
      <c r="AM103" s="50"/>
      <c r="AN103" s="49"/>
      <c r="AO103" s="50"/>
      <c r="AP103" s="49"/>
      <c r="AQ103" s="50"/>
      <c r="AR103" s="49" t="s">
        <v>30</v>
      </c>
      <c r="AS103" s="50" t="s">
        <v>722</v>
      </c>
      <c r="AT103" s="49"/>
      <c r="AU103" s="50"/>
      <c r="AV103" s="49" t="s">
        <v>30</v>
      </c>
      <c r="AW103" s="50" t="s">
        <v>96</v>
      </c>
      <c r="AX103" s="49" t="s">
        <v>30</v>
      </c>
      <c r="AY103" s="50" t="s">
        <v>84</v>
      </c>
      <c r="AZ103" s="49"/>
      <c r="BA103" s="50"/>
      <c r="BB103" s="49"/>
      <c r="BC103" s="50"/>
      <c r="BD103" s="49" t="s">
        <v>5</v>
      </c>
      <c r="BE103" s="50" t="s">
        <v>132</v>
      </c>
      <c r="BF103" s="49"/>
      <c r="BG103" s="50"/>
      <c r="BH103" s="49" t="s">
        <v>5</v>
      </c>
      <c r="BI103" s="50" t="s">
        <v>422</v>
      </c>
      <c r="BJ103" s="49"/>
      <c r="BK103" s="50"/>
      <c r="BL103" s="49"/>
      <c r="BM103" s="50"/>
      <c r="BN103" s="49" t="s">
        <v>1</v>
      </c>
      <c r="BO103" s="50" t="s">
        <v>96</v>
      </c>
      <c r="BP103" s="49" t="s">
        <v>30</v>
      </c>
      <c r="BQ103" s="50" t="s">
        <v>107</v>
      </c>
      <c r="BR103" s="49" t="s">
        <v>5</v>
      </c>
      <c r="BS103" s="50" t="s">
        <v>98</v>
      </c>
      <c r="BT103" s="49"/>
      <c r="BU103" s="50"/>
      <c r="BV103" s="49" t="s">
        <v>31</v>
      </c>
      <c r="BW103" s="50" t="s">
        <v>715</v>
      </c>
      <c r="BX103" s="49"/>
      <c r="BY103" s="50"/>
      <c r="BZ103" s="49"/>
      <c r="CA103" s="50"/>
    </row>
    <row r="104" spans="1:79" x14ac:dyDescent="0.25">
      <c r="A104" s="76">
        <v>151812</v>
      </c>
      <c r="B104" s="77" t="s">
        <v>1061</v>
      </c>
      <c r="C104" s="78" t="s">
        <v>961</v>
      </c>
      <c r="D104" s="76" t="s">
        <v>70</v>
      </c>
      <c r="E104" s="79" t="s">
        <v>14</v>
      </c>
      <c r="F104" s="79" t="s">
        <v>146</v>
      </c>
      <c r="G104" s="79" t="s">
        <v>14</v>
      </c>
      <c r="H104" s="79" t="s">
        <v>14</v>
      </c>
      <c r="I104" s="78" t="s">
        <v>14</v>
      </c>
      <c r="J104" s="79" t="s">
        <v>14</v>
      </c>
      <c r="K104" s="142" t="s">
        <v>1850</v>
      </c>
      <c r="L104" s="149" t="s">
        <v>1841</v>
      </c>
      <c r="M104" s="150" t="s">
        <v>1853</v>
      </c>
      <c r="N104" s="151">
        <v>14</v>
      </c>
      <c r="O104" s="151">
        <v>0</v>
      </c>
      <c r="P104" s="152">
        <v>0</v>
      </c>
      <c r="Q104" s="153">
        <v>100</v>
      </c>
      <c r="R104" s="154">
        <v>0</v>
      </c>
      <c r="S104" s="38">
        <f t="shared" si="11"/>
        <v>5</v>
      </c>
      <c r="T104" s="39">
        <f t="shared" si="12"/>
        <v>6</v>
      </c>
      <c r="U104" s="40">
        <f t="shared" si="13"/>
        <v>0</v>
      </c>
      <c r="V104" s="40">
        <f t="shared" si="14"/>
        <v>0</v>
      </c>
      <c r="W104" s="40">
        <f t="shared" si="15"/>
        <v>0</v>
      </c>
      <c r="X104" s="40">
        <f t="shared" si="16"/>
        <v>0</v>
      </c>
      <c r="Y104" s="40">
        <f t="shared" si="17"/>
        <v>0</v>
      </c>
      <c r="Z104" s="40">
        <f t="shared" si="18"/>
        <v>0</v>
      </c>
      <c r="AA104" s="40">
        <f t="shared" si="19"/>
        <v>0</v>
      </c>
      <c r="AB104" s="40">
        <f t="shared" si="20"/>
        <v>0</v>
      </c>
      <c r="AC104" s="41">
        <f t="shared" si="21"/>
        <v>0</v>
      </c>
      <c r="AD104" s="49"/>
      <c r="AE104" s="50"/>
      <c r="AF104" s="49" t="s">
        <v>1</v>
      </c>
      <c r="AG104" s="50" t="s">
        <v>433</v>
      </c>
      <c r="AH104" s="49"/>
      <c r="AI104" s="50"/>
      <c r="AJ104" s="49" t="s">
        <v>5</v>
      </c>
      <c r="AK104" s="50" t="s">
        <v>419</v>
      </c>
      <c r="AL104" s="49"/>
      <c r="AM104" s="50"/>
      <c r="AN104" s="49" t="s">
        <v>1</v>
      </c>
      <c r="AO104" s="50" t="s">
        <v>163</v>
      </c>
      <c r="AP104" s="49"/>
      <c r="AQ104" s="50"/>
      <c r="AR104" s="49" t="s">
        <v>1</v>
      </c>
      <c r="AS104" s="50" t="s">
        <v>169</v>
      </c>
      <c r="AT104" s="49"/>
      <c r="AU104" s="50"/>
      <c r="AV104" s="49" t="s">
        <v>5</v>
      </c>
      <c r="AW104" s="50" t="s">
        <v>139</v>
      </c>
      <c r="AX104" s="49"/>
      <c r="AY104" s="50"/>
      <c r="AZ104" s="49" t="s">
        <v>5</v>
      </c>
      <c r="BA104" s="50" t="s">
        <v>76</v>
      </c>
      <c r="BB104" s="49"/>
      <c r="BC104" s="50"/>
      <c r="BD104" s="49"/>
      <c r="BE104" s="50"/>
      <c r="BF104" s="49"/>
      <c r="BG104" s="50"/>
      <c r="BH104" s="49" t="s">
        <v>5</v>
      </c>
      <c r="BI104" s="50" t="s">
        <v>711</v>
      </c>
      <c r="BJ104" s="49"/>
      <c r="BK104" s="50"/>
      <c r="BL104" s="49"/>
      <c r="BM104" s="50"/>
      <c r="BN104" s="49" t="s">
        <v>1</v>
      </c>
      <c r="BO104" s="50" t="s">
        <v>152</v>
      </c>
      <c r="BP104" s="49"/>
      <c r="BQ104" s="50"/>
      <c r="BR104" s="49" t="s">
        <v>5</v>
      </c>
      <c r="BS104" s="50" t="s">
        <v>140</v>
      </c>
      <c r="BT104" s="49"/>
      <c r="BU104" s="50"/>
      <c r="BV104" s="49" t="s">
        <v>1</v>
      </c>
      <c r="BW104" s="50" t="s">
        <v>132</v>
      </c>
      <c r="BX104" s="49"/>
      <c r="BY104" s="50"/>
      <c r="BZ104" s="49" t="s">
        <v>5</v>
      </c>
      <c r="CA104" s="50" t="s">
        <v>75</v>
      </c>
    </row>
    <row r="105" spans="1:79" x14ac:dyDescent="0.25">
      <c r="A105" s="76">
        <v>151964</v>
      </c>
      <c r="B105" s="77" t="s">
        <v>1062</v>
      </c>
      <c r="C105" s="78" t="s">
        <v>950</v>
      </c>
      <c r="D105" s="76" t="s">
        <v>12</v>
      </c>
      <c r="E105" s="79" t="s">
        <v>87</v>
      </c>
      <c r="F105" s="79" t="s">
        <v>71</v>
      </c>
      <c r="G105" s="79" t="s">
        <v>14</v>
      </c>
      <c r="H105" s="79" t="s">
        <v>87</v>
      </c>
      <c r="I105" s="78" t="s">
        <v>14</v>
      </c>
      <c r="J105" s="79" t="s">
        <v>14</v>
      </c>
      <c r="K105" s="142" t="s">
        <v>1850</v>
      </c>
      <c r="L105" s="149" t="s">
        <v>1842</v>
      </c>
      <c r="M105" s="150" t="s">
        <v>12</v>
      </c>
      <c r="N105" s="151">
        <v>1</v>
      </c>
      <c r="O105" s="151">
        <v>0</v>
      </c>
      <c r="P105" s="152">
        <v>0</v>
      </c>
      <c r="Q105" s="153">
        <v>2.17</v>
      </c>
      <c r="R105" s="154">
        <v>0</v>
      </c>
      <c r="S105" s="38">
        <f t="shared" si="11"/>
        <v>0</v>
      </c>
      <c r="T105" s="39">
        <f t="shared" si="12"/>
        <v>3</v>
      </c>
      <c r="U105" s="40">
        <f t="shared" si="13"/>
        <v>0</v>
      </c>
      <c r="V105" s="40">
        <f t="shared" si="14"/>
        <v>0</v>
      </c>
      <c r="W105" s="40">
        <f t="shared" si="15"/>
        <v>0</v>
      </c>
      <c r="X105" s="40">
        <f t="shared" si="16"/>
        <v>0</v>
      </c>
      <c r="Y105" s="40">
        <f t="shared" si="17"/>
        <v>0</v>
      </c>
      <c r="Z105" s="40">
        <f t="shared" si="18"/>
        <v>0</v>
      </c>
      <c r="AA105" s="40">
        <f t="shared" si="19"/>
        <v>0</v>
      </c>
      <c r="AB105" s="40">
        <f t="shared" si="20"/>
        <v>0</v>
      </c>
      <c r="AC105" s="41">
        <f t="shared" si="21"/>
        <v>0</v>
      </c>
      <c r="AD105" s="49"/>
      <c r="AE105" s="50"/>
      <c r="AF105" s="49"/>
      <c r="AG105" s="50"/>
      <c r="AH105" s="49"/>
      <c r="AI105" s="50"/>
      <c r="AJ105" s="49"/>
      <c r="AK105" s="50"/>
      <c r="AL105" s="49"/>
      <c r="AM105" s="50"/>
      <c r="AN105" s="49"/>
      <c r="AO105" s="50"/>
      <c r="AP105" s="49"/>
      <c r="AQ105" s="50"/>
      <c r="AR105" s="49"/>
      <c r="AS105" s="50" t="s">
        <v>194</v>
      </c>
      <c r="AT105" s="49" t="s">
        <v>5</v>
      </c>
      <c r="AU105" s="50" t="s">
        <v>73</v>
      </c>
      <c r="AV105" s="49" t="s">
        <v>189</v>
      </c>
      <c r="AW105" s="50" t="s">
        <v>96</v>
      </c>
      <c r="AX105" s="49" t="s">
        <v>189</v>
      </c>
      <c r="AY105" s="50" t="s">
        <v>84</v>
      </c>
      <c r="AZ105" s="49" t="s">
        <v>5</v>
      </c>
      <c r="BA105" s="50" t="s">
        <v>92</v>
      </c>
      <c r="BB105" s="49"/>
      <c r="BC105" s="50"/>
      <c r="BD105" s="49"/>
      <c r="BE105" s="50"/>
      <c r="BF105" s="49"/>
      <c r="BG105" s="50"/>
      <c r="BH105" s="49" t="s">
        <v>189</v>
      </c>
      <c r="BI105" s="50" t="s">
        <v>505</v>
      </c>
      <c r="BJ105" s="49"/>
      <c r="BK105" s="50"/>
      <c r="BL105" s="49"/>
      <c r="BM105" s="50"/>
      <c r="BN105" s="49"/>
      <c r="BO105" s="50" t="s">
        <v>107</v>
      </c>
      <c r="BP105" s="49"/>
      <c r="BQ105" s="50"/>
      <c r="BR105" s="49"/>
      <c r="BS105" s="50"/>
      <c r="BT105" s="49" t="s">
        <v>189</v>
      </c>
      <c r="BU105" s="50" t="s">
        <v>90</v>
      </c>
      <c r="BV105" s="49"/>
      <c r="BW105" s="50" t="s">
        <v>457</v>
      </c>
      <c r="BX105" s="49" t="s">
        <v>5</v>
      </c>
      <c r="BY105" s="50" t="s">
        <v>133</v>
      </c>
      <c r="BZ105" s="49"/>
      <c r="CA105" s="50"/>
    </row>
    <row r="106" spans="1:79" x14ac:dyDescent="0.25">
      <c r="A106" s="76">
        <v>151849</v>
      </c>
      <c r="B106" s="77" t="s">
        <v>1063</v>
      </c>
      <c r="C106" s="78" t="s">
        <v>963</v>
      </c>
      <c r="D106" s="76" t="s">
        <v>12</v>
      </c>
      <c r="E106" s="79" t="s">
        <v>14</v>
      </c>
      <c r="F106" s="77" t="s">
        <v>150</v>
      </c>
      <c r="G106" s="79" t="s">
        <v>14</v>
      </c>
      <c r="H106" s="79" t="s">
        <v>14</v>
      </c>
      <c r="I106" s="78" t="s">
        <v>14</v>
      </c>
      <c r="J106" s="79" t="s">
        <v>6</v>
      </c>
      <c r="K106" s="142" t="s">
        <v>1851</v>
      </c>
      <c r="L106" s="149" t="s">
        <v>1843</v>
      </c>
      <c r="M106" s="150" t="s">
        <v>1852</v>
      </c>
      <c r="N106" s="151">
        <v>21</v>
      </c>
      <c r="O106" s="151">
        <v>1</v>
      </c>
      <c r="P106" s="152">
        <v>0</v>
      </c>
      <c r="Q106" s="153">
        <v>91.3</v>
      </c>
      <c r="R106" s="154">
        <v>0</v>
      </c>
      <c r="S106" s="38">
        <f t="shared" si="11"/>
        <v>1</v>
      </c>
      <c r="T106" s="39">
        <f t="shared" si="12"/>
        <v>8</v>
      </c>
      <c r="U106" s="40">
        <f t="shared" si="13"/>
        <v>0</v>
      </c>
      <c r="V106" s="40">
        <f t="shared" si="14"/>
        <v>0</v>
      </c>
      <c r="W106" s="40">
        <f t="shared" si="15"/>
        <v>0</v>
      </c>
      <c r="X106" s="40">
        <f t="shared" si="16"/>
        <v>0</v>
      </c>
      <c r="Y106" s="40">
        <f t="shared" si="17"/>
        <v>0</v>
      </c>
      <c r="Z106" s="40">
        <f t="shared" si="18"/>
        <v>0</v>
      </c>
      <c r="AA106" s="40">
        <f t="shared" si="19"/>
        <v>0</v>
      </c>
      <c r="AB106" s="40">
        <f t="shared" si="20"/>
        <v>0</v>
      </c>
      <c r="AC106" s="41">
        <f t="shared" si="21"/>
        <v>0</v>
      </c>
      <c r="AD106" s="49"/>
      <c r="AE106" s="50"/>
      <c r="AF106" s="49"/>
      <c r="AG106" s="50"/>
      <c r="AH106" s="49"/>
      <c r="AI106" s="50"/>
      <c r="AJ106" s="49"/>
      <c r="AK106" s="50"/>
      <c r="AL106" s="49"/>
      <c r="AM106" s="50"/>
      <c r="AN106" s="49"/>
      <c r="AO106" s="50"/>
      <c r="AP106" s="49"/>
      <c r="AQ106" s="50"/>
      <c r="AR106" s="49" t="s">
        <v>5</v>
      </c>
      <c r="AS106" s="50" t="s">
        <v>91</v>
      </c>
      <c r="AT106" s="49"/>
      <c r="AU106" s="50"/>
      <c r="AV106" s="49" t="s">
        <v>5</v>
      </c>
      <c r="AW106" s="50" t="s">
        <v>130</v>
      </c>
      <c r="AX106" s="49" t="s">
        <v>5</v>
      </c>
      <c r="AY106" s="50" t="s">
        <v>143</v>
      </c>
      <c r="AZ106" s="49" t="s">
        <v>5</v>
      </c>
      <c r="BA106" s="50" t="s">
        <v>76</v>
      </c>
      <c r="BB106" s="49"/>
      <c r="BC106" s="50"/>
      <c r="BD106" s="49"/>
      <c r="BE106" s="50"/>
      <c r="BF106" s="49"/>
      <c r="BG106" s="50"/>
      <c r="BH106" s="49" t="s">
        <v>5</v>
      </c>
      <c r="BI106" s="50" t="s">
        <v>505</v>
      </c>
      <c r="BJ106" s="49"/>
      <c r="BK106" s="50"/>
      <c r="BL106" s="49" t="s">
        <v>5</v>
      </c>
      <c r="BM106" s="50" t="s">
        <v>116</v>
      </c>
      <c r="BN106" s="49" t="s">
        <v>1</v>
      </c>
      <c r="BO106" s="50" t="s">
        <v>96</v>
      </c>
      <c r="BP106" s="49"/>
      <c r="BQ106" s="50"/>
      <c r="BR106" s="49"/>
      <c r="BS106" s="50"/>
      <c r="BT106" s="49"/>
      <c r="BU106" s="50"/>
      <c r="BV106" s="49" t="s">
        <v>5</v>
      </c>
      <c r="BW106" s="50" t="s">
        <v>457</v>
      </c>
      <c r="BX106" s="49" t="s">
        <v>5</v>
      </c>
      <c r="BY106" s="50" t="s">
        <v>133</v>
      </c>
      <c r="BZ106" s="49"/>
      <c r="CA106" s="50"/>
    </row>
    <row r="107" spans="1:79" x14ac:dyDescent="0.25">
      <c r="A107" s="76">
        <v>151878</v>
      </c>
      <c r="B107" s="77" t="s">
        <v>1064</v>
      </c>
      <c r="C107" s="78" t="s">
        <v>959</v>
      </c>
      <c r="D107" s="76" t="s">
        <v>12</v>
      </c>
      <c r="E107" s="79" t="s">
        <v>14</v>
      </c>
      <c r="F107" s="79" t="s">
        <v>218</v>
      </c>
      <c r="G107" s="79" t="s">
        <v>87</v>
      </c>
      <c r="H107" s="79" t="s">
        <v>14</v>
      </c>
      <c r="I107" s="78" t="s">
        <v>14</v>
      </c>
      <c r="J107" s="79" t="s">
        <v>14</v>
      </c>
      <c r="K107" s="142" t="s">
        <v>1850</v>
      </c>
      <c r="L107" s="149" t="s">
        <v>1844</v>
      </c>
      <c r="M107" s="150" t="s">
        <v>12</v>
      </c>
      <c r="N107" s="151">
        <v>26</v>
      </c>
      <c r="O107" s="151">
        <v>0</v>
      </c>
      <c r="P107" s="152">
        <v>0</v>
      </c>
      <c r="Q107" s="153">
        <v>100</v>
      </c>
      <c r="R107" s="154">
        <v>0</v>
      </c>
      <c r="S107" s="38">
        <f t="shared" si="11"/>
        <v>2</v>
      </c>
      <c r="T107" s="39">
        <f t="shared" si="12"/>
        <v>9</v>
      </c>
      <c r="U107" s="40">
        <f t="shared" si="13"/>
        <v>0</v>
      </c>
      <c r="V107" s="40">
        <f t="shared" si="14"/>
        <v>0</v>
      </c>
      <c r="W107" s="40">
        <f t="shared" si="15"/>
        <v>0</v>
      </c>
      <c r="X107" s="40">
        <f t="shared" si="16"/>
        <v>0</v>
      </c>
      <c r="Y107" s="40">
        <f t="shared" si="17"/>
        <v>0</v>
      </c>
      <c r="Z107" s="40">
        <f t="shared" si="18"/>
        <v>0</v>
      </c>
      <c r="AA107" s="40">
        <f t="shared" si="19"/>
        <v>0</v>
      </c>
      <c r="AB107" s="40">
        <f t="shared" si="20"/>
        <v>0</v>
      </c>
      <c r="AC107" s="41">
        <f t="shared" si="21"/>
        <v>0</v>
      </c>
      <c r="AD107" s="49" t="s">
        <v>5</v>
      </c>
      <c r="AE107" s="50" t="s">
        <v>72</v>
      </c>
      <c r="AF107" s="49" t="s">
        <v>5</v>
      </c>
      <c r="AG107" s="50" t="s">
        <v>438</v>
      </c>
      <c r="AH107" s="49"/>
      <c r="AI107" s="50"/>
      <c r="AJ107" s="49" t="s">
        <v>5</v>
      </c>
      <c r="AK107" s="50" t="s">
        <v>83</v>
      </c>
      <c r="AL107" s="49"/>
      <c r="AM107" s="50"/>
      <c r="AN107" s="49" t="s">
        <v>5</v>
      </c>
      <c r="AO107" s="50" t="s">
        <v>163</v>
      </c>
      <c r="AP107" s="49"/>
      <c r="AQ107" s="50"/>
      <c r="AR107" s="49" t="s">
        <v>5</v>
      </c>
      <c r="AS107" s="50" t="s">
        <v>102</v>
      </c>
      <c r="AT107" s="49"/>
      <c r="AU107" s="50"/>
      <c r="AV107" s="49" t="s">
        <v>5</v>
      </c>
      <c r="AW107" s="50" t="s">
        <v>194</v>
      </c>
      <c r="AX107" s="49" t="s">
        <v>5</v>
      </c>
      <c r="AY107" s="50" t="s">
        <v>84</v>
      </c>
      <c r="AZ107" s="49"/>
      <c r="BA107" s="50"/>
      <c r="BB107" s="49"/>
      <c r="BC107" s="50"/>
      <c r="BD107" s="49"/>
      <c r="BE107" s="50"/>
      <c r="BF107" s="49"/>
      <c r="BG107" s="50"/>
      <c r="BH107" s="49" t="s">
        <v>1</v>
      </c>
      <c r="BI107" s="50" t="s">
        <v>106</v>
      </c>
      <c r="BJ107" s="49"/>
      <c r="BK107" s="50"/>
      <c r="BL107" s="49"/>
      <c r="BM107" s="50"/>
      <c r="BN107" s="49" t="s">
        <v>1</v>
      </c>
      <c r="BO107" s="50" t="s">
        <v>96</v>
      </c>
      <c r="BP107" s="49"/>
      <c r="BQ107" s="50"/>
      <c r="BR107" s="49" t="s">
        <v>5</v>
      </c>
      <c r="BS107" s="50" t="s">
        <v>123</v>
      </c>
      <c r="BT107" s="49"/>
      <c r="BU107" s="50"/>
      <c r="BV107" s="49" t="s">
        <v>5</v>
      </c>
      <c r="BW107" s="50" t="s">
        <v>97</v>
      </c>
      <c r="BX107" s="49"/>
      <c r="BY107" s="50"/>
      <c r="BZ107" s="49"/>
      <c r="CA107" s="50"/>
    </row>
    <row r="108" spans="1:79" x14ac:dyDescent="0.25">
      <c r="A108" s="76">
        <v>151846</v>
      </c>
      <c r="B108" s="77" t="s">
        <v>1065</v>
      </c>
      <c r="C108" s="78" t="s">
        <v>950</v>
      </c>
      <c r="D108" s="76" t="s">
        <v>70</v>
      </c>
      <c r="E108" s="79" t="s">
        <v>14</v>
      </c>
      <c r="F108" s="79" t="s">
        <v>71</v>
      </c>
      <c r="G108" s="79" t="s">
        <v>14</v>
      </c>
      <c r="H108" s="79" t="s">
        <v>14</v>
      </c>
      <c r="I108" s="78" t="s">
        <v>14</v>
      </c>
      <c r="J108" s="79" t="s">
        <v>14</v>
      </c>
      <c r="K108" s="142" t="s">
        <v>1850</v>
      </c>
      <c r="L108" s="149" t="s">
        <v>1842</v>
      </c>
      <c r="M108" s="150" t="s">
        <v>1853</v>
      </c>
      <c r="N108" s="151">
        <v>27</v>
      </c>
      <c r="O108" s="151">
        <v>1</v>
      </c>
      <c r="P108" s="152">
        <v>0</v>
      </c>
      <c r="Q108" s="153">
        <v>100</v>
      </c>
      <c r="R108" s="154">
        <v>5</v>
      </c>
      <c r="S108" s="38">
        <f t="shared" si="11"/>
        <v>2</v>
      </c>
      <c r="T108" s="39">
        <f t="shared" si="12"/>
        <v>7</v>
      </c>
      <c r="U108" s="40">
        <f t="shared" si="13"/>
        <v>1</v>
      </c>
      <c r="V108" s="40">
        <f t="shared" si="14"/>
        <v>0</v>
      </c>
      <c r="W108" s="40">
        <f t="shared" si="15"/>
        <v>0</v>
      </c>
      <c r="X108" s="40">
        <f t="shared" si="16"/>
        <v>1</v>
      </c>
      <c r="Y108" s="40">
        <f t="shared" si="17"/>
        <v>0</v>
      </c>
      <c r="Z108" s="40">
        <f t="shared" si="18"/>
        <v>0</v>
      </c>
      <c r="AA108" s="40">
        <f t="shared" si="19"/>
        <v>0</v>
      </c>
      <c r="AB108" s="40">
        <f t="shared" si="20"/>
        <v>0</v>
      </c>
      <c r="AC108" s="41">
        <f t="shared" si="21"/>
        <v>0</v>
      </c>
      <c r="AD108" s="49"/>
      <c r="AE108" s="50"/>
      <c r="AF108" s="49"/>
      <c r="AG108" s="50"/>
      <c r="AH108" s="49"/>
      <c r="AI108" s="50"/>
      <c r="AJ108" s="49"/>
      <c r="AK108" s="50"/>
      <c r="AL108" s="49"/>
      <c r="AM108" s="50"/>
      <c r="AN108" s="49"/>
      <c r="AO108" s="50"/>
      <c r="AP108" s="49" t="s">
        <v>5</v>
      </c>
      <c r="AQ108" s="50" t="s">
        <v>101</v>
      </c>
      <c r="AR108" s="49" t="s">
        <v>5</v>
      </c>
      <c r="AS108" s="50" t="s">
        <v>722</v>
      </c>
      <c r="AT108" s="49"/>
      <c r="AU108" s="50"/>
      <c r="AV108" s="49" t="s">
        <v>1</v>
      </c>
      <c r="AW108" s="50" t="s">
        <v>96</v>
      </c>
      <c r="AX108" s="49" t="s">
        <v>5</v>
      </c>
      <c r="AY108" s="50" t="s">
        <v>143</v>
      </c>
      <c r="AZ108" s="49" t="s">
        <v>5</v>
      </c>
      <c r="BA108" s="50" t="s">
        <v>76</v>
      </c>
      <c r="BB108" s="49"/>
      <c r="BC108" s="50"/>
      <c r="BD108" s="49"/>
      <c r="BE108" s="50"/>
      <c r="BF108" s="49"/>
      <c r="BG108" s="50"/>
      <c r="BH108" s="49" t="s">
        <v>5</v>
      </c>
      <c r="BI108" s="50" t="s">
        <v>106</v>
      </c>
      <c r="BJ108" s="49"/>
      <c r="BK108" s="50"/>
      <c r="BL108" s="49" t="s">
        <v>5</v>
      </c>
      <c r="BM108" s="50" t="s">
        <v>116</v>
      </c>
      <c r="BN108" s="49" t="s">
        <v>30</v>
      </c>
      <c r="BO108" s="50" t="s">
        <v>152</v>
      </c>
      <c r="BP108" s="49"/>
      <c r="BQ108" s="50"/>
      <c r="BR108" s="49"/>
      <c r="BS108" s="50"/>
      <c r="BT108" s="49"/>
      <c r="BU108" s="50"/>
      <c r="BV108" s="49" t="s">
        <v>1</v>
      </c>
      <c r="BW108" s="50" t="s">
        <v>715</v>
      </c>
      <c r="BX108" s="49" t="s">
        <v>5</v>
      </c>
      <c r="BY108" s="50" t="s">
        <v>137</v>
      </c>
      <c r="BZ108" s="49"/>
      <c r="CA108" s="50"/>
    </row>
    <row r="109" spans="1:79" x14ac:dyDescent="0.25">
      <c r="A109" s="76">
        <v>151815</v>
      </c>
      <c r="B109" s="77" t="s">
        <v>1066</v>
      </c>
      <c r="C109" s="78" t="s">
        <v>970</v>
      </c>
      <c r="D109" s="76" t="s">
        <v>70</v>
      </c>
      <c r="E109" s="79" t="s">
        <v>14</v>
      </c>
      <c r="F109" s="79" t="s">
        <v>71</v>
      </c>
      <c r="G109" s="79" t="s">
        <v>14</v>
      </c>
      <c r="H109" s="79" t="s">
        <v>14</v>
      </c>
      <c r="I109" s="78" t="s">
        <v>14</v>
      </c>
      <c r="J109" s="79" t="s">
        <v>14</v>
      </c>
      <c r="K109" s="142" t="s">
        <v>1850</v>
      </c>
      <c r="L109" s="149" t="s">
        <v>1842</v>
      </c>
      <c r="M109" s="150" t="s">
        <v>1853</v>
      </c>
      <c r="N109" s="151">
        <v>19</v>
      </c>
      <c r="O109" s="151">
        <v>1</v>
      </c>
      <c r="P109" s="152">
        <v>1</v>
      </c>
      <c r="Q109" s="153">
        <v>95.65</v>
      </c>
      <c r="R109" s="154">
        <v>0</v>
      </c>
      <c r="S109" s="38">
        <f t="shared" si="11"/>
        <v>2</v>
      </c>
      <c r="T109" s="39">
        <f t="shared" si="12"/>
        <v>8</v>
      </c>
      <c r="U109" s="40">
        <f t="shared" si="13"/>
        <v>0</v>
      </c>
      <c r="V109" s="40">
        <f t="shared" si="14"/>
        <v>0</v>
      </c>
      <c r="W109" s="40">
        <f t="shared" si="15"/>
        <v>0</v>
      </c>
      <c r="X109" s="40">
        <f t="shared" si="16"/>
        <v>0</v>
      </c>
      <c r="Y109" s="40">
        <f t="shared" si="17"/>
        <v>0</v>
      </c>
      <c r="Z109" s="40">
        <f t="shared" si="18"/>
        <v>0</v>
      </c>
      <c r="AA109" s="40">
        <f t="shared" si="19"/>
        <v>0</v>
      </c>
      <c r="AB109" s="40">
        <f t="shared" si="20"/>
        <v>0</v>
      </c>
      <c r="AC109" s="41">
        <f t="shared" si="21"/>
        <v>0</v>
      </c>
      <c r="AD109" s="49" t="s">
        <v>5</v>
      </c>
      <c r="AE109" s="50" t="s">
        <v>116</v>
      </c>
      <c r="AF109" s="49"/>
      <c r="AG109" s="50"/>
      <c r="AH109" s="49"/>
      <c r="AI109" s="50"/>
      <c r="AJ109" s="49"/>
      <c r="AK109" s="50"/>
      <c r="AL109" s="49"/>
      <c r="AM109" s="50"/>
      <c r="AN109" s="49"/>
      <c r="AO109" s="50"/>
      <c r="AP109" s="49"/>
      <c r="AQ109" s="50"/>
      <c r="AR109" s="49" t="s">
        <v>5</v>
      </c>
      <c r="AS109" s="50" t="s">
        <v>151</v>
      </c>
      <c r="AT109" s="49"/>
      <c r="AU109" s="50"/>
      <c r="AV109" s="49" t="s">
        <v>5</v>
      </c>
      <c r="AW109" s="50" t="s">
        <v>140</v>
      </c>
      <c r="AX109" s="49"/>
      <c r="AY109" s="50"/>
      <c r="AZ109" s="49" t="s">
        <v>5</v>
      </c>
      <c r="BA109" s="50" t="s">
        <v>76</v>
      </c>
      <c r="BB109" s="49"/>
      <c r="BC109" s="50"/>
      <c r="BD109" s="49"/>
      <c r="BE109" s="50"/>
      <c r="BF109" s="49" t="s">
        <v>1</v>
      </c>
      <c r="BG109" s="50" t="s">
        <v>105</v>
      </c>
      <c r="BH109" s="49" t="s">
        <v>5</v>
      </c>
      <c r="BI109" s="50" t="s">
        <v>112</v>
      </c>
      <c r="BJ109" s="49"/>
      <c r="BK109" s="50"/>
      <c r="BL109" s="49"/>
      <c r="BM109" s="50"/>
      <c r="BN109" s="49" t="s">
        <v>5</v>
      </c>
      <c r="BO109" s="50" t="s">
        <v>81</v>
      </c>
      <c r="BP109" s="49"/>
      <c r="BQ109" s="50"/>
      <c r="BR109" s="49"/>
      <c r="BS109" s="50"/>
      <c r="BT109" s="49"/>
      <c r="BU109" s="50"/>
      <c r="BV109" s="49" t="s">
        <v>1</v>
      </c>
      <c r="BW109" s="50" t="s">
        <v>715</v>
      </c>
      <c r="BX109" s="49" t="s">
        <v>5</v>
      </c>
      <c r="BY109" s="50" t="s">
        <v>137</v>
      </c>
      <c r="BZ109" s="49" t="s">
        <v>5</v>
      </c>
      <c r="CA109" s="50" t="s">
        <v>75</v>
      </c>
    </row>
    <row r="110" spans="1:79" x14ac:dyDescent="0.25">
      <c r="A110" s="76">
        <v>151772</v>
      </c>
      <c r="B110" s="77" t="s">
        <v>1067</v>
      </c>
      <c r="C110" s="78" t="s">
        <v>950</v>
      </c>
      <c r="D110" s="76" t="s">
        <v>12</v>
      </c>
      <c r="E110" s="79" t="s">
        <v>14</v>
      </c>
      <c r="F110" s="79" t="s">
        <v>71</v>
      </c>
      <c r="G110" s="79" t="s">
        <v>14</v>
      </c>
      <c r="H110" s="79" t="s">
        <v>14</v>
      </c>
      <c r="I110" s="78" t="s">
        <v>14</v>
      </c>
      <c r="J110" s="79" t="s">
        <v>14</v>
      </c>
      <c r="K110" s="142" t="s">
        <v>1850</v>
      </c>
      <c r="L110" s="149" t="s">
        <v>1844</v>
      </c>
      <c r="M110" s="150" t="s">
        <v>12</v>
      </c>
      <c r="N110" s="151">
        <v>12</v>
      </c>
      <c r="O110" s="151">
        <v>0</v>
      </c>
      <c r="P110" s="152">
        <v>1</v>
      </c>
      <c r="Q110" s="153">
        <v>100</v>
      </c>
      <c r="R110" s="154">
        <v>0</v>
      </c>
      <c r="S110" s="38">
        <f t="shared" si="11"/>
        <v>2</v>
      </c>
      <c r="T110" s="39">
        <f t="shared" si="12"/>
        <v>7</v>
      </c>
      <c r="U110" s="40">
        <f t="shared" si="13"/>
        <v>0</v>
      </c>
      <c r="V110" s="40">
        <f t="shared" si="14"/>
        <v>0</v>
      </c>
      <c r="W110" s="40">
        <f t="shared" si="15"/>
        <v>1</v>
      </c>
      <c r="X110" s="40">
        <f t="shared" si="16"/>
        <v>1</v>
      </c>
      <c r="Y110" s="40">
        <f t="shared" si="17"/>
        <v>0</v>
      </c>
      <c r="Z110" s="40">
        <f t="shared" si="18"/>
        <v>0</v>
      </c>
      <c r="AA110" s="40">
        <f t="shared" si="19"/>
        <v>0</v>
      </c>
      <c r="AB110" s="40">
        <f t="shared" si="20"/>
        <v>0</v>
      </c>
      <c r="AC110" s="41">
        <f t="shared" si="21"/>
        <v>0</v>
      </c>
      <c r="AD110" s="49"/>
      <c r="AE110" s="50"/>
      <c r="AF110" s="49"/>
      <c r="AG110" s="50"/>
      <c r="AH110" s="49"/>
      <c r="AI110" s="50"/>
      <c r="AJ110" s="49"/>
      <c r="AK110" s="50"/>
      <c r="AL110" s="49"/>
      <c r="AM110" s="50"/>
      <c r="AN110" s="49" t="s">
        <v>32</v>
      </c>
      <c r="AO110" s="50" t="s">
        <v>163</v>
      </c>
      <c r="AP110" s="49"/>
      <c r="AQ110" s="50"/>
      <c r="AR110" s="49" t="s">
        <v>5</v>
      </c>
      <c r="AS110" s="50" t="s">
        <v>142</v>
      </c>
      <c r="AT110" s="49"/>
      <c r="AU110" s="50"/>
      <c r="AV110" s="49" t="s">
        <v>1</v>
      </c>
      <c r="AW110" s="50" t="s">
        <v>96</v>
      </c>
      <c r="AX110" s="49" t="s">
        <v>5</v>
      </c>
      <c r="AY110" s="50" t="s">
        <v>103</v>
      </c>
      <c r="AZ110" s="49" t="s">
        <v>5</v>
      </c>
      <c r="BA110" s="50" t="s">
        <v>76</v>
      </c>
      <c r="BB110" s="49"/>
      <c r="BC110" s="50"/>
      <c r="BD110" s="49"/>
      <c r="BE110" s="50"/>
      <c r="BF110" s="49"/>
      <c r="BG110" s="50"/>
      <c r="BH110" s="49" t="s">
        <v>5</v>
      </c>
      <c r="BI110" s="50" t="s">
        <v>79</v>
      </c>
      <c r="BJ110" s="49"/>
      <c r="BK110" s="50"/>
      <c r="BL110" s="49" t="s">
        <v>5</v>
      </c>
      <c r="BM110" s="50" t="s">
        <v>72</v>
      </c>
      <c r="BN110" s="49" t="s">
        <v>1</v>
      </c>
      <c r="BO110" s="50" t="s">
        <v>96</v>
      </c>
      <c r="BP110" s="49"/>
      <c r="BQ110" s="50"/>
      <c r="BR110" s="49"/>
      <c r="BS110" s="50"/>
      <c r="BT110" s="49"/>
      <c r="BU110" s="50"/>
      <c r="BV110" s="49" t="s">
        <v>5</v>
      </c>
      <c r="BW110" s="50" t="s">
        <v>97</v>
      </c>
      <c r="BX110" s="49" t="s">
        <v>5</v>
      </c>
      <c r="BY110" s="50" t="s">
        <v>137</v>
      </c>
      <c r="BZ110" s="49"/>
      <c r="CA110" s="50"/>
    </row>
    <row r="111" spans="1:79" x14ac:dyDescent="0.25">
      <c r="A111" s="76">
        <v>151913</v>
      </c>
      <c r="B111" s="77" t="s">
        <v>1068</v>
      </c>
      <c r="C111" s="78" t="s">
        <v>950</v>
      </c>
      <c r="D111" s="76" t="s">
        <v>12</v>
      </c>
      <c r="E111" s="79" t="s">
        <v>87</v>
      </c>
      <c r="F111" s="79" t="s">
        <v>88</v>
      </c>
      <c r="G111" s="79" t="s">
        <v>14</v>
      </c>
      <c r="H111" s="79" t="s">
        <v>87</v>
      </c>
      <c r="I111" s="78" t="s">
        <v>14</v>
      </c>
      <c r="J111" s="79" t="s">
        <v>14</v>
      </c>
      <c r="K111" s="142" t="s">
        <v>1850</v>
      </c>
      <c r="L111" s="149" t="s">
        <v>1842</v>
      </c>
      <c r="M111" s="150" t="s">
        <v>12</v>
      </c>
      <c r="N111" s="151">
        <v>22</v>
      </c>
      <c r="O111" s="151">
        <v>0</v>
      </c>
      <c r="P111" s="152">
        <v>1</v>
      </c>
      <c r="Q111" s="153">
        <v>100</v>
      </c>
      <c r="R111" s="154">
        <v>1</v>
      </c>
      <c r="S111" s="38">
        <f t="shared" si="11"/>
        <v>3</v>
      </c>
      <c r="T111" s="39">
        <f t="shared" si="12"/>
        <v>8</v>
      </c>
      <c r="U111" s="40">
        <f t="shared" si="13"/>
        <v>0</v>
      </c>
      <c r="V111" s="40">
        <f t="shared" si="14"/>
        <v>0</v>
      </c>
      <c r="W111" s="40">
        <f t="shared" si="15"/>
        <v>0</v>
      </c>
      <c r="X111" s="40">
        <f t="shared" si="16"/>
        <v>0</v>
      </c>
      <c r="Y111" s="40">
        <f t="shared" si="17"/>
        <v>0</v>
      </c>
      <c r="Z111" s="40">
        <f t="shared" si="18"/>
        <v>0</v>
      </c>
      <c r="AA111" s="40">
        <f t="shared" si="19"/>
        <v>0</v>
      </c>
      <c r="AB111" s="40">
        <f t="shared" si="20"/>
        <v>0</v>
      </c>
      <c r="AC111" s="41">
        <f t="shared" si="21"/>
        <v>0</v>
      </c>
      <c r="AD111" s="49"/>
      <c r="AE111" s="50"/>
      <c r="AF111" s="49" t="s">
        <v>5</v>
      </c>
      <c r="AG111" s="50" t="s">
        <v>154</v>
      </c>
      <c r="AH111" s="49"/>
      <c r="AI111" s="50"/>
      <c r="AJ111" s="49" t="s">
        <v>5</v>
      </c>
      <c r="AK111" s="50" t="s">
        <v>714</v>
      </c>
      <c r="AL111" s="49"/>
      <c r="AM111" s="50"/>
      <c r="AN111" s="49" t="s">
        <v>5</v>
      </c>
      <c r="AO111" s="50" t="s">
        <v>163</v>
      </c>
      <c r="AP111" s="49"/>
      <c r="AQ111" s="50"/>
      <c r="AR111" s="49" t="s">
        <v>5</v>
      </c>
      <c r="AS111" s="50" t="s">
        <v>151</v>
      </c>
      <c r="AT111" s="49"/>
      <c r="AU111" s="50"/>
      <c r="AV111" s="49" t="s">
        <v>5</v>
      </c>
      <c r="AW111" s="50" t="s">
        <v>96</v>
      </c>
      <c r="AX111" s="49" t="s">
        <v>5</v>
      </c>
      <c r="AY111" s="50" t="s">
        <v>103</v>
      </c>
      <c r="AZ111" s="49" t="s">
        <v>5</v>
      </c>
      <c r="BA111" s="50" t="s">
        <v>76</v>
      </c>
      <c r="BB111" s="49"/>
      <c r="BC111" s="50"/>
      <c r="BD111" s="49"/>
      <c r="BE111" s="50"/>
      <c r="BF111" s="49"/>
      <c r="BG111" s="50"/>
      <c r="BH111" s="49" t="s">
        <v>1</v>
      </c>
      <c r="BI111" s="50" t="s">
        <v>94</v>
      </c>
      <c r="BJ111" s="49"/>
      <c r="BK111" s="50"/>
      <c r="BL111" s="49"/>
      <c r="BM111" s="50"/>
      <c r="BN111" s="49" t="s">
        <v>1</v>
      </c>
      <c r="BO111" s="50" t="s">
        <v>96</v>
      </c>
      <c r="BP111" s="49"/>
      <c r="BQ111" s="50"/>
      <c r="BR111" s="49" t="s">
        <v>5</v>
      </c>
      <c r="BS111" s="50" t="s">
        <v>140</v>
      </c>
      <c r="BT111" s="49"/>
      <c r="BU111" s="50"/>
      <c r="BV111" s="49" t="s">
        <v>1</v>
      </c>
      <c r="BW111" s="50" t="s">
        <v>715</v>
      </c>
      <c r="BX111" s="49"/>
      <c r="BY111" s="50"/>
      <c r="BZ111" s="49"/>
      <c r="CA111" s="50"/>
    </row>
    <row r="112" spans="1:79" ht="30" x14ac:dyDescent="0.25">
      <c r="A112" s="76">
        <v>151872</v>
      </c>
      <c r="B112" s="77" t="s">
        <v>1069</v>
      </c>
      <c r="C112" s="78" t="s">
        <v>954</v>
      </c>
      <c r="D112" s="76" t="s">
        <v>12</v>
      </c>
      <c r="E112" s="79" t="s">
        <v>87</v>
      </c>
      <c r="F112" s="79" t="s">
        <v>88</v>
      </c>
      <c r="G112" s="79" t="s">
        <v>14</v>
      </c>
      <c r="H112" s="79" t="s">
        <v>87</v>
      </c>
      <c r="I112" s="78" t="s">
        <v>14</v>
      </c>
      <c r="J112" s="79" t="s">
        <v>14</v>
      </c>
      <c r="K112" s="142" t="s">
        <v>1850</v>
      </c>
      <c r="L112" s="149" t="s">
        <v>1842</v>
      </c>
      <c r="M112" s="150" t="s">
        <v>12</v>
      </c>
      <c r="N112" s="151">
        <v>15</v>
      </c>
      <c r="O112" s="151">
        <v>4</v>
      </c>
      <c r="P112" s="152">
        <v>7</v>
      </c>
      <c r="Q112" s="153">
        <v>95.65</v>
      </c>
      <c r="R112" s="154">
        <v>6</v>
      </c>
      <c r="S112" s="38">
        <f t="shared" si="11"/>
        <v>0</v>
      </c>
      <c r="T112" s="39">
        <f t="shared" si="12"/>
        <v>7</v>
      </c>
      <c r="U112" s="40">
        <f t="shared" si="13"/>
        <v>1</v>
      </c>
      <c r="V112" s="40">
        <f t="shared" si="14"/>
        <v>1</v>
      </c>
      <c r="W112" s="40">
        <f t="shared" si="15"/>
        <v>1</v>
      </c>
      <c r="X112" s="40">
        <f t="shared" si="16"/>
        <v>3</v>
      </c>
      <c r="Y112" s="40">
        <f t="shared" si="17"/>
        <v>0</v>
      </c>
      <c r="Z112" s="40">
        <f t="shared" si="18"/>
        <v>0</v>
      </c>
      <c r="AA112" s="40">
        <f t="shared" si="19"/>
        <v>0</v>
      </c>
      <c r="AB112" s="40">
        <f t="shared" si="20"/>
        <v>0</v>
      </c>
      <c r="AC112" s="41">
        <f t="shared" si="21"/>
        <v>0</v>
      </c>
      <c r="AD112" s="49" t="s">
        <v>32</v>
      </c>
      <c r="AE112" s="50" t="s">
        <v>116</v>
      </c>
      <c r="AF112" s="49"/>
      <c r="AG112" s="50"/>
      <c r="AH112" s="49" t="s">
        <v>5</v>
      </c>
      <c r="AI112" s="50" t="s">
        <v>131</v>
      </c>
      <c r="AJ112" s="49"/>
      <c r="AK112" s="50"/>
      <c r="AL112" s="49"/>
      <c r="AM112" s="50"/>
      <c r="AN112" s="49"/>
      <c r="AO112" s="50"/>
      <c r="AP112" s="49"/>
      <c r="AQ112" s="50"/>
      <c r="AR112" s="49" t="s">
        <v>5</v>
      </c>
      <c r="AS112" s="50" t="s">
        <v>102</v>
      </c>
      <c r="AT112" s="49"/>
      <c r="AU112" s="50"/>
      <c r="AV112" s="49" t="s">
        <v>31</v>
      </c>
      <c r="AW112" s="50" t="s">
        <v>955</v>
      </c>
      <c r="AX112" s="49" t="s">
        <v>5</v>
      </c>
      <c r="AY112" s="50" t="s">
        <v>143</v>
      </c>
      <c r="AZ112" s="49"/>
      <c r="BA112" s="50"/>
      <c r="BB112" s="49"/>
      <c r="BC112" s="50"/>
      <c r="BD112" s="49"/>
      <c r="BE112" s="50"/>
      <c r="BF112" s="49" t="s">
        <v>5</v>
      </c>
      <c r="BG112" s="50" t="s">
        <v>105</v>
      </c>
      <c r="BH112" s="49" t="s">
        <v>5</v>
      </c>
      <c r="BI112" s="50" t="s">
        <v>106</v>
      </c>
      <c r="BJ112" s="49"/>
      <c r="BK112" s="50"/>
      <c r="BL112" s="49"/>
      <c r="BM112" s="50"/>
      <c r="BN112" s="49" t="s">
        <v>5</v>
      </c>
      <c r="BO112" s="50" t="s">
        <v>107</v>
      </c>
      <c r="BP112" s="49"/>
      <c r="BQ112" s="50"/>
      <c r="BR112" s="49"/>
      <c r="BS112" s="50"/>
      <c r="BT112" s="49"/>
      <c r="BU112" s="50"/>
      <c r="BV112" s="49" t="s">
        <v>30</v>
      </c>
      <c r="BW112" s="50" t="s">
        <v>132</v>
      </c>
      <c r="BX112" s="49" t="s">
        <v>5</v>
      </c>
      <c r="BY112" s="50" t="s">
        <v>137</v>
      </c>
      <c r="BZ112" s="49"/>
      <c r="CA112" s="50"/>
    </row>
    <row r="113" spans="1:79" x14ac:dyDescent="0.25">
      <c r="A113" s="76">
        <v>151949</v>
      </c>
      <c r="B113" s="77" t="s">
        <v>1070</v>
      </c>
      <c r="C113" s="78" t="s">
        <v>957</v>
      </c>
      <c r="D113" s="76" t="s">
        <v>70</v>
      </c>
      <c r="E113" s="79" t="s">
        <v>14</v>
      </c>
      <c r="F113" s="79" t="s">
        <v>71</v>
      </c>
      <c r="G113" s="79" t="s">
        <v>14</v>
      </c>
      <c r="H113" s="79" t="s">
        <v>14</v>
      </c>
      <c r="I113" s="78" t="s">
        <v>14</v>
      </c>
      <c r="J113" s="79" t="s">
        <v>14</v>
      </c>
      <c r="K113" s="142" t="s">
        <v>1850</v>
      </c>
      <c r="L113" s="149" t="s">
        <v>1842</v>
      </c>
      <c r="M113" s="150" t="s">
        <v>1853</v>
      </c>
      <c r="N113" s="151">
        <v>18</v>
      </c>
      <c r="O113" s="151">
        <v>0</v>
      </c>
      <c r="P113" s="152">
        <v>2</v>
      </c>
      <c r="Q113" s="153">
        <v>100</v>
      </c>
      <c r="R113" s="154">
        <v>0</v>
      </c>
      <c r="S113" s="38">
        <f t="shared" si="11"/>
        <v>1</v>
      </c>
      <c r="T113" s="39">
        <f t="shared" si="12"/>
        <v>9</v>
      </c>
      <c r="U113" s="40">
        <f t="shared" si="13"/>
        <v>1</v>
      </c>
      <c r="V113" s="40">
        <f t="shared" si="14"/>
        <v>0</v>
      </c>
      <c r="W113" s="40">
        <f t="shared" si="15"/>
        <v>0</v>
      </c>
      <c r="X113" s="40">
        <f t="shared" si="16"/>
        <v>1</v>
      </c>
      <c r="Y113" s="40">
        <f t="shared" si="17"/>
        <v>0</v>
      </c>
      <c r="Z113" s="40">
        <f t="shared" si="18"/>
        <v>0</v>
      </c>
      <c r="AA113" s="40">
        <f t="shared" si="19"/>
        <v>0</v>
      </c>
      <c r="AB113" s="40">
        <f t="shared" si="20"/>
        <v>0</v>
      </c>
      <c r="AC113" s="41">
        <f t="shared" si="21"/>
        <v>0</v>
      </c>
      <c r="AD113" s="49"/>
      <c r="AE113" s="50"/>
      <c r="AF113" s="49" t="s">
        <v>5</v>
      </c>
      <c r="AG113" s="50" t="s">
        <v>154</v>
      </c>
      <c r="AH113" s="49"/>
      <c r="AI113" s="50"/>
      <c r="AJ113" s="49" t="s">
        <v>5</v>
      </c>
      <c r="AK113" s="50" t="s">
        <v>83</v>
      </c>
      <c r="AL113" s="49" t="s">
        <v>5</v>
      </c>
      <c r="AM113" s="50" t="s">
        <v>436</v>
      </c>
      <c r="AN113" s="49"/>
      <c r="AO113" s="50"/>
      <c r="AP113" s="49"/>
      <c r="AQ113" s="50"/>
      <c r="AR113" s="49" t="s">
        <v>5</v>
      </c>
      <c r="AS113" s="50" t="s">
        <v>102</v>
      </c>
      <c r="AT113" s="49"/>
      <c r="AU113" s="50"/>
      <c r="AV113" s="49" t="s">
        <v>5</v>
      </c>
      <c r="AW113" s="50" t="s">
        <v>77</v>
      </c>
      <c r="AX113" s="49"/>
      <c r="AY113" s="50"/>
      <c r="AZ113" s="49"/>
      <c r="BA113" s="50"/>
      <c r="BB113" s="49" t="s">
        <v>5</v>
      </c>
      <c r="BC113" s="50" t="s">
        <v>420</v>
      </c>
      <c r="BD113" s="49"/>
      <c r="BE113" s="50"/>
      <c r="BF113" s="49"/>
      <c r="BG113" s="50"/>
      <c r="BH113" s="49" t="s">
        <v>5</v>
      </c>
      <c r="BI113" s="50" t="s">
        <v>79</v>
      </c>
      <c r="BJ113" s="49"/>
      <c r="BK113" s="50"/>
      <c r="BL113" s="49"/>
      <c r="BM113" s="50"/>
      <c r="BN113" s="49" t="s">
        <v>30</v>
      </c>
      <c r="BO113" s="50" t="s">
        <v>152</v>
      </c>
      <c r="BP113" s="49"/>
      <c r="BQ113" s="50"/>
      <c r="BR113" s="49" t="s">
        <v>5</v>
      </c>
      <c r="BS113" s="50" t="s">
        <v>98</v>
      </c>
      <c r="BT113" s="49"/>
      <c r="BU113" s="50"/>
      <c r="BV113" s="49" t="s">
        <v>1</v>
      </c>
      <c r="BW113" s="50" t="s">
        <v>715</v>
      </c>
      <c r="BX113" s="49"/>
      <c r="BY113" s="50"/>
      <c r="BZ113" s="49" t="s">
        <v>5</v>
      </c>
      <c r="CA113" s="50" t="s">
        <v>124</v>
      </c>
    </row>
    <row r="114" spans="1:79" x14ac:dyDescent="0.25">
      <c r="A114" s="76">
        <v>151915</v>
      </c>
      <c r="B114" s="77" t="s">
        <v>1071</v>
      </c>
      <c r="C114" s="78" t="s">
        <v>957</v>
      </c>
      <c r="D114" s="76" t="s">
        <v>12</v>
      </c>
      <c r="E114" s="79" t="s">
        <v>14</v>
      </c>
      <c r="F114" s="79" t="s">
        <v>115</v>
      </c>
      <c r="G114" s="79" t="s">
        <v>14</v>
      </c>
      <c r="H114" s="79" t="s">
        <v>14</v>
      </c>
      <c r="I114" s="78" t="s">
        <v>14</v>
      </c>
      <c r="J114" s="79" t="s">
        <v>14</v>
      </c>
      <c r="K114" s="142" t="s">
        <v>1851</v>
      </c>
      <c r="L114" s="149" t="s">
        <v>1842</v>
      </c>
      <c r="M114" s="150" t="s">
        <v>12</v>
      </c>
      <c r="N114" s="151">
        <v>17</v>
      </c>
      <c r="O114" s="151">
        <v>7</v>
      </c>
      <c r="P114" s="152">
        <v>3</v>
      </c>
      <c r="Q114" s="153">
        <v>93.48</v>
      </c>
      <c r="R114" s="154">
        <v>8</v>
      </c>
      <c r="S114" s="38">
        <f t="shared" si="11"/>
        <v>1</v>
      </c>
      <c r="T114" s="39">
        <f t="shared" si="12"/>
        <v>7</v>
      </c>
      <c r="U114" s="40">
        <f t="shared" si="13"/>
        <v>3</v>
      </c>
      <c r="V114" s="40">
        <f t="shared" si="14"/>
        <v>0</v>
      </c>
      <c r="W114" s="40">
        <f t="shared" si="15"/>
        <v>0</v>
      </c>
      <c r="X114" s="40">
        <f t="shared" si="16"/>
        <v>3</v>
      </c>
      <c r="Y114" s="40">
        <f t="shared" si="17"/>
        <v>0</v>
      </c>
      <c r="Z114" s="40">
        <f t="shared" si="18"/>
        <v>0</v>
      </c>
      <c r="AA114" s="40">
        <f t="shared" si="19"/>
        <v>0</v>
      </c>
      <c r="AB114" s="40">
        <f t="shared" si="20"/>
        <v>0</v>
      </c>
      <c r="AC114" s="41">
        <f t="shared" si="21"/>
        <v>0</v>
      </c>
      <c r="AD114" s="49"/>
      <c r="AE114" s="50"/>
      <c r="AF114" s="49" t="s">
        <v>30</v>
      </c>
      <c r="AG114" s="50" t="s">
        <v>154</v>
      </c>
      <c r="AH114" s="49" t="s">
        <v>30</v>
      </c>
      <c r="AI114" s="50" t="s">
        <v>78</v>
      </c>
      <c r="AJ114" s="49" t="s">
        <v>5</v>
      </c>
      <c r="AK114" s="50" t="s">
        <v>83</v>
      </c>
      <c r="AL114" s="49"/>
      <c r="AM114" s="50"/>
      <c r="AN114" s="49" t="s">
        <v>5</v>
      </c>
      <c r="AO114" s="50" t="s">
        <v>163</v>
      </c>
      <c r="AP114" s="49"/>
      <c r="AQ114" s="50"/>
      <c r="AR114" s="49" t="s">
        <v>5</v>
      </c>
      <c r="AS114" s="50" t="s">
        <v>722</v>
      </c>
      <c r="AT114" s="49"/>
      <c r="AU114" s="50"/>
      <c r="AV114" s="49" t="s">
        <v>5</v>
      </c>
      <c r="AW114" s="50" t="s">
        <v>77</v>
      </c>
      <c r="AX114" s="49"/>
      <c r="AY114" s="50"/>
      <c r="AZ114" s="49"/>
      <c r="BA114" s="50"/>
      <c r="BB114" s="49"/>
      <c r="BC114" s="50"/>
      <c r="BD114" s="49"/>
      <c r="BE114" s="50"/>
      <c r="BF114" s="49"/>
      <c r="BG114" s="50"/>
      <c r="BH114" s="49" t="s">
        <v>5</v>
      </c>
      <c r="BI114" s="50" t="s">
        <v>106</v>
      </c>
      <c r="BJ114" s="49"/>
      <c r="BK114" s="50"/>
      <c r="BL114" s="49"/>
      <c r="BM114" s="50"/>
      <c r="BN114" s="49" t="s">
        <v>1</v>
      </c>
      <c r="BO114" s="50" t="s">
        <v>96</v>
      </c>
      <c r="BP114" s="49"/>
      <c r="BQ114" s="50"/>
      <c r="BR114" s="49" t="s">
        <v>5</v>
      </c>
      <c r="BS114" s="50" t="s">
        <v>98</v>
      </c>
      <c r="BT114" s="49"/>
      <c r="BU114" s="50"/>
      <c r="BV114" s="49" t="s">
        <v>5</v>
      </c>
      <c r="BW114" s="50" t="s">
        <v>715</v>
      </c>
      <c r="BX114" s="49"/>
      <c r="BY114" s="50"/>
      <c r="BZ114" s="49" t="s">
        <v>30</v>
      </c>
      <c r="CA114" s="50" t="s">
        <v>75</v>
      </c>
    </row>
    <row r="115" spans="1:79" x14ac:dyDescent="0.25">
      <c r="A115" s="76">
        <v>151856</v>
      </c>
      <c r="B115" s="77" t="s">
        <v>1072</v>
      </c>
      <c r="C115" s="78" t="s">
        <v>959</v>
      </c>
      <c r="D115" s="76" t="s">
        <v>12</v>
      </c>
      <c r="E115" s="79" t="s">
        <v>14</v>
      </c>
      <c r="F115" s="79" t="s">
        <v>146</v>
      </c>
      <c r="G115" s="79" t="s">
        <v>14</v>
      </c>
      <c r="H115" s="79" t="s">
        <v>14</v>
      </c>
      <c r="I115" s="78" t="s">
        <v>14</v>
      </c>
      <c r="J115" s="79" t="s">
        <v>14</v>
      </c>
      <c r="K115" s="142" t="s">
        <v>1850</v>
      </c>
      <c r="L115" s="149" t="s">
        <v>1845</v>
      </c>
      <c r="M115" s="150" t="s">
        <v>12</v>
      </c>
      <c r="N115" s="151">
        <v>17</v>
      </c>
      <c r="O115" s="151">
        <v>8</v>
      </c>
      <c r="P115" s="152">
        <v>1</v>
      </c>
      <c r="Q115" s="153">
        <v>91.3</v>
      </c>
      <c r="R115" s="154">
        <v>3</v>
      </c>
      <c r="S115" s="38">
        <f t="shared" si="11"/>
        <v>0</v>
      </c>
      <c r="T115" s="39">
        <f t="shared" si="12"/>
        <v>6</v>
      </c>
      <c r="U115" s="40">
        <f t="shared" si="13"/>
        <v>2</v>
      </c>
      <c r="V115" s="40">
        <f t="shared" si="14"/>
        <v>2</v>
      </c>
      <c r="W115" s="40">
        <f t="shared" si="15"/>
        <v>1</v>
      </c>
      <c r="X115" s="40">
        <f t="shared" si="16"/>
        <v>5</v>
      </c>
      <c r="Y115" s="40">
        <f t="shared" si="17"/>
        <v>0</v>
      </c>
      <c r="Z115" s="40">
        <f t="shared" si="18"/>
        <v>0</v>
      </c>
      <c r="AA115" s="40">
        <f t="shared" si="19"/>
        <v>0</v>
      </c>
      <c r="AB115" s="40">
        <f t="shared" si="20"/>
        <v>0</v>
      </c>
      <c r="AC115" s="41">
        <f t="shared" si="21"/>
        <v>0</v>
      </c>
      <c r="AD115" s="49"/>
      <c r="AE115" s="50"/>
      <c r="AF115" s="49" t="s">
        <v>31</v>
      </c>
      <c r="AG115" s="50" t="s">
        <v>154</v>
      </c>
      <c r="AH115" s="49"/>
      <c r="AI115" s="50"/>
      <c r="AJ115" s="49" t="s">
        <v>30</v>
      </c>
      <c r="AK115" s="50" t="s">
        <v>714</v>
      </c>
      <c r="AL115" s="49"/>
      <c r="AM115" s="50"/>
      <c r="AN115" s="49" t="s">
        <v>5</v>
      </c>
      <c r="AO115" s="50" t="s">
        <v>163</v>
      </c>
      <c r="AP115" s="49"/>
      <c r="AQ115" s="50"/>
      <c r="AR115" s="49" t="s">
        <v>30</v>
      </c>
      <c r="AS115" s="50" t="s">
        <v>151</v>
      </c>
      <c r="AT115" s="49"/>
      <c r="AU115" s="50"/>
      <c r="AV115" s="49" t="s">
        <v>32</v>
      </c>
      <c r="AW115" s="50" t="s">
        <v>194</v>
      </c>
      <c r="AX115" s="49" t="s">
        <v>5</v>
      </c>
      <c r="AY115" s="50" t="s">
        <v>84</v>
      </c>
      <c r="AZ115" s="49"/>
      <c r="BA115" s="50"/>
      <c r="BB115" s="49"/>
      <c r="BC115" s="50"/>
      <c r="BD115" s="49" t="s">
        <v>5</v>
      </c>
      <c r="BE115" s="50" t="s">
        <v>132</v>
      </c>
      <c r="BF115" s="49"/>
      <c r="BG115" s="50"/>
      <c r="BH115" s="49" t="s">
        <v>5</v>
      </c>
      <c r="BI115" s="50" t="s">
        <v>711</v>
      </c>
      <c r="BJ115" s="49"/>
      <c r="BK115" s="50"/>
      <c r="BL115" s="49"/>
      <c r="BM115" s="50"/>
      <c r="BN115" s="49" t="s">
        <v>5</v>
      </c>
      <c r="BO115" s="50" t="s">
        <v>107</v>
      </c>
      <c r="BP115" s="49"/>
      <c r="BQ115" s="50"/>
      <c r="BR115" s="49" t="s">
        <v>31</v>
      </c>
      <c r="BS115" s="50" t="s">
        <v>140</v>
      </c>
      <c r="BT115" s="49"/>
      <c r="BU115" s="50"/>
      <c r="BV115" s="49" t="s">
        <v>5</v>
      </c>
      <c r="BW115" s="50" t="s">
        <v>82</v>
      </c>
      <c r="BX115" s="49"/>
      <c r="BY115" s="50"/>
      <c r="BZ115" s="49"/>
      <c r="CA115" s="50"/>
    </row>
    <row r="116" spans="1:79" x14ac:dyDescent="0.25">
      <c r="A116" s="76">
        <v>151840</v>
      </c>
      <c r="B116" s="77" t="s">
        <v>1073</v>
      </c>
      <c r="C116" s="78" t="s">
        <v>963</v>
      </c>
      <c r="D116" s="76" t="s">
        <v>70</v>
      </c>
      <c r="E116" s="79" t="s">
        <v>87</v>
      </c>
      <c r="F116" s="79" t="s">
        <v>71</v>
      </c>
      <c r="G116" s="79" t="s">
        <v>14</v>
      </c>
      <c r="H116" s="79" t="s">
        <v>87</v>
      </c>
      <c r="I116" s="78" t="s">
        <v>14</v>
      </c>
      <c r="J116" s="79" t="s">
        <v>14</v>
      </c>
      <c r="K116" s="142" t="s">
        <v>1851</v>
      </c>
      <c r="L116" s="149" t="s">
        <v>1845</v>
      </c>
      <c r="M116" s="150" t="s">
        <v>1852</v>
      </c>
      <c r="N116" s="151">
        <v>17</v>
      </c>
      <c r="O116" s="151">
        <v>0</v>
      </c>
      <c r="P116" s="152">
        <v>0</v>
      </c>
      <c r="Q116" s="153">
        <v>100</v>
      </c>
      <c r="R116" s="154">
        <v>0</v>
      </c>
      <c r="S116" s="38">
        <f t="shared" si="11"/>
        <v>2</v>
      </c>
      <c r="T116" s="39">
        <f t="shared" si="12"/>
        <v>7</v>
      </c>
      <c r="U116" s="40">
        <f t="shared" si="13"/>
        <v>0</v>
      </c>
      <c r="V116" s="40">
        <f t="shared" si="14"/>
        <v>0</v>
      </c>
      <c r="W116" s="40">
        <f t="shared" si="15"/>
        <v>0</v>
      </c>
      <c r="X116" s="40">
        <f t="shared" si="16"/>
        <v>0</v>
      </c>
      <c r="Y116" s="40">
        <f t="shared" si="17"/>
        <v>0</v>
      </c>
      <c r="Z116" s="40">
        <f t="shared" si="18"/>
        <v>0</v>
      </c>
      <c r="AA116" s="40">
        <f t="shared" si="19"/>
        <v>0</v>
      </c>
      <c r="AB116" s="40">
        <f t="shared" si="20"/>
        <v>0</v>
      </c>
      <c r="AC116" s="41">
        <f t="shared" si="21"/>
        <v>0</v>
      </c>
      <c r="AD116" s="49"/>
      <c r="AE116" s="50"/>
      <c r="AF116" s="49"/>
      <c r="AG116" s="50"/>
      <c r="AH116" s="49"/>
      <c r="AI116" s="50"/>
      <c r="AJ116" s="49"/>
      <c r="AK116" s="50"/>
      <c r="AL116" s="49" t="s">
        <v>5</v>
      </c>
      <c r="AM116" s="50" t="s">
        <v>436</v>
      </c>
      <c r="AN116" s="49"/>
      <c r="AO116" s="50"/>
      <c r="AP116" s="49"/>
      <c r="AQ116" s="50"/>
      <c r="AR116" s="49" t="s">
        <v>5</v>
      </c>
      <c r="AS116" s="50" t="s">
        <v>194</v>
      </c>
      <c r="AT116" s="49"/>
      <c r="AU116" s="50"/>
      <c r="AV116" s="49" t="s">
        <v>1</v>
      </c>
      <c r="AW116" s="50" t="s">
        <v>130</v>
      </c>
      <c r="AX116" s="49" t="s">
        <v>5</v>
      </c>
      <c r="AY116" s="50" t="s">
        <v>143</v>
      </c>
      <c r="AZ116" s="49"/>
      <c r="BA116" s="50"/>
      <c r="BB116" s="49"/>
      <c r="BC116" s="50"/>
      <c r="BD116" s="49"/>
      <c r="BE116" s="50"/>
      <c r="BF116" s="49"/>
      <c r="BG116" s="50"/>
      <c r="BH116" s="49" t="s">
        <v>1</v>
      </c>
      <c r="BI116" s="50" t="s">
        <v>136</v>
      </c>
      <c r="BJ116" s="49"/>
      <c r="BK116" s="50"/>
      <c r="BL116" s="49" t="s">
        <v>5</v>
      </c>
      <c r="BM116" s="50" t="s">
        <v>116</v>
      </c>
      <c r="BN116" s="49" t="s">
        <v>5</v>
      </c>
      <c r="BO116" s="50" t="s">
        <v>81</v>
      </c>
      <c r="BP116" s="49"/>
      <c r="BQ116" s="50"/>
      <c r="BR116" s="49"/>
      <c r="BS116" s="50"/>
      <c r="BT116" s="49"/>
      <c r="BU116" s="50"/>
      <c r="BV116" s="49" t="s">
        <v>5</v>
      </c>
      <c r="BW116" s="50" t="s">
        <v>602</v>
      </c>
      <c r="BX116" s="49" t="s">
        <v>5</v>
      </c>
      <c r="BY116" s="50" t="s">
        <v>133</v>
      </c>
      <c r="BZ116" s="49"/>
      <c r="CA116" s="50"/>
    </row>
    <row r="117" spans="1:79" x14ac:dyDescent="0.25">
      <c r="A117" s="76">
        <v>151943</v>
      </c>
      <c r="B117" s="77" t="s">
        <v>1074</v>
      </c>
      <c r="C117" s="78" t="s">
        <v>950</v>
      </c>
      <c r="D117" s="76" t="s">
        <v>12</v>
      </c>
      <c r="E117" s="79" t="s">
        <v>14</v>
      </c>
      <c r="F117" s="79" t="s">
        <v>88</v>
      </c>
      <c r="G117" s="79" t="s">
        <v>14</v>
      </c>
      <c r="H117" s="79" t="s">
        <v>14</v>
      </c>
      <c r="I117" s="78" t="s">
        <v>14</v>
      </c>
      <c r="J117" s="79" t="s">
        <v>14</v>
      </c>
      <c r="K117" s="142" t="s">
        <v>1851</v>
      </c>
      <c r="L117" s="149" t="s">
        <v>1848</v>
      </c>
      <c r="M117" s="150" t="s">
        <v>1852</v>
      </c>
      <c r="N117" s="151">
        <v>21</v>
      </c>
      <c r="O117" s="151">
        <v>0</v>
      </c>
      <c r="P117" s="152">
        <v>1</v>
      </c>
      <c r="Q117" s="153">
        <v>100</v>
      </c>
      <c r="R117" s="154">
        <v>1</v>
      </c>
      <c r="S117" s="38">
        <f t="shared" si="11"/>
        <v>3</v>
      </c>
      <c r="T117" s="39">
        <f t="shared" si="12"/>
        <v>5</v>
      </c>
      <c r="U117" s="40">
        <f t="shared" si="13"/>
        <v>2</v>
      </c>
      <c r="V117" s="40">
        <f t="shared" si="14"/>
        <v>0</v>
      </c>
      <c r="W117" s="40">
        <f t="shared" si="15"/>
        <v>0</v>
      </c>
      <c r="X117" s="40">
        <f t="shared" si="16"/>
        <v>2</v>
      </c>
      <c r="Y117" s="40">
        <f t="shared" si="17"/>
        <v>0</v>
      </c>
      <c r="Z117" s="40">
        <f t="shared" si="18"/>
        <v>0</v>
      </c>
      <c r="AA117" s="40">
        <f t="shared" si="19"/>
        <v>0</v>
      </c>
      <c r="AB117" s="40">
        <f t="shared" si="20"/>
        <v>0</v>
      </c>
      <c r="AC117" s="41">
        <f t="shared" si="21"/>
        <v>0</v>
      </c>
      <c r="AD117" s="49"/>
      <c r="AE117" s="50"/>
      <c r="AF117" s="49"/>
      <c r="AG117" s="50"/>
      <c r="AH117" s="49"/>
      <c r="AI117" s="50"/>
      <c r="AJ117" s="49"/>
      <c r="AK117" s="50"/>
      <c r="AL117" s="49"/>
      <c r="AM117" s="50"/>
      <c r="AN117" s="49" t="s">
        <v>5</v>
      </c>
      <c r="AO117" s="50" t="s">
        <v>163</v>
      </c>
      <c r="AP117" s="49"/>
      <c r="AQ117" s="50"/>
      <c r="AR117" s="49" t="s">
        <v>5</v>
      </c>
      <c r="AS117" s="50" t="s">
        <v>194</v>
      </c>
      <c r="AT117" s="49" t="s">
        <v>30</v>
      </c>
      <c r="AU117" s="50" t="s">
        <v>73</v>
      </c>
      <c r="AV117" s="49" t="s">
        <v>30</v>
      </c>
      <c r="AW117" s="50" t="s">
        <v>96</v>
      </c>
      <c r="AX117" s="49" t="s">
        <v>5</v>
      </c>
      <c r="AY117" s="50" t="s">
        <v>143</v>
      </c>
      <c r="AZ117" s="49"/>
      <c r="BA117" s="50"/>
      <c r="BB117" s="49" t="s">
        <v>1</v>
      </c>
      <c r="BC117" s="50" t="s">
        <v>425</v>
      </c>
      <c r="BD117" s="49"/>
      <c r="BE117" s="50"/>
      <c r="BF117" s="49"/>
      <c r="BG117" s="50"/>
      <c r="BH117" s="49" t="s">
        <v>5</v>
      </c>
      <c r="BI117" s="50" t="s">
        <v>422</v>
      </c>
      <c r="BJ117" s="49"/>
      <c r="BK117" s="50"/>
      <c r="BL117" s="49"/>
      <c r="BM117" s="50"/>
      <c r="BN117" s="49" t="s">
        <v>1</v>
      </c>
      <c r="BO117" s="50" t="s">
        <v>96</v>
      </c>
      <c r="BP117" s="49"/>
      <c r="BQ117" s="50"/>
      <c r="BR117" s="49"/>
      <c r="BS117" s="50"/>
      <c r="BT117" s="49"/>
      <c r="BU117" s="50"/>
      <c r="BV117" s="49" t="s">
        <v>5</v>
      </c>
      <c r="BW117" s="50" t="s">
        <v>602</v>
      </c>
      <c r="BX117" s="49" t="s">
        <v>1</v>
      </c>
      <c r="BY117" s="50" t="s">
        <v>164</v>
      </c>
      <c r="BZ117" s="49"/>
      <c r="CA117" s="50"/>
    </row>
    <row r="118" spans="1:79" x14ac:dyDescent="0.25">
      <c r="A118" s="76">
        <v>151799</v>
      </c>
      <c r="B118" s="77" t="s">
        <v>1075</v>
      </c>
      <c r="C118" s="78" t="s">
        <v>950</v>
      </c>
      <c r="D118" s="76" t="s">
        <v>12</v>
      </c>
      <c r="E118" s="79" t="s">
        <v>14</v>
      </c>
      <c r="F118" s="79" t="s">
        <v>71</v>
      </c>
      <c r="G118" s="79" t="s">
        <v>14</v>
      </c>
      <c r="H118" s="79" t="s">
        <v>14</v>
      </c>
      <c r="I118" s="78" t="s">
        <v>14</v>
      </c>
      <c r="J118" s="79" t="s">
        <v>14</v>
      </c>
      <c r="K118" s="142" t="s">
        <v>1850</v>
      </c>
      <c r="L118" s="149" t="s">
        <v>1848</v>
      </c>
      <c r="M118" s="150" t="s">
        <v>1852</v>
      </c>
      <c r="N118" s="151">
        <v>23</v>
      </c>
      <c r="O118" s="151">
        <v>0</v>
      </c>
      <c r="P118" s="152">
        <v>1</v>
      </c>
      <c r="Q118" s="153">
        <v>95.65</v>
      </c>
      <c r="R118" s="154">
        <v>0</v>
      </c>
      <c r="S118" s="38">
        <f t="shared" si="11"/>
        <v>4</v>
      </c>
      <c r="T118" s="39">
        <f t="shared" si="12"/>
        <v>6</v>
      </c>
      <c r="U118" s="40">
        <f t="shared" si="13"/>
        <v>0</v>
      </c>
      <c r="V118" s="40">
        <f t="shared" si="14"/>
        <v>0</v>
      </c>
      <c r="W118" s="40">
        <f t="shared" si="15"/>
        <v>0</v>
      </c>
      <c r="X118" s="40">
        <f t="shared" si="16"/>
        <v>0</v>
      </c>
      <c r="Y118" s="40">
        <f t="shared" si="17"/>
        <v>0</v>
      </c>
      <c r="Z118" s="40">
        <f t="shared" si="18"/>
        <v>0</v>
      </c>
      <c r="AA118" s="40">
        <f t="shared" si="19"/>
        <v>0</v>
      </c>
      <c r="AB118" s="40">
        <f t="shared" si="20"/>
        <v>0</v>
      </c>
      <c r="AC118" s="41">
        <f t="shared" si="21"/>
        <v>0</v>
      </c>
      <c r="AD118" s="49" t="s">
        <v>5</v>
      </c>
      <c r="AE118" s="50" t="s">
        <v>116</v>
      </c>
      <c r="AF118" s="49"/>
      <c r="AG118" s="50"/>
      <c r="AH118" s="49"/>
      <c r="AI118" s="50"/>
      <c r="AJ118" s="49"/>
      <c r="AK118" s="50"/>
      <c r="AL118" s="49"/>
      <c r="AM118" s="50"/>
      <c r="AN118" s="49"/>
      <c r="AO118" s="50"/>
      <c r="AP118" s="49"/>
      <c r="AQ118" s="50"/>
      <c r="AR118" s="49" t="s">
        <v>5</v>
      </c>
      <c r="AS118" s="50" t="s">
        <v>142</v>
      </c>
      <c r="AT118" s="49" t="s">
        <v>5</v>
      </c>
      <c r="AU118" s="50" t="s">
        <v>73</v>
      </c>
      <c r="AV118" s="49" t="s">
        <v>1</v>
      </c>
      <c r="AW118" s="50" t="s">
        <v>96</v>
      </c>
      <c r="AX118" s="49" t="s">
        <v>5</v>
      </c>
      <c r="AY118" s="50" t="s">
        <v>103</v>
      </c>
      <c r="AZ118" s="49" t="s">
        <v>5</v>
      </c>
      <c r="BA118" s="50" t="s">
        <v>76</v>
      </c>
      <c r="BB118" s="49"/>
      <c r="BC118" s="50"/>
      <c r="BD118" s="49"/>
      <c r="BE118" s="50"/>
      <c r="BF118" s="49"/>
      <c r="BG118" s="50"/>
      <c r="BH118" s="49" t="s">
        <v>1</v>
      </c>
      <c r="BI118" s="50" t="s">
        <v>422</v>
      </c>
      <c r="BJ118" s="49"/>
      <c r="BK118" s="50"/>
      <c r="BL118" s="49"/>
      <c r="BM118" s="50"/>
      <c r="BN118" s="49" t="s">
        <v>1</v>
      </c>
      <c r="BO118" s="50" t="s">
        <v>96</v>
      </c>
      <c r="BP118" s="49"/>
      <c r="BQ118" s="50"/>
      <c r="BR118" s="49"/>
      <c r="BS118" s="50"/>
      <c r="BT118" s="49"/>
      <c r="BU118" s="50"/>
      <c r="BV118" s="49" t="s">
        <v>1</v>
      </c>
      <c r="BW118" s="50" t="s">
        <v>602</v>
      </c>
      <c r="BX118" s="49" t="s">
        <v>5</v>
      </c>
      <c r="BY118" s="50" t="s">
        <v>133</v>
      </c>
      <c r="BZ118" s="49"/>
      <c r="CA118" s="50"/>
    </row>
    <row r="119" spans="1:79" x14ac:dyDescent="0.25">
      <c r="A119" s="76">
        <v>151916</v>
      </c>
      <c r="B119" s="77" t="s">
        <v>1076</v>
      </c>
      <c r="C119" s="78" t="s">
        <v>952</v>
      </c>
      <c r="D119" s="76" t="s">
        <v>12</v>
      </c>
      <c r="E119" s="79" t="s">
        <v>14</v>
      </c>
      <c r="F119" s="79" t="s">
        <v>71</v>
      </c>
      <c r="G119" s="79" t="s">
        <v>14</v>
      </c>
      <c r="H119" s="79" t="s">
        <v>14</v>
      </c>
      <c r="I119" s="78" t="s">
        <v>14</v>
      </c>
      <c r="J119" s="79" t="s">
        <v>14</v>
      </c>
      <c r="K119" s="142" t="s">
        <v>1850</v>
      </c>
      <c r="L119" s="149" t="s">
        <v>1841</v>
      </c>
      <c r="M119" s="150" t="s">
        <v>1853</v>
      </c>
      <c r="N119" s="151">
        <v>7</v>
      </c>
      <c r="O119" s="151">
        <v>3</v>
      </c>
      <c r="P119" s="152">
        <v>0</v>
      </c>
      <c r="Q119" s="153">
        <v>95.65</v>
      </c>
      <c r="R119" s="154">
        <v>1</v>
      </c>
      <c r="S119" s="38">
        <f t="shared" si="11"/>
        <v>2</v>
      </c>
      <c r="T119" s="39">
        <f t="shared" si="12"/>
        <v>7</v>
      </c>
      <c r="U119" s="40">
        <f t="shared" si="13"/>
        <v>2</v>
      </c>
      <c r="V119" s="40">
        <f t="shared" si="14"/>
        <v>0</v>
      </c>
      <c r="W119" s="40">
        <f t="shared" si="15"/>
        <v>0</v>
      </c>
      <c r="X119" s="40">
        <f t="shared" si="16"/>
        <v>2</v>
      </c>
      <c r="Y119" s="40">
        <f t="shared" si="17"/>
        <v>0</v>
      </c>
      <c r="Z119" s="40">
        <f t="shared" si="18"/>
        <v>0</v>
      </c>
      <c r="AA119" s="40">
        <f t="shared" si="19"/>
        <v>0</v>
      </c>
      <c r="AB119" s="40">
        <f t="shared" si="20"/>
        <v>0</v>
      </c>
      <c r="AC119" s="41">
        <f t="shared" si="21"/>
        <v>0</v>
      </c>
      <c r="AD119" s="49"/>
      <c r="AE119" s="50"/>
      <c r="AF119" s="49" t="s">
        <v>30</v>
      </c>
      <c r="AG119" s="50" t="s">
        <v>154</v>
      </c>
      <c r="AH119" s="49" t="s">
        <v>30</v>
      </c>
      <c r="AI119" s="50" t="s">
        <v>78</v>
      </c>
      <c r="AJ119" s="49" t="s">
        <v>5</v>
      </c>
      <c r="AK119" s="50" t="s">
        <v>714</v>
      </c>
      <c r="AL119" s="49"/>
      <c r="AM119" s="50"/>
      <c r="AN119" s="49"/>
      <c r="AO119" s="50"/>
      <c r="AP119" s="49"/>
      <c r="AQ119" s="50"/>
      <c r="AR119" s="49" t="s">
        <v>5</v>
      </c>
      <c r="AS119" s="50" t="s">
        <v>74</v>
      </c>
      <c r="AT119" s="49"/>
      <c r="AU119" s="50"/>
      <c r="AV119" s="49" t="s">
        <v>5</v>
      </c>
      <c r="AW119" s="50" t="s">
        <v>117</v>
      </c>
      <c r="AX119" s="49"/>
      <c r="AY119" s="50"/>
      <c r="AZ119" s="49"/>
      <c r="BA119" s="50"/>
      <c r="BB119" s="49"/>
      <c r="BC119" s="50"/>
      <c r="BD119" s="49"/>
      <c r="BE119" s="50"/>
      <c r="BF119" s="49"/>
      <c r="BG119" s="50"/>
      <c r="BH119" s="49" t="s">
        <v>1</v>
      </c>
      <c r="BI119" s="50" t="s">
        <v>94</v>
      </c>
      <c r="BJ119" s="49"/>
      <c r="BK119" s="50"/>
      <c r="BL119" s="49"/>
      <c r="BM119" s="50"/>
      <c r="BN119" s="49" t="s">
        <v>5</v>
      </c>
      <c r="BO119" s="50" t="s">
        <v>107</v>
      </c>
      <c r="BP119" s="49" t="s">
        <v>1</v>
      </c>
      <c r="BQ119" s="50" t="s">
        <v>107</v>
      </c>
      <c r="BR119" s="49" t="s">
        <v>5</v>
      </c>
      <c r="BS119" s="50" t="s">
        <v>140</v>
      </c>
      <c r="BT119" s="49"/>
      <c r="BU119" s="50"/>
      <c r="BV119" s="49" t="s">
        <v>5</v>
      </c>
      <c r="BW119" s="50" t="s">
        <v>132</v>
      </c>
      <c r="BX119" s="49"/>
      <c r="BY119" s="50"/>
      <c r="BZ119" s="49" t="s">
        <v>5</v>
      </c>
      <c r="CA119" s="50" t="s">
        <v>124</v>
      </c>
    </row>
    <row r="120" spans="1:79" x14ac:dyDescent="0.25">
      <c r="A120" s="76">
        <v>151859</v>
      </c>
      <c r="B120" s="77" t="s">
        <v>1077</v>
      </c>
      <c r="C120" s="78" t="s">
        <v>970</v>
      </c>
      <c r="D120" s="76" t="s">
        <v>70</v>
      </c>
      <c r="E120" s="79" t="s">
        <v>14</v>
      </c>
      <c r="F120" s="79" t="s">
        <v>71</v>
      </c>
      <c r="G120" s="79" t="s">
        <v>14</v>
      </c>
      <c r="H120" s="79" t="s">
        <v>14</v>
      </c>
      <c r="I120" s="78" t="s">
        <v>14</v>
      </c>
      <c r="J120" s="79" t="s">
        <v>14</v>
      </c>
      <c r="K120" s="142" t="s">
        <v>1850</v>
      </c>
      <c r="L120" s="149" t="s">
        <v>1844</v>
      </c>
      <c r="M120" s="150" t="s">
        <v>12</v>
      </c>
      <c r="N120" s="151">
        <v>11</v>
      </c>
      <c r="O120" s="151">
        <v>1</v>
      </c>
      <c r="P120" s="152">
        <v>0</v>
      </c>
      <c r="Q120" s="153">
        <v>97.83</v>
      </c>
      <c r="R120" s="154">
        <v>0</v>
      </c>
      <c r="S120" s="38">
        <f t="shared" si="11"/>
        <v>0</v>
      </c>
      <c r="T120" s="39">
        <f t="shared" si="12"/>
        <v>10</v>
      </c>
      <c r="U120" s="40">
        <f t="shared" si="13"/>
        <v>0</v>
      </c>
      <c r="V120" s="40">
        <f t="shared" si="14"/>
        <v>0</v>
      </c>
      <c r="W120" s="40">
        <f t="shared" si="15"/>
        <v>0</v>
      </c>
      <c r="X120" s="40">
        <f t="shared" si="16"/>
        <v>0</v>
      </c>
      <c r="Y120" s="40">
        <f t="shared" si="17"/>
        <v>0</v>
      </c>
      <c r="Z120" s="40">
        <f t="shared" si="18"/>
        <v>0</v>
      </c>
      <c r="AA120" s="40">
        <f t="shared" si="19"/>
        <v>0</v>
      </c>
      <c r="AB120" s="40">
        <f t="shared" si="20"/>
        <v>0</v>
      </c>
      <c r="AC120" s="41">
        <f t="shared" si="21"/>
        <v>0</v>
      </c>
      <c r="AD120" s="49"/>
      <c r="AE120" s="50"/>
      <c r="AF120" s="49"/>
      <c r="AG120" s="50"/>
      <c r="AH120" s="49"/>
      <c r="AI120" s="50"/>
      <c r="AJ120" s="49"/>
      <c r="AK120" s="50"/>
      <c r="AL120" s="49"/>
      <c r="AM120" s="50"/>
      <c r="AN120" s="49"/>
      <c r="AO120" s="50"/>
      <c r="AP120" s="49" t="s">
        <v>5</v>
      </c>
      <c r="AQ120" s="50" t="s">
        <v>101</v>
      </c>
      <c r="AR120" s="49" t="s">
        <v>5</v>
      </c>
      <c r="AS120" s="50" t="s">
        <v>151</v>
      </c>
      <c r="AT120" s="49"/>
      <c r="AU120" s="50"/>
      <c r="AV120" s="49" t="s">
        <v>5</v>
      </c>
      <c r="AW120" s="50" t="s">
        <v>140</v>
      </c>
      <c r="AX120" s="49"/>
      <c r="AY120" s="50"/>
      <c r="AZ120" s="49" t="s">
        <v>5</v>
      </c>
      <c r="BA120" s="50" t="s">
        <v>76</v>
      </c>
      <c r="BB120" s="49"/>
      <c r="BC120" s="50"/>
      <c r="BD120" s="49"/>
      <c r="BE120" s="50"/>
      <c r="BF120" s="49"/>
      <c r="BG120" s="50"/>
      <c r="BH120" s="49" t="s">
        <v>5</v>
      </c>
      <c r="BI120" s="50" t="s">
        <v>422</v>
      </c>
      <c r="BJ120" s="49"/>
      <c r="BK120" s="50"/>
      <c r="BL120" s="49" t="s">
        <v>5</v>
      </c>
      <c r="BM120" s="50" t="s">
        <v>116</v>
      </c>
      <c r="BN120" s="49" t="s">
        <v>5</v>
      </c>
      <c r="BO120" s="50" t="s">
        <v>152</v>
      </c>
      <c r="BP120" s="49"/>
      <c r="BQ120" s="50"/>
      <c r="BR120" s="49"/>
      <c r="BS120" s="50"/>
      <c r="BT120" s="49"/>
      <c r="BU120" s="50"/>
      <c r="BV120" s="49" t="s">
        <v>5</v>
      </c>
      <c r="BW120" s="50" t="s">
        <v>122</v>
      </c>
      <c r="BX120" s="49" t="s">
        <v>5</v>
      </c>
      <c r="BY120" s="50" t="s">
        <v>137</v>
      </c>
      <c r="BZ120" s="49" t="s">
        <v>5</v>
      </c>
      <c r="CA120" s="50" t="s">
        <v>124</v>
      </c>
    </row>
    <row r="121" spans="1:79" x14ac:dyDescent="0.25">
      <c r="A121" s="76">
        <v>151896</v>
      </c>
      <c r="B121" s="77" t="s">
        <v>1078</v>
      </c>
      <c r="C121" s="78" t="s">
        <v>963</v>
      </c>
      <c r="D121" s="76" t="s">
        <v>12</v>
      </c>
      <c r="E121" s="79" t="s">
        <v>14</v>
      </c>
      <c r="F121" s="79" t="s">
        <v>184</v>
      </c>
      <c r="G121" s="79" t="s">
        <v>87</v>
      </c>
      <c r="H121" s="79" t="s">
        <v>14</v>
      </c>
      <c r="I121" s="78" t="s">
        <v>14</v>
      </c>
      <c r="J121" s="79" t="s">
        <v>14</v>
      </c>
      <c r="K121" s="142" t="s">
        <v>1850</v>
      </c>
      <c r="L121" s="149" t="s">
        <v>1846</v>
      </c>
      <c r="M121" s="150" t="s">
        <v>1853</v>
      </c>
      <c r="N121" s="151">
        <v>14</v>
      </c>
      <c r="O121" s="151">
        <v>0</v>
      </c>
      <c r="P121" s="152">
        <v>0</v>
      </c>
      <c r="Q121" s="153">
        <v>97.83</v>
      </c>
      <c r="R121" s="154">
        <v>0</v>
      </c>
      <c r="S121" s="38">
        <f t="shared" si="11"/>
        <v>5</v>
      </c>
      <c r="T121" s="39">
        <f t="shared" si="12"/>
        <v>6</v>
      </c>
      <c r="U121" s="40">
        <f t="shared" si="13"/>
        <v>0</v>
      </c>
      <c r="V121" s="40">
        <f t="shared" si="14"/>
        <v>0</v>
      </c>
      <c r="W121" s="40">
        <f t="shared" si="15"/>
        <v>0</v>
      </c>
      <c r="X121" s="40">
        <f t="shared" si="16"/>
        <v>0</v>
      </c>
      <c r="Y121" s="40">
        <f t="shared" si="17"/>
        <v>0</v>
      </c>
      <c r="Z121" s="40">
        <f t="shared" si="18"/>
        <v>0</v>
      </c>
      <c r="AA121" s="40">
        <f t="shared" si="19"/>
        <v>0</v>
      </c>
      <c r="AB121" s="40">
        <f t="shared" si="20"/>
        <v>0</v>
      </c>
      <c r="AC121" s="41">
        <f t="shared" si="21"/>
        <v>0</v>
      </c>
      <c r="AD121" s="49"/>
      <c r="AE121" s="50"/>
      <c r="AF121" s="49" t="s">
        <v>1</v>
      </c>
      <c r="AG121" s="50" t="s">
        <v>433</v>
      </c>
      <c r="AH121" s="49"/>
      <c r="AI121" s="50"/>
      <c r="AJ121" s="49" t="s">
        <v>5</v>
      </c>
      <c r="AK121" s="50" t="s">
        <v>419</v>
      </c>
      <c r="AL121" s="49"/>
      <c r="AM121" s="50"/>
      <c r="AN121" s="49" t="s">
        <v>1</v>
      </c>
      <c r="AO121" s="50" t="s">
        <v>163</v>
      </c>
      <c r="AP121" s="49"/>
      <c r="AQ121" s="50"/>
      <c r="AR121" s="49" t="s">
        <v>5</v>
      </c>
      <c r="AS121" s="50" t="s">
        <v>169</v>
      </c>
      <c r="AT121" s="49"/>
      <c r="AU121" s="50"/>
      <c r="AV121" s="49" t="s">
        <v>1</v>
      </c>
      <c r="AW121" s="50" t="s">
        <v>495</v>
      </c>
      <c r="AX121" s="49" t="s">
        <v>5</v>
      </c>
      <c r="AY121" s="50" t="s">
        <v>143</v>
      </c>
      <c r="AZ121" s="49"/>
      <c r="BA121" s="50"/>
      <c r="BB121" s="49"/>
      <c r="BC121" s="50"/>
      <c r="BD121" s="49" t="s">
        <v>1</v>
      </c>
      <c r="BE121" s="50" t="s">
        <v>132</v>
      </c>
      <c r="BF121" s="49"/>
      <c r="BG121" s="50"/>
      <c r="BH121" s="49" t="s">
        <v>5</v>
      </c>
      <c r="BI121" s="50" t="s">
        <v>711</v>
      </c>
      <c r="BJ121" s="49"/>
      <c r="BK121" s="50"/>
      <c r="BL121" s="49"/>
      <c r="BM121" s="50"/>
      <c r="BN121" s="49" t="s">
        <v>1</v>
      </c>
      <c r="BO121" s="50" t="s">
        <v>107</v>
      </c>
      <c r="BP121" s="49"/>
      <c r="BQ121" s="50"/>
      <c r="BR121" s="49" t="s">
        <v>5</v>
      </c>
      <c r="BS121" s="50" t="s">
        <v>140</v>
      </c>
      <c r="BT121" s="49"/>
      <c r="BU121" s="50"/>
      <c r="BV121" s="49" t="s">
        <v>5</v>
      </c>
      <c r="BW121" s="50" t="s">
        <v>132</v>
      </c>
      <c r="BX121" s="49"/>
      <c r="BY121" s="50"/>
      <c r="BZ121" s="49"/>
      <c r="CA121" s="50"/>
    </row>
    <row r="122" spans="1:79" x14ac:dyDescent="0.25">
      <c r="A122" s="76">
        <v>151797</v>
      </c>
      <c r="B122" s="77" t="s">
        <v>1079</v>
      </c>
      <c r="C122" s="78" t="s">
        <v>963</v>
      </c>
      <c r="D122" s="76" t="s">
        <v>12</v>
      </c>
      <c r="E122" s="79" t="s">
        <v>14</v>
      </c>
      <c r="F122" s="79" t="s">
        <v>150</v>
      </c>
      <c r="G122" s="79" t="s">
        <v>87</v>
      </c>
      <c r="H122" s="79" t="s">
        <v>14</v>
      </c>
      <c r="I122" s="78" t="s">
        <v>14</v>
      </c>
      <c r="J122" s="79" t="s">
        <v>14</v>
      </c>
      <c r="K122" s="142" t="s">
        <v>1850</v>
      </c>
      <c r="L122" s="149" t="s">
        <v>1845</v>
      </c>
      <c r="M122" s="150" t="s">
        <v>12</v>
      </c>
      <c r="N122" s="151">
        <v>14</v>
      </c>
      <c r="O122" s="151">
        <v>0</v>
      </c>
      <c r="P122" s="152">
        <v>2</v>
      </c>
      <c r="Q122" s="153">
        <v>97.83</v>
      </c>
      <c r="R122" s="154">
        <v>0</v>
      </c>
      <c r="S122" s="38">
        <f t="shared" si="11"/>
        <v>1</v>
      </c>
      <c r="T122" s="39">
        <f t="shared" si="12"/>
        <v>8</v>
      </c>
      <c r="U122" s="40">
        <f t="shared" si="13"/>
        <v>0</v>
      </c>
      <c r="V122" s="40">
        <f t="shared" si="14"/>
        <v>0</v>
      </c>
      <c r="W122" s="40">
        <f t="shared" si="15"/>
        <v>1</v>
      </c>
      <c r="X122" s="40">
        <f t="shared" si="16"/>
        <v>1</v>
      </c>
      <c r="Y122" s="40">
        <f t="shared" si="17"/>
        <v>0</v>
      </c>
      <c r="Z122" s="40">
        <f t="shared" si="18"/>
        <v>0</v>
      </c>
      <c r="AA122" s="40">
        <f t="shared" si="19"/>
        <v>0</v>
      </c>
      <c r="AB122" s="40">
        <f t="shared" si="20"/>
        <v>0</v>
      </c>
      <c r="AC122" s="41">
        <f t="shared" si="21"/>
        <v>0</v>
      </c>
      <c r="AD122" s="49"/>
      <c r="AE122" s="50"/>
      <c r="AF122" s="49"/>
      <c r="AG122" s="50"/>
      <c r="AH122" s="49"/>
      <c r="AI122" s="50"/>
      <c r="AJ122" s="49"/>
      <c r="AK122" s="50"/>
      <c r="AL122" s="49"/>
      <c r="AM122" s="50"/>
      <c r="AN122" s="49" t="s">
        <v>32</v>
      </c>
      <c r="AO122" s="50" t="s">
        <v>163</v>
      </c>
      <c r="AP122" s="49"/>
      <c r="AQ122" s="50"/>
      <c r="AR122" s="49" t="s">
        <v>5</v>
      </c>
      <c r="AS122" s="50" t="s">
        <v>91</v>
      </c>
      <c r="AT122" s="49"/>
      <c r="AU122" s="50"/>
      <c r="AV122" s="49" t="s">
        <v>5</v>
      </c>
      <c r="AW122" s="50" t="s">
        <v>495</v>
      </c>
      <c r="AX122" s="49" t="s">
        <v>5</v>
      </c>
      <c r="AY122" s="50" t="s">
        <v>143</v>
      </c>
      <c r="AZ122" s="49"/>
      <c r="BA122" s="50"/>
      <c r="BB122" s="49"/>
      <c r="BC122" s="50"/>
      <c r="BD122" s="49"/>
      <c r="BE122" s="50"/>
      <c r="BF122" s="49" t="s">
        <v>5</v>
      </c>
      <c r="BG122" s="50" t="s">
        <v>105</v>
      </c>
      <c r="BH122" s="49" t="s">
        <v>1</v>
      </c>
      <c r="BI122" s="50" t="s">
        <v>79</v>
      </c>
      <c r="BJ122" s="49"/>
      <c r="BK122" s="50"/>
      <c r="BL122" s="49"/>
      <c r="BM122" s="50"/>
      <c r="BN122" s="49" t="s">
        <v>5</v>
      </c>
      <c r="BO122" s="50" t="s">
        <v>107</v>
      </c>
      <c r="BP122" s="49"/>
      <c r="BQ122" s="50"/>
      <c r="BR122" s="49"/>
      <c r="BS122" s="50"/>
      <c r="BT122" s="49" t="s">
        <v>5</v>
      </c>
      <c r="BU122" s="50" t="s">
        <v>117</v>
      </c>
      <c r="BV122" s="49" t="s">
        <v>5</v>
      </c>
      <c r="BW122" s="50" t="s">
        <v>82</v>
      </c>
      <c r="BX122" s="49" t="s">
        <v>5</v>
      </c>
      <c r="BY122" s="50" t="s">
        <v>137</v>
      </c>
      <c r="BZ122" s="49"/>
      <c r="CA122" s="50"/>
    </row>
    <row r="123" spans="1:79" x14ac:dyDescent="0.25">
      <c r="A123" s="76">
        <v>151927</v>
      </c>
      <c r="B123" s="77" t="s">
        <v>1080</v>
      </c>
      <c r="C123" s="78" t="s">
        <v>961</v>
      </c>
      <c r="D123" s="76" t="s">
        <v>12</v>
      </c>
      <c r="E123" s="79" t="s">
        <v>14</v>
      </c>
      <c r="F123" s="79" t="s">
        <v>71</v>
      </c>
      <c r="G123" s="79" t="s">
        <v>14</v>
      </c>
      <c r="H123" s="79" t="s">
        <v>14</v>
      </c>
      <c r="I123" s="78" t="s">
        <v>14</v>
      </c>
      <c r="J123" s="79" t="s">
        <v>14</v>
      </c>
      <c r="K123" s="142" t="s">
        <v>1851</v>
      </c>
      <c r="L123" s="149" t="s">
        <v>1848</v>
      </c>
      <c r="M123" s="150" t="s">
        <v>1852</v>
      </c>
      <c r="N123" s="151">
        <v>23</v>
      </c>
      <c r="O123" s="151">
        <v>0</v>
      </c>
      <c r="P123" s="152">
        <v>2</v>
      </c>
      <c r="Q123" s="153">
        <v>100</v>
      </c>
      <c r="R123" s="154">
        <v>5</v>
      </c>
      <c r="S123" s="38">
        <f t="shared" si="11"/>
        <v>2</v>
      </c>
      <c r="T123" s="39">
        <f t="shared" si="12"/>
        <v>8</v>
      </c>
      <c r="U123" s="40">
        <f t="shared" si="13"/>
        <v>0</v>
      </c>
      <c r="V123" s="40">
        <f t="shared" si="14"/>
        <v>0</v>
      </c>
      <c r="W123" s="40">
        <f t="shared" si="15"/>
        <v>0</v>
      </c>
      <c r="X123" s="40">
        <f t="shared" si="16"/>
        <v>0</v>
      </c>
      <c r="Y123" s="40">
        <f t="shared" si="17"/>
        <v>0</v>
      </c>
      <c r="Z123" s="40">
        <f t="shared" si="18"/>
        <v>0</v>
      </c>
      <c r="AA123" s="40">
        <f t="shared" si="19"/>
        <v>0</v>
      </c>
      <c r="AB123" s="40">
        <f t="shared" si="20"/>
        <v>0</v>
      </c>
      <c r="AC123" s="41">
        <f t="shared" si="21"/>
        <v>0</v>
      </c>
      <c r="AD123" s="49"/>
      <c r="AE123" s="50"/>
      <c r="AF123" s="49"/>
      <c r="AG123" s="50"/>
      <c r="AH123" s="49"/>
      <c r="AI123" s="50"/>
      <c r="AJ123" s="49"/>
      <c r="AK123" s="50"/>
      <c r="AL123" s="49"/>
      <c r="AM123" s="50"/>
      <c r="AN123" s="49"/>
      <c r="AO123" s="50"/>
      <c r="AP123" s="49"/>
      <c r="AQ123" s="50"/>
      <c r="AR123" s="49" t="s">
        <v>5</v>
      </c>
      <c r="AS123" s="50" t="s">
        <v>111</v>
      </c>
      <c r="AT123" s="49"/>
      <c r="AU123" s="50"/>
      <c r="AV123" s="49" t="s">
        <v>5</v>
      </c>
      <c r="AW123" s="50" t="s">
        <v>139</v>
      </c>
      <c r="AX123" s="49"/>
      <c r="AY123" s="50"/>
      <c r="AZ123" s="49" t="s">
        <v>5</v>
      </c>
      <c r="BA123" s="50" t="s">
        <v>76</v>
      </c>
      <c r="BB123" s="49"/>
      <c r="BC123" s="50"/>
      <c r="BD123" s="49"/>
      <c r="BE123" s="50"/>
      <c r="BF123" s="49"/>
      <c r="BG123" s="50"/>
      <c r="BH123" s="49" t="s">
        <v>5</v>
      </c>
      <c r="BI123" s="50" t="s">
        <v>422</v>
      </c>
      <c r="BJ123" s="49"/>
      <c r="BK123" s="50"/>
      <c r="BL123" s="49"/>
      <c r="BM123" s="50"/>
      <c r="BN123" s="49" t="s">
        <v>1</v>
      </c>
      <c r="BO123" s="50" t="s">
        <v>107</v>
      </c>
      <c r="BP123" s="49" t="s">
        <v>1</v>
      </c>
      <c r="BQ123" s="50" t="s">
        <v>107</v>
      </c>
      <c r="BR123" s="49"/>
      <c r="BS123" s="50"/>
      <c r="BT123" s="49" t="s">
        <v>5</v>
      </c>
      <c r="BU123" s="50" t="s">
        <v>117</v>
      </c>
      <c r="BV123" s="49" t="s">
        <v>5</v>
      </c>
      <c r="BW123" s="50" t="s">
        <v>602</v>
      </c>
      <c r="BX123" s="49" t="s">
        <v>5</v>
      </c>
      <c r="BY123" s="50" t="s">
        <v>133</v>
      </c>
      <c r="BZ123" s="49" t="s">
        <v>5</v>
      </c>
      <c r="CA123" s="50" t="s">
        <v>84</v>
      </c>
    </row>
    <row r="124" spans="1:79" x14ac:dyDescent="0.25">
      <c r="A124" s="76">
        <v>151857</v>
      </c>
      <c r="B124" s="77" t="s">
        <v>1081</v>
      </c>
      <c r="C124" s="78" t="s">
        <v>963</v>
      </c>
      <c r="D124" s="76" t="s">
        <v>12</v>
      </c>
      <c r="E124" s="79" t="s">
        <v>14</v>
      </c>
      <c r="F124" s="79" t="s">
        <v>71</v>
      </c>
      <c r="G124" s="79" t="s">
        <v>14</v>
      </c>
      <c r="H124" s="79" t="s">
        <v>14</v>
      </c>
      <c r="I124" s="78" t="s">
        <v>14</v>
      </c>
      <c r="J124" s="79" t="s">
        <v>14</v>
      </c>
      <c r="K124" s="142" t="s">
        <v>1850</v>
      </c>
      <c r="L124" s="149" t="s">
        <v>1841</v>
      </c>
      <c r="M124" s="150" t="s">
        <v>1853</v>
      </c>
      <c r="N124" s="151">
        <v>9</v>
      </c>
      <c r="O124" s="151">
        <v>0</v>
      </c>
      <c r="P124" s="152">
        <v>0</v>
      </c>
      <c r="Q124" s="153">
        <v>91.3</v>
      </c>
      <c r="R124" s="154">
        <v>1</v>
      </c>
      <c r="S124" s="38">
        <f t="shared" si="11"/>
        <v>1</v>
      </c>
      <c r="T124" s="39">
        <f t="shared" si="12"/>
        <v>10</v>
      </c>
      <c r="U124" s="40">
        <f t="shared" si="13"/>
        <v>0</v>
      </c>
      <c r="V124" s="40">
        <f t="shared" si="14"/>
        <v>0</v>
      </c>
      <c r="W124" s="40">
        <f t="shared" si="15"/>
        <v>0</v>
      </c>
      <c r="X124" s="40">
        <f t="shared" si="16"/>
        <v>0</v>
      </c>
      <c r="Y124" s="40">
        <f t="shared" si="17"/>
        <v>0</v>
      </c>
      <c r="Z124" s="40">
        <f t="shared" si="18"/>
        <v>0</v>
      </c>
      <c r="AA124" s="40">
        <f t="shared" si="19"/>
        <v>0</v>
      </c>
      <c r="AB124" s="40">
        <f t="shared" si="20"/>
        <v>0</v>
      </c>
      <c r="AC124" s="41">
        <f t="shared" si="21"/>
        <v>0</v>
      </c>
      <c r="AD124" s="49"/>
      <c r="AE124" s="50"/>
      <c r="AF124" s="49" t="s">
        <v>5</v>
      </c>
      <c r="AG124" s="50" t="s">
        <v>433</v>
      </c>
      <c r="AH124" s="49"/>
      <c r="AI124" s="50"/>
      <c r="AJ124" s="49" t="s">
        <v>5</v>
      </c>
      <c r="AK124" s="50" t="s">
        <v>419</v>
      </c>
      <c r="AL124" s="49"/>
      <c r="AM124" s="50"/>
      <c r="AN124" s="49"/>
      <c r="AO124" s="50"/>
      <c r="AP124" s="49"/>
      <c r="AQ124" s="50"/>
      <c r="AR124" s="49" t="s">
        <v>5</v>
      </c>
      <c r="AS124" s="50" t="s">
        <v>74</v>
      </c>
      <c r="AT124" s="49"/>
      <c r="AU124" s="50"/>
      <c r="AV124" s="49" t="s">
        <v>5</v>
      </c>
      <c r="AW124" s="50" t="s">
        <v>495</v>
      </c>
      <c r="AX124" s="49" t="s">
        <v>5</v>
      </c>
      <c r="AY124" s="50" t="s">
        <v>143</v>
      </c>
      <c r="AZ124" s="49" t="s">
        <v>5</v>
      </c>
      <c r="BA124" s="50" t="s">
        <v>76</v>
      </c>
      <c r="BB124" s="49"/>
      <c r="BC124" s="50"/>
      <c r="BD124" s="49"/>
      <c r="BE124" s="50"/>
      <c r="BF124" s="49"/>
      <c r="BG124" s="50"/>
      <c r="BH124" s="49" t="s">
        <v>5</v>
      </c>
      <c r="BI124" s="50" t="s">
        <v>711</v>
      </c>
      <c r="BJ124" s="49"/>
      <c r="BK124" s="50"/>
      <c r="BL124" s="49"/>
      <c r="BM124" s="50"/>
      <c r="BN124" s="49" t="s">
        <v>5</v>
      </c>
      <c r="BO124" s="50" t="s">
        <v>107</v>
      </c>
      <c r="BP124" s="49" t="s">
        <v>1</v>
      </c>
      <c r="BQ124" s="50" t="s">
        <v>107</v>
      </c>
      <c r="BR124" s="49" t="s">
        <v>5</v>
      </c>
      <c r="BS124" s="50" t="s">
        <v>140</v>
      </c>
      <c r="BT124" s="49"/>
      <c r="BU124" s="50"/>
      <c r="BV124" s="49" t="s">
        <v>5</v>
      </c>
      <c r="BW124" s="50" t="s">
        <v>132</v>
      </c>
      <c r="BX124" s="49"/>
      <c r="BY124" s="50"/>
      <c r="BZ124" s="49"/>
      <c r="CA124" s="50"/>
    </row>
    <row r="125" spans="1:79" x14ac:dyDescent="0.25">
      <c r="A125" s="76">
        <v>151900</v>
      </c>
      <c r="B125" s="77" t="s">
        <v>1082</v>
      </c>
      <c r="C125" s="78" t="s">
        <v>963</v>
      </c>
      <c r="D125" s="76" t="s">
        <v>70</v>
      </c>
      <c r="E125" s="79" t="s">
        <v>14</v>
      </c>
      <c r="F125" s="79" t="s">
        <v>71</v>
      </c>
      <c r="G125" s="79" t="s">
        <v>14</v>
      </c>
      <c r="H125" s="79" t="s">
        <v>14</v>
      </c>
      <c r="I125" s="78" t="s">
        <v>14</v>
      </c>
      <c r="J125" s="79" t="s">
        <v>14</v>
      </c>
      <c r="K125" s="142" t="s">
        <v>1850</v>
      </c>
      <c r="L125" s="149" t="s">
        <v>1842</v>
      </c>
      <c r="M125" s="150" t="s">
        <v>12</v>
      </c>
      <c r="N125" s="151">
        <v>20</v>
      </c>
      <c r="O125" s="151">
        <v>0</v>
      </c>
      <c r="P125" s="152">
        <v>0</v>
      </c>
      <c r="Q125" s="153">
        <v>100</v>
      </c>
      <c r="R125" s="154">
        <v>0</v>
      </c>
      <c r="S125" s="38">
        <f t="shared" si="11"/>
        <v>5</v>
      </c>
      <c r="T125" s="39">
        <f t="shared" si="12"/>
        <v>6</v>
      </c>
      <c r="U125" s="40">
        <f t="shared" si="13"/>
        <v>0</v>
      </c>
      <c r="V125" s="40">
        <f t="shared" si="14"/>
        <v>0</v>
      </c>
      <c r="W125" s="40">
        <f t="shared" si="15"/>
        <v>0</v>
      </c>
      <c r="X125" s="40">
        <f t="shared" si="16"/>
        <v>0</v>
      </c>
      <c r="Y125" s="40">
        <f t="shared" si="17"/>
        <v>0</v>
      </c>
      <c r="Z125" s="40">
        <f t="shared" si="18"/>
        <v>0</v>
      </c>
      <c r="AA125" s="40">
        <f t="shared" si="19"/>
        <v>0</v>
      </c>
      <c r="AB125" s="40">
        <f t="shared" si="20"/>
        <v>0</v>
      </c>
      <c r="AC125" s="41">
        <f t="shared" si="21"/>
        <v>0</v>
      </c>
      <c r="AD125" s="49"/>
      <c r="AE125" s="50"/>
      <c r="AF125" s="49" t="s">
        <v>1</v>
      </c>
      <c r="AG125" s="50" t="s">
        <v>438</v>
      </c>
      <c r="AH125" s="49"/>
      <c r="AI125" s="50"/>
      <c r="AJ125" s="49" t="s">
        <v>1</v>
      </c>
      <c r="AK125" s="50" t="s">
        <v>83</v>
      </c>
      <c r="AL125" s="49"/>
      <c r="AM125" s="50"/>
      <c r="AN125" s="49"/>
      <c r="AO125" s="50"/>
      <c r="AP125" s="49"/>
      <c r="AQ125" s="50"/>
      <c r="AR125" s="49" t="s">
        <v>5</v>
      </c>
      <c r="AS125" s="50" t="s">
        <v>151</v>
      </c>
      <c r="AT125" s="49"/>
      <c r="AU125" s="50"/>
      <c r="AV125" s="49" t="s">
        <v>5</v>
      </c>
      <c r="AW125" s="50" t="s">
        <v>495</v>
      </c>
      <c r="AX125" s="49" t="s">
        <v>5</v>
      </c>
      <c r="AY125" s="50" t="s">
        <v>103</v>
      </c>
      <c r="AZ125" s="49" t="s">
        <v>1</v>
      </c>
      <c r="BA125" s="50" t="s">
        <v>92</v>
      </c>
      <c r="BB125" s="49"/>
      <c r="BC125" s="50"/>
      <c r="BD125" s="49"/>
      <c r="BE125" s="50"/>
      <c r="BF125" s="49"/>
      <c r="BG125" s="50"/>
      <c r="BH125" s="49" t="s">
        <v>5</v>
      </c>
      <c r="BI125" s="50" t="s">
        <v>112</v>
      </c>
      <c r="BJ125" s="49"/>
      <c r="BK125" s="50"/>
      <c r="BL125" s="49"/>
      <c r="BM125" s="50"/>
      <c r="BN125" s="49" t="s">
        <v>5</v>
      </c>
      <c r="BO125" s="50" t="s">
        <v>81</v>
      </c>
      <c r="BP125" s="49" t="s">
        <v>1</v>
      </c>
      <c r="BQ125" s="50" t="s">
        <v>107</v>
      </c>
      <c r="BR125" s="49" t="s">
        <v>5</v>
      </c>
      <c r="BS125" s="50" t="s">
        <v>123</v>
      </c>
      <c r="BT125" s="49"/>
      <c r="BU125" s="50"/>
      <c r="BV125" s="49" t="s">
        <v>1</v>
      </c>
      <c r="BW125" s="50" t="s">
        <v>715</v>
      </c>
      <c r="BX125" s="49"/>
      <c r="BY125" s="50"/>
      <c r="BZ125" s="49"/>
      <c r="CA125" s="50"/>
    </row>
    <row r="126" spans="1:79" x14ac:dyDescent="0.25">
      <c r="A126" s="76">
        <v>151777</v>
      </c>
      <c r="B126" s="77" t="s">
        <v>1083</v>
      </c>
      <c r="C126" s="78" t="s">
        <v>961</v>
      </c>
      <c r="D126" s="76" t="s">
        <v>12</v>
      </c>
      <c r="E126" s="79" t="s">
        <v>14</v>
      </c>
      <c r="F126" s="79" t="s">
        <v>71</v>
      </c>
      <c r="G126" s="79" t="s">
        <v>14</v>
      </c>
      <c r="H126" s="79" t="s">
        <v>14</v>
      </c>
      <c r="I126" s="78" t="s">
        <v>14</v>
      </c>
      <c r="J126" s="79" t="s">
        <v>14</v>
      </c>
      <c r="K126" s="142" t="s">
        <v>1850</v>
      </c>
      <c r="L126" s="149" t="s">
        <v>1842</v>
      </c>
      <c r="M126" s="150" t="s">
        <v>12</v>
      </c>
      <c r="N126" s="151">
        <v>4</v>
      </c>
      <c r="O126" s="151">
        <v>0</v>
      </c>
      <c r="P126" s="152">
        <v>0</v>
      </c>
      <c r="Q126" s="153">
        <v>54.35</v>
      </c>
      <c r="R126" s="154">
        <v>0</v>
      </c>
      <c r="S126" s="38">
        <f t="shared" si="11"/>
        <v>1</v>
      </c>
      <c r="T126" s="39">
        <f t="shared" si="12"/>
        <v>8</v>
      </c>
      <c r="U126" s="40">
        <f t="shared" si="13"/>
        <v>0</v>
      </c>
      <c r="V126" s="40">
        <f t="shared" si="14"/>
        <v>0</v>
      </c>
      <c r="W126" s="40">
        <f t="shared" si="15"/>
        <v>0</v>
      </c>
      <c r="X126" s="40">
        <f t="shared" si="16"/>
        <v>0</v>
      </c>
      <c r="Y126" s="40">
        <f t="shared" si="17"/>
        <v>0</v>
      </c>
      <c r="Z126" s="40">
        <f t="shared" si="18"/>
        <v>0</v>
      </c>
      <c r="AA126" s="40">
        <f t="shared" si="19"/>
        <v>0</v>
      </c>
      <c r="AB126" s="40">
        <f t="shared" si="20"/>
        <v>0</v>
      </c>
      <c r="AC126" s="41">
        <f t="shared" si="21"/>
        <v>0</v>
      </c>
      <c r="AD126" s="49"/>
      <c r="AE126" s="50"/>
      <c r="AF126" s="49" t="s">
        <v>189</v>
      </c>
      <c r="AG126" s="50" t="s">
        <v>154</v>
      </c>
      <c r="AH126" s="49" t="s">
        <v>1</v>
      </c>
      <c r="AI126" s="50" t="s">
        <v>78</v>
      </c>
      <c r="AJ126" s="49" t="s">
        <v>5</v>
      </c>
      <c r="AK126" s="50" t="s">
        <v>714</v>
      </c>
      <c r="AL126" s="49"/>
      <c r="AM126" s="50"/>
      <c r="AN126" s="49" t="s">
        <v>5</v>
      </c>
      <c r="AO126" s="50" t="s">
        <v>163</v>
      </c>
      <c r="AP126" s="49"/>
      <c r="AQ126" s="50"/>
      <c r="AR126" s="49" t="s">
        <v>5</v>
      </c>
      <c r="AS126" s="50" t="s">
        <v>151</v>
      </c>
      <c r="AT126" s="49"/>
      <c r="AU126" s="50"/>
      <c r="AV126" s="49" t="s">
        <v>5</v>
      </c>
      <c r="AW126" s="50" t="s">
        <v>139</v>
      </c>
      <c r="AX126" s="49"/>
      <c r="AY126" s="50"/>
      <c r="AZ126" s="49"/>
      <c r="BA126" s="50"/>
      <c r="BB126" s="49"/>
      <c r="BC126" s="50"/>
      <c r="BD126" s="49"/>
      <c r="BE126" s="50"/>
      <c r="BF126" s="49"/>
      <c r="BG126" s="50"/>
      <c r="BH126" s="49" t="s">
        <v>5</v>
      </c>
      <c r="BI126" s="50" t="s">
        <v>711</v>
      </c>
      <c r="BJ126" s="49"/>
      <c r="BK126" s="50"/>
      <c r="BL126" s="49"/>
      <c r="BM126" s="50"/>
      <c r="BN126" s="49"/>
      <c r="BO126" s="50" t="s">
        <v>107</v>
      </c>
      <c r="BP126" s="49"/>
      <c r="BQ126" s="50"/>
      <c r="BR126" s="49" t="s">
        <v>5</v>
      </c>
      <c r="BS126" s="50" t="s">
        <v>140</v>
      </c>
      <c r="BT126" s="49"/>
      <c r="BU126" s="50"/>
      <c r="BV126" s="49" t="s">
        <v>5</v>
      </c>
      <c r="BW126" s="50" t="s">
        <v>132</v>
      </c>
      <c r="BX126" s="49"/>
      <c r="BY126" s="50"/>
      <c r="BZ126" s="49" t="s">
        <v>5</v>
      </c>
      <c r="CA126" s="50" t="s">
        <v>75</v>
      </c>
    </row>
    <row r="127" spans="1:79" x14ac:dyDescent="0.25">
      <c r="A127" s="76">
        <v>151829</v>
      </c>
      <c r="B127" s="77" t="s">
        <v>1084</v>
      </c>
      <c r="C127" s="78" t="s">
        <v>961</v>
      </c>
      <c r="D127" s="76" t="s">
        <v>70</v>
      </c>
      <c r="E127" s="79" t="s">
        <v>14</v>
      </c>
      <c r="F127" s="79" t="s">
        <v>71</v>
      </c>
      <c r="G127" s="79" t="s">
        <v>14</v>
      </c>
      <c r="H127" s="79" t="s">
        <v>14</v>
      </c>
      <c r="I127" s="78" t="s">
        <v>14</v>
      </c>
      <c r="J127" s="79" t="s">
        <v>14</v>
      </c>
      <c r="K127" s="142" t="s">
        <v>1851</v>
      </c>
      <c r="L127" s="149" t="s">
        <v>1848</v>
      </c>
      <c r="M127" s="150" t="s">
        <v>1852</v>
      </c>
      <c r="N127" s="151">
        <v>10</v>
      </c>
      <c r="O127" s="151">
        <v>1</v>
      </c>
      <c r="P127" s="152">
        <v>2</v>
      </c>
      <c r="Q127" s="153">
        <v>71.739999999999995</v>
      </c>
      <c r="R127" s="154">
        <v>0</v>
      </c>
      <c r="S127" s="38">
        <f t="shared" si="11"/>
        <v>0</v>
      </c>
      <c r="T127" s="39">
        <f t="shared" si="12"/>
        <v>11</v>
      </c>
      <c r="U127" s="40">
        <f t="shared" si="13"/>
        <v>0</v>
      </c>
      <c r="V127" s="40">
        <f t="shared" si="14"/>
        <v>0</v>
      </c>
      <c r="W127" s="40">
        <f t="shared" si="15"/>
        <v>0</v>
      </c>
      <c r="X127" s="40">
        <f t="shared" si="16"/>
        <v>0</v>
      </c>
      <c r="Y127" s="40">
        <f t="shared" si="17"/>
        <v>0</v>
      </c>
      <c r="Z127" s="40">
        <f t="shared" si="18"/>
        <v>0</v>
      </c>
      <c r="AA127" s="40">
        <f t="shared" si="19"/>
        <v>0</v>
      </c>
      <c r="AB127" s="40">
        <f t="shared" si="20"/>
        <v>0</v>
      </c>
      <c r="AC127" s="41">
        <f t="shared" si="21"/>
        <v>0</v>
      </c>
      <c r="AD127" s="49"/>
      <c r="AE127" s="50"/>
      <c r="AF127" s="49" t="s">
        <v>5</v>
      </c>
      <c r="AG127" s="50" t="s">
        <v>154</v>
      </c>
      <c r="AH127" s="49"/>
      <c r="AI127" s="50"/>
      <c r="AJ127" s="49" t="s">
        <v>5</v>
      </c>
      <c r="AK127" s="50" t="s">
        <v>83</v>
      </c>
      <c r="AL127" s="49"/>
      <c r="AM127" s="50"/>
      <c r="AN127" s="49"/>
      <c r="AO127" s="50"/>
      <c r="AP127" s="49"/>
      <c r="AQ127" s="50"/>
      <c r="AR127" s="49" t="s">
        <v>5</v>
      </c>
      <c r="AS127" s="50" t="s">
        <v>151</v>
      </c>
      <c r="AT127" s="49" t="s">
        <v>5</v>
      </c>
      <c r="AU127" s="50" t="s">
        <v>73</v>
      </c>
      <c r="AV127" s="49" t="s">
        <v>5</v>
      </c>
      <c r="AW127" s="50" t="s">
        <v>139</v>
      </c>
      <c r="AX127" s="49"/>
      <c r="AY127" s="50"/>
      <c r="AZ127" s="49"/>
      <c r="BA127" s="50"/>
      <c r="BB127" s="49"/>
      <c r="BC127" s="50"/>
      <c r="BD127" s="49" t="s">
        <v>5</v>
      </c>
      <c r="BE127" s="50" t="s">
        <v>132</v>
      </c>
      <c r="BF127" s="49"/>
      <c r="BG127" s="50"/>
      <c r="BH127" s="49" t="s">
        <v>5</v>
      </c>
      <c r="BI127" s="50" t="s">
        <v>79</v>
      </c>
      <c r="BJ127" s="49"/>
      <c r="BK127" s="50"/>
      <c r="BL127" s="49"/>
      <c r="BM127" s="50"/>
      <c r="BN127" s="49" t="s">
        <v>5</v>
      </c>
      <c r="BO127" s="50" t="s">
        <v>152</v>
      </c>
      <c r="BP127" s="49"/>
      <c r="BQ127" s="50"/>
      <c r="BR127" s="49" t="s">
        <v>5</v>
      </c>
      <c r="BS127" s="50" t="s">
        <v>98</v>
      </c>
      <c r="BT127" s="49"/>
      <c r="BU127" s="50"/>
      <c r="BV127" s="49" t="s">
        <v>5</v>
      </c>
      <c r="BW127" s="50" t="s">
        <v>82</v>
      </c>
      <c r="BX127" s="49"/>
      <c r="BY127" s="50"/>
      <c r="BZ127" s="49" t="s">
        <v>5</v>
      </c>
      <c r="CA127" s="50" t="s">
        <v>124</v>
      </c>
    </row>
    <row r="128" spans="1:79" x14ac:dyDescent="0.25">
      <c r="A128" s="76">
        <v>151876</v>
      </c>
      <c r="B128" s="77" t="s">
        <v>1085</v>
      </c>
      <c r="C128" s="78" t="s">
        <v>957</v>
      </c>
      <c r="D128" s="76" t="s">
        <v>12</v>
      </c>
      <c r="E128" s="79" t="s">
        <v>14</v>
      </c>
      <c r="F128" s="79" t="s">
        <v>71</v>
      </c>
      <c r="G128" s="79" t="s">
        <v>14</v>
      </c>
      <c r="H128" s="79" t="s">
        <v>14</v>
      </c>
      <c r="I128" s="78" t="s">
        <v>14</v>
      </c>
      <c r="J128" s="79" t="s">
        <v>14</v>
      </c>
      <c r="K128" s="142" t="s">
        <v>1850</v>
      </c>
      <c r="L128" s="149" t="s">
        <v>1844</v>
      </c>
      <c r="M128" s="150" t="s">
        <v>12</v>
      </c>
      <c r="N128" s="151">
        <v>18</v>
      </c>
      <c r="O128" s="151">
        <v>0</v>
      </c>
      <c r="P128" s="152">
        <v>1</v>
      </c>
      <c r="Q128" s="153">
        <v>100</v>
      </c>
      <c r="R128" s="154">
        <v>1</v>
      </c>
      <c r="S128" s="38">
        <f t="shared" si="11"/>
        <v>2</v>
      </c>
      <c r="T128" s="39">
        <f t="shared" si="12"/>
        <v>8</v>
      </c>
      <c r="U128" s="40">
        <f t="shared" si="13"/>
        <v>0</v>
      </c>
      <c r="V128" s="40">
        <f t="shared" si="14"/>
        <v>0</v>
      </c>
      <c r="W128" s="40">
        <f t="shared" si="15"/>
        <v>0</v>
      </c>
      <c r="X128" s="40">
        <f t="shared" si="16"/>
        <v>0</v>
      </c>
      <c r="Y128" s="40">
        <f t="shared" si="17"/>
        <v>0</v>
      </c>
      <c r="Z128" s="40">
        <f t="shared" si="18"/>
        <v>0</v>
      </c>
      <c r="AA128" s="40">
        <f t="shared" si="19"/>
        <v>0</v>
      </c>
      <c r="AB128" s="40">
        <f t="shared" si="20"/>
        <v>0</v>
      </c>
      <c r="AC128" s="41">
        <f t="shared" si="21"/>
        <v>0</v>
      </c>
      <c r="AD128" s="49"/>
      <c r="AE128" s="50"/>
      <c r="AF128" s="49"/>
      <c r="AG128" s="50"/>
      <c r="AH128" s="49" t="s">
        <v>5</v>
      </c>
      <c r="AI128" s="50" t="s">
        <v>78</v>
      </c>
      <c r="AJ128" s="49"/>
      <c r="AK128" s="50"/>
      <c r="AL128" s="49"/>
      <c r="AM128" s="50"/>
      <c r="AN128" s="49"/>
      <c r="AO128" s="50"/>
      <c r="AP128" s="49"/>
      <c r="AQ128" s="50"/>
      <c r="AR128" s="49" t="s">
        <v>5</v>
      </c>
      <c r="AS128" s="50" t="s">
        <v>151</v>
      </c>
      <c r="AT128" s="49"/>
      <c r="AU128" s="50"/>
      <c r="AV128" s="49" t="s">
        <v>5</v>
      </c>
      <c r="AW128" s="50" t="s">
        <v>77</v>
      </c>
      <c r="AX128" s="49"/>
      <c r="AY128" s="50"/>
      <c r="AZ128" s="49"/>
      <c r="BA128" s="50"/>
      <c r="BB128" s="49"/>
      <c r="BC128" s="50"/>
      <c r="BD128" s="49"/>
      <c r="BE128" s="50"/>
      <c r="BF128" s="49"/>
      <c r="BG128" s="50"/>
      <c r="BH128" s="49" t="s">
        <v>1</v>
      </c>
      <c r="BI128" s="50" t="s">
        <v>79</v>
      </c>
      <c r="BJ128" s="49"/>
      <c r="BK128" s="50"/>
      <c r="BL128" s="49" t="s">
        <v>5</v>
      </c>
      <c r="BM128" s="50" t="s">
        <v>72</v>
      </c>
      <c r="BN128" s="49" t="s">
        <v>1</v>
      </c>
      <c r="BO128" s="50" t="s">
        <v>107</v>
      </c>
      <c r="BP128" s="49"/>
      <c r="BQ128" s="50"/>
      <c r="BR128" s="49"/>
      <c r="BS128" s="50"/>
      <c r="BT128" s="49" t="s">
        <v>5</v>
      </c>
      <c r="BU128" s="50" t="s">
        <v>90</v>
      </c>
      <c r="BV128" s="49" t="s">
        <v>5</v>
      </c>
      <c r="BW128" s="50" t="s">
        <v>715</v>
      </c>
      <c r="BX128" s="49" t="s">
        <v>5</v>
      </c>
      <c r="BY128" s="50" t="s">
        <v>137</v>
      </c>
      <c r="BZ128" s="49" t="s">
        <v>5</v>
      </c>
      <c r="CA128" s="50" t="s">
        <v>124</v>
      </c>
    </row>
    <row r="129" spans="1:79" x14ac:dyDescent="0.25">
      <c r="A129" s="76">
        <v>151875</v>
      </c>
      <c r="B129" s="77" t="s">
        <v>1086</v>
      </c>
      <c r="C129" s="78" t="s">
        <v>961</v>
      </c>
      <c r="D129" s="76" t="s">
        <v>12</v>
      </c>
      <c r="E129" s="79" t="s">
        <v>14</v>
      </c>
      <c r="F129" s="79" t="s">
        <v>71</v>
      </c>
      <c r="G129" s="79" t="s">
        <v>14</v>
      </c>
      <c r="H129" s="79" t="s">
        <v>14</v>
      </c>
      <c r="I129" s="78" t="s">
        <v>14</v>
      </c>
      <c r="J129" s="79" t="s">
        <v>14</v>
      </c>
      <c r="K129" s="142" t="s">
        <v>1850</v>
      </c>
      <c r="L129" s="149" t="s">
        <v>1842</v>
      </c>
      <c r="M129" s="150" t="s">
        <v>1853</v>
      </c>
      <c r="N129" s="151">
        <v>14</v>
      </c>
      <c r="O129" s="151">
        <v>0</v>
      </c>
      <c r="P129" s="152">
        <v>0</v>
      </c>
      <c r="Q129" s="153">
        <v>100</v>
      </c>
      <c r="R129" s="154">
        <v>1</v>
      </c>
      <c r="S129" s="38">
        <f t="shared" si="11"/>
        <v>4</v>
      </c>
      <c r="T129" s="39">
        <f t="shared" si="12"/>
        <v>6</v>
      </c>
      <c r="U129" s="40">
        <f t="shared" si="13"/>
        <v>0</v>
      </c>
      <c r="V129" s="40">
        <f t="shared" si="14"/>
        <v>0</v>
      </c>
      <c r="W129" s="40">
        <f t="shared" si="15"/>
        <v>0</v>
      </c>
      <c r="X129" s="40">
        <f t="shared" si="16"/>
        <v>0</v>
      </c>
      <c r="Y129" s="40">
        <f t="shared" si="17"/>
        <v>0</v>
      </c>
      <c r="Z129" s="40">
        <f t="shared" si="18"/>
        <v>0</v>
      </c>
      <c r="AA129" s="40">
        <f t="shared" si="19"/>
        <v>0</v>
      </c>
      <c r="AB129" s="40">
        <f t="shared" si="20"/>
        <v>0</v>
      </c>
      <c r="AC129" s="41">
        <f t="shared" si="21"/>
        <v>0</v>
      </c>
      <c r="AD129" s="49"/>
      <c r="AE129" s="50"/>
      <c r="AF129" s="49"/>
      <c r="AG129" s="50"/>
      <c r="AH129" s="49" t="s">
        <v>1</v>
      </c>
      <c r="AI129" s="50" t="s">
        <v>131</v>
      </c>
      <c r="AJ129" s="49"/>
      <c r="AK129" s="50"/>
      <c r="AL129" s="49"/>
      <c r="AM129" s="50"/>
      <c r="AN129" s="49"/>
      <c r="AO129" s="50"/>
      <c r="AP129" s="49"/>
      <c r="AQ129" s="50"/>
      <c r="AR129" s="49" t="s">
        <v>5</v>
      </c>
      <c r="AS129" s="50" t="s">
        <v>74</v>
      </c>
      <c r="AT129" s="49"/>
      <c r="AU129" s="50"/>
      <c r="AV129" s="49" t="s">
        <v>5</v>
      </c>
      <c r="AW129" s="50" t="s">
        <v>139</v>
      </c>
      <c r="AX129" s="49"/>
      <c r="AY129" s="50"/>
      <c r="AZ129" s="49"/>
      <c r="BA129" s="50"/>
      <c r="BB129" s="49"/>
      <c r="BC129" s="50"/>
      <c r="BD129" s="49"/>
      <c r="BE129" s="50"/>
      <c r="BF129" s="49"/>
      <c r="BG129" s="50"/>
      <c r="BH129" s="49" t="s">
        <v>1</v>
      </c>
      <c r="BI129" s="50" t="s">
        <v>422</v>
      </c>
      <c r="BJ129" s="49"/>
      <c r="BK129" s="50"/>
      <c r="BL129" s="49" t="s">
        <v>5</v>
      </c>
      <c r="BM129" s="50" t="s">
        <v>116</v>
      </c>
      <c r="BN129" s="49" t="s">
        <v>1</v>
      </c>
      <c r="BO129" s="50" t="s">
        <v>107</v>
      </c>
      <c r="BP129" s="49"/>
      <c r="BQ129" s="50"/>
      <c r="BR129" s="49"/>
      <c r="BS129" s="50"/>
      <c r="BT129" s="49" t="s">
        <v>5</v>
      </c>
      <c r="BU129" s="50" t="s">
        <v>117</v>
      </c>
      <c r="BV129" s="49" t="s">
        <v>1</v>
      </c>
      <c r="BW129" s="50" t="s">
        <v>132</v>
      </c>
      <c r="BX129" s="49" t="s">
        <v>5</v>
      </c>
      <c r="BY129" s="50" t="s">
        <v>137</v>
      </c>
      <c r="BZ129" s="49" t="s">
        <v>5</v>
      </c>
      <c r="CA129" s="50" t="s">
        <v>124</v>
      </c>
    </row>
    <row r="130" spans="1:79" x14ac:dyDescent="0.25">
      <c r="A130" s="76">
        <v>151879</v>
      </c>
      <c r="B130" s="77" t="s">
        <v>1087</v>
      </c>
      <c r="C130" s="78" t="s">
        <v>954</v>
      </c>
      <c r="D130" s="76" t="s">
        <v>70</v>
      </c>
      <c r="E130" s="79" t="s">
        <v>14</v>
      </c>
      <c r="F130" s="79" t="s">
        <v>158</v>
      </c>
      <c r="G130" s="79" t="s">
        <v>14</v>
      </c>
      <c r="H130" s="79" t="s">
        <v>14</v>
      </c>
      <c r="I130" s="78" t="s">
        <v>14</v>
      </c>
      <c r="J130" s="79" t="s">
        <v>14</v>
      </c>
      <c r="K130" s="142" t="s">
        <v>1850</v>
      </c>
      <c r="L130" s="149" t="s">
        <v>1845</v>
      </c>
      <c r="M130" s="150" t="s">
        <v>12</v>
      </c>
      <c r="N130" s="151">
        <v>9</v>
      </c>
      <c r="O130" s="151">
        <v>1</v>
      </c>
      <c r="P130" s="152">
        <v>0</v>
      </c>
      <c r="Q130" s="153">
        <v>84.78</v>
      </c>
      <c r="R130" s="154">
        <v>10</v>
      </c>
      <c r="S130" s="38">
        <f t="shared" ref="S130:S193" si="22">COUNTIF($AD130:$CA130,"Outstanding")</f>
        <v>1</v>
      </c>
      <c r="T130" s="39">
        <f t="shared" ref="T130:T193" si="23">COUNTIF($AD130:$CA130,"Good")</f>
        <v>8</v>
      </c>
      <c r="U130" s="40">
        <f t="shared" ref="U130:U193" si="24">COUNTIF($AD130:$CA130,"N2Improve - Engagement")</f>
        <v>1</v>
      </c>
      <c r="V130" s="40">
        <f t="shared" ref="V130:V193" si="25">COUNTIF($AD130:$CA130,"N2Improve - Community Conduct")</f>
        <v>1</v>
      </c>
      <c r="W130" s="40">
        <f t="shared" ref="W130:W193" si="26">COUNTIF($AD130:$CA130,"N2Improve - Personal Org.")</f>
        <v>0</v>
      </c>
      <c r="X130" s="40">
        <f t="shared" ref="X130:X193" si="27">SUM(U130:W130)</f>
        <v>2</v>
      </c>
      <c r="Y130" s="40">
        <f t="shared" ref="Y130:Y193" si="28">COUNTIF($AD130:$CA130,"Serious Conc - Engagement")</f>
        <v>0</v>
      </c>
      <c r="Z130" s="40">
        <f t="shared" ref="Z130:Z193" si="29">COUNTIF($AD130:$CA130,"Serious Conc - Comm. Concern")</f>
        <v>0</v>
      </c>
      <c r="AA130" s="40">
        <f t="shared" ref="AA130:AA193" si="30">COUNTIF($AD130:$CA130,"Serious Conc - Personal Org.")</f>
        <v>0</v>
      </c>
      <c r="AB130" s="40">
        <f t="shared" ref="AB130:AB193" si="31">SUM(Y130:AA130)</f>
        <v>0</v>
      </c>
      <c r="AC130" s="41">
        <f t="shared" si="21"/>
        <v>0</v>
      </c>
      <c r="AD130" s="49"/>
      <c r="AE130" s="50"/>
      <c r="AF130" s="49" t="s">
        <v>5</v>
      </c>
      <c r="AG130" s="50" t="s">
        <v>433</v>
      </c>
      <c r="AH130" s="49"/>
      <c r="AI130" s="50"/>
      <c r="AJ130" s="49" t="s">
        <v>1</v>
      </c>
      <c r="AK130" s="50" t="s">
        <v>714</v>
      </c>
      <c r="AL130" s="49"/>
      <c r="AM130" s="50"/>
      <c r="AN130" s="49"/>
      <c r="AO130" s="50"/>
      <c r="AP130" s="49"/>
      <c r="AQ130" s="50"/>
      <c r="AR130" s="49" t="s">
        <v>5</v>
      </c>
      <c r="AS130" s="50" t="s">
        <v>194</v>
      </c>
      <c r="AT130" s="49"/>
      <c r="AU130" s="50"/>
      <c r="AV130" s="49" t="s">
        <v>31</v>
      </c>
      <c r="AW130" s="50" t="s">
        <v>955</v>
      </c>
      <c r="AX130" s="49" t="s">
        <v>5</v>
      </c>
      <c r="AY130" s="50" t="s">
        <v>103</v>
      </c>
      <c r="AZ130" s="49"/>
      <c r="BA130" s="50"/>
      <c r="BB130" s="49" t="s">
        <v>5</v>
      </c>
      <c r="BC130" s="50" t="s">
        <v>420</v>
      </c>
      <c r="BD130" s="49"/>
      <c r="BE130" s="50"/>
      <c r="BF130" s="49"/>
      <c r="BG130" s="50"/>
      <c r="BH130" s="49" t="s">
        <v>5</v>
      </c>
      <c r="BI130" s="50" t="s">
        <v>79</v>
      </c>
      <c r="BJ130" s="49"/>
      <c r="BK130" s="50"/>
      <c r="BL130" s="49"/>
      <c r="BM130" s="50"/>
      <c r="BN130" s="49" t="s">
        <v>5</v>
      </c>
      <c r="BO130" s="50" t="s">
        <v>81</v>
      </c>
      <c r="BP130" s="49" t="s">
        <v>30</v>
      </c>
      <c r="BQ130" s="50" t="s">
        <v>107</v>
      </c>
      <c r="BR130" s="49" t="s">
        <v>5</v>
      </c>
      <c r="BS130" s="50" t="s">
        <v>170</v>
      </c>
      <c r="BT130" s="49"/>
      <c r="BU130" s="50"/>
      <c r="BV130" s="49" t="s">
        <v>5</v>
      </c>
      <c r="BW130" s="50" t="s">
        <v>602</v>
      </c>
      <c r="BX130" s="49"/>
      <c r="BY130" s="50"/>
      <c r="BZ130" s="49"/>
      <c r="CA130" s="50"/>
    </row>
    <row r="131" spans="1:79" x14ac:dyDescent="0.25">
      <c r="A131" s="76">
        <v>151847</v>
      </c>
      <c r="B131" s="77" t="s">
        <v>1088</v>
      </c>
      <c r="C131" s="78" t="s">
        <v>970</v>
      </c>
      <c r="D131" s="76" t="s">
        <v>12</v>
      </c>
      <c r="E131" s="79" t="s">
        <v>14</v>
      </c>
      <c r="F131" s="79" t="s">
        <v>88</v>
      </c>
      <c r="G131" s="79" t="s">
        <v>14</v>
      </c>
      <c r="H131" s="79" t="s">
        <v>14</v>
      </c>
      <c r="I131" s="78" t="s">
        <v>14</v>
      </c>
      <c r="J131" s="79" t="s">
        <v>6</v>
      </c>
      <c r="K131" s="142" t="s">
        <v>1850</v>
      </c>
      <c r="L131" s="149" t="s">
        <v>1847</v>
      </c>
      <c r="M131" s="150" t="s">
        <v>1852</v>
      </c>
      <c r="N131" s="151">
        <v>10</v>
      </c>
      <c r="O131" s="151">
        <v>17</v>
      </c>
      <c r="P131" s="152">
        <v>2</v>
      </c>
      <c r="Q131" s="153">
        <v>82.22</v>
      </c>
      <c r="R131" s="154">
        <v>16</v>
      </c>
      <c r="S131" s="38">
        <f t="shared" si="22"/>
        <v>0</v>
      </c>
      <c r="T131" s="39">
        <f t="shared" si="23"/>
        <v>0</v>
      </c>
      <c r="U131" s="40">
        <f t="shared" si="24"/>
        <v>3</v>
      </c>
      <c r="V131" s="40">
        <f t="shared" si="25"/>
        <v>1</v>
      </c>
      <c r="W131" s="40">
        <f t="shared" si="26"/>
        <v>2</v>
      </c>
      <c r="X131" s="40">
        <f t="shared" si="27"/>
        <v>6</v>
      </c>
      <c r="Y131" s="40">
        <f t="shared" si="28"/>
        <v>3</v>
      </c>
      <c r="Z131" s="40">
        <f t="shared" si="29"/>
        <v>1</v>
      </c>
      <c r="AA131" s="40">
        <f t="shared" si="30"/>
        <v>0</v>
      </c>
      <c r="AB131" s="40">
        <f t="shared" si="31"/>
        <v>4</v>
      </c>
      <c r="AC131" s="41">
        <f t="shared" ref="AC131:AC194" si="32">COUNTIF(AD131:CA131,"*still*")</f>
        <v>0</v>
      </c>
      <c r="AD131" s="49"/>
      <c r="AE131" s="50"/>
      <c r="AF131" s="49"/>
      <c r="AG131" s="50"/>
      <c r="AH131" s="49"/>
      <c r="AI131" s="50"/>
      <c r="AJ131" s="49"/>
      <c r="AK131" s="50"/>
      <c r="AL131" s="49"/>
      <c r="AM131" s="50"/>
      <c r="AN131" s="49"/>
      <c r="AO131" s="50"/>
      <c r="AP131" s="49"/>
      <c r="AQ131" s="50"/>
      <c r="AR131" s="49" t="s">
        <v>34</v>
      </c>
      <c r="AS131" s="50" t="s">
        <v>91</v>
      </c>
      <c r="AT131" s="49" t="s">
        <v>31</v>
      </c>
      <c r="AU131" s="50" t="s">
        <v>73</v>
      </c>
      <c r="AV131" s="49" t="s">
        <v>32</v>
      </c>
      <c r="AW131" s="50" t="s">
        <v>140</v>
      </c>
      <c r="AX131" s="49"/>
      <c r="AY131" s="50"/>
      <c r="AZ131" s="49"/>
      <c r="BA131" s="50"/>
      <c r="BB131" s="49"/>
      <c r="BC131" s="50"/>
      <c r="BD131" s="49"/>
      <c r="BE131" s="50"/>
      <c r="BF131" s="49" t="s">
        <v>30</v>
      </c>
      <c r="BG131" s="50" t="s">
        <v>105</v>
      </c>
      <c r="BH131" s="49" t="s">
        <v>30</v>
      </c>
      <c r="BI131" s="50" t="s">
        <v>995</v>
      </c>
      <c r="BJ131" s="49"/>
      <c r="BK131" s="50"/>
      <c r="BL131" s="49"/>
      <c r="BM131" s="50"/>
      <c r="BN131" s="49" t="s">
        <v>34</v>
      </c>
      <c r="BO131" s="50" t="s">
        <v>96</v>
      </c>
      <c r="BP131" s="49" t="s">
        <v>34</v>
      </c>
      <c r="BQ131" s="50" t="s">
        <v>107</v>
      </c>
      <c r="BR131" s="49"/>
      <c r="BS131" s="50"/>
      <c r="BT131" s="49"/>
      <c r="BU131" s="50"/>
      <c r="BV131" s="49" t="s">
        <v>35</v>
      </c>
      <c r="BW131" s="50" t="s">
        <v>457</v>
      </c>
      <c r="BX131" s="49" t="s">
        <v>30</v>
      </c>
      <c r="BY131" s="50" t="s">
        <v>164</v>
      </c>
      <c r="BZ131" s="49" t="s">
        <v>32</v>
      </c>
      <c r="CA131" s="50" t="s">
        <v>84</v>
      </c>
    </row>
    <row r="132" spans="1:79" x14ac:dyDescent="0.25">
      <c r="A132" s="76">
        <v>151788</v>
      </c>
      <c r="B132" s="77" t="s">
        <v>1089</v>
      </c>
      <c r="C132" s="78" t="s">
        <v>963</v>
      </c>
      <c r="D132" s="76" t="s">
        <v>12</v>
      </c>
      <c r="E132" s="79" t="s">
        <v>14</v>
      </c>
      <c r="F132" s="79" t="s">
        <v>71</v>
      </c>
      <c r="G132" s="79" t="s">
        <v>14</v>
      </c>
      <c r="H132" s="79" t="s">
        <v>14</v>
      </c>
      <c r="I132" s="78" t="s">
        <v>14</v>
      </c>
      <c r="J132" s="79" t="s">
        <v>14</v>
      </c>
      <c r="K132" s="142" t="s">
        <v>1850</v>
      </c>
      <c r="L132" s="149" t="s">
        <v>1841</v>
      </c>
      <c r="M132" s="150" t="s">
        <v>1853</v>
      </c>
      <c r="N132" s="151">
        <v>10</v>
      </c>
      <c r="O132" s="151">
        <v>0</v>
      </c>
      <c r="P132" s="152">
        <v>0</v>
      </c>
      <c r="Q132" s="153">
        <v>91.3</v>
      </c>
      <c r="R132" s="154">
        <v>0</v>
      </c>
      <c r="S132" s="38">
        <f t="shared" si="22"/>
        <v>3</v>
      </c>
      <c r="T132" s="39">
        <f t="shared" si="23"/>
        <v>8</v>
      </c>
      <c r="U132" s="40">
        <f t="shared" si="24"/>
        <v>0</v>
      </c>
      <c r="V132" s="40">
        <f t="shared" si="25"/>
        <v>0</v>
      </c>
      <c r="W132" s="40">
        <f t="shared" si="26"/>
        <v>0</v>
      </c>
      <c r="X132" s="40">
        <f t="shared" si="27"/>
        <v>0</v>
      </c>
      <c r="Y132" s="40">
        <f t="shared" si="28"/>
        <v>0</v>
      </c>
      <c r="Z132" s="40">
        <f t="shared" si="29"/>
        <v>0</v>
      </c>
      <c r="AA132" s="40">
        <f t="shared" si="30"/>
        <v>0</v>
      </c>
      <c r="AB132" s="40">
        <f t="shared" si="31"/>
        <v>0</v>
      </c>
      <c r="AC132" s="41">
        <f t="shared" si="32"/>
        <v>0</v>
      </c>
      <c r="AD132" s="49"/>
      <c r="AE132" s="50"/>
      <c r="AF132" s="49" t="s">
        <v>5</v>
      </c>
      <c r="AG132" s="50" t="s">
        <v>433</v>
      </c>
      <c r="AH132" s="49"/>
      <c r="AI132" s="50"/>
      <c r="AJ132" s="49" t="s">
        <v>5</v>
      </c>
      <c r="AK132" s="50" t="s">
        <v>419</v>
      </c>
      <c r="AL132" s="49"/>
      <c r="AM132" s="50"/>
      <c r="AN132" s="49"/>
      <c r="AO132" s="50"/>
      <c r="AP132" s="49"/>
      <c r="AQ132" s="50"/>
      <c r="AR132" s="49" t="s">
        <v>5</v>
      </c>
      <c r="AS132" s="50" t="s">
        <v>74</v>
      </c>
      <c r="AT132" s="49"/>
      <c r="AU132" s="50"/>
      <c r="AV132" s="49" t="s">
        <v>1</v>
      </c>
      <c r="AW132" s="50" t="s">
        <v>495</v>
      </c>
      <c r="AX132" s="49" t="s">
        <v>5</v>
      </c>
      <c r="AY132" s="50" t="s">
        <v>103</v>
      </c>
      <c r="AZ132" s="49" t="s">
        <v>5</v>
      </c>
      <c r="BA132" s="50" t="s">
        <v>76</v>
      </c>
      <c r="BB132" s="49"/>
      <c r="BC132" s="50"/>
      <c r="BD132" s="49"/>
      <c r="BE132" s="50"/>
      <c r="BF132" s="49"/>
      <c r="BG132" s="50"/>
      <c r="BH132" s="49" t="s">
        <v>1</v>
      </c>
      <c r="BI132" s="50" t="s">
        <v>94</v>
      </c>
      <c r="BJ132" s="49"/>
      <c r="BK132" s="50"/>
      <c r="BL132" s="49"/>
      <c r="BM132" s="50"/>
      <c r="BN132" s="49" t="s">
        <v>1</v>
      </c>
      <c r="BO132" s="50" t="s">
        <v>96</v>
      </c>
      <c r="BP132" s="49"/>
      <c r="BQ132" s="50"/>
      <c r="BR132" s="49" t="s">
        <v>5</v>
      </c>
      <c r="BS132" s="50" t="s">
        <v>140</v>
      </c>
      <c r="BT132" s="49" t="s">
        <v>5</v>
      </c>
      <c r="BU132" s="50" t="s">
        <v>90</v>
      </c>
      <c r="BV132" s="49" t="s">
        <v>5</v>
      </c>
      <c r="BW132" s="50" t="s">
        <v>132</v>
      </c>
      <c r="BX132" s="49"/>
      <c r="BY132" s="50"/>
      <c r="BZ132" s="49"/>
      <c r="CA132" s="50"/>
    </row>
    <row r="133" spans="1:79" x14ac:dyDescent="0.25">
      <c r="A133" s="76">
        <v>151790</v>
      </c>
      <c r="B133" s="77" t="s">
        <v>1090</v>
      </c>
      <c r="C133" s="78" t="s">
        <v>952</v>
      </c>
      <c r="D133" s="76" t="s">
        <v>70</v>
      </c>
      <c r="E133" s="79" t="s">
        <v>14</v>
      </c>
      <c r="F133" s="79" t="s">
        <v>71</v>
      </c>
      <c r="G133" s="79" t="s">
        <v>14</v>
      </c>
      <c r="H133" s="79" t="s">
        <v>14</v>
      </c>
      <c r="I133" s="78" t="s">
        <v>14</v>
      </c>
      <c r="J133" s="79" t="s">
        <v>14</v>
      </c>
      <c r="K133" s="142" t="s">
        <v>1850</v>
      </c>
      <c r="L133" s="149" t="s">
        <v>1844</v>
      </c>
      <c r="M133" s="150" t="s">
        <v>12</v>
      </c>
      <c r="N133" s="151">
        <v>20</v>
      </c>
      <c r="O133" s="151">
        <v>0</v>
      </c>
      <c r="P133" s="152">
        <v>0</v>
      </c>
      <c r="Q133" s="153">
        <v>100</v>
      </c>
      <c r="R133" s="154">
        <v>2</v>
      </c>
      <c r="S133" s="38">
        <f t="shared" si="22"/>
        <v>2</v>
      </c>
      <c r="T133" s="39">
        <f t="shared" si="23"/>
        <v>9</v>
      </c>
      <c r="U133" s="40">
        <f t="shared" si="24"/>
        <v>0</v>
      </c>
      <c r="V133" s="40">
        <f t="shared" si="25"/>
        <v>0</v>
      </c>
      <c r="W133" s="40">
        <f t="shared" si="26"/>
        <v>0</v>
      </c>
      <c r="X133" s="40">
        <f t="shared" si="27"/>
        <v>0</v>
      </c>
      <c r="Y133" s="40">
        <f t="shared" si="28"/>
        <v>0</v>
      </c>
      <c r="Z133" s="40">
        <f t="shared" si="29"/>
        <v>0</v>
      </c>
      <c r="AA133" s="40">
        <f t="shared" si="30"/>
        <v>0</v>
      </c>
      <c r="AB133" s="40">
        <f t="shared" si="31"/>
        <v>0</v>
      </c>
      <c r="AC133" s="41">
        <f t="shared" si="32"/>
        <v>0</v>
      </c>
      <c r="AD133" s="49"/>
      <c r="AE133" s="50"/>
      <c r="AF133" s="49" t="s">
        <v>1</v>
      </c>
      <c r="AG133" s="50" t="s">
        <v>438</v>
      </c>
      <c r="AH133" s="49"/>
      <c r="AI133" s="50"/>
      <c r="AJ133" s="49" t="s">
        <v>1</v>
      </c>
      <c r="AK133" s="50" t="s">
        <v>83</v>
      </c>
      <c r="AL133" s="49"/>
      <c r="AM133" s="50"/>
      <c r="AN133" s="49"/>
      <c r="AO133" s="50"/>
      <c r="AP133" s="49"/>
      <c r="AQ133" s="50"/>
      <c r="AR133" s="49" t="s">
        <v>5</v>
      </c>
      <c r="AS133" s="50" t="s">
        <v>722</v>
      </c>
      <c r="AT133" s="49"/>
      <c r="AU133" s="50"/>
      <c r="AV133" s="49" t="s">
        <v>5</v>
      </c>
      <c r="AW133" s="50" t="s">
        <v>117</v>
      </c>
      <c r="AX133" s="49"/>
      <c r="AY133" s="50"/>
      <c r="AZ133" s="49" t="s">
        <v>5</v>
      </c>
      <c r="BA133" s="50" t="s">
        <v>76</v>
      </c>
      <c r="BB133" s="49"/>
      <c r="BC133" s="50"/>
      <c r="BD133" s="49"/>
      <c r="BE133" s="50"/>
      <c r="BF133" s="49"/>
      <c r="BG133" s="50"/>
      <c r="BH133" s="49" t="s">
        <v>5</v>
      </c>
      <c r="BI133" s="50" t="s">
        <v>106</v>
      </c>
      <c r="BJ133" s="49"/>
      <c r="BK133" s="50"/>
      <c r="BL133" s="49" t="s">
        <v>5</v>
      </c>
      <c r="BM133" s="50" t="s">
        <v>116</v>
      </c>
      <c r="BN133" s="49" t="s">
        <v>5</v>
      </c>
      <c r="BO133" s="50" t="s">
        <v>152</v>
      </c>
      <c r="BP133" s="49"/>
      <c r="BQ133" s="50"/>
      <c r="BR133" s="49" t="s">
        <v>5</v>
      </c>
      <c r="BS133" s="50" t="s">
        <v>123</v>
      </c>
      <c r="BT133" s="49"/>
      <c r="BU133" s="50"/>
      <c r="BV133" s="49" t="s">
        <v>5</v>
      </c>
      <c r="BW133" s="50" t="s">
        <v>122</v>
      </c>
      <c r="BX133" s="49"/>
      <c r="BY133" s="50"/>
      <c r="BZ133" s="49" t="s">
        <v>5</v>
      </c>
      <c r="CA133" s="50" t="s">
        <v>124</v>
      </c>
    </row>
    <row r="134" spans="1:79" x14ac:dyDescent="0.25">
      <c r="A134" s="76">
        <v>151820</v>
      </c>
      <c r="B134" s="77" t="s">
        <v>1091</v>
      </c>
      <c r="C134" s="78" t="s">
        <v>954</v>
      </c>
      <c r="D134" s="76" t="s">
        <v>12</v>
      </c>
      <c r="E134" s="79" t="s">
        <v>87</v>
      </c>
      <c r="F134" s="79" t="s">
        <v>455</v>
      </c>
      <c r="G134" s="79" t="s">
        <v>14</v>
      </c>
      <c r="H134" s="79" t="s">
        <v>87</v>
      </c>
      <c r="I134" s="78" t="s">
        <v>14</v>
      </c>
      <c r="J134" s="79" t="s">
        <v>6</v>
      </c>
      <c r="K134" s="142" t="s">
        <v>1850</v>
      </c>
      <c r="L134" s="149" t="s">
        <v>1843</v>
      </c>
      <c r="M134" s="150" t="s">
        <v>1852</v>
      </c>
      <c r="N134" s="151">
        <v>15</v>
      </c>
      <c r="O134" s="151">
        <v>25</v>
      </c>
      <c r="P134" s="152">
        <v>3</v>
      </c>
      <c r="Q134" s="153">
        <v>93.48</v>
      </c>
      <c r="R134" s="154">
        <v>7</v>
      </c>
      <c r="S134" s="38">
        <f t="shared" si="22"/>
        <v>0</v>
      </c>
      <c r="T134" s="39">
        <f t="shared" si="23"/>
        <v>3</v>
      </c>
      <c r="U134" s="40">
        <f t="shared" si="24"/>
        <v>3</v>
      </c>
      <c r="V134" s="40">
        <f t="shared" si="25"/>
        <v>1</v>
      </c>
      <c r="W134" s="40">
        <f t="shared" si="26"/>
        <v>1</v>
      </c>
      <c r="X134" s="40">
        <f t="shared" si="27"/>
        <v>5</v>
      </c>
      <c r="Y134" s="40">
        <f t="shared" si="28"/>
        <v>1</v>
      </c>
      <c r="Z134" s="40">
        <f t="shared" si="29"/>
        <v>0</v>
      </c>
      <c r="AA134" s="40">
        <f t="shared" si="30"/>
        <v>0</v>
      </c>
      <c r="AB134" s="40">
        <f t="shared" si="31"/>
        <v>1</v>
      </c>
      <c r="AC134" s="41">
        <f t="shared" si="32"/>
        <v>0</v>
      </c>
      <c r="AD134" s="49"/>
      <c r="AE134" s="50"/>
      <c r="AF134" s="49"/>
      <c r="AG134" s="50"/>
      <c r="AH134" s="49"/>
      <c r="AI134" s="50"/>
      <c r="AJ134" s="49"/>
      <c r="AK134" s="50"/>
      <c r="AL134" s="49"/>
      <c r="AM134" s="50"/>
      <c r="AN134" s="49"/>
      <c r="AO134" s="50"/>
      <c r="AP134" s="49"/>
      <c r="AQ134" s="50"/>
      <c r="AR134" s="49" t="s">
        <v>34</v>
      </c>
      <c r="AS134" s="50" t="s">
        <v>91</v>
      </c>
      <c r="AT134" s="49"/>
      <c r="AU134" s="50"/>
      <c r="AV134" s="49" t="s">
        <v>31</v>
      </c>
      <c r="AW134" s="50" t="s">
        <v>955</v>
      </c>
      <c r="AX134" s="49" t="s">
        <v>30</v>
      </c>
      <c r="AY134" s="50" t="s">
        <v>84</v>
      </c>
      <c r="AZ134" s="49"/>
      <c r="BA134" s="50"/>
      <c r="BB134" s="49"/>
      <c r="BC134" s="50"/>
      <c r="BD134" s="49"/>
      <c r="BE134" s="50"/>
      <c r="BF134" s="49"/>
      <c r="BG134" s="50"/>
      <c r="BH134" s="49" t="s">
        <v>5</v>
      </c>
      <c r="BI134" s="50" t="s">
        <v>995</v>
      </c>
      <c r="BJ134" s="49"/>
      <c r="BK134" s="50"/>
      <c r="BL134" s="49"/>
      <c r="BM134" s="50"/>
      <c r="BN134" s="49" t="s">
        <v>30</v>
      </c>
      <c r="BO134" s="50" t="s">
        <v>107</v>
      </c>
      <c r="BP134" s="49" t="s">
        <v>30</v>
      </c>
      <c r="BQ134" s="50" t="s">
        <v>152</v>
      </c>
      <c r="BR134" s="49"/>
      <c r="BS134" s="50"/>
      <c r="BT134" s="49" t="s">
        <v>32</v>
      </c>
      <c r="BU134" s="50" t="s">
        <v>90</v>
      </c>
      <c r="BV134" s="49" t="s">
        <v>5</v>
      </c>
      <c r="BW134" s="50" t="s">
        <v>602</v>
      </c>
      <c r="BX134" s="49" t="s">
        <v>5</v>
      </c>
      <c r="BY134" s="50" t="s">
        <v>137</v>
      </c>
      <c r="BZ134" s="49"/>
      <c r="CA134" s="50"/>
    </row>
    <row r="135" spans="1:79" x14ac:dyDescent="0.25">
      <c r="A135" s="76">
        <v>151965</v>
      </c>
      <c r="B135" s="77" t="s">
        <v>1092</v>
      </c>
      <c r="C135" s="78" t="s">
        <v>959</v>
      </c>
      <c r="D135" s="76" t="s">
        <v>12</v>
      </c>
      <c r="E135" s="79" t="s">
        <v>14</v>
      </c>
      <c r="F135" s="79" t="s">
        <v>115</v>
      </c>
      <c r="G135" s="79" t="s">
        <v>14</v>
      </c>
      <c r="H135" s="79" t="s">
        <v>14</v>
      </c>
      <c r="I135" s="78" t="s">
        <v>14</v>
      </c>
      <c r="J135" s="79" t="s">
        <v>14</v>
      </c>
      <c r="K135" s="142" t="s">
        <v>1850</v>
      </c>
      <c r="L135" s="149" t="s">
        <v>1844</v>
      </c>
      <c r="M135" s="150" t="s">
        <v>12</v>
      </c>
      <c r="N135" s="151">
        <v>28</v>
      </c>
      <c r="O135" s="151">
        <v>14</v>
      </c>
      <c r="P135" s="152">
        <v>0</v>
      </c>
      <c r="Q135" s="153">
        <v>95.65</v>
      </c>
      <c r="R135" s="154">
        <v>11</v>
      </c>
      <c r="S135" s="38">
        <f t="shared" si="22"/>
        <v>1</v>
      </c>
      <c r="T135" s="39">
        <f t="shared" si="23"/>
        <v>6</v>
      </c>
      <c r="U135" s="40">
        <f t="shared" si="24"/>
        <v>3</v>
      </c>
      <c r="V135" s="40">
        <f t="shared" si="25"/>
        <v>0</v>
      </c>
      <c r="W135" s="40">
        <f t="shared" si="26"/>
        <v>1</v>
      </c>
      <c r="X135" s="40">
        <f t="shared" si="27"/>
        <v>4</v>
      </c>
      <c r="Y135" s="40">
        <f t="shared" si="28"/>
        <v>0</v>
      </c>
      <c r="Z135" s="40">
        <f t="shared" si="29"/>
        <v>0</v>
      </c>
      <c r="AA135" s="40">
        <f t="shared" si="30"/>
        <v>0</v>
      </c>
      <c r="AB135" s="40">
        <f t="shared" si="31"/>
        <v>0</v>
      </c>
      <c r="AC135" s="41">
        <f t="shared" si="32"/>
        <v>0</v>
      </c>
      <c r="AD135" s="49"/>
      <c r="AE135" s="50"/>
      <c r="AF135" s="49" t="s">
        <v>30</v>
      </c>
      <c r="AG135" s="50" t="s">
        <v>433</v>
      </c>
      <c r="AH135" s="49" t="s">
        <v>30</v>
      </c>
      <c r="AI135" s="50" t="s">
        <v>78</v>
      </c>
      <c r="AJ135" s="49" t="s">
        <v>5</v>
      </c>
      <c r="AK135" s="50" t="s">
        <v>714</v>
      </c>
      <c r="AL135" s="49"/>
      <c r="AM135" s="50"/>
      <c r="AN135" s="49"/>
      <c r="AO135" s="50"/>
      <c r="AP135" s="49"/>
      <c r="AQ135" s="50"/>
      <c r="AR135" s="49" t="s">
        <v>5</v>
      </c>
      <c r="AS135" s="50" t="s">
        <v>102</v>
      </c>
      <c r="AT135" s="49"/>
      <c r="AU135" s="50"/>
      <c r="AV135" s="49" t="s">
        <v>32</v>
      </c>
      <c r="AW135" s="50" t="s">
        <v>194</v>
      </c>
      <c r="AX135" s="49" t="s">
        <v>30</v>
      </c>
      <c r="AY135" s="50" t="s">
        <v>84</v>
      </c>
      <c r="AZ135" s="49"/>
      <c r="BA135" s="50"/>
      <c r="BB135" s="49"/>
      <c r="BC135" s="50"/>
      <c r="BD135" s="49" t="s">
        <v>5</v>
      </c>
      <c r="BE135" s="50" t="s">
        <v>120</v>
      </c>
      <c r="BF135" s="49"/>
      <c r="BG135" s="50"/>
      <c r="BH135" s="49" t="s">
        <v>5</v>
      </c>
      <c r="BI135" s="50" t="s">
        <v>422</v>
      </c>
      <c r="BJ135" s="49"/>
      <c r="BK135" s="50"/>
      <c r="BL135" s="49"/>
      <c r="BM135" s="50"/>
      <c r="BN135" s="49" t="s">
        <v>1</v>
      </c>
      <c r="BO135" s="50" t="s">
        <v>96</v>
      </c>
      <c r="BP135" s="49"/>
      <c r="BQ135" s="50"/>
      <c r="BR135" s="49" t="s">
        <v>5</v>
      </c>
      <c r="BS135" s="50" t="s">
        <v>170</v>
      </c>
      <c r="BT135" s="49"/>
      <c r="BU135" s="50"/>
      <c r="BV135" s="49" t="s">
        <v>5</v>
      </c>
      <c r="BW135" s="50" t="s">
        <v>715</v>
      </c>
      <c r="BX135" s="49"/>
      <c r="BY135" s="50"/>
      <c r="BZ135" s="49"/>
      <c r="CA135" s="50"/>
    </row>
    <row r="136" spans="1:79" x14ac:dyDescent="0.25">
      <c r="A136" s="76">
        <v>100343</v>
      </c>
      <c r="B136" s="77" t="s">
        <v>1093</v>
      </c>
      <c r="C136" s="78" t="s">
        <v>970</v>
      </c>
      <c r="D136" s="76" t="s">
        <v>12</v>
      </c>
      <c r="E136" s="79" t="s">
        <v>14</v>
      </c>
      <c r="F136" s="79" t="s">
        <v>1094</v>
      </c>
      <c r="G136" s="79" t="s">
        <v>14</v>
      </c>
      <c r="H136" s="79" t="s">
        <v>14</v>
      </c>
      <c r="I136" s="78" t="s">
        <v>14</v>
      </c>
      <c r="J136" s="79" t="s">
        <v>14</v>
      </c>
      <c r="K136" s="142" t="s">
        <v>1851</v>
      </c>
      <c r="L136" s="149" t="s">
        <v>1843</v>
      </c>
      <c r="M136" s="150" t="s">
        <v>1852</v>
      </c>
      <c r="N136" s="151">
        <v>30</v>
      </c>
      <c r="O136" s="151">
        <v>4</v>
      </c>
      <c r="P136" s="152">
        <v>2</v>
      </c>
      <c r="Q136" s="153">
        <v>97.78</v>
      </c>
      <c r="R136" s="154">
        <v>2</v>
      </c>
      <c r="S136" s="38">
        <f t="shared" si="22"/>
        <v>0</v>
      </c>
      <c r="T136" s="39">
        <f t="shared" si="23"/>
        <v>7</v>
      </c>
      <c r="U136" s="40">
        <f t="shared" si="24"/>
        <v>1</v>
      </c>
      <c r="V136" s="40">
        <f t="shared" si="25"/>
        <v>0</v>
      </c>
      <c r="W136" s="40">
        <f t="shared" si="26"/>
        <v>1</v>
      </c>
      <c r="X136" s="40">
        <f t="shared" si="27"/>
        <v>2</v>
      </c>
      <c r="Y136" s="40">
        <f t="shared" si="28"/>
        <v>0</v>
      </c>
      <c r="Z136" s="40">
        <f t="shared" si="29"/>
        <v>0</v>
      </c>
      <c r="AA136" s="40">
        <f t="shared" si="30"/>
        <v>0</v>
      </c>
      <c r="AB136" s="40">
        <f t="shared" si="31"/>
        <v>0</v>
      </c>
      <c r="AC136" s="41">
        <f t="shared" si="32"/>
        <v>0</v>
      </c>
      <c r="AD136" s="49"/>
      <c r="AE136" s="50"/>
      <c r="AF136" s="49"/>
      <c r="AG136" s="50"/>
      <c r="AH136" s="49"/>
      <c r="AI136" s="50"/>
      <c r="AJ136" s="49"/>
      <c r="AK136" s="50"/>
      <c r="AL136" s="49"/>
      <c r="AM136" s="50"/>
      <c r="AN136" s="49" t="s">
        <v>5</v>
      </c>
      <c r="AO136" s="50" t="s">
        <v>163</v>
      </c>
      <c r="AP136" s="49"/>
      <c r="AQ136" s="50"/>
      <c r="AR136" s="49" t="s">
        <v>5</v>
      </c>
      <c r="AS136" s="50" t="s">
        <v>91</v>
      </c>
      <c r="AT136" s="49"/>
      <c r="AU136" s="50"/>
      <c r="AV136" s="49" t="s">
        <v>5</v>
      </c>
      <c r="AW136" s="50" t="s">
        <v>130</v>
      </c>
      <c r="AX136" s="49"/>
      <c r="AY136" s="50"/>
      <c r="AZ136" s="49"/>
      <c r="BA136" s="50"/>
      <c r="BB136" s="49"/>
      <c r="BC136" s="50"/>
      <c r="BD136" s="49"/>
      <c r="BE136" s="50"/>
      <c r="BF136" s="49" t="s">
        <v>30</v>
      </c>
      <c r="BG136" s="50" t="s">
        <v>105</v>
      </c>
      <c r="BH136" s="49" t="s">
        <v>5</v>
      </c>
      <c r="BI136" s="50" t="s">
        <v>505</v>
      </c>
      <c r="BJ136" s="49"/>
      <c r="BK136" s="50"/>
      <c r="BL136" s="49"/>
      <c r="BM136" s="50"/>
      <c r="BN136" s="49" t="s">
        <v>5</v>
      </c>
      <c r="BO136" s="50" t="s">
        <v>107</v>
      </c>
      <c r="BP136" s="49"/>
      <c r="BQ136" s="50"/>
      <c r="BR136" s="49"/>
      <c r="BS136" s="50"/>
      <c r="BT136" s="49"/>
      <c r="BU136" s="50"/>
      <c r="BV136" s="49" t="s">
        <v>5</v>
      </c>
      <c r="BW136" s="50" t="s">
        <v>457</v>
      </c>
      <c r="BX136" s="49" t="s">
        <v>5</v>
      </c>
      <c r="BY136" s="50" t="s">
        <v>164</v>
      </c>
      <c r="BZ136" s="49" t="s">
        <v>32</v>
      </c>
      <c r="CA136" s="50" t="s">
        <v>84</v>
      </c>
    </row>
    <row r="137" spans="1:79" x14ac:dyDescent="0.25">
      <c r="A137" s="76">
        <v>151806</v>
      </c>
      <c r="B137" s="77" t="s">
        <v>1095</v>
      </c>
      <c r="C137" s="78" t="s">
        <v>957</v>
      </c>
      <c r="D137" s="76" t="s">
        <v>70</v>
      </c>
      <c r="E137" s="79" t="s">
        <v>14</v>
      </c>
      <c r="F137" s="79" t="s">
        <v>115</v>
      </c>
      <c r="G137" s="79" t="s">
        <v>87</v>
      </c>
      <c r="H137" s="79" t="s">
        <v>14</v>
      </c>
      <c r="I137" s="78" t="s">
        <v>14</v>
      </c>
      <c r="J137" s="79" t="s">
        <v>14</v>
      </c>
      <c r="K137" s="142" t="s">
        <v>1851</v>
      </c>
      <c r="L137" s="149" t="s">
        <v>1848</v>
      </c>
      <c r="M137" s="150" t="s">
        <v>1852</v>
      </c>
      <c r="N137" s="151">
        <v>13</v>
      </c>
      <c r="O137" s="151">
        <v>4</v>
      </c>
      <c r="P137" s="152">
        <v>3</v>
      </c>
      <c r="Q137" s="153">
        <v>77.78</v>
      </c>
      <c r="R137" s="154">
        <v>6</v>
      </c>
      <c r="S137" s="38">
        <f t="shared" si="22"/>
        <v>0</v>
      </c>
      <c r="T137" s="39">
        <f t="shared" si="23"/>
        <v>8</v>
      </c>
      <c r="U137" s="40">
        <f t="shared" si="24"/>
        <v>2</v>
      </c>
      <c r="V137" s="40">
        <f t="shared" si="25"/>
        <v>0</v>
      </c>
      <c r="W137" s="40">
        <f t="shared" si="26"/>
        <v>0</v>
      </c>
      <c r="X137" s="40">
        <f t="shared" si="27"/>
        <v>2</v>
      </c>
      <c r="Y137" s="40">
        <f t="shared" si="28"/>
        <v>0</v>
      </c>
      <c r="Z137" s="40">
        <f t="shared" si="29"/>
        <v>0</v>
      </c>
      <c r="AA137" s="40">
        <f t="shared" si="30"/>
        <v>0</v>
      </c>
      <c r="AB137" s="40">
        <f t="shared" si="31"/>
        <v>0</v>
      </c>
      <c r="AC137" s="41">
        <f t="shared" si="32"/>
        <v>0</v>
      </c>
      <c r="AD137" s="49"/>
      <c r="AE137" s="50"/>
      <c r="AF137" s="49"/>
      <c r="AG137" s="50"/>
      <c r="AH137" s="49"/>
      <c r="AI137" s="50"/>
      <c r="AJ137" s="49"/>
      <c r="AK137" s="50"/>
      <c r="AL137" s="49" t="s">
        <v>5</v>
      </c>
      <c r="AM137" s="50" t="s">
        <v>436</v>
      </c>
      <c r="AN137" s="49"/>
      <c r="AO137" s="50"/>
      <c r="AP137" s="49"/>
      <c r="AQ137" s="50"/>
      <c r="AR137" s="49" t="s">
        <v>5</v>
      </c>
      <c r="AS137" s="50" t="s">
        <v>194</v>
      </c>
      <c r="AT137" s="49" t="s">
        <v>5</v>
      </c>
      <c r="AU137" s="50" t="s">
        <v>73</v>
      </c>
      <c r="AV137" s="49" t="s">
        <v>5</v>
      </c>
      <c r="AW137" s="50" t="s">
        <v>77</v>
      </c>
      <c r="AX137" s="49"/>
      <c r="AY137" s="50"/>
      <c r="AZ137" s="49"/>
      <c r="BA137" s="50"/>
      <c r="BB137" s="49" t="s">
        <v>5</v>
      </c>
      <c r="BC137" s="50" t="s">
        <v>420</v>
      </c>
      <c r="BD137" s="49"/>
      <c r="BE137" s="50"/>
      <c r="BF137" s="49"/>
      <c r="BG137" s="50"/>
      <c r="BH137" s="49" t="s">
        <v>5</v>
      </c>
      <c r="BI137" s="50" t="s">
        <v>422</v>
      </c>
      <c r="BJ137" s="49"/>
      <c r="BK137" s="50"/>
      <c r="BL137" s="49"/>
      <c r="BM137" s="50"/>
      <c r="BN137" s="49" t="s">
        <v>30</v>
      </c>
      <c r="BO137" s="50" t="s">
        <v>152</v>
      </c>
      <c r="BP137" s="49"/>
      <c r="BQ137" s="50"/>
      <c r="BR137" s="49"/>
      <c r="BS137" s="50"/>
      <c r="BT137" s="49"/>
      <c r="BU137" s="50"/>
      <c r="BV137" s="49" t="s">
        <v>5</v>
      </c>
      <c r="BW137" s="50" t="s">
        <v>602</v>
      </c>
      <c r="BX137" s="49" t="s">
        <v>5</v>
      </c>
      <c r="BY137" s="50" t="s">
        <v>164</v>
      </c>
      <c r="BZ137" s="49" t="s">
        <v>30</v>
      </c>
      <c r="CA137" s="50" t="s">
        <v>75</v>
      </c>
    </row>
    <row r="138" spans="1:79" x14ac:dyDescent="0.25">
      <c r="A138" s="76">
        <v>151942</v>
      </c>
      <c r="B138" s="77" t="s">
        <v>1096</v>
      </c>
      <c r="C138" s="78" t="s">
        <v>963</v>
      </c>
      <c r="D138" s="76" t="s">
        <v>12</v>
      </c>
      <c r="E138" s="79" t="s">
        <v>14</v>
      </c>
      <c r="F138" s="79" t="s">
        <v>150</v>
      </c>
      <c r="G138" s="79" t="s">
        <v>87</v>
      </c>
      <c r="H138" s="79" t="s">
        <v>14</v>
      </c>
      <c r="I138" s="78" t="s">
        <v>14</v>
      </c>
      <c r="J138" s="79" t="s">
        <v>14</v>
      </c>
      <c r="K138" s="142" t="s">
        <v>1850</v>
      </c>
      <c r="L138" s="149" t="s">
        <v>1842</v>
      </c>
      <c r="M138" s="150" t="s">
        <v>12</v>
      </c>
      <c r="N138" s="151">
        <v>11</v>
      </c>
      <c r="O138" s="151">
        <v>0</v>
      </c>
      <c r="P138" s="152">
        <v>0</v>
      </c>
      <c r="Q138" s="153">
        <v>95.65</v>
      </c>
      <c r="R138" s="154">
        <v>4</v>
      </c>
      <c r="S138" s="38">
        <f t="shared" si="22"/>
        <v>2</v>
      </c>
      <c r="T138" s="39">
        <f t="shared" si="23"/>
        <v>7</v>
      </c>
      <c r="U138" s="40">
        <f t="shared" si="24"/>
        <v>1</v>
      </c>
      <c r="V138" s="40">
        <f t="shared" si="25"/>
        <v>0</v>
      </c>
      <c r="W138" s="40">
        <f t="shared" si="26"/>
        <v>1</v>
      </c>
      <c r="X138" s="40">
        <f t="shared" si="27"/>
        <v>2</v>
      </c>
      <c r="Y138" s="40">
        <f t="shared" si="28"/>
        <v>0</v>
      </c>
      <c r="Z138" s="40">
        <f t="shared" si="29"/>
        <v>0</v>
      </c>
      <c r="AA138" s="40">
        <f t="shared" si="30"/>
        <v>0</v>
      </c>
      <c r="AB138" s="40">
        <f t="shared" si="31"/>
        <v>0</v>
      </c>
      <c r="AC138" s="41">
        <f t="shared" si="32"/>
        <v>0</v>
      </c>
      <c r="AD138" s="49"/>
      <c r="AE138" s="50"/>
      <c r="AF138" s="49" t="s">
        <v>5</v>
      </c>
      <c r="AG138" s="50" t="s">
        <v>154</v>
      </c>
      <c r="AH138" s="49"/>
      <c r="AI138" s="50"/>
      <c r="AJ138" s="49" t="s">
        <v>5</v>
      </c>
      <c r="AK138" s="50" t="s">
        <v>714</v>
      </c>
      <c r="AL138" s="49"/>
      <c r="AM138" s="50"/>
      <c r="AN138" s="49" t="s">
        <v>5</v>
      </c>
      <c r="AO138" s="50" t="s">
        <v>163</v>
      </c>
      <c r="AP138" s="49"/>
      <c r="AQ138" s="50"/>
      <c r="AR138" s="49" t="s">
        <v>30</v>
      </c>
      <c r="AS138" s="50" t="s">
        <v>151</v>
      </c>
      <c r="AT138" s="49"/>
      <c r="AU138" s="50"/>
      <c r="AV138" s="49" t="s">
        <v>32</v>
      </c>
      <c r="AW138" s="50" t="s">
        <v>495</v>
      </c>
      <c r="AX138" s="49" t="s">
        <v>5</v>
      </c>
      <c r="AY138" s="50" t="s">
        <v>84</v>
      </c>
      <c r="AZ138" s="49" t="s">
        <v>5</v>
      </c>
      <c r="BA138" s="50" t="s">
        <v>76</v>
      </c>
      <c r="BB138" s="49"/>
      <c r="BC138" s="50"/>
      <c r="BD138" s="49"/>
      <c r="BE138" s="50"/>
      <c r="BF138" s="49"/>
      <c r="BG138" s="50"/>
      <c r="BH138" s="49" t="s">
        <v>5</v>
      </c>
      <c r="BI138" s="50" t="s">
        <v>112</v>
      </c>
      <c r="BJ138" s="49"/>
      <c r="BK138" s="50"/>
      <c r="BL138" s="49"/>
      <c r="BM138" s="50"/>
      <c r="BN138" s="49" t="s">
        <v>1</v>
      </c>
      <c r="BO138" s="50" t="s">
        <v>96</v>
      </c>
      <c r="BP138" s="49"/>
      <c r="BQ138" s="50"/>
      <c r="BR138" s="49" t="s">
        <v>5</v>
      </c>
      <c r="BS138" s="50" t="s">
        <v>140</v>
      </c>
      <c r="BT138" s="49"/>
      <c r="BU138" s="50"/>
      <c r="BV138" s="49" t="s">
        <v>1</v>
      </c>
      <c r="BW138" s="50" t="s">
        <v>122</v>
      </c>
      <c r="BX138" s="49"/>
      <c r="BY138" s="50"/>
      <c r="BZ138" s="49"/>
      <c r="CA138" s="50"/>
    </row>
    <row r="139" spans="1:79" x14ac:dyDescent="0.25">
      <c r="A139" s="76">
        <v>151948</v>
      </c>
      <c r="B139" s="77" t="s">
        <v>1097</v>
      </c>
      <c r="C139" s="78" t="s">
        <v>954</v>
      </c>
      <c r="D139" s="76" t="s">
        <v>12</v>
      </c>
      <c r="E139" s="79" t="s">
        <v>87</v>
      </c>
      <c r="F139" s="79" t="s">
        <v>88</v>
      </c>
      <c r="G139" s="79" t="s">
        <v>14</v>
      </c>
      <c r="H139" s="79" t="s">
        <v>87</v>
      </c>
      <c r="I139" s="78" t="s">
        <v>14</v>
      </c>
      <c r="J139" s="79" t="s">
        <v>14</v>
      </c>
      <c r="K139" s="142" t="s">
        <v>1850</v>
      </c>
      <c r="L139" s="149" t="s">
        <v>1846</v>
      </c>
      <c r="M139" s="150" t="s">
        <v>1853</v>
      </c>
      <c r="N139" s="151">
        <v>10</v>
      </c>
      <c r="O139" s="151">
        <v>6</v>
      </c>
      <c r="P139" s="152">
        <v>1</v>
      </c>
      <c r="Q139" s="153">
        <v>100</v>
      </c>
      <c r="R139" s="154">
        <v>8</v>
      </c>
      <c r="S139" s="38">
        <f t="shared" si="22"/>
        <v>0</v>
      </c>
      <c r="T139" s="39">
        <f t="shared" si="23"/>
        <v>8</v>
      </c>
      <c r="U139" s="40">
        <f t="shared" si="24"/>
        <v>2</v>
      </c>
      <c r="V139" s="40">
        <f t="shared" si="25"/>
        <v>1</v>
      </c>
      <c r="W139" s="40">
        <f t="shared" si="26"/>
        <v>0</v>
      </c>
      <c r="X139" s="40">
        <f t="shared" si="27"/>
        <v>3</v>
      </c>
      <c r="Y139" s="40">
        <f t="shared" si="28"/>
        <v>0</v>
      </c>
      <c r="Z139" s="40">
        <f t="shared" si="29"/>
        <v>0</v>
      </c>
      <c r="AA139" s="40">
        <f t="shared" si="30"/>
        <v>0</v>
      </c>
      <c r="AB139" s="40">
        <f t="shared" si="31"/>
        <v>0</v>
      </c>
      <c r="AC139" s="41">
        <f t="shared" si="32"/>
        <v>0</v>
      </c>
      <c r="AD139" s="49"/>
      <c r="AE139" s="50"/>
      <c r="AF139" s="49" t="s">
        <v>30</v>
      </c>
      <c r="AG139" s="50" t="s">
        <v>154</v>
      </c>
      <c r="AH139" s="49" t="s">
        <v>30</v>
      </c>
      <c r="AI139" s="50" t="s">
        <v>78</v>
      </c>
      <c r="AJ139" s="49" t="s">
        <v>5</v>
      </c>
      <c r="AK139" s="50" t="s">
        <v>714</v>
      </c>
      <c r="AL139" s="49"/>
      <c r="AM139" s="50"/>
      <c r="AN139" s="49"/>
      <c r="AO139" s="50"/>
      <c r="AP139" s="49"/>
      <c r="AQ139" s="50"/>
      <c r="AR139" s="49" t="s">
        <v>5</v>
      </c>
      <c r="AS139" s="50" t="s">
        <v>169</v>
      </c>
      <c r="AT139" s="49"/>
      <c r="AU139" s="50"/>
      <c r="AV139" s="49" t="s">
        <v>31</v>
      </c>
      <c r="AW139" s="50" t="s">
        <v>955</v>
      </c>
      <c r="AX139" s="49" t="s">
        <v>5</v>
      </c>
      <c r="AY139" s="50" t="s">
        <v>103</v>
      </c>
      <c r="AZ139" s="49"/>
      <c r="BA139" s="50"/>
      <c r="BB139" s="49"/>
      <c r="BC139" s="50"/>
      <c r="BD139" s="49"/>
      <c r="BE139" s="50"/>
      <c r="BF139" s="49"/>
      <c r="BG139" s="50"/>
      <c r="BH139" s="49" t="s">
        <v>5</v>
      </c>
      <c r="BI139" s="50" t="s">
        <v>711</v>
      </c>
      <c r="BJ139" s="49"/>
      <c r="BK139" s="50"/>
      <c r="BL139" s="49"/>
      <c r="BM139" s="50"/>
      <c r="BN139" s="49" t="s">
        <v>5</v>
      </c>
      <c r="BO139" s="50" t="s">
        <v>107</v>
      </c>
      <c r="BP139" s="49" t="s">
        <v>5</v>
      </c>
      <c r="BQ139" s="50" t="s">
        <v>107</v>
      </c>
      <c r="BR139" s="49" t="s">
        <v>5</v>
      </c>
      <c r="BS139" s="50" t="s">
        <v>140</v>
      </c>
      <c r="BT139" s="49"/>
      <c r="BU139" s="50"/>
      <c r="BV139" s="49" t="s">
        <v>5</v>
      </c>
      <c r="BW139" s="50" t="s">
        <v>132</v>
      </c>
      <c r="BX139" s="49"/>
      <c r="BY139" s="50"/>
      <c r="BZ139" s="49"/>
      <c r="CA139" s="50"/>
    </row>
    <row r="140" spans="1:79" x14ac:dyDescent="0.25">
      <c r="A140" s="76">
        <v>151873</v>
      </c>
      <c r="B140" s="77" t="s">
        <v>1098</v>
      </c>
      <c r="C140" s="78" t="s">
        <v>961</v>
      </c>
      <c r="D140" s="76" t="s">
        <v>12</v>
      </c>
      <c r="E140" s="79" t="s">
        <v>14</v>
      </c>
      <c r="F140" s="79" t="s">
        <v>88</v>
      </c>
      <c r="G140" s="79" t="s">
        <v>14</v>
      </c>
      <c r="H140" s="79" t="s">
        <v>14</v>
      </c>
      <c r="I140" s="78" t="s">
        <v>14</v>
      </c>
      <c r="J140" s="79" t="s">
        <v>14</v>
      </c>
      <c r="K140" s="142" t="s">
        <v>1850</v>
      </c>
      <c r="L140" s="149" t="s">
        <v>1842</v>
      </c>
      <c r="M140" s="150" t="s">
        <v>12</v>
      </c>
      <c r="N140" s="151">
        <v>14</v>
      </c>
      <c r="O140" s="151">
        <v>10</v>
      </c>
      <c r="P140" s="152">
        <v>1</v>
      </c>
      <c r="Q140" s="153">
        <v>95.65</v>
      </c>
      <c r="R140" s="154">
        <v>13</v>
      </c>
      <c r="S140" s="38">
        <f t="shared" si="22"/>
        <v>1</v>
      </c>
      <c r="T140" s="39">
        <f t="shared" si="23"/>
        <v>8</v>
      </c>
      <c r="U140" s="40">
        <f t="shared" si="24"/>
        <v>1</v>
      </c>
      <c r="V140" s="40">
        <f t="shared" si="25"/>
        <v>1</v>
      </c>
      <c r="W140" s="40">
        <f t="shared" si="26"/>
        <v>0</v>
      </c>
      <c r="X140" s="40">
        <f t="shared" si="27"/>
        <v>2</v>
      </c>
      <c r="Y140" s="40">
        <f t="shared" si="28"/>
        <v>0</v>
      </c>
      <c r="Z140" s="40">
        <f t="shared" si="29"/>
        <v>0</v>
      </c>
      <c r="AA140" s="40">
        <f t="shared" si="30"/>
        <v>0</v>
      </c>
      <c r="AB140" s="40">
        <f t="shared" si="31"/>
        <v>0</v>
      </c>
      <c r="AC140" s="41">
        <f t="shared" si="32"/>
        <v>0</v>
      </c>
      <c r="AD140" s="49"/>
      <c r="AE140" s="50"/>
      <c r="AF140" s="49" t="s">
        <v>31</v>
      </c>
      <c r="AG140" s="50" t="s">
        <v>154</v>
      </c>
      <c r="AH140" s="49" t="s">
        <v>30</v>
      </c>
      <c r="AI140" s="50" t="s">
        <v>78</v>
      </c>
      <c r="AJ140" s="49" t="s">
        <v>5</v>
      </c>
      <c r="AK140" s="50" t="s">
        <v>83</v>
      </c>
      <c r="AL140" s="49"/>
      <c r="AM140" s="50"/>
      <c r="AN140" s="49"/>
      <c r="AO140" s="50"/>
      <c r="AP140" s="49"/>
      <c r="AQ140" s="50"/>
      <c r="AR140" s="49" t="s">
        <v>5</v>
      </c>
      <c r="AS140" s="50" t="s">
        <v>111</v>
      </c>
      <c r="AT140" s="49"/>
      <c r="AU140" s="50"/>
      <c r="AV140" s="49" t="s">
        <v>5</v>
      </c>
      <c r="AW140" s="50" t="s">
        <v>139</v>
      </c>
      <c r="AX140" s="49"/>
      <c r="AY140" s="50"/>
      <c r="AZ140" s="49"/>
      <c r="BA140" s="50"/>
      <c r="BB140" s="49"/>
      <c r="BC140" s="50"/>
      <c r="BD140" s="49" t="s">
        <v>5</v>
      </c>
      <c r="BE140" s="50" t="s">
        <v>120</v>
      </c>
      <c r="BF140" s="49"/>
      <c r="BG140" s="50"/>
      <c r="BH140" s="49" t="s">
        <v>5</v>
      </c>
      <c r="BI140" s="50" t="s">
        <v>136</v>
      </c>
      <c r="BJ140" s="49"/>
      <c r="BK140" s="50"/>
      <c r="BL140" s="49"/>
      <c r="BM140" s="50"/>
      <c r="BN140" s="49" t="s">
        <v>1</v>
      </c>
      <c r="BO140" s="50" t="s">
        <v>107</v>
      </c>
      <c r="BP140" s="49"/>
      <c r="BQ140" s="50"/>
      <c r="BR140" s="49" t="s">
        <v>5</v>
      </c>
      <c r="BS140" s="50" t="s">
        <v>98</v>
      </c>
      <c r="BT140" s="49"/>
      <c r="BU140" s="50"/>
      <c r="BV140" s="49" t="s">
        <v>5</v>
      </c>
      <c r="BW140" s="50" t="s">
        <v>97</v>
      </c>
      <c r="BX140" s="49"/>
      <c r="BY140" s="50"/>
      <c r="BZ140" s="49" t="s">
        <v>5</v>
      </c>
      <c r="CA140" s="50" t="s">
        <v>124</v>
      </c>
    </row>
    <row r="141" spans="1:79" x14ac:dyDescent="0.25">
      <c r="A141" s="76">
        <v>151935</v>
      </c>
      <c r="B141" s="77" t="s">
        <v>1099</v>
      </c>
      <c r="C141" s="78" t="s">
        <v>954</v>
      </c>
      <c r="D141" s="76" t="s">
        <v>70</v>
      </c>
      <c r="E141" s="79" t="s">
        <v>87</v>
      </c>
      <c r="F141" s="79" t="s">
        <v>88</v>
      </c>
      <c r="G141" s="79" t="s">
        <v>14</v>
      </c>
      <c r="H141" s="79" t="s">
        <v>87</v>
      </c>
      <c r="I141" s="78" t="s">
        <v>14</v>
      </c>
      <c r="J141" s="79" t="s">
        <v>14</v>
      </c>
      <c r="K141" s="142" t="s">
        <v>1850</v>
      </c>
      <c r="L141" s="149" t="s">
        <v>1845</v>
      </c>
      <c r="M141" s="150" t="s">
        <v>1852</v>
      </c>
      <c r="N141" s="151">
        <v>20</v>
      </c>
      <c r="O141" s="151">
        <v>5</v>
      </c>
      <c r="P141" s="152">
        <v>1</v>
      </c>
      <c r="Q141" s="153">
        <v>93.48</v>
      </c>
      <c r="R141" s="154">
        <v>6</v>
      </c>
      <c r="S141" s="38">
        <f t="shared" si="22"/>
        <v>1</v>
      </c>
      <c r="T141" s="39">
        <f t="shared" si="23"/>
        <v>8</v>
      </c>
      <c r="U141" s="40">
        <f t="shared" si="24"/>
        <v>2</v>
      </c>
      <c r="V141" s="40">
        <f t="shared" si="25"/>
        <v>0</v>
      </c>
      <c r="W141" s="40">
        <f t="shared" si="26"/>
        <v>0</v>
      </c>
      <c r="X141" s="40">
        <f t="shared" si="27"/>
        <v>2</v>
      </c>
      <c r="Y141" s="40">
        <f t="shared" si="28"/>
        <v>0</v>
      </c>
      <c r="Z141" s="40">
        <f t="shared" si="29"/>
        <v>0</v>
      </c>
      <c r="AA141" s="40">
        <f t="shared" si="30"/>
        <v>0</v>
      </c>
      <c r="AB141" s="40">
        <f t="shared" si="31"/>
        <v>0</v>
      </c>
      <c r="AC141" s="41">
        <f t="shared" si="32"/>
        <v>0</v>
      </c>
      <c r="AD141" s="49"/>
      <c r="AE141" s="50"/>
      <c r="AF141" s="49" t="s">
        <v>5</v>
      </c>
      <c r="AG141" s="50" t="s">
        <v>433</v>
      </c>
      <c r="AH141" s="49"/>
      <c r="AI141" s="50"/>
      <c r="AJ141" s="49" t="s">
        <v>5</v>
      </c>
      <c r="AK141" s="50" t="s">
        <v>714</v>
      </c>
      <c r="AL141" s="49" t="s">
        <v>5</v>
      </c>
      <c r="AM141" s="50" t="s">
        <v>436</v>
      </c>
      <c r="AN141" s="49"/>
      <c r="AO141" s="50"/>
      <c r="AP141" s="49"/>
      <c r="AQ141" s="50"/>
      <c r="AR141" s="49" t="s">
        <v>5</v>
      </c>
      <c r="AS141" s="50" t="s">
        <v>102</v>
      </c>
      <c r="AT141" s="49"/>
      <c r="AU141" s="50"/>
      <c r="AV141" s="49" t="s">
        <v>30</v>
      </c>
      <c r="AW141" s="50" t="s">
        <v>955</v>
      </c>
      <c r="AX141" s="49" t="s">
        <v>5</v>
      </c>
      <c r="AY141" s="50" t="s">
        <v>143</v>
      </c>
      <c r="AZ141" s="49"/>
      <c r="BA141" s="50"/>
      <c r="BB141" s="49" t="s">
        <v>30</v>
      </c>
      <c r="BC141" s="50" t="s">
        <v>425</v>
      </c>
      <c r="BD141" s="49"/>
      <c r="BE141" s="50"/>
      <c r="BF141" s="49"/>
      <c r="BG141" s="50"/>
      <c r="BH141" s="49" t="s">
        <v>5</v>
      </c>
      <c r="BI141" s="50" t="s">
        <v>422</v>
      </c>
      <c r="BJ141" s="49"/>
      <c r="BK141" s="50"/>
      <c r="BL141" s="49"/>
      <c r="BM141" s="50"/>
      <c r="BN141" s="49" t="s">
        <v>5</v>
      </c>
      <c r="BO141" s="50" t="s">
        <v>152</v>
      </c>
      <c r="BP141" s="49"/>
      <c r="BQ141" s="50"/>
      <c r="BR141" s="49" t="s">
        <v>1</v>
      </c>
      <c r="BS141" s="50" t="s">
        <v>170</v>
      </c>
      <c r="BT141" s="49"/>
      <c r="BU141" s="50"/>
      <c r="BV141" s="49" t="s">
        <v>5</v>
      </c>
      <c r="BW141" s="50" t="s">
        <v>602</v>
      </c>
      <c r="BX141" s="49"/>
      <c r="BY141" s="50"/>
      <c r="BZ141" s="49"/>
      <c r="CA141" s="50"/>
    </row>
    <row r="142" spans="1:79" x14ac:dyDescent="0.25">
      <c r="A142" s="76">
        <v>151817</v>
      </c>
      <c r="B142" s="77" t="s">
        <v>1100</v>
      </c>
      <c r="C142" s="78" t="s">
        <v>961</v>
      </c>
      <c r="D142" s="76" t="s">
        <v>12</v>
      </c>
      <c r="E142" s="79" t="s">
        <v>14</v>
      </c>
      <c r="F142" s="79" t="s">
        <v>88</v>
      </c>
      <c r="G142" s="79" t="s">
        <v>87</v>
      </c>
      <c r="H142" s="79" t="s">
        <v>14</v>
      </c>
      <c r="I142" s="78" t="s">
        <v>14</v>
      </c>
      <c r="J142" s="79" t="s">
        <v>14</v>
      </c>
      <c r="K142" s="142" t="s">
        <v>1850</v>
      </c>
      <c r="L142" s="149" t="s">
        <v>1841</v>
      </c>
      <c r="M142" s="150" t="s">
        <v>1853</v>
      </c>
      <c r="N142" s="151">
        <v>9</v>
      </c>
      <c r="O142" s="151">
        <v>5</v>
      </c>
      <c r="P142" s="152">
        <v>1</v>
      </c>
      <c r="Q142" s="153">
        <v>97.83</v>
      </c>
      <c r="R142" s="154">
        <v>5</v>
      </c>
      <c r="S142" s="38">
        <f t="shared" si="22"/>
        <v>0</v>
      </c>
      <c r="T142" s="39">
        <f t="shared" si="23"/>
        <v>8</v>
      </c>
      <c r="U142" s="40">
        <f t="shared" si="24"/>
        <v>2</v>
      </c>
      <c r="V142" s="40">
        <f t="shared" si="25"/>
        <v>1</v>
      </c>
      <c r="W142" s="40">
        <f t="shared" si="26"/>
        <v>0</v>
      </c>
      <c r="X142" s="40">
        <f t="shared" si="27"/>
        <v>3</v>
      </c>
      <c r="Y142" s="40">
        <f t="shared" si="28"/>
        <v>0</v>
      </c>
      <c r="Z142" s="40">
        <f t="shared" si="29"/>
        <v>0</v>
      </c>
      <c r="AA142" s="40">
        <f t="shared" si="30"/>
        <v>0</v>
      </c>
      <c r="AB142" s="40">
        <f t="shared" si="31"/>
        <v>0</v>
      </c>
      <c r="AC142" s="41">
        <f t="shared" si="32"/>
        <v>0</v>
      </c>
      <c r="AD142" s="49"/>
      <c r="AE142" s="50"/>
      <c r="AF142" s="49" t="s">
        <v>31</v>
      </c>
      <c r="AG142" s="50" t="s">
        <v>154</v>
      </c>
      <c r="AH142" s="49" t="s">
        <v>5</v>
      </c>
      <c r="AI142" s="50" t="s">
        <v>78</v>
      </c>
      <c r="AJ142" s="49" t="s">
        <v>30</v>
      </c>
      <c r="AK142" s="50" t="s">
        <v>714</v>
      </c>
      <c r="AL142" s="49"/>
      <c r="AM142" s="50"/>
      <c r="AN142" s="49"/>
      <c r="AO142" s="50"/>
      <c r="AP142" s="49"/>
      <c r="AQ142" s="50"/>
      <c r="AR142" s="49" t="s">
        <v>5</v>
      </c>
      <c r="AS142" s="50" t="s">
        <v>74</v>
      </c>
      <c r="AT142" s="49"/>
      <c r="AU142" s="50"/>
      <c r="AV142" s="49" t="s">
        <v>5</v>
      </c>
      <c r="AW142" s="50" t="s">
        <v>139</v>
      </c>
      <c r="AX142" s="49"/>
      <c r="AY142" s="50"/>
      <c r="AZ142" s="49"/>
      <c r="BA142" s="50"/>
      <c r="BB142" s="49"/>
      <c r="BC142" s="50"/>
      <c r="BD142" s="49" t="s">
        <v>5</v>
      </c>
      <c r="BE142" s="50" t="s">
        <v>120</v>
      </c>
      <c r="BF142" s="49"/>
      <c r="BG142" s="50"/>
      <c r="BH142" s="49" t="s">
        <v>5</v>
      </c>
      <c r="BI142" s="50" t="s">
        <v>106</v>
      </c>
      <c r="BJ142" s="49"/>
      <c r="BK142" s="50"/>
      <c r="BL142" s="49"/>
      <c r="BM142" s="50"/>
      <c r="BN142" s="49" t="s">
        <v>5</v>
      </c>
      <c r="BO142" s="50" t="s">
        <v>96</v>
      </c>
      <c r="BP142" s="49"/>
      <c r="BQ142" s="50"/>
      <c r="BR142" s="49" t="s">
        <v>30</v>
      </c>
      <c r="BS142" s="50" t="s">
        <v>140</v>
      </c>
      <c r="BT142" s="49"/>
      <c r="BU142" s="50"/>
      <c r="BV142" s="49" t="s">
        <v>5</v>
      </c>
      <c r="BW142" s="50" t="s">
        <v>132</v>
      </c>
      <c r="BX142" s="49"/>
      <c r="BY142" s="50"/>
      <c r="BZ142" s="49" t="s">
        <v>5</v>
      </c>
      <c r="CA142" s="50" t="s">
        <v>124</v>
      </c>
    </row>
    <row r="143" spans="1:79" x14ac:dyDescent="0.25">
      <c r="A143" s="76">
        <v>151912</v>
      </c>
      <c r="B143" s="77" t="s">
        <v>1101</v>
      </c>
      <c r="C143" s="78" t="s">
        <v>954</v>
      </c>
      <c r="D143" s="76" t="s">
        <v>70</v>
      </c>
      <c r="E143" s="79" t="s">
        <v>14</v>
      </c>
      <c r="F143" s="79" t="s">
        <v>71</v>
      </c>
      <c r="G143" s="79" t="s">
        <v>14</v>
      </c>
      <c r="H143" s="79" t="s">
        <v>14</v>
      </c>
      <c r="I143" s="78" t="s">
        <v>14</v>
      </c>
      <c r="J143" s="79" t="s">
        <v>14</v>
      </c>
      <c r="K143" s="142" t="s">
        <v>1850</v>
      </c>
      <c r="L143" s="149" t="s">
        <v>1842</v>
      </c>
      <c r="M143" s="150" t="s">
        <v>12</v>
      </c>
      <c r="N143" s="151">
        <v>24</v>
      </c>
      <c r="O143" s="151">
        <v>14</v>
      </c>
      <c r="P143" s="152">
        <v>2</v>
      </c>
      <c r="Q143" s="153">
        <v>97.83</v>
      </c>
      <c r="R143" s="154">
        <v>4</v>
      </c>
      <c r="S143" s="38">
        <f t="shared" si="22"/>
        <v>0</v>
      </c>
      <c r="T143" s="39">
        <f t="shared" si="23"/>
        <v>7</v>
      </c>
      <c r="U143" s="40">
        <f t="shared" si="24"/>
        <v>2</v>
      </c>
      <c r="V143" s="40">
        <f t="shared" si="25"/>
        <v>2</v>
      </c>
      <c r="W143" s="40">
        <f t="shared" si="26"/>
        <v>0</v>
      </c>
      <c r="X143" s="40">
        <f t="shared" si="27"/>
        <v>4</v>
      </c>
      <c r="Y143" s="40">
        <f t="shared" si="28"/>
        <v>0</v>
      </c>
      <c r="Z143" s="40">
        <f t="shared" si="29"/>
        <v>0</v>
      </c>
      <c r="AA143" s="40">
        <f t="shared" si="30"/>
        <v>0</v>
      </c>
      <c r="AB143" s="40">
        <f t="shared" si="31"/>
        <v>0</v>
      </c>
      <c r="AC143" s="41">
        <f t="shared" si="32"/>
        <v>0</v>
      </c>
      <c r="AD143" s="49"/>
      <c r="AE143" s="50"/>
      <c r="AF143" s="49" t="s">
        <v>31</v>
      </c>
      <c r="AG143" s="50" t="s">
        <v>433</v>
      </c>
      <c r="AH143" s="49" t="s">
        <v>5</v>
      </c>
      <c r="AI143" s="50" t="s">
        <v>131</v>
      </c>
      <c r="AJ143" s="49" t="s">
        <v>5</v>
      </c>
      <c r="AK143" s="50" t="s">
        <v>714</v>
      </c>
      <c r="AL143" s="49"/>
      <c r="AM143" s="50"/>
      <c r="AN143" s="49"/>
      <c r="AO143" s="50"/>
      <c r="AP143" s="49"/>
      <c r="AQ143" s="50"/>
      <c r="AR143" s="49" t="s">
        <v>30</v>
      </c>
      <c r="AS143" s="50" t="s">
        <v>142</v>
      </c>
      <c r="AT143" s="49"/>
      <c r="AU143" s="50"/>
      <c r="AV143" s="49" t="s">
        <v>31</v>
      </c>
      <c r="AW143" s="50" t="s">
        <v>955</v>
      </c>
      <c r="AX143" s="49" t="s">
        <v>30</v>
      </c>
      <c r="AY143" s="50" t="s">
        <v>84</v>
      </c>
      <c r="AZ143" s="49"/>
      <c r="BA143" s="50"/>
      <c r="BB143" s="49" t="s">
        <v>5</v>
      </c>
      <c r="BC143" s="50" t="s">
        <v>420</v>
      </c>
      <c r="BD143" s="49"/>
      <c r="BE143" s="50"/>
      <c r="BF143" s="49"/>
      <c r="BG143" s="50"/>
      <c r="BH143" s="49" t="s">
        <v>5</v>
      </c>
      <c r="BI143" s="50" t="s">
        <v>79</v>
      </c>
      <c r="BJ143" s="49"/>
      <c r="BK143" s="50"/>
      <c r="BL143" s="49"/>
      <c r="BM143" s="50"/>
      <c r="BN143" s="49" t="s">
        <v>5</v>
      </c>
      <c r="BO143" s="50" t="s">
        <v>81</v>
      </c>
      <c r="BP143" s="49"/>
      <c r="BQ143" s="50"/>
      <c r="BR143" s="49" t="s">
        <v>5</v>
      </c>
      <c r="BS143" s="50" t="s">
        <v>170</v>
      </c>
      <c r="BT143" s="49"/>
      <c r="BU143" s="50"/>
      <c r="BV143" s="49" t="s">
        <v>5</v>
      </c>
      <c r="BW143" s="50" t="s">
        <v>715</v>
      </c>
      <c r="BX143" s="49"/>
      <c r="BY143" s="50"/>
      <c r="BZ143" s="49"/>
      <c r="CA143" s="50"/>
    </row>
    <row r="144" spans="1:79" x14ac:dyDescent="0.25">
      <c r="A144" s="76">
        <v>151866</v>
      </c>
      <c r="B144" s="77" t="s">
        <v>1102</v>
      </c>
      <c r="C144" s="78" t="s">
        <v>961</v>
      </c>
      <c r="D144" s="76" t="s">
        <v>12</v>
      </c>
      <c r="E144" s="79" t="s">
        <v>87</v>
      </c>
      <c r="F144" s="79" t="s">
        <v>158</v>
      </c>
      <c r="G144" s="79" t="s">
        <v>14</v>
      </c>
      <c r="H144" s="79" t="s">
        <v>87</v>
      </c>
      <c r="I144" s="78" t="s">
        <v>14</v>
      </c>
      <c r="J144" s="79" t="s">
        <v>4</v>
      </c>
      <c r="K144" s="142" t="s">
        <v>1850</v>
      </c>
      <c r="L144" s="149" t="s">
        <v>1843</v>
      </c>
      <c r="M144" s="150" t="s">
        <v>1852</v>
      </c>
      <c r="N144" s="151">
        <v>22</v>
      </c>
      <c r="O144" s="151">
        <v>0</v>
      </c>
      <c r="P144" s="152">
        <v>0</v>
      </c>
      <c r="Q144" s="153">
        <v>100</v>
      </c>
      <c r="R144" s="154">
        <v>0</v>
      </c>
      <c r="S144" s="38">
        <f t="shared" si="22"/>
        <v>1</v>
      </c>
      <c r="T144" s="39">
        <f t="shared" si="23"/>
        <v>10</v>
      </c>
      <c r="U144" s="40">
        <f t="shared" si="24"/>
        <v>0</v>
      </c>
      <c r="V144" s="40">
        <f t="shared" si="25"/>
        <v>0</v>
      </c>
      <c r="W144" s="40">
        <f t="shared" si="26"/>
        <v>0</v>
      </c>
      <c r="X144" s="40">
        <f t="shared" si="27"/>
        <v>0</v>
      </c>
      <c r="Y144" s="40">
        <f t="shared" si="28"/>
        <v>0</v>
      </c>
      <c r="Z144" s="40">
        <f t="shared" si="29"/>
        <v>0</v>
      </c>
      <c r="AA144" s="40">
        <f t="shared" si="30"/>
        <v>0</v>
      </c>
      <c r="AB144" s="40">
        <f t="shared" si="31"/>
        <v>0</v>
      </c>
      <c r="AC144" s="41">
        <f t="shared" si="32"/>
        <v>0</v>
      </c>
      <c r="AD144" s="49"/>
      <c r="AE144" s="50"/>
      <c r="AF144" s="49" t="s">
        <v>5</v>
      </c>
      <c r="AG144" s="50" t="s">
        <v>433</v>
      </c>
      <c r="AH144" s="49"/>
      <c r="AI144" s="50"/>
      <c r="AJ144" s="49" t="s">
        <v>5</v>
      </c>
      <c r="AK144" s="50" t="s">
        <v>714</v>
      </c>
      <c r="AL144" s="49"/>
      <c r="AM144" s="50"/>
      <c r="AN144" s="49"/>
      <c r="AO144" s="50"/>
      <c r="AP144" s="49"/>
      <c r="AQ144" s="50"/>
      <c r="AR144" s="49" t="s">
        <v>5</v>
      </c>
      <c r="AS144" s="50" t="s">
        <v>91</v>
      </c>
      <c r="AT144" s="49" t="s">
        <v>5</v>
      </c>
      <c r="AU144" s="50" t="s">
        <v>73</v>
      </c>
      <c r="AV144" s="49" t="s">
        <v>5</v>
      </c>
      <c r="AW144" s="50" t="s">
        <v>139</v>
      </c>
      <c r="AX144" s="49"/>
      <c r="AY144" s="50"/>
      <c r="AZ144" s="49"/>
      <c r="BA144" s="50"/>
      <c r="BB144" s="49"/>
      <c r="BC144" s="50"/>
      <c r="BD144" s="49"/>
      <c r="BE144" s="50"/>
      <c r="BF144" s="49"/>
      <c r="BG144" s="50"/>
      <c r="BH144" s="49" t="s">
        <v>5</v>
      </c>
      <c r="BI144" s="50" t="s">
        <v>505</v>
      </c>
      <c r="BJ144" s="49"/>
      <c r="BK144" s="50"/>
      <c r="BL144" s="49"/>
      <c r="BM144" s="50"/>
      <c r="BN144" s="49" t="s">
        <v>1</v>
      </c>
      <c r="BO144" s="50" t="s">
        <v>96</v>
      </c>
      <c r="BP144" s="49" t="s">
        <v>5</v>
      </c>
      <c r="BQ144" s="50" t="s">
        <v>152</v>
      </c>
      <c r="BR144" s="49" t="s">
        <v>5</v>
      </c>
      <c r="BS144" s="50" t="s">
        <v>170</v>
      </c>
      <c r="BT144" s="49"/>
      <c r="BU144" s="50"/>
      <c r="BV144" s="49" t="s">
        <v>5</v>
      </c>
      <c r="BW144" s="50" t="s">
        <v>457</v>
      </c>
      <c r="BX144" s="49"/>
      <c r="BY144" s="50"/>
      <c r="BZ144" s="49" t="s">
        <v>5</v>
      </c>
      <c r="CA144" s="50" t="s">
        <v>75</v>
      </c>
    </row>
    <row r="145" spans="1:79" ht="30" x14ac:dyDescent="0.25">
      <c r="A145" s="76">
        <v>151928</v>
      </c>
      <c r="B145" s="77" t="s">
        <v>1103</v>
      </c>
      <c r="C145" s="78" t="s">
        <v>963</v>
      </c>
      <c r="D145" s="76" t="s">
        <v>12</v>
      </c>
      <c r="E145" s="79" t="s">
        <v>14</v>
      </c>
      <c r="F145" s="79" t="s">
        <v>88</v>
      </c>
      <c r="G145" s="79" t="s">
        <v>14</v>
      </c>
      <c r="H145" s="79" t="s">
        <v>14</v>
      </c>
      <c r="I145" s="78" t="s">
        <v>14</v>
      </c>
      <c r="J145" s="79" t="s">
        <v>14</v>
      </c>
      <c r="K145" s="142" t="s">
        <v>1850</v>
      </c>
      <c r="L145" s="149" t="s">
        <v>1845</v>
      </c>
      <c r="M145" s="150" t="s">
        <v>12</v>
      </c>
      <c r="N145" s="151">
        <v>15</v>
      </c>
      <c r="O145" s="151">
        <v>1</v>
      </c>
      <c r="P145" s="152">
        <v>2</v>
      </c>
      <c r="Q145" s="153">
        <v>100</v>
      </c>
      <c r="R145" s="154">
        <v>0</v>
      </c>
      <c r="S145" s="38">
        <f t="shared" si="22"/>
        <v>3</v>
      </c>
      <c r="T145" s="39">
        <f t="shared" si="23"/>
        <v>7</v>
      </c>
      <c r="U145" s="40">
        <f t="shared" si="24"/>
        <v>1</v>
      </c>
      <c r="V145" s="40">
        <f t="shared" si="25"/>
        <v>0</v>
      </c>
      <c r="W145" s="40">
        <f t="shared" si="26"/>
        <v>0</v>
      </c>
      <c r="X145" s="40">
        <f t="shared" si="27"/>
        <v>1</v>
      </c>
      <c r="Y145" s="40">
        <f t="shared" si="28"/>
        <v>0</v>
      </c>
      <c r="Z145" s="40">
        <f t="shared" si="29"/>
        <v>0</v>
      </c>
      <c r="AA145" s="40">
        <f t="shared" si="30"/>
        <v>0</v>
      </c>
      <c r="AB145" s="40">
        <f t="shared" si="31"/>
        <v>0</v>
      </c>
      <c r="AC145" s="41">
        <f t="shared" si="32"/>
        <v>0</v>
      </c>
      <c r="AD145" s="49"/>
      <c r="AE145" s="50"/>
      <c r="AF145" s="49" t="s">
        <v>5</v>
      </c>
      <c r="AG145" s="50" t="s">
        <v>154</v>
      </c>
      <c r="AH145" s="49"/>
      <c r="AI145" s="50"/>
      <c r="AJ145" s="49" t="s">
        <v>1</v>
      </c>
      <c r="AK145" s="50" t="s">
        <v>83</v>
      </c>
      <c r="AL145" s="49"/>
      <c r="AM145" s="50"/>
      <c r="AN145" s="49"/>
      <c r="AO145" s="50"/>
      <c r="AP145" s="49"/>
      <c r="AQ145" s="50"/>
      <c r="AR145" s="49" t="s">
        <v>30</v>
      </c>
      <c r="AS145" s="50" t="s">
        <v>142</v>
      </c>
      <c r="AT145" s="49"/>
      <c r="AU145" s="50"/>
      <c r="AV145" s="49" t="s">
        <v>5</v>
      </c>
      <c r="AW145" s="50" t="s">
        <v>495</v>
      </c>
      <c r="AX145" s="49" t="s">
        <v>5</v>
      </c>
      <c r="AY145" s="50" t="s">
        <v>103</v>
      </c>
      <c r="AZ145" s="49" t="s">
        <v>5</v>
      </c>
      <c r="BA145" s="50" t="s">
        <v>76</v>
      </c>
      <c r="BB145" s="49"/>
      <c r="BC145" s="50"/>
      <c r="BD145" s="49"/>
      <c r="BE145" s="50"/>
      <c r="BF145" s="49"/>
      <c r="BG145" s="50"/>
      <c r="BH145" s="49" t="s">
        <v>5</v>
      </c>
      <c r="BI145" s="50" t="s">
        <v>112</v>
      </c>
      <c r="BJ145" s="49"/>
      <c r="BK145" s="50"/>
      <c r="BL145" s="49"/>
      <c r="BM145" s="50"/>
      <c r="BN145" s="49" t="s">
        <v>1</v>
      </c>
      <c r="BO145" s="50" t="s">
        <v>107</v>
      </c>
      <c r="BP145" s="49" t="s">
        <v>1</v>
      </c>
      <c r="BQ145" s="50" t="s">
        <v>107</v>
      </c>
      <c r="BR145" s="49" t="s">
        <v>5</v>
      </c>
      <c r="BS145" s="50" t="s">
        <v>98</v>
      </c>
      <c r="BT145" s="49"/>
      <c r="BU145" s="50"/>
      <c r="BV145" s="49" t="s">
        <v>5</v>
      </c>
      <c r="BW145" s="50" t="s">
        <v>97</v>
      </c>
      <c r="BX145" s="49"/>
      <c r="BY145" s="50"/>
      <c r="BZ145" s="49"/>
      <c r="CA145" s="50"/>
    </row>
    <row r="146" spans="1:79" x14ac:dyDescent="0.25">
      <c r="A146" s="76">
        <v>151911</v>
      </c>
      <c r="B146" s="77" t="s">
        <v>1104</v>
      </c>
      <c r="C146" s="78" t="s">
        <v>959</v>
      </c>
      <c r="D146" s="76" t="s">
        <v>70</v>
      </c>
      <c r="E146" s="79" t="s">
        <v>14</v>
      </c>
      <c r="F146" s="79" t="s">
        <v>88</v>
      </c>
      <c r="G146" s="79" t="s">
        <v>14</v>
      </c>
      <c r="H146" s="79" t="s">
        <v>14</v>
      </c>
      <c r="I146" s="78" t="s">
        <v>14</v>
      </c>
      <c r="J146" s="79" t="s">
        <v>14</v>
      </c>
      <c r="K146" s="142" t="s">
        <v>1850</v>
      </c>
      <c r="L146" s="149" t="s">
        <v>1846</v>
      </c>
      <c r="M146" s="150" t="s">
        <v>1853</v>
      </c>
      <c r="N146" s="151">
        <v>13</v>
      </c>
      <c r="O146" s="151">
        <v>0</v>
      </c>
      <c r="P146" s="152">
        <v>0</v>
      </c>
      <c r="Q146" s="153">
        <v>100</v>
      </c>
      <c r="R146" s="154">
        <v>0</v>
      </c>
      <c r="S146" s="38">
        <f t="shared" si="22"/>
        <v>1</v>
      </c>
      <c r="T146" s="39">
        <f t="shared" si="23"/>
        <v>10</v>
      </c>
      <c r="U146" s="40">
        <f t="shared" si="24"/>
        <v>0</v>
      </c>
      <c r="V146" s="40">
        <f t="shared" si="25"/>
        <v>0</v>
      </c>
      <c r="W146" s="40">
        <f t="shared" si="26"/>
        <v>0</v>
      </c>
      <c r="X146" s="40">
        <f t="shared" si="27"/>
        <v>0</v>
      </c>
      <c r="Y146" s="40">
        <f t="shared" si="28"/>
        <v>0</v>
      </c>
      <c r="Z146" s="40">
        <f t="shared" si="29"/>
        <v>0</v>
      </c>
      <c r="AA146" s="40">
        <f t="shared" si="30"/>
        <v>0</v>
      </c>
      <c r="AB146" s="40">
        <f t="shared" si="31"/>
        <v>0</v>
      </c>
      <c r="AC146" s="41">
        <f t="shared" si="32"/>
        <v>0</v>
      </c>
      <c r="AD146" s="49" t="s">
        <v>5</v>
      </c>
      <c r="AE146" s="50" t="s">
        <v>72</v>
      </c>
      <c r="AF146" s="49" t="s">
        <v>1</v>
      </c>
      <c r="AG146" s="50" t="s">
        <v>154</v>
      </c>
      <c r="AH146" s="49"/>
      <c r="AI146" s="50"/>
      <c r="AJ146" s="49" t="s">
        <v>5</v>
      </c>
      <c r="AK146" s="50" t="s">
        <v>714</v>
      </c>
      <c r="AL146" s="49"/>
      <c r="AM146" s="50"/>
      <c r="AN146" s="49"/>
      <c r="AO146" s="50"/>
      <c r="AP146" s="49"/>
      <c r="AQ146" s="50"/>
      <c r="AR146" s="49" t="s">
        <v>5</v>
      </c>
      <c r="AS146" s="50" t="s">
        <v>74</v>
      </c>
      <c r="AT146" s="49"/>
      <c r="AU146" s="50"/>
      <c r="AV146" s="49" t="s">
        <v>5</v>
      </c>
      <c r="AW146" s="50" t="s">
        <v>194</v>
      </c>
      <c r="AX146" s="49" t="s">
        <v>5</v>
      </c>
      <c r="AY146" s="50" t="s">
        <v>143</v>
      </c>
      <c r="AZ146" s="49" t="s">
        <v>5</v>
      </c>
      <c r="BA146" s="50" t="s">
        <v>76</v>
      </c>
      <c r="BB146" s="49"/>
      <c r="BC146" s="50"/>
      <c r="BD146" s="49"/>
      <c r="BE146" s="50"/>
      <c r="BF146" s="49"/>
      <c r="BG146" s="50"/>
      <c r="BH146" s="49" t="s">
        <v>5</v>
      </c>
      <c r="BI146" s="50" t="s">
        <v>711</v>
      </c>
      <c r="BJ146" s="49"/>
      <c r="BK146" s="50"/>
      <c r="BL146" s="49"/>
      <c r="BM146" s="50"/>
      <c r="BN146" s="49" t="s">
        <v>5</v>
      </c>
      <c r="BO146" s="50" t="s">
        <v>81</v>
      </c>
      <c r="BP146" s="49"/>
      <c r="BQ146" s="50"/>
      <c r="BR146" s="49" t="s">
        <v>5</v>
      </c>
      <c r="BS146" s="50" t="s">
        <v>140</v>
      </c>
      <c r="BT146" s="49"/>
      <c r="BU146" s="50"/>
      <c r="BV146" s="49" t="s">
        <v>5</v>
      </c>
      <c r="BW146" s="50" t="s">
        <v>132</v>
      </c>
      <c r="BX146" s="49"/>
      <c r="BY146" s="50"/>
      <c r="BZ146" s="49"/>
      <c r="CA146" s="50"/>
    </row>
    <row r="147" spans="1:79" x14ac:dyDescent="0.25">
      <c r="A147" s="76">
        <v>151903</v>
      </c>
      <c r="B147" s="77" t="s">
        <v>1105</v>
      </c>
      <c r="C147" s="78" t="s">
        <v>970</v>
      </c>
      <c r="D147" s="76" t="s">
        <v>70</v>
      </c>
      <c r="E147" s="79" t="s">
        <v>14</v>
      </c>
      <c r="F147" s="79" t="s">
        <v>126</v>
      </c>
      <c r="G147" s="79" t="s">
        <v>14</v>
      </c>
      <c r="H147" s="79" t="s">
        <v>14</v>
      </c>
      <c r="I147" s="78" t="s">
        <v>14</v>
      </c>
      <c r="J147" s="79" t="s">
        <v>14</v>
      </c>
      <c r="K147" s="142" t="s">
        <v>1850</v>
      </c>
      <c r="L147" s="149" t="s">
        <v>1841</v>
      </c>
      <c r="M147" s="150" t="s">
        <v>1853</v>
      </c>
      <c r="N147" s="151">
        <v>16</v>
      </c>
      <c r="O147" s="151">
        <v>0</v>
      </c>
      <c r="P147" s="152">
        <v>1</v>
      </c>
      <c r="Q147" s="153">
        <v>100</v>
      </c>
      <c r="R147" s="154">
        <v>0</v>
      </c>
      <c r="S147" s="38">
        <f t="shared" si="22"/>
        <v>1</v>
      </c>
      <c r="T147" s="39">
        <f t="shared" si="23"/>
        <v>10</v>
      </c>
      <c r="U147" s="40">
        <f t="shared" si="24"/>
        <v>0</v>
      </c>
      <c r="V147" s="40">
        <f t="shared" si="25"/>
        <v>0</v>
      </c>
      <c r="W147" s="40">
        <f t="shared" si="26"/>
        <v>0</v>
      </c>
      <c r="X147" s="40">
        <f t="shared" si="27"/>
        <v>0</v>
      </c>
      <c r="Y147" s="40">
        <f t="shared" si="28"/>
        <v>0</v>
      </c>
      <c r="Z147" s="40">
        <f t="shared" si="29"/>
        <v>0</v>
      </c>
      <c r="AA147" s="40">
        <f t="shared" si="30"/>
        <v>0</v>
      </c>
      <c r="AB147" s="40">
        <f t="shared" si="31"/>
        <v>0</v>
      </c>
      <c r="AC147" s="41">
        <f t="shared" si="32"/>
        <v>0</v>
      </c>
      <c r="AD147" s="49" t="s">
        <v>5</v>
      </c>
      <c r="AE147" s="50" t="s">
        <v>72</v>
      </c>
      <c r="AF147" s="49" t="s">
        <v>5</v>
      </c>
      <c r="AG147" s="50" t="s">
        <v>438</v>
      </c>
      <c r="AH147" s="49" t="s">
        <v>5</v>
      </c>
      <c r="AI147" s="50" t="s">
        <v>131</v>
      </c>
      <c r="AJ147" s="49" t="s">
        <v>5</v>
      </c>
      <c r="AK147" s="50" t="s">
        <v>83</v>
      </c>
      <c r="AL147" s="49"/>
      <c r="AM147" s="50"/>
      <c r="AN147" s="49"/>
      <c r="AO147" s="50"/>
      <c r="AP147" s="49"/>
      <c r="AQ147" s="50"/>
      <c r="AR147" s="49" t="s">
        <v>5</v>
      </c>
      <c r="AS147" s="50" t="s">
        <v>74</v>
      </c>
      <c r="AT147" s="49"/>
      <c r="AU147" s="50"/>
      <c r="AV147" s="49" t="s">
        <v>5</v>
      </c>
      <c r="AW147" s="50" t="s">
        <v>140</v>
      </c>
      <c r="AX147" s="49"/>
      <c r="AY147" s="50"/>
      <c r="AZ147" s="49"/>
      <c r="BA147" s="50"/>
      <c r="BB147" s="49"/>
      <c r="BC147" s="50"/>
      <c r="BD147" s="49"/>
      <c r="BE147" s="50"/>
      <c r="BF147" s="49"/>
      <c r="BG147" s="50"/>
      <c r="BH147" s="49" t="s">
        <v>1</v>
      </c>
      <c r="BI147" s="50" t="s">
        <v>94</v>
      </c>
      <c r="BJ147" s="49"/>
      <c r="BK147" s="50"/>
      <c r="BL147" s="49"/>
      <c r="BM147" s="50"/>
      <c r="BN147" s="49" t="s">
        <v>5</v>
      </c>
      <c r="BO147" s="50" t="s">
        <v>152</v>
      </c>
      <c r="BP147" s="49"/>
      <c r="BQ147" s="50"/>
      <c r="BR147" s="49" t="s">
        <v>5</v>
      </c>
      <c r="BS147" s="50" t="s">
        <v>123</v>
      </c>
      <c r="BT147" s="49"/>
      <c r="BU147" s="50"/>
      <c r="BV147" s="49" t="s">
        <v>5</v>
      </c>
      <c r="BW147" s="50" t="s">
        <v>132</v>
      </c>
      <c r="BX147" s="49"/>
      <c r="BY147" s="50"/>
      <c r="BZ147" s="49" t="s">
        <v>5</v>
      </c>
      <c r="CA147" s="50" t="s">
        <v>124</v>
      </c>
    </row>
    <row r="148" spans="1:79" x14ac:dyDescent="0.25">
      <c r="A148" s="76">
        <v>151774</v>
      </c>
      <c r="B148" s="77" t="s">
        <v>1106</v>
      </c>
      <c r="C148" s="78" t="s">
        <v>959</v>
      </c>
      <c r="D148" s="76" t="s">
        <v>70</v>
      </c>
      <c r="E148" s="79" t="s">
        <v>14</v>
      </c>
      <c r="F148" s="79" t="s">
        <v>220</v>
      </c>
      <c r="G148" s="79" t="s">
        <v>14</v>
      </c>
      <c r="H148" s="79" t="s">
        <v>14</v>
      </c>
      <c r="I148" s="78" t="s">
        <v>14</v>
      </c>
      <c r="J148" s="79" t="s">
        <v>14</v>
      </c>
      <c r="K148" s="142" t="s">
        <v>1850</v>
      </c>
      <c r="L148" s="149" t="s">
        <v>1841</v>
      </c>
      <c r="M148" s="150" t="s">
        <v>1853</v>
      </c>
      <c r="N148" s="151">
        <v>18</v>
      </c>
      <c r="O148" s="151">
        <v>0</v>
      </c>
      <c r="P148" s="152">
        <v>0</v>
      </c>
      <c r="Q148" s="153">
        <v>100</v>
      </c>
      <c r="R148" s="154">
        <v>0</v>
      </c>
      <c r="S148" s="38">
        <f t="shared" si="22"/>
        <v>3</v>
      </c>
      <c r="T148" s="39">
        <f t="shared" si="23"/>
        <v>8</v>
      </c>
      <c r="U148" s="40">
        <f t="shared" si="24"/>
        <v>0</v>
      </c>
      <c r="V148" s="40">
        <f t="shared" si="25"/>
        <v>0</v>
      </c>
      <c r="W148" s="40">
        <f t="shared" si="26"/>
        <v>0</v>
      </c>
      <c r="X148" s="40">
        <f t="shared" si="27"/>
        <v>0</v>
      </c>
      <c r="Y148" s="40">
        <f t="shared" si="28"/>
        <v>0</v>
      </c>
      <c r="Z148" s="40">
        <f t="shared" si="29"/>
        <v>0</v>
      </c>
      <c r="AA148" s="40">
        <f t="shared" si="30"/>
        <v>0</v>
      </c>
      <c r="AB148" s="40">
        <f t="shared" si="31"/>
        <v>0</v>
      </c>
      <c r="AC148" s="41">
        <f t="shared" si="32"/>
        <v>0</v>
      </c>
      <c r="AD148" s="49"/>
      <c r="AE148" s="50"/>
      <c r="AF148" s="49" t="s">
        <v>1</v>
      </c>
      <c r="AG148" s="50" t="s">
        <v>433</v>
      </c>
      <c r="AH148" s="49" t="s">
        <v>1</v>
      </c>
      <c r="AI148" s="50" t="s">
        <v>78</v>
      </c>
      <c r="AJ148" s="49" t="s">
        <v>5</v>
      </c>
      <c r="AK148" s="50" t="s">
        <v>419</v>
      </c>
      <c r="AL148" s="49"/>
      <c r="AM148" s="50"/>
      <c r="AN148" s="49"/>
      <c r="AO148" s="50"/>
      <c r="AP148" s="49"/>
      <c r="AQ148" s="50"/>
      <c r="AR148" s="49" t="s">
        <v>1</v>
      </c>
      <c r="AS148" s="50" t="s">
        <v>74</v>
      </c>
      <c r="AT148" s="49"/>
      <c r="AU148" s="50"/>
      <c r="AV148" s="49" t="s">
        <v>5</v>
      </c>
      <c r="AW148" s="50" t="s">
        <v>194</v>
      </c>
      <c r="AX148" s="49" t="s">
        <v>5</v>
      </c>
      <c r="AY148" s="50" t="s">
        <v>143</v>
      </c>
      <c r="AZ148" s="49" t="s">
        <v>5</v>
      </c>
      <c r="BA148" s="50" t="s">
        <v>76</v>
      </c>
      <c r="BB148" s="49"/>
      <c r="BC148" s="50"/>
      <c r="BD148" s="49"/>
      <c r="BE148" s="50"/>
      <c r="BF148" s="49"/>
      <c r="BG148" s="50"/>
      <c r="BH148" s="49" t="s">
        <v>5</v>
      </c>
      <c r="BI148" s="50" t="s">
        <v>711</v>
      </c>
      <c r="BJ148" s="49"/>
      <c r="BK148" s="50"/>
      <c r="BL148" s="49"/>
      <c r="BM148" s="50"/>
      <c r="BN148" s="49" t="s">
        <v>5</v>
      </c>
      <c r="BO148" s="50" t="s">
        <v>152</v>
      </c>
      <c r="BP148" s="49"/>
      <c r="BQ148" s="50"/>
      <c r="BR148" s="49" t="s">
        <v>5</v>
      </c>
      <c r="BS148" s="50" t="s">
        <v>140</v>
      </c>
      <c r="BT148" s="49"/>
      <c r="BU148" s="50"/>
      <c r="BV148" s="49" t="s">
        <v>5</v>
      </c>
      <c r="BW148" s="50" t="s">
        <v>132</v>
      </c>
      <c r="BX148" s="49"/>
      <c r="BY148" s="50"/>
      <c r="BZ148" s="49"/>
      <c r="CA148" s="50"/>
    </row>
    <row r="149" spans="1:79" x14ac:dyDescent="0.25">
      <c r="A149" s="76">
        <v>151955</v>
      </c>
      <c r="B149" s="77" t="s">
        <v>1107</v>
      </c>
      <c r="C149" s="78" t="s">
        <v>950</v>
      </c>
      <c r="D149" s="76" t="s">
        <v>12</v>
      </c>
      <c r="E149" s="79" t="s">
        <v>14</v>
      </c>
      <c r="F149" s="79" t="s">
        <v>71</v>
      </c>
      <c r="G149" s="79" t="s">
        <v>14</v>
      </c>
      <c r="H149" s="79" t="s">
        <v>14</v>
      </c>
      <c r="I149" s="78" t="s">
        <v>14</v>
      </c>
      <c r="J149" s="79" t="s">
        <v>14</v>
      </c>
      <c r="K149" s="142" t="s">
        <v>1850</v>
      </c>
      <c r="L149" s="149" t="s">
        <v>1841</v>
      </c>
      <c r="M149" s="150" t="s">
        <v>1853</v>
      </c>
      <c r="N149" s="151">
        <v>7</v>
      </c>
      <c r="O149" s="151">
        <v>5</v>
      </c>
      <c r="P149" s="152">
        <v>0</v>
      </c>
      <c r="Q149" s="153">
        <v>93.48</v>
      </c>
      <c r="R149" s="154">
        <v>5</v>
      </c>
      <c r="S149" s="38">
        <f t="shared" si="22"/>
        <v>0</v>
      </c>
      <c r="T149" s="39">
        <f t="shared" si="23"/>
        <v>6</v>
      </c>
      <c r="U149" s="40">
        <f t="shared" si="24"/>
        <v>4</v>
      </c>
      <c r="V149" s="40">
        <f t="shared" si="25"/>
        <v>1</v>
      </c>
      <c r="W149" s="40">
        <f t="shared" si="26"/>
        <v>0</v>
      </c>
      <c r="X149" s="40">
        <f t="shared" si="27"/>
        <v>5</v>
      </c>
      <c r="Y149" s="40">
        <f t="shared" si="28"/>
        <v>0</v>
      </c>
      <c r="Z149" s="40">
        <f t="shared" si="29"/>
        <v>0</v>
      </c>
      <c r="AA149" s="40">
        <f t="shared" si="30"/>
        <v>0</v>
      </c>
      <c r="AB149" s="40">
        <f t="shared" si="31"/>
        <v>0</v>
      </c>
      <c r="AC149" s="41">
        <f t="shared" si="32"/>
        <v>0</v>
      </c>
      <c r="AD149" s="49"/>
      <c r="AE149" s="50"/>
      <c r="AF149" s="49" t="s">
        <v>5</v>
      </c>
      <c r="AG149" s="50" t="s">
        <v>154</v>
      </c>
      <c r="AH149" s="49" t="s">
        <v>30</v>
      </c>
      <c r="AI149" s="50" t="s">
        <v>78</v>
      </c>
      <c r="AJ149" s="49" t="s">
        <v>5</v>
      </c>
      <c r="AK149" s="50" t="s">
        <v>714</v>
      </c>
      <c r="AL149" s="49"/>
      <c r="AM149" s="50"/>
      <c r="AN149" s="49"/>
      <c r="AO149" s="50"/>
      <c r="AP149" s="49"/>
      <c r="AQ149" s="50"/>
      <c r="AR149" s="49" t="s">
        <v>30</v>
      </c>
      <c r="AS149" s="50" t="s">
        <v>151</v>
      </c>
      <c r="AT149" s="49"/>
      <c r="AU149" s="50"/>
      <c r="AV149" s="49" t="s">
        <v>30</v>
      </c>
      <c r="AW149" s="50" t="s">
        <v>96</v>
      </c>
      <c r="AX149" s="49" t="s">
        <v>5</v>
      </c>
      <c r="AY149" s="50" t="s">
        <v>143</v>
      </c>
      <c r="AZ149" s="49"/>
      <c r="BA149" s="50"/>
      <c r="BB149" s="49"/>
      <c r="BC149" s="50"/>
      <c r="BD149" s="49" t="s">
        <v>5</v>
      </c>
      <c r="BE149" s="50" t="s">
        <v>120</v>
      </c>
      <c r="BF149" s="49"/>
      <c r="BG149" s="50"/>
      <c r="BH149" s="49" t="s">
        <v>31</v>
      </c>
      <c r="BI149" s="50" t="s">
        <v>112</v>
      </c>
      <c r="BJ149" s="49"/>
      <c r="BK149" s="50"/>
      <c r="BL149" s="49"/>
      <c r="BM149" s="50"/>
      <c r="BN149" s="49" t="s">
        <v>30</v>
      </c>
      <c r="BO149" s="50" t="s">
        <v>107</v>
      </c>
      <c r="BP149" s="49"/>
      <c r="BQ149" s="50"/>
      <c r="BR149" s="49" t="s">
        <v>5</v>
      </c>
      <c r="BS149" s="50" t="s">
        <v>140</v>
      </c>
      <c r="BT149" s="49"/>
      <c r="BU149" s="50"/>
      <c r="BV149" s="49" t="s">
        <v>5</v>
      </c>
      <c r="BW149" s="50" t="s">
        <v>132</v>
      </c>
      <c r="BX149" s="49"/>
      <c r="BY149" s="50"/>
      <c r="BZ149" s="49"/>
      <c r="CA149" s="50"/>
    </row>
    <row r="150" spans="1:79" x14ac:dyDescent="0.25">
      <c r="A150" s="76">
        <v>151825</v>
      </c>
      <c r="B150" s="77" t="s">
        <v>1108</v>
      </c>
      <c r="C150" s="78" t="s">
        <v>950</v>
      </c>
      <c r="D150" s="76" t="s">
        <v>12</v>
      </c>
      <c r="E150" s="79" t="s">
        <v>14</v>
      </c>
      <c r="F150" s="79" t="s">
        <v>71</v>
      </c>
      <c r="G150" s="79" t="s">
        <v>14</v>
      </c>
      <c r="H150" s="79" t="s">
        <v>14</v>
      </c>
      <c r="I150" s="78" t="s">
        <v>14</v>
      </c>
      <c r="J150" s="79" t="s">
        <v>14</v>
      </c>
      <c r="K150" s="142" t="s">
        <v>1850</v>
      </c>
      <c r="L150" s="149" t="s">
        <v>1845</v>
      </c>
      <c r="M150" s="150" t="s">
        <v>12</v>
      </c>
      <c r="N150" s="151">
        <v>17</v>
      </c>
      <c r="O150" s="151">
        <v>0</v>
      </c>
      <c r="P150" s="152">
        <v>0</v>
      </c>
      <c r="Q150" s="153">
        <v>95.56</v>
      </c>
      <c r="R150" s="154">
        <v>0</v>
      </c>
      <c r="S150" s="38">
        <f t="shared" si="22"/>
        <v>3</v>
      </c>
      <c r="T150" s="39">
        <f t="shared" si="23"/>
        <v>7</v>
      </c>
      <c r="U150" s="40">
        <f t="shared" si="24"/>
        <v>0</v>
      </c>
      <c r="V150" s="40">
        <f t="shared" si="25"/>
        <v>0</v>
      </c>
      <c r="W150" s="40">
        <f t="shared" si="26"/>
        <v>0</v>
      </c>
      <c r="X150" s="40">
        <f t="shared" si="27"/>
        <v>0</v>
      </c>
      <c r="Y150" s="40">
        <f t="shared" si="28"/>
        <v>0</v>
      </c>
      <c r="Z150" s="40">
        <f t="shared" si="29"/>
        <v>0</v>
      </c>
      <c r="AA150" s="40">
        <f t="shared" si="30"/>
        <v>0</v>
      </c>
      <c r="AB150" s="40">
        <f t="shared" si="31"/>
        <v>0</v>
      </c>
      <c r="AC150" s="41">
        <f t="shared" si="32"/>
        <v>0</v>
      </c>
      <c r="AD150" s="49"/>
      <c r="AE150" s="50"/>
      <c r="AF150" s="49"/>
      <c r="AG150" s="50"/>
      <c r="AH150" s="49"/>
      <c r="AI150" s="50"/>
      <c r="AJ150" s="49"/>
      <c r="AK150" s="50"/>
      <c r="AL150" s="49"/>
      <c r="AM150" s="50"/>
      <c r="AN150" s="49"/>
      <c r="AO150" s="50"/>
      <c r="AP150" s="49"/>
      <c r="AQ150" s="50"/>
      <c r="AR150" s="49" t="s">
        <v>5</v>
      </c>
      <c r="AS150" s="50" t="s">
        <v>722</v>
      </c>
      <c r="AT150" s="49" t="s">
        <v>5</v>
      </c>
      <c r="AU150" s="50" t="s">
        <v>73</v>
      </c>
      <c r="AV150" s="49" t="s">
        <v>1</v>
      </c>
      <c r="AW150" s="50" t="s">
        <v>96</v>
      </c>
      <c r="AX150" s="49" t="s">
        <v>5</v>
      </c>
      <c r="AY150" s="50" t="s">
        <v>103</v>
      </c>
      <c r="AZ150" s="49" t="s">
        <v>5</v>
      </c>
      <c r="BA150" s="50" t="s">
        <v>76</v>
      </c>
      <c r="BB150" s="49"/>
      <c r="BC150" s="50"/>
      <c r="BD150" s="49"/>
      <c r="BE150" s="50"/>
      <c r="BF150" s="49"/>
      <c r="BG150" s="50"/>
      <c r="BH150" s="49" t="s">
        <v>5</v>
      </c>
      <c r="BI150" s="50" t="s">
        <v>505</v>
      </c>
      <c r="BJ150" s="49"/>
      <c r="BK150" s="50"/>
      <c r="BL150" s="49"/>
      <c r="BM150" s="50"/>
      <c r="BN150" s="49" t="s">
        <v>1</v>
      </c>
      <c r="BO150" s="50" t="s">
        <v>96</v>
      </c>
      <c r="BP150" s="49" t="s">
        <v>1</v>
      </c>
      <c r="BQ150" s="50" t="s">
        <v>107</v>
      </c>
      <c r="BR150" s="49"/>
      <c r="BS150" s="50"/>
      <c r="BT150" s="49"/>
      <c r="BU150" s="50"/>
      <c r="BV150" s="49" t="s">
        <v>5</v>
      </c>
      <c r="BW150" s="50" t="s">
        <v>82</v>
      </c>
      <c r="BX150" s="49" t="s">
        <v>5</v>
      </c>
      <c r="BY150" s="50" t="s">
        <v>133</v>
      </c>
      <c r="BZ150" s="49"/>
      <c r="CA150" s="50"/>
    </row>
    <row r="151" spans="1:79" x14ac:dyDescent="0.25">
      <c r="A151" s="76">
        <v>151931</v>
      </c>
      <c r="B151" s="77" t="s">
        <v>1109</v>
      </c>
      <c r="C151" s="78" t="s">
        <v>957</v>
      </c>
      <c r="D151" s="76" t="s">
        <v>12</v>
      </c>
      <c r="E151" s="79" t="s">
        <v>14</v>
      </c>
      <c r="F151" s="79" t="s">
        <v>220</v>
      </c>
      <c r="G151" s="79" t="s">
        <v>87</v>
      </c>
      <c r="H151" s="79" t="s">
        <v>14</v>
      </c>
      <c r="I151" s="78" t="s">
        <v>14</v>
      </c>
      <c r="J151" s="79" t="s">
        <v>14</v>
      </c>
      <c r="K151" s="142" t="s">
        <v>1850</v>
      </c>
      <c r="L151" s="149" t="s">
        <v>1842</v>
      </c>
      <c r="M151" s="150" t="s">
        <v>1853</v>
      </c>
      <c r="N151" s="151">
        <v>11</v>
      </c>
      <c r="O151" s="151">
        <v>0</v>
      </c>
      <c r="P151" s="152">
        <v>0</v>
      </c>
      <c r="Q151" s="153">
        <v>100</v>
      </c>
      <c r="R151" s="154">
        <v>0</v>
      </c>
      <c r="S151" s="38">
        <f t="shared" si="22"/>
        <v>1</v>
      </c>
      <c r="T151" s="39">
        <f t="shared" si="23"/>
        <v>10</v>
      </c>
      <c r="U151" s="40">
        <f t="shared" si="24"/>
        <v>0</v>
      </c>
      <c r="V151" s="40">
        <f t="shared" si="25"/>
        <v>0</v>
      </c>
      <c r="W151" s="40">
        <f t="shared" si="26"/>
        <v>0</v>
      </c>
      <c r="X151" s="40">
        <f t="shared" si="27"/>
        <v>0</v>
      </c>
      <c r="Y151" s="40">
        <f t="shared" si="28"/>
        <v>0</v>
      </c>
      <c r="Z151" s="40">
        <f t="shared" si="29"/>
        <v>0</v>
      </c>
      <c r="AA151" s="40">
        <f t="shared" si="30"/>
        <v>0</v>
      </c>
      <c r="AB151" s="40">
        <f t="shared" si="31"/>
        <v>0</v>
      </c>
      <c r="AC151" s="41">
        <f t="shared" si="32"/>
        <v>0</v>
      </c>
      <c r="AD151" s="49"/>
      <c r="AE151" s="50"/>
      <c r="AF151" s="49" t="s">
        <v>5</v>
      </c>
      <c r="AG151" s="50" t="s">
        <v>433</v>
      </c>
      <c r="AH151" s="49"/>
      <c r="AI151" s="50"/>
      <c r="AJ151" s="49" t="s">
        <v>5</v>
      </c>
      <c r="AK151" s="50" t="s">
        <v>419</v>
      </c>
      <c r="AL151" s="49"/>
      <c r="AM151" s="50"/>
      <c r="AN151" s="49" t="s">
        <v>5</v>
      </c>
      <c r="AO151" s="50" t="s">
        <v>163</v>
      </c>
      <c r="AP151" s="49"/>
      <c r="AQ151" s="50"/>
      <c r="AR151" s="49" t="s">
        <v>5</v>
      </c>
      <c r="AS151" s="50" t="s">
        <v>151</v>
      </c>
      <c r="AT151" s="49"/>
      <c r="AU151" s="50"/>
      <c r="AV151" s="49" t="s">
        <v>5</v>
      </c>
      <c r="AW151" s="50" t="s">
        <v>77</v>
      </c>
      <c r="AX151" s="49"/>
      <c r="AY151" s="50"/>
      <c r="AZ151" s="49"/>
      <c r="BA151" s="50"/>
      <c r="BB151" s="49"/>
      <c r="BC151" s="50"/>
      <c r="BD151" s="49"/>
      <c r="BE151" s="50"/>
      <c r="BF151" s="49" t="s">
        <v>5</v>
      </c>
      <c r="BG151" s="50" t="s">
        <v>105</v>
      </c>
      <c r="BH151" s="49" t="s">
        <v>5</v>
      </c>
      <c r="BI151" s="50" t="s">
        <v>711</v>
      </c>
      <c r="BJ151" s="49"/>
      <c r="BK151" s="50"/>
      <c r="BL151" s="49"/>
      <c r="BM151" s="50"/>
      <c r="BN151" s="49" t="s">
        <v>1</v>
      </c>
      <c r="BO151" s="50" t="s">
        <v>96</v>
      </c>
      <c r="BP151" s="49"/>
      <c r="BQ151" s="50"/>
      <c r="BR151" s="49" t="s">
        <v>5</v>
      </c>
      <c r="BS151" s="50" t="s">
        <v>140</v>
      </c>
      <c r="BT151" s="49"/>
      <c r="BU151" s="50"/>
      <c r="BV151" s="49" t="s">
        <v>5</v>
      </c>
      <c r="BW151" s="50" t="s">
        <v>132</v>
      </c>
      <c r="BX151" s="49"/>
      <c r="BY151" s="50"/>
      <c r="BZ151" s="49" t="s">
        <v>5</v>
      </c>
      <c r="CA151" s="50" t="s">
        <v>75</v>
      </c>
    </row>
    <row r="152" spans="1:79" x14ac:dyDescent="0.25">
      <c r="A152" s="76">
        <v>151835</v>
      </c>
      <c r="B152" s="77" t="s">
        <v>1110</v>
      </c>
      <c r="C152" s="78" t="s">
        <v>963</v>
      </c>
      <c r="D152" s="76" t="s">
        <v>12</v>
      </c>
      <c r="E152" s="79" t="s">
        <v>14</v>
      </c>
      <c r="F152" s="79" t="s">
        <v>71</v>
      </c>
      <c r="G152" s="79" t="s">
        <v>14</v>
      </c>
      <c r="H152" s="79" t="s">
        <v>14</v>
      </c>
      <c r="I152" s="78" t="s">
        <v>14</v>
      </c>
      <c r="J152" s="79" t="s">
        <v>14</v>
      </c>
      <c r="K152" s="142" t="s">
        <v>1850</v>
      </c>
      <c r="L152" s="149" t="s">
        <v>1844</v>
      </c>
      <c r="M152" s="150" t="s">
        <v>12</v>
      </c>
      <c r="N152" s="151">
        <v>9</v>
      </c>
      <c r="O152" s="151">
        <v>1</v>
      </c>
      <c r="P152" s="152">
        <v>1</v>
      </c>
      <c r="Q152" s="153">
        <v>100</v>
      </c>
      <c r="R152" s="154">
        <v>0</v>
      </c>
      <c r="S152" s="38">
        <f t="shared" si="22"/>
        <v>1</v>
      </c>
      <c r="T152" s="39">
        <f t="shared" si="23"/>
        <v>9</v>
      </c>
      <c r="U152" s="40">
        <f t="shared" si="24"/>
        <v>0</v>
      </c>
      <c r="V152" s="40">
        <f t="shared" si="25"/>
        <v>1</v>
      </c>
      <c r="W152" s="40">
        <f t="shared" si="26"/>
        <v>0</v>
      </c>
      <c r="X152" s="40">
        <f t="shared" si="27"/>
        <v>1</v>
      </c>
      <c r="Y152" s="40">
        <f t="shared" si="28"/>
        <v>0</v>
      </c>
      <c r="Z152" s="40">
        <f t="shared" si="29"/>
        <v>0</v>
      </c>
      <c r="AA152" s="40">
        <f t="shared" si="30"/>
        <v>0</v>
      </c>
      <c r="AB152" s="40">
        <f t="shared" si="31"/>
        <v>0</v>
      </c>
      <c r="AC152" s="41">
        <f t="shared" si="32"/>
        <v>0</v>
      </c>
      <c r="AD152" s="49"/>
      <c r="AE152" s="50"/>
      <c r="AF152" s="49" t="s">
        <v>31</v>
      </c>
      <c r="AG152" s="50" t="s">
        <v>154</v>
      </c>
      <c r="AH152" s="49"/>
      <c r="AI152" s="50"/>
      <c r="AJ152" s="49" t="s">
        <v>5</v>
      </c>
      <c r="AK152" s="50" t="s">
        <v>714</v>
      </c>
      <c r="AL152" s="49"/>
      <c r="AM152" s="50"/>
      <c r="AN152" s="49"/>
      <c r="AO152" s="50"/>
      <c r="AP152" s="49"/>
      <c r="AQ152" s="50"/>
      <c r="AR152" s="49" t="s">
        <v>5</v>
      </c>
      <c r="AS152" s="50" t="s">
        <v>151</v>
      </c>
      <c r="AT152" s="49"/>
      <c r="AU152" s="50"/>
      <c r="AV152" s="49" t="s">
        <v>5</v>
      </c>
      <c r="AW152" s="50" t="s">
        <v>495</v>
      </c>
      <c r="AX152" s="49" t="s">
        <v>5</v>
      </c>
      <c r="AY152" s="50" t="s">
        <v>143</v>
      </c>
      <c r="AZ152" s="49" t="s">
        <v>5</v>
      </c>
      <c r="BA152" s="50" t="s">
        <v>76</v>
      </c>
      <c r="BB152" s="49"/>
      <c r="BC152" s="50"/>
      <c r="BD152" s="49"/>
      <c r="BE152" s="50"/>
      <c r="BF152" s="49"/>
      <c r="BG152" s="50"/>
      <c r="BH152" s="49" t="s">
        <v>5</v>
      </c>
      <c r="BI152" s="50" t="s">
        <v>94</v>
      </c>
      <c r="BJ152" s="49"/>
      <c r="BK152" s="50"/>
      <c r="BL152" s="49"/>
      <c r="BM152" s="50"/>
      <c r="BN152" s="49" t="s">
        <v>1</v>
      </c>
      <c r="BO152" s="50" t="s">
        <v>107</v>
      </c>
      <c r="BP152" s="49"/>
      <c r="BQ152" s="50"/>
      <c r="BR152" s="49" t="s">
        <v>5</v>
      </c>
      <c r="BS152" s="50" t="s">
        <v>140</v>
      </c>
      <c r="BT152" s="49" t="s">
        <v>5</v>
      </c>
      <c r="BU152" s="50" t="s">
        <v>90</v>
      </c>
      <c r="BV152" s="49" t="s">
        <v>5</v>
      </c>
      <c r="BW152" s="50" t="s">
        <v>97</v>
      </c>
      <c r="BX152" s="49"/>
      <c r="BY152" s="50"/>
      <c r="BZ152" s="49"/>
      <c r="CA152" s="50"/>
    </row>
    <row r="153" spans="1:79" x14ac:dyDescent="0.25">
      <c r="A153" s="76">
        <v>151827</v>
      </c>
      <c r="B153" s="77" t="s">
        <v>1111</v>
      </c>
      <c r="C153" s="78" t="s">
        <v>963</v>
      </c>
      <c r="D153" s="76" t="s">
        <v>12</v>
      </c>
      <c r="E153" s="79" t="s">
        <v>14</v>
      </c>
      <c r="F153" s="79" t="s">
        <v>71</v>
      </c>
      <c r="G153" s="79" t="s">
        <v>14</v>
      </c>
      <c r="H153" s="79" t="s">
        <v>14</v>
      </c>
      <c r="I153" s="78" t="s">
        <v>14</v>
      </c>
      <c r="J153" s="79" t="s">
        <v>14</v>
      </c>
      <c r="K153" s="142" t="s">
        <v>1850</v>
      </c>
      <c r="L153" s="149" t="s">
        <v>1842</v>
      </c>
      <c r="M153" s="150" t="s">
        <v>12</v>
      </c>
      <c r="N153" s="151">
        <v>12</v>
      </c>
      <c r="O153" s="151">
        <v>0</v>
      </c>
      <c r="P153" s="152">
        <v>0</v>
      </c>
      <c r="Q153" s="153">
        <v>100</v>
      </c>
      <c r="R153" s="154">
        <v>0</v>
      </c>
      <c r="S153" s="38">
        <f t="shared" si="22"/>
        <v>2</v>
      </c>
      <c r="T153" s="39">
        <f t="shared" si="23"/>
        <v>9</v>
      </c>
      <c r="U153" s="40">
        <f t="shared" si="24"/>
        <v>0</v>
      </c>
      <c r="V153" s="40">
        <f t="shared" si="25"/>
        <v>0</v>
      </c>
      <c r="W153" s="40">
        <f t="shared" si="26"/>
        <v>0</v>
      </c>
      <c r="X153" s="40">
        <f t="shared" si="27"/>
        <v>0</v>
      </c>
      <c r="Y153" s="40">
        <f t="shared" si="28"/>
        <v>0</v>
      </c>
      <c r="Z153" s="40">
        <f t="shared" si="29"/>
        <v>0</v>
      </c>
      <c r="AA153" s="40">
        <f t="shared" si="30"/>
        <v>0</v>
      </c>
      <c r="AB153" s="40">
        <f t="shared" si="31"/>
        <v>0</v>
      </c>
      <c r="AC153" s="41">
        <f t="shared" si="32"/>
        <v>0</v>
      </c>
      <c r="AD153" s="49"/>
      <c r="AE153" s="50"/>
      <c r="AF153" s="49" t="s">
        <v>5</v>
      </c>
      <c r="AG153" s="50" t="s">
        <v>154</v>
      </c>
      <c r="AH153" s="49"/>
      <c r="AI153" s="50"/>
      <c r="AJ153" s="49" t="s">
        <v>5</v>
      </c>
      <c r="AK153" s="50" t="s">
        <v>714</v>
      </c>
      <c r="AL153" s="49"/>
      <c r="AM153" s="50"/>
      <c r="AN153" s="49"/>
      <c r="AO153" s="50"/>
      <c r="AP153" s="49"/>
      <c r="AQ153" s="50"/>
      <c r="AR153" s="49" t="s">
        <v>5</v>
      </c>
      <c r="AS153" s="50" t="s">
        <v>74</v>
      </c>
      <c r="AT153" s="49"/>
      <c r="AU153" s="50"/>
      <c r="AV153" s="49" t="s">
        <v>5</v>
      </c>
      <c r="AW153" s="50" t="s">
        <v>495</v>
      </c>
      <c r="AX153" s="49" t="s">
        <v>5</v>
      </c>
      <c r="AY153" s="50" t="s">
        <v>143</v>
      </c>
      <c r="AZ153" s="49"/>
      <c r="BA153" s="50"/>
      <c r="BB153" s="49"/>
      <c r="BC153" s="50"/>
      <c r="BD153" s="49" t="s">
        <v>5</v>
      </c>
      <c r="BE153" s="50" t="s">
        <v>132</v>
      </c>
      <c r="BF153" s="49"/>
      <c r="BG153" s="50"/>
      <c r="BH153" s="49" t="s">
        <v>5</v>
      </c>
      <c r="BI153" s="50" t="s">
        <v>112</v>
      </c>
      <c r="BJ153" s="49"/>
      <c r="BK153" s="50"/>
      <c r="BL153" s="49"/>
      <c r="BM153" s="50"/>
      <c r="BN153" s="49" t="s">
        <v>1</v>
      </c>
      <c r="BO153" s="50" t="s">
        <v>107</v>
      </c>
      <c r="BP153" s="49" t="s">
        <v>1</v>
      </c>
      <c r="BQ153" s="50" t="s">
        <v>107</v>
      </c>
      <c r="BR153" s="49" t="s">
        <v>5</v>
      </c>
      <c r="BS153" s="50" t="s">
        <v>140</v>
      </c>
      <c r="BT153" s="49"/>
      <c r="BU153" s="50"/>
      <c r="BV153" s="49" t="s">
        <v>5</v>
      </c>
      <c r="BW153" s="50" t="s">
        <v>122</v>
      </c>
      <c r="BX153" s="49"/>
      <c r="BY153" s="50"/>
      <c r="BZ153" s="49"/>
      <c r="CA153" s="50"/>
    </row>
    <row r="154" spans="1:79" x14ac:dyDescent="0.25">
      <c r="A154" s="76">
        <v>151939</v>
      </c>
      <c r="B154" s="77" t="s">
        <v>1112</v>
      </c>
      <c r="C154" s="78" t="s">
        <v>952</v>
      </c>
      <c r="D154" s="76" t="s">
        <v>70</v>
      </c>
      <c r="E154" s="79" t="s">
        <v>14</v>
      </c>
      <c r="F154" s="79" t="s">
        <v>71</v>
      </c>
      <c r="G154" s="79" t="s">
        <v>14</v>
      </c>
      <c r="H154" s="79" t="s">
        <v>14</v>
      </c>
      <c r="I154" s="78" t="s">
        <v>14</v>
      </c>
      <c r="J154" s="79" t="s">
        <v>14</v>
      </c>
      <c r="K154" s="142" t="s">
        <v>1850</v>
      </c>
      <c r="L154" s="149" t="s">
        <v>1842</v>
      </c>
      <c r="M154" s="150" t="s">
        <v>1853</v>
      </c>
      <c r="N154" s="151">
        <v>11</v>
      </c>
      <c r="O154" s="151">
        <v>0</v>
      </c>
      <c r="P154" s="152">
        <v>0</v>
      </c>
      <c r="Q154" s="153">
        <v>93.48</v>
      </c>
      <c r="R154" s="154">
        <v>0</v>
      </c>
      <c r="S154" s="38">
        <f t="shared" si="22"/>
        <v>1</v>
      </c>
      <c r="T154" s="39">
        <f t="shared" si="23"/>
        <v>10</v>
      </c>
      <c r="U154" s="40">
        <f t="shared" si="24"/>
        <v>0</v>
      </c>
      <c r="V154" s="40">
        <f t="shared" si="25"/>
        <v>0</v>
      </c>
      <c r="W154" s="40">
        <f t="shared" si="26"/>
        <v>0</v>
      </c>
      <c r="X154" s="40">
        <f t="shared" si="27"/>
        <v>0</v>
      </c>
      <c r="Y154" s="40">
        <f t="shared" si="28"/>
        <v>0</v>
      </c>
      <c r="Z154" s="40">
        <f t="shared" si="29"/>
        <v>0</v>
      </c>
      <c r="AA154" s="40">
        <f t="shared" si="30"/>
        <v>0</v>
      </c>
      <c r="AB154" s="40">
        <f t="shared" si="31"/>
        <v>0</v>
      </c>
      <c r="AC154" s="41">
        <f t="shared" si="32"/>
        <v>0</v>
      </c>
      <c r="AD154" s="49"/>
      <c r="AE154" s="50"/>
      <c r="AF154" s="49" t="s">
        <v>5</v>
      </c>
      <c r="AG154" s="50" t="s">
        <v>438</v>
      </c>
      <c r="AH154" s="49"/>
      <c r="AI154" s="50"/>
      <c r="AJ154" s="49" t="s">
        <v>1</v>
      </c>
      <c r="AK154" s="50" t="s">
        <v>83</v>
      </c>
      <c r="AL154" s="49"/>
      <c r="AM154" s="50"/>
      <c r="AN154" s="49"/>
      <c r="AO154" s="50"/>
      <c r="AP154" s="49"/>
      <c r="AQ154" s="50"/>
      <c r="AR154" s="49" t="s">
        <v>5</v>
      </c>
      <c r="AS154" s="50" t="s">
        <v>74</v>
      </c>
      <c r="AT154" s="49"/>
      <c r="AU154" s="50"/>
      <c r="AV154" s="49" t="s">
        <v>5</v>
      </c>
      <c r="AW154" s="50" t="s">
        <v>117</v>
      </c>
      <c r="AX154" s="49"/>
      <c r="AY154" s="50"/>
      <c r="AZ154" s="49" t="s">
        <v>5</v>
      </c>
      <c r="BA154" s="50" t="s">
        <v>76</v>
      </c>
      <c r="BB154" s="49"/>
      <c r="BC154" s="50"/>
      <c r="BD154" s="49"/>
      <c r="BE154" s="50"/>
      <c r="BF154" s="49"/>
      <c r="BG154" s="50"/>
      <c r="BH154" s="49" t="s">
        <v>5</v>
      </c>
      <c r="BI154" s="50" t="s">
        <v>112</v>
      </c>
      <c r="BJ154" s="49"/>
      <c r="BK154" s="50"/>
      <c r="BL154" s="49" t="s">
        <v>5</v>
      </c>
      <c r="BM154" s="50" t="s">
        <v>116</v>
      </c>
      <c r="BN154" s="49" t="s">
        <v>5</v>
      </c>
      <c r="BO154" s="50" t="s">
        <v>152</v>
      </c>
      <c r="BP154" s="49"/>
      <c r="BQ154" s="50"/>
      <c r="BR154" s="49" t="s">
        <v>5</v>
      </c>
      <c r="BS154" s="50" t="s">
        <v>123</v>
      </c>
      <c r="BT154" s="49"/>
      <c r="BU154" s="50"/>
      <c r="BV154" s="49" t="s">
        <v>5</v>
      </c>
      <c r="BW154" s="50" t="s">
        <v>97</v>
      </c>
      <c r="BX154" s="49"/>
      <c r="BY154" s="50"/>
      <c r="BZ154" s="49" t="s">
        <v>5</v>
      </c>
      <c r="CA154" s="50" t="s">
        <v>75</v>
      </c>
    </row>
    <row r="155" spans="1:79" x14ac:dyDescent="0.25">
      <c r="A155" s="76">
        <v>151908</v>
      </c>
      <c r="B155" s="77" t="s">
        <v>1113</v>
      </c>
      <c r="C155" s="78" t="s">
        <v>963</v>
      </c>
      <c r="D155" s="76" t="s">
        <v>70</v>
      </c>
      <c r="E155" s="79" t="s">
        <v>14</v>
      </c>
      <c r="F155" s="79" t="s">
        <v>71</v>
      </c>
      <c r="G155" s="79" t="s">
        <v>14</v>
      </c>
      <c r="H155" s="79" t="s">
        <v>14</v>
      </c>
      <c r="I155" s="78" t="s">
        <v>14</v>
      </c>
      <c r="J155" s="79" t="s">
        <v>4</v>
      </c>
      <c r="K155" s="142" t="s">
        <v>1850</v>
      </c>
      <c r="L155" s="149" t="s">
        <v>1848</v>
      </c>
      <c r="M155" s="150" t="s">
        <v>1852</v>
      </c>
      <c r="N155" s="151">
        <v>19</v>
      </c>
      <c r="O155" s="151">
        <v>0</v>
      </c>
      <c r="P155" s="152">
        <v>0</v>
      </c>
      <c r="Q155" s="153">
        <v>97.83</v>
      </c>
      <c r="R155" s="154">
        <v>0</v>
      </c>
      <c r="S155" s="38">
        <f t="shared" si="22"/>
        <v>2</v>
      </c>
      <c r="T155" s="39">
        <f t="shared" si="23"/>
        <v>7</v>
      </c>
      <c r="U155" s="40">
        <f t="shared" si="24"/>
        <v>0</v>
      </c>
      <c r="V155" s="40">
        <f t="shared" si="25"/>
        <v>0</v>
      </c>
      <c r="W155" s="40">
        <f t="shared" si="26"/>
        <v>0</v>
      </c>
      <c r="X155" s="40">
        <f t="shared" si="27"/>
        <v>0</v>
      </c>
      <c r="Y155" s="40">
        <f t="shared" si="28"/>
        <v>0</v>
      </c>
      <c r="Z155" s="40">
        <f t="shared" si="29"/>
        <v>0</v>
      </c>
      <c r="AA155" s="40">
        <f t="shared" si="30"/>
        <v>0</v>
      </c>
      <c r="AB155" s="40">
        <f t="shared" si="31"/>
        <v>0</v>
      </c>
      <c r="AC155" s="41">
        <f t="shared" si="32"/>
        <v>0</v>
      </c>
      <c r="AD155" s="49"/>
      <c r="AE155" s="50"/>
      <c r="AF155" s="49"/>
      <c r="AG155" s="50"/>
      <c r="AH155" s="49"/>
      <c r="AI155" s="50"/>
      <c r="AJ155" s="49"/>
      <c r="AK155" s="50"/>
      <c r="AL155" s="49"/>
      <c r="AM155" s="50"/>
      <c r="AN155" s="49"/>
      <c r="AO155" s="50"/>
      <c r="AP155" s="49"/>
      <c r="AQ155" s="50"/>
      <c r="AR155" s="49" t="s">
        <v>5</v>
      </c>
      <c r="AS155" s="50" t="s">
        <v>722</v>
      </c>
      <c r="AT155" s="49" t="s">
        <v>5</v>
      </c>
      <c r="AU155" s="50" t="s">
        <v>73</v>
      </c>
      <c r="AV155" s="49" t="s">
        <v>1</v>
      </c>
      <c r="AW155" s="50" t="s">
        <v>130</v>
      </c>
      <c r="AX155" s="49" t="s">
        <v>5</v>
      </c>
      <c r="AY155" s="50" t="s">
        <v>143</v>
      </c>
      <c r="AZ155" s="49"/>
      <c r="BA155" s="50"/>
      <c r="BB155" s="49"/>
      <c r="BC155" s="50"/>
      <c r="BD155" s="49"/>
      <c r="BE155" s="50"/>
      <c r="BF155" s="49"/>
      <c r="BG155" s="50"/>
      <c r="BH155" s="49" t="s">
        <v>1</v>
      </c>
      <c r="BI155" s="50" t="s">
        <v>422</v>
      </c>
      <c r="BJ155" s="49"/>
      <c r="BK155" s="50"/>
      <c r="BL155" s="49" t="s">
        <v>5</v>
      </c>
      <c r="BM155" s="50" t="s">
        <v>116</v>
      </c>
      <c r="BN155" s="49" t="s">
        <v>5</v>
      </c>
      <c r="BO155" s="50" t="s">
        <v>81</v>
      </c>
      <c r="BP155" s="49"/>
      <c r="BQ155" s="50"/>
      <c r="BR155" s="49"/>
      <c r="BS155" s="50"/>
      <c r="BT155" s="49"/>
      <c r="BU155" s="50"/>
      <c r="BV155" s="49" t="s">
        <v>5</v>
      </c>
      <c r="BW155" s="50" t="s">
        <v>602</v>
      </c>
      <c r="BX155" s="49" t="s">
        <v>5</v>
      </c>
      <c r="BY155" s="50" t="s">
        <v>133</v>
      </c>
      <c r="BZ155" s="49"/>
      <c r="CA155" s="50"/>
    </row>
    <row r="156" spans="1:79" x14ac:dyDescent="0.25">
      <c r="A156" s="76">
        <v>151861</v>
      </c>
      <c r="B156" s="77" t="s">
        <v>1114</v>
      </c>
      <c r="C156" s="78" t="s">
        <v>959</v>
      </c>
      <c r="D156" s="76" t="s">
        <v>12</v>
      </c>
      <c r="E156" s="79" t="s">
        <v>14</v>
      </c>
      <c r="F156" s="79" t="s">
        <v>71</v>
      </c>
      <c r="G156" s="79" t="s">
        <v>14</v>
      </c>
      <c r="H156" s="79" t="s">
        <v>14</v>
      </c>
      <c r="I156" s="78" t="s">
        <v>14</v>
      </c>
      <c r="J156" s="79" t="s">
        <v>14</v>
      </c>
      <c r="K156" s="142" t="s">
        <v>1851</v>
      </c>
      <c r="L156" s="149" t="s">
        <v>1844</v>
      </c>
      <c r="M156" s="150" t="s">
        <v>12</v>
      </c>
      <c r="N156" s="151">
        <v>19</v>
      </c>
      <c r="O156" s="151">
        <v>0</v>
      </c>
      <c r="P156" s="152">
        <v>0</v>
      </c>
      <c r="Q156" s="153">
        <v>95.65</v>
      </c>
      <c r="R156" s="154">
        <v>2</v>
      </c>
      <c r="S156" s="38">
        <f t="shared" si="22"/>
        <v>1</v>
      </c>
      <c r="T156" s="39">
        <f t="shared" si="23"/>
        <v>8</v>
      </c>
      <c r="U156" s="40">
        <f t="shared" si="24"/>
        <v>1</v>
      </c>
      <c r="V156" s="40">
        <f t="shared" si="25"/>
        <v>0</v>
      </c>
      <c r="W156" s="40">
        <f t="shared" si="26"/>
        <v>0</v>
      </c>
      <c r="X156" s="40">
        <f t="shared" si="27"/>
        <v>1</v>
      </c>
      <c r="Y156" s="40">
        <f t="shared" si="28"/>
        <v>0</v>
      </c>
      <c r="Z156" s="40">
        <f t="shared" si="29"/>
        <v>0</v>
      </c>
      <c r="AA156" s="40">
        <f t="shared" si="30"/>
        <v>0</v>
      </c>
      <c r="AB156" s="40">
        <f t="shared" si="31"/>
        <v>0</v>
      </c>
      <c r="AC156" s="41">
        <f t="shared" si="32"/>
        <v>0</v>
      </c>
      <c r="AD156" s="49"/>
      <c r="AE156" s="50"/>
      <c r="AF156" s="49"/>
      <c r="AG156" s="50"/>
      <c r="AH156" s="49"/>
      <c r="AI156" s="50"/>
      <c r="AJ156" s="49"/>
      <c r="AK156" s="50"/>
      <c r="AL156" s="49"/>
      <c r="AM156" s="50"/>
      <c r="AN156" s="49"/>
      <c r="AO156" s="50"/>
      <c r="AP156" s="49" t="s">
        <v>30</v>
      </c>
      <c r="AQ156" s="50" t="s">
        <v>101</v>
      </c>
      <c r="AR156" s="49" t="s">
        <v>5</v>
      </c>
      <c r="AS156" s="50" t="s">
        <v>111</v>
      </c>
      <c r="AT156" s="49"/>
      <c r="AU156" s="50"/>
      <c r="AV156" s="49" t="s">
        <v>5</v>
      </c>
      <c r="AW156" s="50" t="s">
        <v>194</v>
      </c>
      <c r="AX156" s="49" t="s">
        <v>5</v>
      </c>
      <c r="AY156" s="50" t="s">
        <v>143</v>
      </c>
      <c r="AZ156" s="49" t="s">
        <v>5</v>
      </c>
      <c r="BA156" s="50" t="s">
        <v>76</v>
      </c>
      <c r="BB156" s="49"/>
      <c r="BC156" s="50"/>
      <c r="BD156" s="49"/>
      <c r="BE156" s="50"/>
      <c r="BF156" s="49"/>
      <c r="BG156" s="50"/>
      <c r="BH156" s="49" t="s">
        <v>5</v>
      </c>
      <c r="BI156" s="50" t="s">
        <v>505</v>
      </c>
      <c r="BJ156" s="49" t="s">
        <v>5</v>
      </c>
      <c r="BK156" s="50" t="s">
        <v>95</v>
      </c>
      <c r="BL156" s="49"/>
      <c r="BM156" s="50"/>
      <c r="BN156" s="49" t="s">
        <v>1</v>
      </c>
      <c r="BO156" s="50" t="s">
        <v>96</v>
      </c>
      <c r="BP156" s="49"/>
      <c r="BQ156" s="50"/>
      <c r="BR156" s="49"/>
      <c r="BS156" s="50"/>
      <c r="BT156" s="49"/>
      <c r="BU156" s="50"/>
      <c r="BV156" s="49" t="s">
        <v>5</v>
      </c>
      <c r="BW156" s="50" t="s">
        <v>715</v>
      </c>
      <c r="BX156" s="49" t="s">
        <v>5</v>
      </c>
      <c r="BY156" s="50" t="s">
        <v>133</v>
      </c>
      <c r="BZ156" s="49"/>
      <c r="CA156" s="50"/>
    </row>
    <row r="157" spans="1:79" x14ac:dyDescent="0.25">
      <c r="A157" s="76">
        <v>151906</v>
      </c>
      <c r="B157" s="77" t="s">
        <v>1115</v>
      </c>
      <c r="C157" s="78" t="s">
        <v>952</v>
      </c>
      <c r="D157" s="76" t="s">
        <v>12</v>
      </c>
      <c r="E157" s="79" t="s">
        <v>14</v>
      </c>
      <c r="F157" s="79" t="s">
        <v>71</v>
      </c>
      <c r="G157" s="79" t="s">
        <v>14</v>
      </c>
      <c r="H157" s="79" t="s">
        <v>14</v>
      </c>
      <c r="I157" s="78" t="s">
        <v>14</v>
      </c>
      <c r="J157" s="79" t="s">
        <v>14</v>
      </c>
      <c r="K157" s="142" t="s">
        <v>1850</v>
      </c>
      <c r="L157" s="149" t="s">
        <v>1844</v>
      </c>
      <c r="M157" s="150" t="s">
        <v>12</v>
      </c>
      <c r="N157" s="151">
        <v>24</v>
      </c>
      <c r="O157" s="151">
        <v>5</v>
      </c>
      <c r="P157" s="152">
        <v>0</v>
      </c>
      <c r="Q157" s="153">
        <v>80.430000000000007</v>
      </c>
      <c r="R157" s="154">
        <v>2</v>
      </c>
      <c r="S157" s="38">
        <f t="shared" si="22"/>
        <v>2</v>
      </c>
      <c r="T157" s="39">
        <f t="shared" si="23"/>
        <v>7</v>
      </c>
      <c r="U157" s="40">
        <f t="shared" si="24"/>
        <v>2</v>
      </c>
      <c r="V157" s="40">
        <f t="shared" si="25"/>
        <v>0</v>
      </c>
      <c r="W157" s="40">
        <f t="shared" si="26"/>
        <v>0</v>
      </c>
      <c r="X157" s="40">
        <f t="shared" si="27"/>
        <v>2</v>
      </c>
      <c r="Y157" s="40">
        <f t="shared" si="28"/>
        <v>0</v>
      </c>
      <c r="Z157" s="40">
        <f t="shared" si="29"/>
        <v>0</v>
      </c>
      <c r="AA157" s="40">
        <f t="shared" si="30"/>
        <v>0</v>
      </c>
      <c r="AB157" s="40">
        <f t="shared" si="31"/>
        <v>0</v>
      </c>
      <c r="AC157" s="41">
        <f t="shared" si="32"/>
        <v>0</v>
      </c>
      <c r="AD157" s="49"/>
      <c r="AE157" s="50"/>
      <c r="AF157" s="49" t="s">
        <v>5</v>
      </c>
      <c r="AG157" s="50" t="s">
        <v>154</v>
      </c>
      <c r="AH157" s="49" t="s">
        <v>5</v>
      </c>
      <c r="AI157" s="50" t="s">
        <v>78</v>
      </c>
      <c r="AJ157" s="49" t="s">
        <v>5</v>
      </c>
      <c r="AK157" s="50" t="s">
        <v>83</v>
      </c>
      <c r="AL157" s="49"/>
      <c r="AM157" s="50"/>
      <c r="AN157" s="49"/>
      <c r="AO157" s="50"/>
      <c r="AP157" s="49"/>
      <c r="AQ157" s="50"/>
      <c r="AR157" s="49" t="s">
        <v>30</v>
      </c>
      <c r="AS157" s="50" t="s">
        <v>142</v>
      </c>
      <c r="AT157" s="49"/>
      <c r="AU157" s="50"/>
      <c r="AV157" s="49" t="s">
        <v>5</v>
      </c>
      <c r="AW157" s="50" t="s">
        <v>117</v>
      </c>
      <c r="AX157" s="49"/>
      <c r="AY157" s="50"/>
      <c r="AZ157" s="49" t="s">
        <v>5</v>
      </c>
      <c r="BA157" s="50" t="s">
        <v>76</v>
      </c>
      <c r="BB157" s="49"/>
      <c r="BC157" s="50"/>
      <c r="BD157" s="49"/>
      <c r="BE157" s="50"/>
      <c r="BF157" s="49"/>
      <c r="BG157" s="50"/>
      <c r="BH157" s="49" t="s">
        <v>1</v>
      </c>
      <c r="BI157" s="50" t="s">
        <v>136</v>
      </c>
      <c r="BJ157" s="49"/>
      <c r="BK157" s="50"/>
      <c r="BL157" s="49"/>
      <c r="BM157" s="50"/>
      <c r="BN157" s="49" t="s">
        <v>30</v>
      </c>
      <c r="BO157" s="50" t="s">
        <v>107</v>
      </c>
      <c r="BP157" s="49"/>
      <c r="BQ157" s="50"/>
      <c r="BR157" s="49" t="s">
        <v>5</v>
      </c>
      <c r="BS157" s="50" t="s">
        <v>98</v>
      </c>
      <c r="BT157" s="49"/>
      <c r="BU157" s="50"/>
      <c r="BV157" s="49" t="s">
        <v>1</v>
      </c>
      <c r="BW157" s="50" t="s">
        <v>715</v>
      </c>
      <c r="BX157" s="49"/>
      <c r="BY157" s="50"/>
      <c r="BZ157" s="49" t="s">
        <v>5</v>
      </c>
      <c r="CA157" s="50" t="s">
        <v>124</v>
      </c>
    </row>
    <row r="158" spans="1:79" x14ac:dyDescent="0.25">
      <c r="A158" s="76">
        <v>151881</v>
      </c>
      <c r="B158" s="77" t="s">
        <v>1116</v>
      </c>
      <c r="C158" s="78" t="s">
        <v>959</v>
      </c>
      <c r="D158" s="76" t="s">
        <v>70</v>
      </c>
      <c r="E158" s="79" t="s">
        <v>14</v>
      </c>
      <c r="F158" s="79" t="s">
        <v>71</v>
      </c>
      <c r="G158" s="79" t="s">
        <v>14</v>
      </c>
      <c r="H158" s="79" t="s">
        <v>14</v>
      </c>
      <c r="I158" s="78" t="s">
        <v>14</v>
      </c>
      <c r="J158" s="79" t="s">
        <v>14</v>
      </c>
      <c r="K158" s="142" t="s">
        <v>1851</v>
      </c>
      <c r="L158" s="149" t="s">
        <v>1845</v>
      </c>
      <c r="M158" s="150" t="s">
        <v>12</v>
      </c>
      <c r="N158" s="151">
        <v>15</v>
      </c>
      <c r="O158" s="151">
        <v>2</v>
      </c>
      <c r="P158" s="152">
        <v>2</v>
      </c>
      <c r="Q158" s="153">
        <v>100</v>
      </c>
      <c r="R158" s="154">
        <v>4</v>
      </c>
      <c r="S158" s="38">
        <f t="shared" si="22"/>
        <v>0</v>
      </c>
      <c r="T158" s="39">
        <f t="shared" si="23"/>
        <v>11</v>
      </c>
      <c r="U158" s="40">
        <f t="shared" si="24"/>
        <v>0</v>
      </c>
      <c r="V158" s="40">
        <f t="shared" si="25"/>
        <v>0</v>
      </c>
      <c r="W158" s="40">
        <f t="shared" si="26"/>
        <v>0</v>
      </c>
      <c r="X158" s="40">
        <f t="shared" si="27"/>
        <v>0</v>
      </c>
      <c r="Y158" s="40">
        <f t="shared" si="28"/>
        <v>0</v>
      </c>
      <c r="Z158" s="40">
        <f t="shared" si="29"/>
        <v>0</v>
      </c>
      <c r="AA158" s="40">
        <f t="shared" si="30"/>
        <v>0</v>
      </c>
      <c r="AB158" s="40">
        <f t="shared" si="31"/>
        <v>0</v>
      </c>
      <c r="AC158" s="41">
        <f t="shared" si="32"/>
        <v>0</v>
      </c>
      <c r="AD158" s="49"/>
      <c r="AE158" s="50"/>
      <c r="AF158" s="49" t="s">
        <v>5</v>
      </c>
      <c r="AG158" s="50" t="s">
        <v>154</v>
      </c>
      <c r="AH158" s="49"/>
      <c r="AI158" s="50"/>
      <c r="AJ158" s="49" t="s">
        <v>5</v>
      </c>
      <c r="AK158" s="50" t="s">
        <v>83</v>
      </c>
      <c r="AL158" s="49"/>
      <c r="AM158" s="50"/>
      <c r="AN158" s="49"/>
      <c r="AO158" s="50"/>
      <c r="AP158" s="49"/>
      <c r="AQ158" s="50"/>
      <c r="AR158" s="49" t="s">
        <v>5</v>
      </c>
      <c r="AS158" s="50" t="s">
        <v>722</v>
      </c>
      <c r="AT158" s="49"/>
      <c r="AU158" s="50"/>
      <c r="AV158" s="49" t="s">
        <v>5</v>
      </c>
      <c r="AW158" s="50" t="s">
        <v>194</v>
      </c>
      <c r="AX158" s="49" t="s">
        <v>5</v>
      </c>
      <c r="AY158" s="50" t="s">
        <v>84</v>
      </c>
      <c r="AZ158" s="49" t="s">
        <v>5</v>
      </c>
      <c r="BA158" s="50" t="s">
        <v>76</v>
      </c>
      <c r="BB158" s="49"/>
      <c r="BC158" s="50"/>
      <c r="BD158" s="49" t="s">
        <v>5</v>
      </c>
      <c r="BE158" s="50" t="s">
        <v>120</v>
      </c>
      <c r="BF158" s="49"/>
      <c r="BG158" s="50"/>
      <c r="BH158" s="49" t="s">
        <v>5</v>
      </c>
      <c r="BI158" s="50" t="s">
        <v>422</v>
      </c>
      <c r="BJ158" s="49"/>
      <c r="BK158" s="50"/>
      <c r="BL158" s="49"/>
      <c r="BM158" s="50"/>
      <c r="BN158" s="49" t="s">
        <v>5</v>
      </c>
      <c r="BO158" s="50" t="s">
        <v>152</v>
      </c>
      <c r="BP158" s="49"/>
      <c r="BQ158" s="50"/>
      <c r="BR158" s="49" t="s">
        <v>5</v>
      </c>
      <c r="BS158" s="50" t="s">
        <v>98</v>
      </c>
      <c r="BT158" s="49"/>
      <c r="BU158" s="50"/>
      <c r="BV158" s="49" t="s">
        <v>5</v>
      </c>
      <c r="BW158" s="50" t="s">
        <v>97</v>
      </c>
      <c r="BX158" s="49"/>
      <c r="BY158" s="50"/>
      <c r="BZ158" s="49"/>
      <c r="CA158" s="50"/>
    </row>
    <row r="159" spans="1:79" x14ac:dyDescent="0.25">
      <c r="A159" s="76">
        <v>151844</v>
      </c>
      <c r="B159" s="77" t="s">
        <v>1117</v>
      </c>
      <c r="C159" s="78" t="s">
        <v>961</v>
      </c>
      <c r="D159" s="76" t="s">
        <v>12</v>
      </c>
      <c r="E159" s="79" t="s">
        <v>14</v>
      </c>
      <c r="F159" s="79" t="s">
        <v>71</v>
      </c>
      <c r="G159" s="79" t="s">
        <v>14</v>
      </c>
      <c r="H159" s="79" t="s">
        <v>14</v>
      </c>
      <c r="I159" s="78" t="s">
        <v>14</v>
      </c>
      <c r="J159" s="79" t="s">
        <v>14</v>
      </c>
      <c r="K159" s="142" t="s">
        <v>1850</v>
      </c>
      <c r="L159" s="149" t="s">
        <v>1845</v>
      </c>
      <c r="M159" s="150" t="s">
        <v>12</v>
      </c>
      <c r="N159" s="151">
        <v>20</v>
      </c>
      <c r="O159" s="151">
        <v>1</v>
      </c>
      <c r="P159" s="152">
        <v>3</v>
      </c>
      <c r="Q159" s="153">
        <v>93.48</v>
      </c>
      <c r="R159" s="154">
        <v>6</v>
      </c>
      <c r="S159" s="38">
        <f t="shared" si="22"/>
        <v>2</v>
      </c>
      <c r="T159" s="39">
        <f t="shared" si="23"/>
        <v>7</v>
      </c>
      <c r="U159" s="40">
        <f t="shared" si="24"/>
        <v>1</v>
      </c>
      <c r="V159" s="40">
        <f t="shared" si="25"/>
        <v>0</v>
      </c>
      <c r="W159" s="40">
        <f t="shared" si="26"/>
        <v>1</v>
      </c>
      <c r="X159" s="40">
        <f t="shared" si="27"/>
        <v>2</v>
      </c>
      <c r="Y159" s="40">
        <f t="shared" si="28"/>
        <v>0</v>
      </c>
      <c r="Z159" s="40">
        <f t="shared" si="29"/>
        <v>0</v>
      </c>
      <c r="AA159" s="40">
        <f t="shared" si="30"/>
        <v>0</v>
      </c>
      <c r="AB159" s="40">
        <f t="shared" si="31"/>
        <v>0</v>
      </c>
      <c r="AC159" s="41">
        <f t="shared" si="32"/>
        <v>0</v>
      </c>
      <c r="AD159" s="49" t="s">
        <v>5</v>
      </c>
      <c r="AE159" s="50" t="s">
        <v>72</v>
      </c>
      <c r="AF159" s="49" t="s">
        <v>5</v>
      </c>
      <c r="AG159" s="50" t="s">
        <v>438</v>
      </c>
      <c r="AH159" s="49"/>
      <c r="AI159" s="50"/>
      <c r="AJ159" s="49" t="s">
        <v>5</v>
      </c>
      <c r="AK159" s="50" t="s">
        <v>83</v>
      </c>
      <c r="AL159" s="49"/>
      <c r="AM159" s="50"/>
      <c r="AN159" s="49"/>
      <c r="AO159" s="50"/>
      <c r="AP159" s="49"/>
      <c r="AQ159" s="50"/>
      <c r="AR159" s="49" t="s">
        <v>5</v>
      </c>
      <c r="AS159" s="50" t="s">
        <v>142</v>
      </c>
      <c r="AT159" s="49"/>
      <c r="AU159" s="50"/>
      <c r="AV159" s="49" t="s">
        <v>5</v>
      </c>
      <c r="AW159" s="50" t="s">
        <v>139</v>
      </c>
      <c r="AX159" s="49"/>
      <c r="AY159" s="50"/>
      <c r="AZ159" s="49"/>
      <c r="BA159" s="50"/>
      <c r="BB159" s="49"/>
      <c r="BC159" s="50"/>
      <c r="BD159" s="49"/>
      <c r="BE159" s="50"/>
      <c r="BF159" s="49"/>
      <c r="BG159" s="50"/>
      <c r="BH159" s="49" t="s">
        <v>5</v>
      </c>
      <c r="BI159" s="50" t="s">
        <v>136</v>
      </c>
      <c r="BJ159" s="49"/>
      <c r="BK159" s="50"/>
      <c r="BL159" s="49"/>
      <c r="BM159" s="50"/>
      <c r="BN159" s="49" t="s">
        <v>1</v>
      </c>
      <c r="BO159" s="50" t="s">
        <v>96</v>
      </c>
      <c r="BP159" s="49" t="s">
        <v>1</v>
      </c>
      <c r="BQ159" s="50" t="s">
        <v>107</v>
      </c>
      <c r="BR159" s="49" t="s">
        <v>30</v>
      </c>
      <c r="BS159" s="50" t="s">
        <v>123</v>
      </c>
      <c r="BT159" s="49"/>
      <c r="BU159" s="50"/>
      <c r="BV159" s="49" t="s">
        <v>32</v>
      </c>
      <c r="BW159" s="50" t="s">
        <v>82</v>
      </c>
      <c r="BX159" s="49"/>
      <c r="BY159" s="50"/>
      <c r="BZ159" s="49" t="s">
        <v>5</v>
      </c>
      <c r="CA159" s="50" t="s">
        <v>124</v>
      </c>
    </row>
    <row r="160" spans="1:79" x14ac:dyDescent="0.25">
      <c r="A160" s="76">
        <v>151803</v>
      </c>
      <c r="B160" s="77" t="s">
        <v>1118</v>
      </c>
      <c r="C160" s="78" t="s">
        <v>959</v>
      </c>
      <c r="D160" s="76" t="s">
        <v>70</v>
      </c>
      <c r="E160" s="79" t="s">
        <v>14</v>
      </c>
      <c r="F160" s="79" t="s">
        <v>71</v>
      </c>
      <c r="G160" s="79" t="s">
        <v>14</v>
      </c>
      <c r="H160" s="79" t="s">
        <v>14</v>
      </c>
      <c r="I160" s="78" t="s">
        <v>14</v>
      </c>
      <c r="J160" s="79" t="s">
        <v>14</v>
      </c>
      <c r="K160" s="142" t="s">
        <v>1850</v>
      </c>
      <c r="L160" s="149" t="s">
        <v>1846</v>
      </c>
      <c r="M160" s="150" t="s">
        <v>1853</v>
      </c>
      <c r="N160" s="151">
        <v>11</v>
      </c>
      <c r="O160" s="151">
        <v>0</v>
      </c>
      <c r="P160" s="152">
        <v>0</v>
      </c>
      <c r="Q160" s="153">
        <v>100</v>
      </c>
      <c r="R160" s="154">
        <v>1</v>
      </c>
      <c r="S160" s="38">
        <f t="shared" si="22"/>
        <v>2</v>
      </c>
      <c r="T160" s="39">
        <f t="shared" si="23"/>
        <v>8</v>
      </c>
      <c r="U160" s="40">
        <f t="shared" si="24"/>
        <v>0</v>
      </c>
      <c r="V160" s="40">
        <f t="shared" si="25"/>
        <v>0</v>
      </c>
      <c r="W160" s="40">
        <f t="shared" si="26"/>
        <v>0</v>
      </c>
      <c r="X160" s="40">
        <f t="shared" si="27"/>
        <v>0</v>
      </c>
      <c r="Y160" s="40">
        <f t="shared" si="28"/>
        <v>0</v>
      </c>
      <c r="Z160" s="40">
        <f t="shared" si="29"/>
        <v>0</v>
      </c>
      <c r="AA160" s="40">
        <f t="shared" si="30"/>
        <v>0</v>
      </c>
      <c r="AB160" s="40">
        <f t="shared" si="31"/>
        <v>0</v>
      </c>
      <c r="AC160" s="41">
        <f t="shared" si="32"/>
        <v>0</v>
      </c>
      <c r="AD160" s="49"/>
      <c r="AE160" s="50"/>
      <c r="AF160" s="49"/>
      <c r="AG160" s="50"/>
      <c r="AH160" s="49"/>
      <c r="AI160" s="50"/>
      <c r="AJ160" s="49"/>
      <c r="AK160" s="50"/>
      <c r="AL160" s="49"/>
      <c r="AM160" s="50"/>
      <c r="AN160" s="49"/>
      <c r="AO160" s="50"/>
      <c r="AP160" s="49"/>
      <c r="AQ160" s="50"/>
      <c r="AR160" s="49" t="s">
        <v>5</v>
      </c>
      <c r="AS160" s="50" t="s">
        <v>169</v>
      </c>
      <c r="AT160" s="49" t="s">
        <v>5</v>
      </c>
      <c r="AU160" s="50" t="s">
        <v>73</v>
      </c>
      <c r="AV160" s="49" t="s">
        <v>5</v>
      </c>
      <c r="AW160" s="50" t="s">
        <v>194</v>
      </c>
      <c r="AX160" s="49" t="s">
        <v>5</v>
      </c>
      <c r="AY160" s="50" t="s">
        <v>143</v>
      </c>
      <c r="AZ160" s="49"/>
      <c r="BA160" s="50"/>
      <c r="BB160" s="49"/>
      <c r="BC160" s="50"/>
      <c r="BD160" s="49" t="s">
        <v>1</v>
      </c>
      <c r="BE160" s="50" t="s">
        <v>120</v>
      </c>
      <c r="BF160" s="49"/>
      <c r="BG160" s="50"/>
      <c r="BH160" s="49" t="s">
        <v>5</v>
      </c>
      <c r="BI160" s="50" t="s">
        <v>711</v>
      </c>
      <c r="BJ160" s="49"/>
      <c r="BK160" s="50"/>
      <c r="BL160" s="49"/>
      <c r="BM160" s="50"/>
      <c r="BN160" s="49" t="s">
        <v>5</v>
      </c>
      <c r="BO160" s="50" t="s">
        <v>81</v>
      </c>
      <c r="BP160" s="49" t="s">
        <v>1</v>
      </c>
      <c r="BQ160" s="50" t="s">
        <v>152</v>
      </c>
      <c r="BR160" s="49"/>
      <c r="BS160" s="50"/>
      <c r="BT160" s="49"/>
      <c r="BU160" s="50"/>
      <c r="BV160" s="49" t="s">
        <v>5</v>
      </c>
      <c r="BW160" s="50" t="s">
        <v>132</v>
      </c>
      <c r="BX160" s="49" t="s">
        <v>5</v>
      </c>
      <c r="BY160" s="50" t="s">
        <v>137</v>
      </c>
      <c r="BZ160" s="49"/>
      <c r="CA160" s="50"/>
    </row>
    <row r="161" spans="1:79" x14ac:dyDescent="0.25">
      <c r="A161" s="76">
        <v>151917</v>
      </c>
      <c r="B161" s="77" t="s">
        <v>1119</v>
      </c>
      <c r="C161" s="78" t="s">
        <v>959</v>
      </c>
      <c r="D161" s="76" t="s">
        <v>70</v>
      </c>
      <c r="E161" s="79" t="s">
        <v>14</v>
      </c>
      <c r="F161" s="79" t="s">
        <v>71</v>
      </c>
      <c r="G161" s="79" t="s">
        <v>14</v>
      </c>
      <c r="H161" s="79" t="s">
        <v>14</v>
      </c>
      <c r="I161" s="78" t="s">
        <v>14</v>
      </c>
      <c r="J161" s="79" t="s">
        <v>14</v>
      </c>
      <c r="K161" s="142" t="s">
        <v>1850</v>
      </c>
      <c r="L161" s="149" t="s">
        <v>1846</v>
      </c>
      <c r="M161" s="150" t="s">
        <v>1853</v>
      </c>
      <c r="N161" s="151">
        <v>12</v>
      </c>
      <c r="O161" s="151">
        <v>0</v>
      </c>
      <c r="P161" s="152">
        <v>0</v>
      </c>
      <c r="Q161" s="153">
        <v>100</v>
      </c>
      <c r="R161" s="154">
        <v>0</v>
      </c>
      <c r="S161" s="38">
        <f t="shared" si="22"/>
        <v>1</v>
      </c>
      <c r="T161" s="39">
        <f t="shared" si="23"/>
        <v>10</v>
      </c>
      <c r="U161" s="40">
        <f t="shared" si="24"/>
        <v>0</v>
      </c>
      <c r="V161" s="40">
        <f t="shared" si="25"/>
        <v>0</v>
      </c>
      <c r="W161" s="40">
        <f t="shared" si="26"/>
        <v>0</v>
      </c>
      <c r="X161" s="40">
        <f t="shared" si="27"/>
        <v>0</v>
      </c>
      <c r="Y161" s="40">
        <f t="shared" si="28"/>
        <v>0</v>
      </c>
      <c r="Z161" s="40">
        <f t="shared" si="29"/>
        <v>0</v>
      </c>
      <c r="AA161" s="40">
        <f t="shared" si="30"/>
        <v>0</v>
      </c>
      <c r="AB161" s="40">
        <f t="shared" si="31"/>
        <v>0</v>
      </c>
      <c r="AC161" s="41">
        <f t="shared" si="32"/>
        <v>0</v>
      </c>
      <c r="AD161" s="49"/>
      <c r="AE161" s="50"/>
      <c r="AF161" s="49" t="s">
        <v>1</v>
      </c>
      <c r="AG161" s="50" t="s">
        <v>433</v>
      </c>
      <c r="AH161" s="49"/>
      <c r="AI161" s="50"/>
      <c r="AJ161" s="49" t="s">
        <v>5</v>
      </c>
      <c r="AK161" s="50" t="s">
        <v>419</v>
      </c>
      <c r="AL161" s="49"/>
      <c r="AM161" s="50"/>
      <c r="AN161" s="49"/>
      <c r="AO161" s="50"/>
      <c r="AP161" s="49"/>
      <c r="AQ161" s="50"/>
      <c r="AR161" s="49" t="s">
        <v>5</v>
      </c>
      <c r="AS161" s="50" t="s">
        <v>169</v>
      </c>
      <c r="AT161" s="49" t="s">
        <v>5</v>
      </c>
      <c r="AU161" s="50" t="s">
        <v>73</v>
      </c>
      <c r="AV161" s="49" t="s">
        <v>5</v>
      </c>
      <c r="AW161" s="50" t="s">
        <v>194</v>
      </c>
      <c r="AX161" s="49" t="s">
        <v>5</v>
      </c>
      <c r="AY161" s="50" t="s">
        <v>143</v>
      </c>
      <c r="AZ161" s="49"/>
      <c r="BA161" s="50"/>
      <c r="BB161" s="49"/>
      <c r="BC161" s="50"/>
      <c r="BD161" s="49" t="s">
        <v>5</v>
      </c>
      <c r="BE161" s="50" t="s">
        <v>132</v>
      </c>
      <c r="BF161" s="49"/>
      <c r="BG161" s="50"/>
      <c r="BH161" s="49" t="s">
        <v>5</v>
      </c>
      <c r="BI161" s="50" t="s">
        <v>711</v>
      </c>
      <c r="BJ161" s="49"/>
      <c r="BK161" s="50"/>
      <c r="BL161" s="49"/>
      <c r="BM161" s="50"/>
      <c r="BN161" s="49" t="s">
        <v>5</v>
      </c>
      <c r="BO161" s="50" t="s">
        <v>81</v>
      </c>
      <c r="BP161" s="49"/>
      <c r="BQ161" s="50"/>
      <c r="BR161" s="49" t="s">
        <v>5</v>
      </c>
      <c r="BS161" s="50" t="s">
        <v>140</v>
      </c>
      <c r="BT161" s="49"/>
      <c r="BU161" s="50"/>
      <c r="BV161" s="49" t="s">
        <v>5</v>
      </c>
      <c r="BW161" s="50" t="s">
        <v>132</v>
      </c>
      <c r="BX161" s="49"/>
      <c r="BY161" s="50"/>
      <c r="BZ161" s="49"/>
      <c r="CA161" s="50"/>
    </row>
    <row r="162" spans="1:79" x14ac:dyDescent="0.25">
      <c r="A162" s="76">
        <v>151761</v>
      </c>
      <c r="B162" s="77" t="s">
        <v>1120</v>
      </c>
      <c r="C162" s="78" t="s">
        <v>959</v>
      </c>
      <c r="D162" s="76" t="s">
        <v>70</v>
      </c>
      <c r="E162" s="79" t="s">
        <v>14</v>
      </c>
      <c r="F162" s="79" t="s">
        <v>184</v>
      </c>
      <c r="G162" s="79" t="s">
        <v>87</v>
      </c>
      <c r="H162" s="79" t="s">
        <v>14</v>
      </c>
      <c r="I162" s="78" t="s">
        <v>14</v>
      </c>
      <c r="J162" s="79" t="s">
        <v>14</v>
      </c>
      <c r="K162" s="142" t="s">
        <v>1850</v>
      </c>
      <c r="L162" s="149" t="s">
        <v>1846</v>
      </c>
      <c r="M162" s="150" t="s">
        <v>1853</v>
      </c>
      <c r="N162" s="151">
        <v>12</v>
      </c>
      <c r="O162" s="151">
        <v>0</v>
      </c>
      <c r="P162" s="152">
        <v>0</v>
      </c>
      <c r="Q162" s="153">
        <v>100</v>
      </c>
      <c r="R162" s="154">
        <v>0</v>
      </c>
      <c r="S162" s="38">
        <f t="shared" si="22"/>
        <v>2</v>
      </c>
      <c r="T162" s="39">
        <f t="shared" si="23"/>
        <v>9</v>
      </c>
      <c r="U162" s="40">
        <f t="shared" si="24"/>
        <v>0</v>
      </c>
      <c r="V162" s="40">
        <f t="shared" si="25"/>
        <v>0</v>
      </c>
      <c r="W162" s="40">
        <f t="shared" si="26"/>
        <v>0</v>
      </c>
      <c r="X162" s="40">
        <f t="shared" si="27"/>
        <v>0</v>
      </c>
      <c r="Y162" s="40">
        <f t="shared" si="28"/>
        <v>0</v>
      </c>
      <c r="Z162" s="40">
        <f t="shared" si="29"/>
        <v>0</v>
      </c>
      <c r="AA162" s="40">
        <f t="shared" si="30"/>
        <v>0</v>
      </c>
      <c r="AB162" s="40">
        <f t="shared" si="31"/>
        <v>0</v>
      </c>
      <c r="AC162" s="41">
        <f t="shared" si="32"/>
        <v>0</v>
      </c>
      <c r="AD162" s="49"/>
      <c r="AE162" s="50"/>
      <c r="AF162" s="49" t="s">
        <v>1</v>
      </c>
      <c r="AG162" s="50" t="s">
        <v>433</v>
      </c>
      <c r="AH162" s="49"/>
      <c r="AI162" s="50"/>
      <c r="AJ162" s="49" t="s">
        <v>5</v>
      </c>
      <c r="AK162" s="50" t="s">
        <v>419</v>
      </c>
      <c r="AL162" s="49"/>
      <c r="AM162" s="50"/>
      <c r="AN162" s="49"/>
      <c r="AO162" s="50"/>
      <c r="AP162" s="49"/>
      <c r="AQ162" s="50"/>
      <c r="AR162" s="49" t="s">
        <v>5</v>
      </c>
      <c r="AS162" s="50" t="s">
        <v>169</v>
      </c>
      <c r="AT162" s="49"/>
      <c r="AU162" s="50"/>
      <c r="AV162" s="49" t="s">
        <v>5</v>
      </c>
      <c r="AW162" s="50" t="s">
        <v>194</v>
      </c>
      <c r="AX162" s="49" t="s">
        <v>5</v>
      </c>
      <c r="AY162" s="50" t="s">
        <v>143</v>
      </c>
      <c r="AZ162" s="49"/>
      <c r="BA162" s="50"/>
      <c r="BB162" s="49"/>
      <c r="BC162" s="50"/>
      <c r="BD162" s="49" t="s">
        <v>5</v>
      </c>
      <c r="BE162" s="50" t="s">
        <v>132</v>
      </c>
      <c r="BF162" s="49"/>
      <c r="BG162" s="50"/>
      <c r="BH162" s="49" t="s">
        <v>5</v>
      </c>
      <c r="BI162" s="50" t="s">
        <v>711</v>
      </c>
      <c r="BJ162" s="49" t="s">
        <v>1</v>
      </c>
      <c r="BK162" s="50" t="s">
        <v>95</v>
      </c>
      <c r="BL162" s="49"/>
      <c r="BM162" s="50"/>
      <c r="BN162" s="49" t="s">
        <v>5</v>
      </c>
      <c r="BO162" s="50" t="s">
        <v>81</v>
      </c>
      <c r="BP162" s="49"/>
      <c r="BQ162" s="50"/>
      <c r="BR162" s="49" t="s">
        <v>5</v>
      </c>
      <c r="BS162" s="50" t="s">
        <v>140</v>
      </c>
      <c r="BT162" s="49"/>
      <c r="BU162" s="50"/>
      <c r="BV162" s="49" t="s">
        <v>5</v>
      </c>
      <c r="BW162" s="50" t="s">
        <v>132</v>
      </c>
      <c r="BX162" s="49"/>
      <c r="BY162" s="50"/>
      <c r="BZ162" s="49"/>
      <c r="CA162" s="50"/>
    </row>
    <row r="163" spans="1:79" x14ac:dyDescent="0.25">
      <c r="A163" s="76">
        <v>151897</v>
      </c>
      <c r="B163" s="77" t="s">
        <v>1121</v>
      </c>
      <c r="C163" s="78" t="s">
        <v>963</v>
      </c>
      <c r="D163" s="76" t="s">
        <v>12</v>
      </c>
      <c r="E163" s="79" t="s">
        <v>14</v>
      </c>
      <c r="F163" s="79" t="s">
        <v>150</v>
      </c>
      <c r="G163" s="79" t="s">
        <v>87</v>
      </c>
      <c r="H163" s="79" t="s">
        <v>14</v>
      </c>
      <c r="I163" s="78" t="s">
        <v>14</v>
      </c>
      <c r="J163" s="79" t="s">
        <v>14</v>
      </c>
      <c r="K163" s="142" t="s">
        <v>1850</v>
      </c>
      <c r="L163" s="149" t="s">
        <v>1845</v>
      </c>
      <c r="M163" s="150" t="s">
        <v>12</v>
      </c>
      <c r="N163" s="151">
        <v>25</v>
      </c>
      <c r="O163" s="151">
        <v>0</v>
      </c>
      <c r="P163" s="152">
        <v>0</v>
      </c>
      <c r="Q163" s="153">
        <v>95.65</v>
      </c>
      <c r="R163" s="154">
        <v>0</v>
      </c>
      <c r="S163" s="38">
        <f t="shared" si="22"/>
        <v>0</v>
      </c>
      <c r="T163" s="39">
        <f t="shared" si="23"/>
        <v>11</v>
      </c>
      <c r="U163" s="40">
        <f t="shared" si="24"/>
        <v>0</v>
      </c>
      <c r="V163" s="40">
        <f t="shared" si="25"/>
        <v>0</v>
      </c>
      <c r="W163" s="40">
        <f t="shared" si="26"/>
        <v>0</v>
      </c>
      <c r="X163" s="40">
        <f t="shared" si="27"/>
        <v>0</v>
      </c>
      <c r="Y163" s="40">
        <f t="shared" si="28"/>
        <v>0</v>
      </c>
      <c r="Z163" s="40">
        <f t="shared" si="29"/>
        <v>0</v>
      </c>
      <c r="AA163" s="40">
        <f t="shared" si="30"/>
        <v>0</v>
      </c>
      <c r="AB163" s="40">
        <f t="shared" si="31"/>
        <v>0</v>
      </c>
      <c r="AC163" s="41">
        <f t="shared" si="32"/>
        <v>0</v>
      </c>
      <c r="AD163" s="49"/>
      <c r="AE163" s="50"/>
      <c r="AF163" s="49" t="s">
        <v>5</v>
      </c>
      <c r="AG163" s="50" t="s">
        <v>438</v>
      </c>
      <c r="AH163" s="49"/>
      <c r="AI163" s="50"/>
      <c r="AJ163" s="49" t="s">
        <v>5</v>
      </c>
      <c r="AK163" s="50" t="s">
        <v>83</v>
      </c>
      <c r="AL163" s="49"/>
      <c r="AM163" s="50"/>
      <c r="AN163" s="49"/>
      <c r="AO163" s="50"/>
      <c r="AP163" s="49"/>
      <c r="AQ163" s="50"/>
      <c r="AR163" s="49" t="s">
        <v>5</v>
      </c>
      <c r="AS163" s="50" t="s">
        <v>142</v>
      </c>
      <c r="AT163" s="49"/>
      <c r="AU163" s="50"/>
      <c r="AV163" s="49" t="s">
        <v>5</v>
      </c>
      <c r="AW163" s="50" t="s">
        <v>495</v>
      </c>
      <c r="AX163" s="49" t="s">
        <v>5</v>
      </c>
      <c r="AY163" s="50" t="s">
        <v>143</v>
      </c>
      <c r="AZ163" s="49" t="s">
        <v>5</v>
      </c>
      <c r="BA163" s="50" t="s">
        <v>76</v>
      </c>
      <c r="BB163" s="49"/>
      <c r="BC163" s="50"/>
      <c r="BD163" s="49"/>
      <c r="BE163" s="50"/>
      <c r="BF163" s="49"/>
      <c r="BG163" s="50"/>
      <c r="BH163" s="49" t="s">
        <v>5</v>
      </c>
      <c r="BI163" s="50" t="s">
        <v>106</v>
      </c>
      <c r="BJ163" s="49"/>
      <c r="BK163" s="50"/>
      <c r="BL163" s="49"/>
      <c r="BM163" s="50"/>
      <c r="BN163" s="49" t="s">
        <v>5</v>
      </c>
      <c r="BO163" s="50" t="s">
        <v>96</v>
      </c>
      <c r="BP163" s="49"/>
      <c r="BQ163" s="50"/>
      <c r="BR163" s="49" t="s">
        <v>5</v>
      </c>
      <c r="BS163" s="50" t="s">
        <v>123</v>
      </c>
      <c r="BT163" s="49" t="s">
        <v>5</v>
      </c>
      <c r="BU163" s="50" t="s">
        <v>90</v>
      </c>
      <c r="BV163" s="49" t="s">
        <v>5</v>
      </c>
      <c r="BW163" s="50" t="s">
        <v>82</v>
      </c>
      <c r="BX163" s="49"/>
      <c r="BY163" s="50"/>
      <c r="BZ163" s="49"/>
      <c r="CA163" s="50"/>
    </row>
    <row r="164" spans="1:79" x14ac:dyDescent="0.25">
      <c r="A164" s="76">
        <v>160034</v>
      </c>
      <c r="B164" s="77" t="s">
        <v>1122</v>
      </c>
      <c r="C164" s="78" t="s">
        <v>961</v>
      </c>
      <c r="D164" s="76" t="s">
        <v>70</v>
      </c>
      <c r="E164" s="79" t="s">
        <v>14</v>
      </c>
      <c r="F164" s="79" t="s">
        <v>312</v>
      </c>
      <c r="G164" s="79" t="s">
        <v>14</v>
      </c>
      <c r="H164" s="79" t="s">
        <v>14</v>
      </c>
      <c r="I164" s="78" t="s">
        <v>14</v>
      </c>
      <c r="J164" s="79" t="s">
        <v>14</v>
      </c>
      <c r="K164" s="142" t="s">
        <v>1850</v>
      </c>
      <c r="L164" s="149" t="e">
        <v>#VALUE!</v>
      </c>
      <c r="M164" s="150" t="s">
        <v>1406</v>
      </c>
      <c r="N164" s="151">
        <v>11</v>
      </c>
      <c r="O164" s="151">
        <v>1</v>
      </c>
      <c r="P164" s="152">
        <v>0</v>
      </c>
      <c r="Q164" s="153">
        <v>95.65</v>
      </c>
      <c r="R164" s="154">
        <v>0</v>
      </c>
      <c r="S164" s="38">
        <f t="shared" si="22"/>
        <v>1</v>
      </c>
      <c r="T164" s="39">
        <f t="shared" si="23"/>
        <v>9</v>
      </c>
      <c r="U164" s="40">
        <f t="shared" si="24"/>
        <v>0</v>
      </c>
      <c r="V164" s="40">
        <f t="shared" si="25"/>
        <v>0</v>
      </c>
      <c r="W164" s="40">
        <f t="shared" si="26"/>
        <v>0</v>
      </c>
      <c r="X164" s="40">
        <f t="shared" si="27"/>
        <v>0</v>
      </c>
      <c r="Y164" s="40">
        <f t="shared" si="28"/>
        <v>0</v>
      </c>
      <c r="Z164" s="40">
        <f t="shared" si="29"/>
        <v>0</v>
      </c>
      <c r="AA164" s="40">
        <f t="shared" si="30"/>
        <v>0</v>
      </c>
      <c r="AB164" s="40">
        <f t="shared" si="31"/>
        <v>0</v>
      </c>
      <c r="AC164" s="41">
        <f t="shared" si="32"/>
        <v>0</v>
      </c>
      <c r="AD164" s="49"/>
      <c r="AE164" s="50"/>
      <c r="AF164" s="49" t="s">
        <v>5</v>
      </c>
      <c r="AG164" s="50" t="s">
        <v>154</v>
      </c>
      <c r="AH164" s="49"/>
      <c r="AI164" s="50"/>
      <c r="AJ164" s="49" t="s">
        <v>5</v>
      </c>
      <c r="AK164" s="50" t="s">
        <v>83</v>
      </c>
      <c r="AL164" s="49"/>
      <c r="AM164" s="50"/>
      <c r="AN164" s="49"/>
      <c r="AO164" s="50"/>
      <c r="AP164" s="49"/>
      <c r="AQ164" s="50"/>
      <c r="AR164" s="49" t="s">
        <v>5</v>
      </c>
      <c r="AS164" s="50" t="s">
        <v>151</v>
      </c>
      <c r="AT164" s="49" t="s">
        <v>5</v>
      </c>
      <c r="AU164" s="50" t="s">
        <v>73</v>
      </c>
      <c r="AV164" s="49" t="s">
        <v>5</v>
      </c>
      <c r="AW164" s="50" t="s">
        <v>139</v>
      </c>
      <c r="AX164" s="49"/>
      <c r="AY164" s="50"/>
      <c r="AZ164" s="49"/>
      <c r="BA164" s="50"/>
      <c r="BB164" s="49"/>
      <c r="BC164" s="50"/>
      <c r="BD164" s="49"/>
      <c r="BE164" s="50"/>
      <c r="BF164" s="49" t="s">
        <v>5</v>
      </c>
      <c r="BG164" s="50" t="s">
        <v>105</v>
      </c>
      <c r="BH164" s="49" t="s">
        <v>5</v>
      </c>
      <c r="BI164" s="50" t="s">
        <v>505</v>
      </c>
      <c r="BJ164" s="49"/>
      <c r="BK164" s="50"/>
      <c r="BL164" s="49"/>
      <c r="BM164" s="50"/>
      <c r="BN164" s="49" t="s">
        <v>5</v>
      </c>
      <c r="BO164" s="50" t="s">
        <v>152</v>
      </c>
      <c r="BP164" s="49"/>
      <c r="BQ164" s="50"/>
      <c r="BR164" s="49" t="s">
        <v>1</v>
      </c>
      <c r="BS164" s="50" t="s">
        <v>98</v>
      </c>
      <c r="BT164" s="49"/>
      <c r="BU164" s="50"/>
      <c r="BV164" s="49" t="s">
        <v>5</v>
      </c>
      <c r="BW164" s="50" t="s">
        <v>97</v>
      </c>
      <c r="BX164" s="49"/>
      <c r="BY164" s="50"/>
      <c r="BZ164" s="49"/>
      <c r="CA164" s="50"/>
    </row>
    <row r="165" spans="1:79" x14ac:dyDescent="0.25">
      <c r="A165" s="76">
        <v>151757</v>
      </c>
      <c r="B165" s="77" t="s">
        <v>1123</v>
      </c>
      <c r="C165" s="78" t="s">
        <v>961</v>
      </c>
      <c r="D165" s="76" t="s">
        <v>70</v>
      </c>
      <c r="E165" s="79" t="s">
        <v>87</v>
      </c>
      <c r="F165" s="79" t="s">
        <v>88</v>
      </c>
      <c r="G165" s="79" t="s">
        <v>87</v>
      </c>
      <c r="H165" s="79" t="s">
        <v>87</v>
      </c>
      <c r="I165" s="78" t="s">
        <v>14</v>
      </c>
      <c r="J165" s="79" t="s">
        <v>14</v>
      </c>
      <c r="K165" s="142" t="s">
        <v>1850</v>
      </c>
      <c r="L165" s="149" t="s">
        <v>1842</v>
      </c>
      <c r="M165" s="150" t="s">
        <v>12</v>
      </c>
      <c r="N165" s="151">
        <v>7</v>
      </c>
      <c r="O165" s="151">
        <v>0</v>
      </c>
      <c r="P165" s="152">
        <v>1</v>
      </c>
      <c r="Q165" s="153">
        <v>100</v>
      </c>
      <c r="R165" s="154">
        <v>2</v>
      </c>
      <c r="S165" s="38">
        <f t="shared" si="22"/>
        <v>1</v>
      </c>
      <c r="T165" s="39">
        <f t="shared" si="23"/>
        <v>8</v>
      </c>
      <c r="U165" s="40">
        <f t="shared" si="24"/>
        <v>0</v>
      </c>
      <c r="V165" s="40">
        <f t="shared" si="25"/>
        <v>0</v>
      </c>
      <c r="W165" s="40">
        <f t="shared" si="26"/>
        <v>1</v>
      </c>
      <c r="X165" s="40">
        <f t="shared" si="27"/>
        <v>1</v>
      </c>
      <c r="Y165" s="40">
        <f t="shared" si="28"/>
        <v>0</v>
      </c>
      <c r="Z165" s="40">
        <f t="shared" si="29"/>
        <v>0</v>
      </c>
      <c r="AA165" s="40">
        <f t="shared" si="30"/>
        <v>0</v>
      </c>
      <c r="AB165" s="40">
        <f t="shared" si="31"/>
        <v>0</v>
      </c>
      <c r="AC165" s="41">
        <f t="shared" si="32"/>
        <v>0</v>
      </c>
      <c r="AD165" s="49"/>
      <c r="AE165" s="50"/>
      <c r="AF165" s="49"/>
      <c r="AG165" s="50"/>
      <c r="AH165" s="49"/>
      <c r="AI165" s="50"/>
      <c r="AJ165" s="49"/>
      <c r="AK165" s="50"/>
      <c r="AL165" s="49" t="s">
        <v>5</v>
      </c>
      <c r="AM165" s="50" t="s">
        <v>436</v>
      </c>
      <c r="AN165" s="49"/>
      <c r="AO165" s="50"/>
      <c r="AP165" s="49"/>
      <c r="AQ165" s="50"/>
      <c r="AR165" s="49" t="s">
        <v>5</v>
      </c>
      <c r="AS165" s="50" t="s">
        <v>111</v>
      </c>
      <c r="AT165" s="49" t="s">
        <v>5</v>
      </c>
      <c r="AU165" s="50" t="s">
        <v>73</v>
      </c>
      <c r="AV165" s="49" t="s">
        <v>5</v>
      </c>
      <c r="AW165" s="50" t="s">
        <v>139</v>
      </c>
      <c r="AX165" s="49"/>
      <c r="AY165" s="50"/>
      <c r="AZ165" s="49"/>
      <c r="BA165" s="50"/>
      <c r="BB165" s="49" t="s">
        <v>5</v>
      </c>
      <c r="BC165" s="50" t="s">
        <v>425</v>
      </c>
      <c r="BD165" s="49"/>
      <c r="BE165" s="50"/>
      <c r="BF165" s="49"/>
      <c r="BG165" s="50"/>
      <c r="BH165" s="49" t="s">
        <v>1</v>
      </c>
      <c r="BI165" s="50" t="s">
        <v>136</v>
      </c>
      <c r="BJ165" s="49"/>
      <c r="BK165" s="50"/>
      <c r="BL165" s="49"/>
      <c r="BM165" s="50"/>
      <c r="BN165" s="49" t="s">
        <v>5</v>
      </c>
      <c r="BO165" s="50" t="s">
        <v>81</v>
      </c>
      <c r="BP165" s="49"/>
      <c r="BQ165" s="50"/>
      <c r="BR165" s="49"/>
      <c r="BS165" s="50"/>
      <c r="BT165" s="49"/>
      <c r="BU165" s="50"/>
      <c r="BV165" s="49" t="s">
        <v>5</v>
      </c>
      <c r="BW165" s="50" t="s">
        <v>97</v>
      </c>
      <c r="BX165" s="49" t="s">
        <v>5</v>
      </c>
      <c r="BY165" s="50" t="s">
        <v>137</v>
      </c>
      <c r="BZ165" s="49" t="s">
        <v>32</v>
      </c>
      <c r="CA165" s="50" t="s">
        <v>124</v>
      </c>
    </row>
    <row r="166" spans="1:79" x14ac:dyDescent="0.25">
      <c r="A166" s="76">
        <v>151937</v>
      </c>
      <c r="B166" s="77" t="s">
        <v>1124</v>
      </c>
      <c r="C166" s="78" t="s">
        <v>950</v>
      </c>
      <c r="D166" s="76" t="s">
        <v>70</v>
      </c>
      <c r="E166" s="79" t="s">
        <v>14</v>
      </c>
      <c r="F166" s="79" t="s">
        <v>450</v>
      </c>
      <c r="G166" s="79" t="s">
        <v>87</v>
      </c>
      <c r="H166" s="79" t="s">
        <v>14</v>
      </c>
      <c r="I166" s="78" t="s">
        <v>14</v>
      </c>
      <c r="J166" s="79" t="s">
        <v>14</v>
      </c>
      <c r="K166" s="142" t="s">
        <v>1850</v>
      </c>
      <c r="L166" s="149" t="s">
        <v>1846</v>
      </c>
      <c r="M166" s="150" t="s">
        <v>1853</v>
      </c>
      <c r="N166" s="151">
        <v>11</v>
      </c>
      <c r="O166" s="151">
        <v>0</v>
      </c>
      <c r="P166" s="152">
        <v>0</v>
      </c>
      <c r="Q166" s="153">
        <v>95.65</v>
      </c>
      <c r="R166" s="154">
        <v>2</v>
      </c>
      <c r="S166" s="38">
        <f t="shared" si="22"/>
        <v>2</v>
      </c>
      <c r="T166" s="39">
        <f t="shared" si="23"/>
        <v>9</v>
      </c>
      <c r="U166" s="40">
        <f t="shared" si="24"/>
        <v>0</v>
      </c>
      <c r="V166" s="40">
        <f t="shared" si="25"/>
        <v>0</v>
      </c>
      <c r="W166" s="40">
        <f t="shared" si="26"/>
        <v>0</v>
      </c>
      <c r="X166" s="40">
        <f t="shared" si="27"/>
        <v>0</v>
      </c>
      <c r="Y166" s="40">
        <f t="shared" si="28"/>
        <v>0</v>
      </c>
      <c r="Z166" s="40">
        <f t="shared" si="29"/>
        <v>0</v>
      </c>
      <c r="AA166" s="40">
        <f t="shared" si="30"/>
        <v>0</v>
      </c>
      <c r="AB166" s="40">
        <f t="shared" si="31"/>
        <v>0</v>
      </c>
      <c r="AC166" s="41">
        <f t="shared" si="32"/>
        <v>0</v>
      </c>
      <c r="AD166" s="49" t="s">
        <v>5</v>
      </c>
      <c r="AE166" s="50" t="s">
        <v>72</v>
      </c>
      <c r="AF166" s="49" t="s">
        <v>5</v>
      </c>
      <c r="AG166" s="50" t="s">
        <v>433</v>
      </c>
      <c r="AH166" s="49"/>
      <c r="AI166" s="50"/>
      <c r="AJ166" s="49" t="s">
        <v>5</v>
      </c>
      <c r="AK166" s="50" t="s">
        <v>419</v>
      </c>
      <c r="AL166" s="49"/>
      <c r="AM166" s="50"/>
      <c r="AN166" s="49"/>
      <c r="AO166" s="50"/>
      <c r="AP166" s="49"/>
      <c r="AQ166" s="50"/>
      <c r="AR166" s="49" t="s">
        <v>5</v>
      </c>
      <c r="AS166" s="50" t="s">
        <v>169</v>
      </c>
      <c r="AT166" s="49"/>
      <c r="AU166" s="50"/>
      <c r="AV166" s="49" t="s">
        <v>1</v>
      </c>
      <c r="AW166" s="50" t="s">
        <v>96</v>
      </c>
      <c r="AX166" s="49" t="s">
        <v>5</v>
      </c>
      <c r="AY166" s="50" t="s">
        <v>143</v>
      </c>
      <c r="AZ166" s="49"/>
      <c r="BA166" s="50"/>
      <c r="BB166" s="49"/>
      <c r="BC166" s="50"/>
      <c r="BD166" s="49" t="s">
        <v>5</v>
      </c>
      <c r="BE166" s="50" t="s">
        <v>120</v>
      </c>
      <c r="BF166" s="49"/>
      <c r="BG166" s="50"/>
      <c r="BH166" s="49" t="s">
        <v>1</v>
      </c>
      <c r="BI166" s="50" t="s">
        <v>94</v>
      </c>
      <c r="BJ166" s="49"/>
      <c r="BK166" s="50"/>
      <c r="BL166" s="49"/>
      <c r="BM166" s="50"/>
      <c r="BN166" s="49" t="s">
        <v>5</v>
      </c>
      <c r="BO166" s="50" t="s">
        <v>152</v>
      </c>
      <c r="BP166" s="49"/>
      <c r="BQ166" s="50"/>
      <c r="BR166" s="49" t="s">
        <v>5</v>
      </c>
      <c r="BS166" s="50" t="s">
        <v>140</v>
      </c>
      <c r="BT166" s="49"/>
      <c r="BU166" s="50"/>
      <c r="BV166" s="49" t="s">
        <v>5</v>
      </c>
      <c r="BW166" s="50" t="s">
        <v>132</v>
      </c>
      <c r="BX166" s="49"/>
      <c r="BY166" s="50"/>
      <c r="BZ166" s="49"/>
      <c r="CA166" s="50"/>
    </row>
    <row r="167" spans="1:79" x14ac:dyDescent="0.25">
      <c r="A167" s="76">
        <v>151932</v>
      </c>
      <c r="B167" s="77" t="s">
        <v>1125</v>
      </c>
      <c r="C167" s="78" t="s">
        <v>963</v>
      </c>
      <c r="D167" s="76" t="s">
        <v>70</v>
      </c>
      <c r="E167" s="79" t="s">
        <v>14</v>
      </c>
      <c r="F167" s="79" t="s">
        <v>184</v>
      </c>
      <c r="G167" s="79" t="s">
        <v>87</v>
      </c>
      <c r="H167" s="79" t="s">
        <v>14</v>
      </c>
      <c r="I167" s="78" t="s">
        <v>14</v>
      </c>
      <c r="J167" s="79" t="s">
        <v>14</v>
      </c>
      <c r="K167" s="142" t="s">
        <v>1850</v>
      </c>
      <c r="L167" s="149" t="s">
        <v>1842</v>
      </c>
      <c r="M167" s="150" t="s">
        <v>12</v>
      </c>
      <c r="N167" s="151">
        <v>15</v>
      </c>
      <c r="O167" s="151">
        <v>0</v>
      </c>
      <c r="P167" s="152">
        <v>0</v>
      </c>
      <c r="Q167" s="153">
        <v>95.65</v>
      </c>
      <c r="R167" s="154">
        <v>0</v>
      </c>
      <c r="S167" s="38">
        <f t="shared" si="22"/>
        <v>4</v>
      </c>
      <c r="T167" s="39">
        <f t="shared" si="23"/>
        <v>7</v>
      </c>
      <c r="U167" s="40">
        <f t="shared" si="24"/>
        <v>0</v>
      </c>
      <c r="V167" s="40">
        <f t="shared" si="25"/>
        <v>0</v>
      </c>
      <c r="W167" s="40">
        <f t="shared" si="26"/>
        <v>0</v>
      </c>
      <c r="X167" s="40">
        <f t="shared" si="27"/>
        <v>0</v>
      </c>
      <c r="Y167" s="40">
        <f t="shared" si="28"/>
        <v>0</v>
      </c>
      <c r="Z167" s="40">
        <f t="shared" si="29"/>
        <v>0</v>
      </c>
      <c r="AA167" s="40">
        <f t="shared" si="30"/>
        <v>0</v>
      </c>
      <c r="AB167" s="40">
        <f t="shared" si="31"/>
        <v>0</v>
      </c>
      <c r="AC167" s="41">
        <f t="shared" si="32"/>
        <v>0</v>
      </c>
      <c r="AD167" s="49"/>
      <c r="AE167" s="50"/>
      <c r="AF167" s="49" t="s">
        <v>1</v>
      </c>
      <c r="AG167" s="50" t="s">
        <v>433</v>
      </c>
      <c r="AH167" s="49"/>
      <c r="AI167" s="50"/>
      <c r="AJ167" s="49" t="s">
        <v>5</v>
      </c>
      <c r="AK167" s="50" t="s">
        <v>419</v>
      </c>
      <c r="AL167" s="49"/>
      <c r="AM167" s="50"/>
      <c r="AN167" s="49"/>
      <c r="AO167" s="50"/>
      <c r="AP167" s="49"/>
      <c r="AQ167" s="50"/>
      <c r="AR167" s="49" t="s">
        <v>1</v>
      </c>
      <c r="AS167" s="50" t="s">
        <v>74</v>
      </c>
      <c r="AT167" s="49"/>
      <c r="AU167" s="50"/>
      <c r="AV167" s="49" t="s">
        <v>1</v>
      </c>
      <c r="AW167" s="50" t="s">
        <v>495</v>
      </c>
      <c r="AX167" s="49" t="s">
        <v>5</v>
      </c>
      <c r="AY167" s="50" t="s">
        <v>143</v>
      </c>
      <c r="AZ167" s="49"/>
      <c r="BA167" s="50"/>
      <c r="BB167" s="49"/>
      <c r="BC167" s="50"/>
      <c r="BD167" s="49" t="s">
        <v>5</v>
      </c>
      <c r="BE167" s="50" t="s">
        <v>132</v>
      </c>
      <c r="BF167" s="49"/>
      <c r="BG167" s="50"/>
      <c r="BH167" s="49" t="s">
        <v>5</v>
      </c>
      <c r="BI167" s="50" t="s">
        <v>711</v>
      </c>
      <c r="BJ167" s="49" t="s">
        <v>1</v>
      </c>
      <c r="BK167" s="50" t="s">
        <v>95</v>
      </c>
      <c r="BL167" s="49"/>
      <c r="BM167" s="50"/>
      <c r="BN167" s="49" t="s">
        <v>5</v>
      </c>
      <c r="BO167" s="50" t="s">
        <v>152</v>
      </c>
      <c r="BP167" s="49"/>
      <c r="BQ167" s="50"/>
      <c r="BR167" s="49" t="s">
        <v>5</v>
      </c>
      <c r="BS167" s="50" t="s">
        <v>140</v>
      </c>
      <c r="BT167" s="49"/>
      <c r="BU167" s="50"/>
      <c r="BV167" s="49" t="s">
        <v>5</v>
      </c>
      <c r="BW167" s="50" t="s">
        <v>132</v>
      </c>
      <c r="BX167" s="49"/>
      <c r="BY167" s="50"/>
      <c r="BZ167" s="49"/>
      <c r="CA167" s="50"/>
    </row>
    <row r="168" spans="1:79" x14ac:dyDescent="0.25">
      <c r="A168" s="76">
        <v>151868</v>
      </c>
      <c r="B168" s="77" t="s">
        <v>1126</v>
      </c>
      <c r="C168" s="78" t="s">
        <v>952</v>
      </c>
      <c r="D168" s="76" t="s">
        <v>70</v>
      </c>
      <c r="E168" s="79" t="s">
        <v>14</v>
      </c>
      <c r="F168" s="79" t="s">
        <v>71</v>
      </c>
      <c r="G168" s="79" t="s">
        <v>14</v>
      </c>
      <c r="H168" s="79" t="s">
        <v>14</v>
      </c>
      <c r="I168" s="78" t="s">
        <v>14</v>
      </c>
      <c r="J168" s="79" t="s">
        <v>14</v>
      </c>
      <c r="K168" s="142" t="s">
        <v>1850</v>
      </c>
      <c r="L168" s="149" t="s">
        <v>1842</v>
      </c>
      <c r="M168" s="150" t="s">
        <v>12</v>
      </c>
      <c r="N168" s="151">
        <v>21</v>
      </c>
      <c r="O168" s="151">
        <v>0</v>
      </c>
      <c r="P168" s="152">
        <v>0</v>
      </c>
      <c r="Q168" s="153">
        <v>91.3</v>
      </c>
      <c r="R168" s="154">
        <v>0</v>
      </c>
      <c r="S168" s="38">
        <f t="shared" si="22"/>
        <v>1</v>
      </c>
      <c r="T168" s="39">
        <f t="shared" si="23"/>
        <v>9</v>
      </c>
      <c r="U168" s="40">
        <f t="shared" si="24"/>
        <v>0</v>
      </c>
      <c r="V168" s="40">
        <f t="shared" si="25"/>
        <v>0</v>
      </c>
      <c r="W168" s="40">
        <f t="shared" si="26"/>
        <v>0</v>
      </c>
      <c r="X168" s="40">
        <f t="shared" si="27"/>
        <v>0</v>
      </c>
      <c r="Y168" s="40">
        <f t="shared" si="28"/>
        <v>0</v>
      </c>
      <c r="Z168" s="40">
        <f t="shared" si="29"/>
        <v>0</v>
      </c>
      <c r="AA168" s="40">
        <f t="shared" si="30"/>
        <v>0</v>
      </c>
      <c r="AB168" s="40">
        <f t="shared" si="31"/>
        <v>0</v>
      </c>
      <c r="AC168" s="41">
        <f t="shared" si="32"/>
        <v>0</v>
      </c>
      <c r="AD168" s="49"/>
      <c r="AE168" s="50"/>
      <c r="AF168" s="49"/>
      <c r="AG168" s="50"/>
      <c r="AH168" s="49"/>
      <c r="AI168" s="50"/>
      <c r="AJ168" s="49"/>
      <c r="AK168" s="50"/>
      <c r="AL168" s="49" t="s">
        <v>5</v>
      </c>
      <c r="AM168" s="50" t="s">
        <v>436</v>
      </c>
      <c r="AN168" s="49"/>
      <c r="AO168" s="50"/>
      <c r="AP168" s="49"/>
      <c r="AQ168" s="50"/>
      <c r="AR168" s="49" t="s">
        <v>5</v>
      </c>
      <c r="AS168" s="50" t="s">
        <v>722</v>
      </c>
      <c r="AT168" s="49" t="s">
        <v>5</v>
      </c>
      <c r="AU168" s="50" t="s">
        <v>73</v>
      </c>
      <c r="AV168" s="49" t="s">
        <v>5</v>
      </c>
      <c r="AW168" s="50" t="s">
        <v>117</v>
      </c>
      <c r="AX168" s="49"/>
      <c r="AY168" s="50"/>
      <c r="AZ168" s="49" t="s">
        <v>5</v>
      </c>
      <c r="BA168" s="50" t="s">
        <v>76</v>
      </c>
      <c r="BB168" s="49"/>
      <c r="BC168" s="50"/>
      <c r="BD168" s="49"/>
      <c r="BE168" s="50"/>
      <c r="BF168" s="49"/>
      <c r="BG168" s="50"/>
      <c r="BH168" s="49" t="s">
        <v>5</v>
      </c>
      <c r="BI168" s="50" t="s">
        <v>106</v>
      </c>
      <c r="BJ168" s="49"/>
      <c r="BK168" s="50"/>
      <c r="BL168" s="49"/>
      <c r="BM168" s="50"/>
      <c r="BN168" s="49" t="s">
        <v>5</v>
      </c>
      <c r="BO168" s="50" t="s">
        <v>81</v>
      </c>
      <c r="BP168" s="49"/>
      <c r="BQ168" s="50"/>
      <c r="BR168" s="49"/>
      <c r="BS168" s="50"/>
      <c r="BT168" s="49"/>
      <c r="BU168" s="50"/>
      <c r="BV168" s="49" t="s">
        <v>1</v>
      </c>
      <c r="BW168" s="50" t="s">
        <v>715</v>
      </c>
      <c r="BX168" s="49" t="s">
        <v>5</v>
      </c>
      <c r="BY168" s="50" t="s">
        <v>137</v>
      </c>
      <c r="BZ168" s="49" t="s">
        <v>5</v>
      </c>
      <c r="CA168" s="50" t="s">
        <v>124</v>
      </c>
    </row>
    <row r="169" spans="1:79" x14ac:dyDescent="0.25">
      <c r="A169" s="76">
        <v>151892</v>
      </c>
      <c r="B169" s="77" t="s">
        <v>1127</v>
      </c>
      <c r="C169" s="78" t="s">
        <v>961</v>
      </c>
      <c r="D169" s="76" t="s">
        <v>12</v>
      </c>
      <c r="E169" s="79" t="s">
        <v>14</v>
      </c>
      <c r="F169" s="79" t="s">
        <v>71</v>
      </c>
      <c r="G169" s="79" t="s">
        <v>14</v>
      </c>
      <c r="H169" s="79" t="s">
        <v>14</v>
      </c>
      <c r="I169" s="78" t="s">
        <v>14</v>
      </c>
      <c r="J169" s="79" t="s">
        <v>14</v>
      </c>
      <c r="K169" s="142" t="s">
        <v>1851</v>
      </c>
      <c r="L169" s="149" t="s">
        <v>1841</v>
      </c>
      <c r="M169" s="150" t="s">
        <v>1853</v>
      </c>
      <c r="N169" s="151">
        <v>12</v>
      </c>
      <c r="O169" s="151">
        <v>1</v>
      </c>
      <c r="P169" s="152">
        <v>2</v>
      </c>
      <c r="Q169" s="153">
        <v>100</v>
      </c>
      <c r="R169" s="154">
        <v>7</v>
      </c>
      <c r="S169" s="38">
        <f t="shared" si="22"/>
        <v>0</v>
      </c>
      <c r="T169" s="39">
        <f t="shared" si="23"/>
        <v>9</v>
      </c>
      <c r="U169" s="40">
        <f t="shared" si="24"/>
        <v>1</v>
      </c>
      <c r="V169" s="40">
        <f t="shared" si="25"/>
        <v>1</v>
      </c>
      <c r="W169" s="40">
        <f t="shared" si="26"/>
        <v>0</v>
      </c>
      <c r="X169" s="40">
        <f t="shared" si="27"/>
        <v>2</v>
      </c>
      <c r="Y169" s="40">
        <f t="shared" si="28"/>
        <v>0</v>
      </c>
      <c r="Z169" s="40">
        <f t="shared" si="29"/>
        <v>0</v>
      </c>
      <c r="AA169" s="40">
        <f t="shared" si="30"/>
        <v>0</v>
      </c>
      <c r="AB169" s="40">
        <f t="shared" si="31"/>
        <v>0</v>
      </c>
      <c r="AC169" s="41">
        <f t="shared" si="32"/>
        <v>0</v>
      </c>
      <c r="AD169" s="49"/>
      <c r="AE169" s="50"/>
      <c r="AF169" s="49" t="s">
        <v>5</v>
      </c>
      <c r="AG169" s="50" t="s">
        <v>154</v>
      </c>
      <c r="AH169" s="49"/>
      <c r="AI169" s="50"/>
      <c r="AJ169" s="49" t="s">
        <v>5</v>
      </c>
      <c r="AK169" s="50" t="s">
        <v>714</v>
      </c>
      <c r="AL169" s="49"/>
      <c r="AM169" s="50"/>
      <c r="AN169" s="49"/>
      <c r="AO169" s="50"/>
      <c r="AP169" s="49"/>
      <c r="AQ169" s="50"/>
      <c r="AR169" s="49" t="s">
        <v>5</v>
      </c>
      <c r="AS169" s="50" t="s">
        <v>74</v>
      </c>
      <c r="AT169" s="49"/>
      <c r="AU169" s="50"/>
      <c r="AV169" s="49" t="s">
        <v>5</v>
      </c>
      <c r="AW169" s="50" t="s">
        <v>139</v>
      </c>
      <c r="AX169" s="49"/>
      <c r="AY169" s="50"/>
      <c r="AZ169" s="49" t="s">
        <v>5</v>
      </c>
      <c r="BA169" s="50" t="s">
        <v>76</v>
      </c>
      <c r="BB169" s="49"/>
      <c r="BC169" s="50"/>
      <c r="BD169" s="49"/>
      <c r="BE169" s="50"/>
      <c r="BF169" s="49"/>
      <c r="BG169" s="50"/>
      <c r="BH169" s="49" t="s">
        <v>5</v>
      </c>
      <c r="BI169" s="50" t="s">
        <v>106</v>
      </c>
      <c r="BJ169" s="49"/>
      <c r="BK169" s="50"/>
      <c r="BL169" s="49"/>
      <c r="BM169" s="50"/>
      <c r="BN169" s="49" t="s">
        <v>30</v>
      </c>
      <c r="BO169" s="50" t="s">
        <v>107</v>
      </c>
      <c r="BP169" s="49" t="s">
        <v>5</v>
      </c>
      <c r="BQ169" s="50" t="s">
        <v>107</v>
      </c>
      <c r="BR169" s="49" t="s">
        <v>31</v>
      </c>
      <c r="BS169" s="50" t="s">
        <v>140</v>
      </c>
      <c r="BT169" s="49"/>
      <c r="BU169" s="50"/>
      <c r="BV169" s="49" t="s">
        <v>5</v>
      </c>
      <c r="BW169" s="50" t="s">
        <v>132</v>
      </c>
      <c r="BX169" s="49"/>
      <c r="BY169" s="50"/>
      <c r="BZ169" s="49" t="s">
        <v>5</v>
      </c>
      <c r="CA169" s="50" t="s">
        <v>75</v>
      </c>
    </row>
    <row r="170" spans="1:79" x14ac:dyDescent="0.25">
      <c r="A170" s="76">
        <v>151771</v>
      </c>
      <c r="B170" s="77" t="s">
        <v>1128</v>
      </c>
      <c r="C170" s="78" t="s">
        <v>961</v>
      </c>
      <c r="D170" s="76" t="s">
        <v>12</v>
      </c>
      <c r="E170" s="79" t="s">
        <v>14</v>
      </c>
      <c r="F170" s="79" t="s">
        <v>115</v>
      </c>
      <c r="G170" s="79" t="s">
        <v>14</v>
      </c>
      <c r="H170" s="79" t="s">
        <v>14</v>
      </c>
      <c r="I170" s="78" t="s">
        <v>14</v>
      </c>
      <c r="J170" s="79" t="s">
        <v>14</v>
      </c>
      <c r="K170" s="142" t="s">
        <v>1850</v>
      </c>
      <c r="L170" s="149" t="s">
        <v>1845</v>
      </c>
      <c r="M170" s="150" t="s">
        <v>12</v>
      </c>
      <c r="N170" s="151">
        <v>18</v>
      </c>
      <c r="O170" s="151">
        <v>2</v>
      </c>
      <c r="P170" s="152">
        <v>0</v>
      </c>
      <c r="Q170" s="153">
        <v>100</v>
      </c>
      <c r="R170" s="154">
        <v>3</v>
      </c>
      <c r="S170" s="38">
        <f t="shared" si="22"/>
        <v>2</v>
      </c>
      <c r="T170" s="39">
        <f t="shared" si="23"/>
        <v>7</v>
      </c>
      <c r="U170" s="40">
        <f t="shared" si="24"/>
        <v>1</v>
      </c>
      <c r="V170" s="40">
        <f t="shared" si="25"/>
        <v>0</v>
      </c>
      <c r="W170" s="40">
        <f t="shared" si="26"/>
        <v>0</v>
      </c>
      <c r="X170" s="40">
        <f t="shared" si="27"/>
        <v>1</v>
      </c>
      <c r="Y170" s="40">
        <f t="shared" si="28"/>
        <v>0</v>
      </c>
      <c r="Z170" s="40">
        <f t="shared" si="29"/>
        <v>0</v>
      </c>
      <c r="AA170" s="40">
        <f t="shared" si="30"/>
        <v>0</v>
      </c>
      <c r="AB170" s="40">
        <f t="shared" si="31"/>
        <v>0</v>
      </c>
      <c r="AC170" s="41">
        <f t="shared" si="32"/>
        <v>0</v>
      </c>
      <c r="AD170" s="49"/>
      <c r="AE170" s="50"/>
      <c r="AF170" s="49"/>
      <c r="AG170" s="50"/>
      <c r="AH170" s="49" t="s">
        <v>5</v>
      </c>
      <c r="AI170" s="50" t="s">
        <v>131</v>
      </c>
      <c r="AJ170" s="49"/>
      <c r="AK170" s="50"/>
      <c r="AL170" s="49"/>
      <c r="AM170" s="50"/>
      <c r="AN170" s="49"/>
      <c r="AO170" s="50"/>
      <c r="AP170" s="49" t="s">
        <v>5</v>
      </c>
      <c r="AQ170" s="50" t="s">
        <v>101</v>
      </c>
      <c r="AR170" s="49" t="s">
        <v>5</v>
      </c>
      <c r="AS170" s="50" t="s">
        <v>111</v>
      </c>
      <c r="AT170" s="49"/>
      <c r="AU170" s="50"/>
      <c r="AV170" s="49" t="s">
        <v>5</v>
      </c>
      <c r="AW170" s="50" t="s">
        <v>139</v>
      </c>
      <c r="AX170" s="49"/>
      <c r="AY170" s="50"/>
      <c r="AZ170" s="49"/>
      <c r="BA170" s="50"/>
      <c r="BB170" s="49"/>
      <c r="BC170" s="50"/>
      <c r="BD170" s="49"/>
      <c r="BE170" s="50"/>
      <c r="BF170" s="49"/>
      <c r="BG170" s="50"/>
      <c r="BH170" s="49" t="s">
        <v>5</v>
      </c>
      <c r="BI170" s="50" t="s">
        <v>505</v>
      </c>
      <c r="BJ170" s="49"/>
      <c r="BK170" s="50"/>
      <c r="BL170" s="49" t="s">
        <v>5</v>
      </c>
      <c r="BM170" s="50" t="s">
        <v>116</v>
      </c>
      <c r="BN170" s="49" t="s">
        <v>1</v>
      </c>
      <c r="BO170" s="50" t="s">
        <v>96</v>
      </c>
      <c r="BP170" s="49"/>
      <c r="BQ170" s="50"/>
      <c r="BR170" s="49"/>
      <c r="BS170" s="50"/>
      <c r="BT170" s="49"/>
      <c r="BU170" s="50"/>
      <c r="BV170" s="49" t="s">
        <v>1</v>
      </c>
      <c r="BW170" s="50" t="s">
        <v>602</v>
      </c>
      <c r="BX170" s="49" t="s">
        <v>5</v>
      </c>
      <c r="BY170" s="50" t="s">
        <v>133</v>
      </c>
      <c r="BZ170" s="49" t="s">
        <v>30</v>
      </c>
      <c r="CA170" s="50" t="s">
        <v>75</v>
      </c>
    </row>
    <row r="171" spans="1:79" x14ac:dyDescent="0.25">
      <c r="A171" s="76">
        <v>151769</v>
      </c>
      <c r="B171" s="77" t="s">
        <v>1129</v>
      </c>
      <c r="C171" s="78" t="s">
        <v>957</v>
      </c>
      <c r="D171" s="76" t="s">
        <v>70</v>
      </c>
      <c r="E171" s="79" t="s">
        <v>87</v>
      </c>
      <c r="F171" s="79" t="s">
        <v>1130</v>
      </c>
      <c r="G171" s="79" t="s">
        <v>14</v>
      </c>
      <c r="H171" s="79" t="s">
        <v>87</v>
      </c>
      <c r="I171" s="78" t="s">
        <v>14</v>
      </c>
      <c r="J171" s="79" t="s">
        <v>14</v>
      </c>
      <c r="K171" s="142" t="s">
        <v>1850</v>
      </c>
      <c r="L171" s="149" t="s">
        <v>1846</v>
      </c>
      <c r="M171" s="150" t="s">
        <v>1853</v>
      </c>
      <c r="N171" s="151">
        <v>17</v>
      </c>
      <c r="O171" s="151">
        <v>1</v>
      </c>
      <c r="P171" s="152">
        <v>3</v>
      </c>
      <c r="Q171" s="153">
        <v>100</v>
      </c>
      <c r="R171" s="154">
        <v>5</v>
      </c>
      <c r="S171" s="38">
        <f t="shared" si="22"/>
        <v>1</v>
      </c>
      <c r="T171" s="39">
        <f t="shared" si="23"/>
        <v>9</v>
      </c>
      <c r="U171" s="40">
        <f t="shared" si="24"/>
        <v>0</v>
      </c>
      <c r="V171" s="40">
        <f t="shared" si="25"/>
        <v>0</v>
      </c>
      <c r="W171" s="40">
        <f t="shared" si="26"/>
        <v>1</v>
      </c>
      <c r="X171" s="40">
        <f t="shared" si="27"/>
        <v>1</v>
      </c>
      <c r="Y171" s="40">
        <f t="shared" si="28"/>
        <v>0</v>
      </c>
      <c r="Z171" s="40">
        <f t="shared" si="29"/>
        <v>0</v>
      </c>
      <c r="AA171" s="40">
        <f t="shared" si="30"/>
        <v>0</v>
      </c>
      <c r="AB171" s="40">
        <f t="shared" si="31"/>
        <v>0</v>
      </c>
      <c r="AC171" s="41">
        <f t="shared" si="32"/>
        <v>0</v>
      </c>
      <c r="AD171" s="49"/>
      <c r="AE171" s="50"/>
      <c r="AF171" s="49" t="s">
        <v>5</v>
      </c>
      <c r="AG171" s="50" t="s">
        <v>438</v>
      </c>
      <c r="AH171" s="49"/>
      <c r="AI171" s="50"/>
      <c r="AJ171" s="49" t="s">
        <v>5</v>
      </c>
      <c r="AK171" s="50" t="s">
        <v>83</v>
      </c>
      <c r="AL171" s="49"/>
      <c r="AM171" s="50"/>
      <c r="AN171" s="49"/>
      <c r="AO171" s="50"/>
      <c r="AP171" s="49"/>
      <c r="AQ171" s="50"/>
      <c r="AR171" s="49" t="s">
        <v>5</v>
      </c>
      <c r="AS171" s="50" t="s">
        <v>102</v>
      </c>
      <c r="AT171" s="49"/>
      <c r="AU171" s="50"/>
      <c r="AV171" s="49" t="s">
        <v>5</v>
      </c>
      <c r="AW171" s="50" t="s">
        <v>77</v>
      </c>
      <c r="AX171" s="49"/>
      <c r="AY171" s="50"/>
      <c r="AZ171" s="49"/>
      <c r="BA171" s="50"/>
      <c r="BB171" s="49" t="s">
        <v>5</v>
      </c>
      <c r="BC171" s="50" t="s">
        <v>420</v>
      </c>
      <c r="BD171" s="49"/>
      <c r="BE171" s="50"/>
      <c r="BF171" s="49"/>
      <c r="BG171" s="50"/>
      <c r="BH171" s="49" t="s">
        <v>1</v>
      </c>
      <c r="BI171" s="50" t="s">
        <v>94</v>
      </c>
      <c r="BJ171" s="49"/>
      <c r="BK171" s="50"/>
      <c r="BL171" s="49"/>
      <c r="BM171" s="50"/>
      <c r="BN171" s="49" t="s">
        <v>5</v>
      </c>
      <c r="BO171" s="50" t="s">
        <v>152</v>
      </c>
      <c r="BP171" s="49" t="s">
        <v>5</v>
      </c>
      <c r="BQ171" s="50" t="s">
        <v>107</v>
      </c>
      <c r="BR171" s="49" t="s">
        <v>32</v>
      </c>
      <c r="BS171" s="50" t="s">
        <v>123</v>
      </c>
      <c r="BT171" s="49"/>
      <c r="BU171" s="50"/>
      <c r="BV171" s="49" t="s">
        <v>5</v>
      </c>
      <c r="BW171" s="50" t="s">
        <v>132</v>
      </c>
      <c r="BX171" s="49"/>
      <c r="BY171" s="50"/>
      <c r="BZ171" s="49" t="s">
        <v>5</v>
      </c>
      <c r="CA171" s="50" t="s">
        <v>124</v>
      </c>
    </row>
    <row r="172" spans="1:79" x14ac:dyDescent="0.25">
      <c r="A172" s="76">
        <v>151824</v>
      </c>
      <c r="B172" s="77" t="s">
        <v>1131</v>
      </c>
      <c r="C172" s="78" t="s">
        <v>957</v>
      </c>
      <c r="D172" s="76" t="s">
        <v>70</v>
      </c>
      <c r="E172" s="79" t="s">
        <v>14</v>
      </c>
      <c r="F172" s="79" t="s">
        <v>71</v>
      </c>
      <c r="G172" s="79" t="s">
        <v>14</v>
      </c>
      <c r="H172" s="79" t="s">
        <v>14</v>
      </c>
      <c r="I172" s="78" t="s">
        <v>14</v>
      </c>
      <c r="J172" s="79" t="s">
        <v>14</v>
      </c>
      <c r="K172" s="142" t="s">
        <v>1851</v>
      </c>
      <c r="L172" s="149" t="s">
        <v>1845</v>
      </c>
      <c r="M172" s="150" t="s">
        <v>12</v>
      </c>
      <c r="N172" s="151">
        <v>9</v>
      </c>
      <c r="O172" s="151">
        <v>1</v>
      </c>
      <c r="P172" s="152">
        <v>3</v>
      </c>
      <c r="Q172" s="153">
        <v>86.96</v>
      </c>
      <c r="R172" s="154">
        <v>10</v>
      </c>
      <c r="S172" s="38">
        <f t="shared" si="22"/>
        <v>0</v>
      </c>
      <c r="T172" s="39">
        <f t="shared" si="23"/>
        <v>7</v>
      </c>
      <c r="U172" s="40">
        <f t="shared" si="24"/>
        <v>3</v>
      </c>
      <c r="V172" s="40">
        <f t="shared" si="25"/>
        <v>0</v>
      </c>
      <c r="W172" s="40">
        <f t="shared" si="26"/>
        <v>0</v>
      </c>
      <c r="X172" s="40">
        <f t="shared" si="27"/>
        <v>3</v>
      </c>
      <c r="Y172" s="40">
        <f t="shared" si="28"/>
        <v>0</v>
      </c>
      <c r="Z172" s="40">
        <f t="shared" si="29"/>
        <v>0</v>
      </c>
      <c r="AA172" s="40">
        <f t="shared" si="30"/>
        <v>0</v>
      </c>
      <c r="AB172" s="40">
        <f t="shared" si="31"/>
        <v>0</v>
      </c>
      <c r="AC172" s="41">
        <f t="shared" si="32"/>
        <v>0</v>
      </c>
      <c r="AD172" s="49"/>
      <c r="AE172" s="50"/>
      <c r="AF172" s="49"/>
      <c r="AG172" s="50"/>
      <c r="AH172" s="49"/>
      <c r="AI172" s="50"/>
      <c r="AJ172" s="49"/>
      <c r="AK172" s="50"/>
      <c r="AL172" s="49" t="s">
        <v>30</v>
      </c>
      <c r="AM172" s="50" t="s">
        <v>436</v>
      </c>
      <c r="AN172" s="49"/>
      <c r="AO172" s="50"/>
      <c r="AP172" s="49"/>
      <c r="AQ172" s="50"/>
      <c r="AR172" s="49" t="s">
        <v>5</v>
      </c>
      <c r="AS172" s="50" t="s">
        <v>111</v>
      </c>
      <c r="AT172" s="49" t="s">
        <v>5</v>
      </c>
      <c r="AU172" s="50" t="s">
        <v>73</v>
      </c>
      <c r="AV172" s="49" t="s">
        <v>5</v>
      </c>
      <c r="AW172" s="50" t="s">
        <v>77</v>
      </c>
      <c r="AX172" s="49"/>
      <c r="AY172" s="50"/>
      <c r="AZ172" s="49"/>
      <c r="BA172" s="50"/>
      <c r="BB172" s="49" t="s">
        <v>30</v>
      </c>
      <c r="BC172" s="50" t="s">
        <v>425</v>
      </c>
      <c r="BD172" s="49"/>
      <c r="BE172" s="50"/>
      <c r="BF172" s="49"/>
      <c r="BG172" s="50"/>
      <c r="BH172" s="49" t="s">
        <v>5</v>
      </c>
      <c r="BI172" s="50" t="s">
        <v>79</v>
      </c>
      <c r="BJ172" s="49"/>
      <c r="BK172" s="50"/>
      <c r="BL172" s="49"/>
      <c r="BM172" s="50"/>
      <c r="BN172" s="49" t="s">
        <v>30</v>
      </c>
      <c r="BO172" s="50" t="s">
        <v>152</v>
      </c>
      <c r="BP172" s="49"/>
      <c r="BQ172" s="50"/>
      <c r="BR172" s="49"/>
      <c r="BS172" s="50"/>
      <c r="BT172" s="49"/>
      <c r="BU172" s="50"/>
      <c r="BV172" s="49" t="s">
        <v>5</v>
      </c>
      <c r="BW172" s="50" t="s">
        <v>82</v>
      </c>
      <c r="BX172" s="49" t="s">
        <v>5</v>
      </c>
      <c r="BY172" s="50" t="s">
        <v>133</v>
      </c>
      <c r="BZ172" s="49" t="s">
        <v>5</v>
      </c>
      <c r="CA172" s="50" t="s">
        <v>124</v>
      </c>
    </row>
    <row r="173" spans="1:79" x14ac:dyDescent="0.25">
      <c r="A173" s="76">
        <v>151869</v>
      </c>
      <c r="B173" s="77" t="s">
        <v>1132</v>
      </c>
      <c r="C173" s="78" t="s">
        <v>957</v>
      </c>
      <c r="D173" s="76" t="s">
        <v>12</v>
      </c>
      <c r="E173" s="79" t="s">
        <v>14</v>
      </c>
      <c r="F173" s="79" t="s">
        <v>71</v>
      </c>
      <c r="G173" s="79" t="s">
        <v>14</v>
      </c>
      <c r="H173" s="79" t="s">
        <v>87</v>
      </c>
      <c r="I173" s="78" t="s">
        <v>14</v>
      </c>
      <c r="J173" s="79" t="s">
        <v>14</v>
      </c>
      <c r="K173" s="142" t="s">
        <v>1850</v>
      </c>
      <c r="L173" s="149" t="s">
        <v>1842</v>
      </c>
      <c r="M173" s="150" t="s">
        <v>12</v>
      </c>
      <c r="N173" s="151">
        <v>8</v>
      </c>
      <c r="O173" s="151">
        <v>0</v>
      </c>
      <c r="P173" s="152">
        <v>0</v>
      </c>
      <c r="Q173" s="153">
        <v>100</v>
      </c>
      <c r="R173" s="154">
        <v>0</v>
      </c>
      <c r="S173" s="38">
        <f t="shared" si="22"/>
        <v>1</v>
      </c>
      <c r="T173" s="39">
        <f t="shared" si="23"/>
        <v>9</v>
      </c>
      <c r="U173" s="40">
        <f t="shared" si="24"/>
        <v>1</v>
      </c>
      <c r="V173" s="40">
        <f t="shared" si="25"/>
        <v>0</v>
      </c>
      <c r="W173" s="40">
        <f t="shared" si="26"/>
        <v>0</v>
      </c>
      <c r="X173" s="40">
        <f t="shared" si="27"/>
        <v>1</v>
      </c>
      <c r="Y173" s="40">
        <f t="shared" si="28"/>
        <v>0</v>
      </c>
      <c r="Z173" s="40">
        <f t="shared" si="29"/>
        <v>0</v>
      </c>
      <c r="AA173" s="40">
        <f t="shared" si="30"/>
        <v>0</v>
      </c>
      <c r="AB173" s="40">
        <f t="shared" si="31"/>
        <v>0</v>
      </c>
      <c r="AC173" s="41">
        <f t="shared" si="32"/>
        <v>0</v>
      </c>
      <c r="AD173" s="49"/>
      <c r="AE173" s="50"/>
      <c r="AF173" s="49" t="s">
        <v>5</v>
      </c>
      <c r="AG173" s="50" t="s">
        <v>154</v>
      </c>
      <c r="AH173" s="49" t="s">
        <v>5</v>
      </c>
      <c r="AI173" s="50" t="s">
        <v>131</v>
      </c>
      <c r="AJ173" s="49" t="s">
        <v>30</v>
      </c>
      <c r="AK173" s="50" t="s">
        <v>714</v>
      </c>
      <c r="AL173" s="49"/>
      <c r="AM173" s="50"/>
      <c r="AN173" s="49"/>
      <c r="AO173" s="50"/>
      <c r="AP173" s="49"/>
      <c r="AQ173" s="50"/>
      <c r="AR173" s="49" t="s">
        <v>5</v>
      </c>
      <c r="AS173" s="50" t="s">
        <v>102</v>
      </c>
      <c r="AT173" s="49"/>
      <c r="AU173" s="50"/>
      <c r="AV173" s="49" t="s">
        <v>5</v>
      </c>
      <c r="AW173" s="50" t="s">
        <v>77</v>
      </c>
      <c r="AX173" s="49"/>
      <c r="AY173" s="50"/>
      <c r="AZ173" s="49" t="s">
        <v>5</v>
      </c>
      <c r="BA173" s="50" t="s">
        <v>76</v>
      </c>
      <c r="BB173" s="49"/>
      <c r="BC173" s="50"/>
      <c r="BD173" s="49"/>
      <c r="BE173" s="50"/>
      <c r="BF173" s="49"/>
      <c r="BG173" s="50"/>
      <c r="BH173" s="49" t="s">
        <v>5</v>
      </c>
      <c r="BI173" s="50" t="s">
        <v>112</v>
      </c>
      <c r="BJ173" s="49"/>
      <c r="BK173" s="50"/>
      <c r="BL173" s="49"/>
      <c r="BM173" s="50"/>
      <c r="BN173" s="49" t="s">
        <v>1</v>
      </c>
      <c r="BO173" s="50" t="s">
        <v>96</v>
      </c>
      <c r="BP173" s="49"/>
      <c r="BQ173" s="50"/>
      <c r="BR173" s="49" t="s">
        <v>5</v>
      </c>
      <c r="BS173" s="50" t="s">
        <v>140</v>
      </c>
      <c r="BT173" s="49"/>
      <c r="BU173" s="50"/>
      <c r="BV173" s="49" t="s">
        <v>5</v>
      </c>
      <c r="BW173" s="50" t="s">
        <v>122</v>
      </c>
      <c r="BX173" s="49"/>
      <c r="BY173" s="50"/>
      <c r="BZ173" s="49" t="s">
        <v>5</v>
      </c>
      <c r="CA173" s="50" t="s">
        <v>75</v>
      </c>
    </row>
    <row r="174" spans="1:79" x14ac:dyDescent="0.25">
      <c r="A174" s="76">
        <v>151830</v>
      </c>
      <c r="B174" s="77" t="s">
        <v>1133</v>
      </c>
      <c r="C174" s="78" t="s">
        <v>950</v>
      </c>
      <c r="D174" s="76" t="s">
        <v>70</v>
      </c>
      <c r="E174" s="79" t="s">
        <v>14</v>
      </c>
      <c r="F174" s="79" t="s">
        <v>158</v>
      </c>
      <c r="G174" s="79" t="s">
        <v>14</v>
      </c>
      <c r="H174" s="79" t="s">
        <v>87</v>
      </c>
      <c r="I174" s="78" t="s">
        <v>14</v>
      </c>
      <c r="J174" s="79" t="s">
        <v>14</v>
      </c>
      <c r="K174" s="142" t="s">
        <v>1850</v>
      </c>
      <c r="L174" s="149" t="s">
        <v>1842</v>
      </c>
      <c r="M174" s="150" t="s">
        <v>12</v>
      </c>
      <c r="N174" s="151">
        <v>11</v>
      </c>
      <c r="O174" s="151">
        <v>4</v>
      </c>
      <c r="P174" s="152">
        <v>1</v>
      </c>
      <c r="Q174" s="153">
        <v>93.48</v>
      </c>
      <c r="R174" s="154">
        <v>3</v>
      </c>
      <c r="S174" s="38">
        <f t="shared" si="22"/>
        <v>0</v>
      </c>
      <c r="T174" s="39">
        <f t="shared" si="23"/>
        <v>9</v>
      </c>
      <c r="U174" s="40">
        <f t="shared" si="24"/>
        <v>1</v>
      </c>
      <c r="V174" s="40">
        <f t="shared" si="25"/>
        <v>0</v>
      </c>
      <c r="W174" s="40">
        <f t="shared" si="26"/>
        <v>0</v>
      </c>
      <c r="X174" s="40">
        <f t="shared" si="27"/>
        <v>1</v>
      </c>
      <c r="Y174" s="40">
        <f t="shared" si="28"/>
        <v>0</v>
      </c>
      <c r="Z174" s="40">
        <f t="shared" si="29"/>
        <v>0</v>
      </c>
      <c r="AA174" s="40">
        <f t="shared" si="30"/>
        <v>0</v>
      </c>
      <c r="AB174" s="40">
        <f t="shared" si="31"/>
        <v>0</v>
      </c>
      <c r="AC174" s="41">
        <f t="shared" si="32"/>
        <v>0</v>
      </c>
      <c r="AD174" s="49"/>
      <c r="AE174" s="50"/>
      <c r="AF174" s="49"/>
      <c r="AG174" s="50"/>
      <c r="AH174" s="49"/>
      <c r="AI174" s="50"/>
      <c r="AJ174" s="49"/>
      <c r="AK174" s="50"/>
      <c r="AL174" s="49"/>
      <c r="AM174" s="50"/>
      <c r="AN174" s="49"/>
      <c r="AO174" s="50"/>
      <c r="AP174" s="49" t="s">
        <v>30</v>
      </c>
      <c r="AQ174" s="50" t="s">
        <v>101</v>
      </c>
      <c r="AR174" s="49" t="s">
        <v>5</v>
      </c>
      <c r="AS174" s="50" t="s">
        <v>74</v>
      </c>
      <c r="AT174" s="49"/>
      <c r="AU174" s="50"/>
      <c r="AV174" s="49" t="s">
        <v>5</v>
      </c>
      <c r="AW174" s="50" t="s">
        <v>96</v>
      </c>
      <c r="AX174" s="49" t="s">
        <v>5</v>
      </c>
      <c r="AY174" s="50" t="s">
        <v>143</v>
      </c>
      <c r="AZ174" s="49" t="s">
        <v>5</v>
      </c>
      <c r="BA174" s="50" t="s">
        <v>76</v>
      </c>
      <c r="BB174" s="49"/>
      <c r="BC174" s="50"/>
      <c r="BD174" s="49" t="s">
        <v>5</v>
      </c>
      <c r="BE174" s="50" t="s">
        <v>120</v>
      </c>
      <c r="BF174" s="49"/>
      <c r="BG174" s="50"/>
      <c r="BH174" s="49" t="s">
        <v>5</v>
      </c>
      <c r="BI174" s="50" t="s">
        <v>106</v>
      </c>
      <c r="BJ174" s="49"/>
      <c r="BK174" s="50"/>
      <c r="BL174" s="49"/>
      <c r="BM174" s="50"/>
      <c r="BN174" s="49" t="s">
        <v>5</v>
      </c>
      <c r="BO174" s="50" t="s">
        <v>152</v>
      </c>
      <c r="BP174" s="49"/>
      <c r="BQ174" s="50"/>
      <c r="BR174" s="49"/>
      <c r="BS174" s="50"/>
      <c r="BT174" s="49"/>
      <c r="BU174" s="50"/>
      <c r="BV174" s="49" t="s">
        <v>5</v>
      </c>
      <c r="BW174" s="50" t="s">
        <v>122</v>
      </c>
      <c r="BX174" s="49" t="s">
        <v>5</v>
      </c>
      <c r="BY174" s="50" t="s">
        <v>137</v>
      </c>
      <c r="BZ174" s="49"/>
      <c r="CA174" s="50"/>
    </row>
    <row r="175" spans="1:79" x14ac:dyDescent="0.25">
      <c r="A175" s="76">
        <v>151768</v>
      </c>
      <c r="B175" s="77" t="s">
        <v>1134</v>
      </c>
      <c r="C175" s="78" t="s">
        <v>950</v>
      </c>
      <c r="D175" s="76" t="s">
        <v>12</v>
      </c>
      <c r="E175" s="79" t="s">
        <v>14</v>
      </c>
      <c r="F175" s="79" t="s">
        <v>71</v>
      </c>
      <c r="G175" s="79" t="s">
        <v>14</v>
      </c>
      <c r="H175" s="79" t="s">
        <v>14</v>
      </c>
      <c r="I175" s="78" t="s">
        <v>14</v>
      </c>
      <c r="J175" s="79" t="s">
        <v>14</v>
      </c>
      <c r="K175" s="142" t="s">
        <v>1850</v>
      </c>
      <c r="L175" s="149" t="s">
        <v>1845</v>
      </c>
      <c r="M175" s="150" t="s">
        <v>12</v>
      </c>
      <c r="N175" s="151">
        <v>10</v>
      </c>
      <c r="O175" s="151">
        <v>5</v>
      </c>
      <c r="P175" s="152">
        <v>0</v>
      </c>
      <c r="Q175" s="153">
        <v>86.96</v>
      </c>
      <c r="R175" s="154">
        <v>1</v>
      </c>
      <c r="S175" s="38">
        <f t="shared" si="22"/>
        <v>0</v>
      </c>
      <c r="T175" s="39">
        <f t="shared" si="23"/>
        <v>4</v>
      </c>
      <c r="U175" s="40">
        <f t="shared" si="24"/>
        <v>5</v>
      </c>
      <c r="V175" s="40">
        <f t="shared" si="25"/>
        <v>0</v>
      </c>
      <c r="W175" s="40">
        <f t="shared" si="26"/>
        <v>1</v>
      </c>
      <c r="X175" s="40">
        <f t="shared" si="27"/>
        <v>6</v>
      </c>
      <c r="Y175" s="40">
        <f t="shared" si="28"/>
        <v>0</v>
      </c>
      <c r="Z175" s="40">
        <f t="shared" si="29"/>
        <v>0</v>
      </c>
      <c r="AA175" s="40">
        <f t="shared" si="30"/>
        <v>0</v>
      </c>
      <c r="AB175" s="40">
        <f t="shared" si="31"/>
        <v>0</v>
      </c>
      <c r="AC175" s="41">
        <f t="shared" si="32"/>
        <v>0</v>
      </c>
      <c r="AD175" s="49"/>
      <c r="AE175" s="50"/>
      <c r="AF175" s="49"/>
      <c r="AG175" s="50"/>
      <c r="AH175" s="49" t="s">
        <v>5</v>
      </c>
      <c r="AI175" s="50" t="s">
        <v>78</v>
      </c>
      <c r="AJ175" s="49"/>
      <c r="AK175" s="50"/>
      <c r="AL175" s="49"/>
      <c r="AM175" s="50"/>
      <c r="AN175" s="49"/>
      <c r="AO175" s="50"/>
      <c r="AP175" s="49"/>
      <c r="AQ175" s="50"/>
      <c r="AR175" s="49" t="s">
        <v>30</v>
      </c>
      <c r="AS175" s="50" t="s">
        <v>142</v>
      </c>
      <c r="AT175" s="49"/>
      <c r="AU175" s="50"/>
      <c r="AV175" s="49" t="s">
        <v>30</v>
      </c>
      <c r="AW175" s="50" t="s">
        <v>96</v>
      </c>
      <c r="AX175" s="49" t="s">
        <v>5</v>
      </c>
      <c r="AY175" s="50" t="s">
        <v>103</v>
      </c>
      <c r="AZ175" s="49"/>
      <c r="BA175" s="50"/>
      <c r="BB175" s="49"/>
      <c r="BC175" s="50"/>
      <c r="BD175" s="49"/>
      <c r="BE175" s="50"/>
      <c r="BF175" s="49"/>
      <c r="BG175" s="50"/>
      <c r="BH175" s="49" t="s">
        <v>30</v>
      </c>
      <c r="BI175" s="50" t="s">
        <v>79</v>
      </c>
      <c r="BJ175" s="49"/>
      <c r="BK175" s="50"/>
      <c r="BL175" s="49" t="s">
        <v>5</v>
      </c>
      <c r="BM175" s="50" t="s">
        <v>72</v>
      </c>
      <c r="BN175" s="49" t="s">
        <v>5</v>
      </c>
      <c r="BO175" s="50" t="s">
        <v>107</v>
      </c>
      <c r="BP175" s="49"/>
      <c r="BQ175" s="50"/>
      <c r="BR175" s="49"/>
      <c r="BS175" s="50"/>
      <c r="BT175" s="49" t="s">
        <v>32</v>
      </c>
      <c r="BU175" s="50" t="s">
        <v>90</v>
      </c>
      <c r="BV175" s="49" t="s">
        <v>30</v>
      </c>
      <c r="BW175" s="50" t="s">
        <v>97</v>
      </c>
      <c r="BX175" s="49" t="s">
        <v>30</v>
      </c>
      <c r="BY175" s="50" t="s">
        <v>133</v>
      </c>
      <c r="BZ175" s="49"/>
      <c r="CA175" s="50"/>
    </row>
    <row r="176" spans="1:79" x14ac:dyDescent="0.25">
      <c r="A176" s="76">
        <v>100336</v>
      </c>
      <c r="B176" s="77" t="s">
        <v>1135</v>
      </c>
      <c r="C176" s="78" t="s">
        <v>959</v>
      </c>
      <c r="D176" s="76" t="s">
        <v>12</v>
      </c>
      <c r="E176" s="79" t="s">
        <v>14</v>
      </c>
      <c r="F176" s="79" t="s">
        <v>88</v>
      </c>
      <c r="G176" s="79" t="s">
        <v>14</v>
      </c>
      <c r="H176" s="79" t="s">
        <v>14</v>
      </c>
      <c r="I176" s="78" t="s">
        <v>14</v>
      </c>
      <c r="J176" s="79" t="s">
        <v>14</v>
      </c>
      <c r="K176" s="142" t="s">
        <v>1850</v>
      </c>
      <c r="L176" s="149" t="s">
        <v>1844</v>
      </c>
      <c r="M176" s="150" t="s">
        <v>12</v>
      </c>
      <c r="N176" s="151">
        <v>23</v>
      </c>
      <c r="O176" s="151">
        <v>4</v>
      </c>
      <c r="P176" s="152">
        <v>1</v>
      </c>
      <c r="Q176" s="153">
        <v>100</v>
      </c>
      <c r="R176" s="154">
        <v>3</v>
      </c>
      <c r="S176" s="38">
        <f t="shared" si="22"/>
        <v>2</v>
      </c>
      <c r="T176" s="39">
        <f t="shared" si="23"/>
        <v>7</v>
      </c>
      <c r="U176" s="40">
        <f t="shared" si="24"/>
        <v>1</v>
      </c>
      <c r="V176" s="40">
        <f t="shared" si="25"/>
        <v>0</v>
      </c>
      <c r="W176" s="40">
        <f t="shared" si="26"/>
        <v>1</v>
      </c>
      <c r="X176" s="40">
        <f t="shared" si="27"/>
        <v>2</v>
      </c>
      <c r="Y176" s="40">
        <f t="shared" si="28"/>
        <v>0</v>
      </c>
      <c r="Z176" s="40">
        <f t="shared" si="29"/>
        <v>0</v>
      </c>
      <c r="AA176" s="40">
        <f t="shared" si="30"/>
        <v>0</v>
      </c>
      <c r="AB176" s="40">
        <f t="shared" si="31"/>
        <v>0</v>
      </c>
      <c r="AC176" s="41">
        <f t="shared" si="32"/>
        <v>0</v>
      </c>
      <c r="AD176" s="49"/>
      <c r="AE176" s="50"/>
      <c r="AF176" s="49" t="s">
        <v>5</v>
      </c>
      <c r="AG176" s="50" t="s">
        <v>438</v>
      </c>
      <c r="AH176" s="49"/>
      <c r="AI176" s="50"/>
      <c r="AJ176" s="49" t="s">
        <v>5</v>
      </c>
      <c r="AK176" s="50" t="s">
        <v>83</v>
      </c>
      <c r="AL176" s="49"/>
      <c r="AM176" s="50"/>
      <c r="AN176" s="49" t="s">
        <v>1</v>
      </c>
      <c r="AO176" s="50" t="s">
        <v>163</v>
      </c>
      <c r="AP176" s="49"/>
      <c r="AQ176" s="50"/>
      <c r="AR176" s="49" t="s">
        <v>30</v>
      </c>
      <c r="AS176" s="50" t="s">
        <v>142</v>
      </c>
      <c r="AT176" s="49"/>
      <c r="AU176" s="50"/>
      <c r="AV176" s="49" t="s">
        <v>32</v>
      </c>
      <c r="AW176" s="50" t="s">
        <v>194</v>
      </c>
      <c r="AX176" s="49" t="s">
        <v>5</v>
      </c>
      <c r="AY176" s="50" t="s">
        <v>103</v>
      </c>
      <c r="AZ176" s="49" t="s">
        <v>5</v>
      </c>
      <c r="BA176" s="50" t="s">
        <v>76</v>
      </c>
      <c r="BB176" s="49"/>
      <c r="BC176" s="50"/>
      <c r="BD176" s="49"/>
      <c r="BE176" s="50"/>
      <c r="BF176" s="49"/>
      <c r="BG176" s="50"/>
      <c r="BH176" s="49" t="s">
        <v>5</v>
      </c>
      <c r="BI176" s="50" t="s">
        <v>136</v>
      </c>
      <c r="BJ176" s="49"/>
      <c r="BK176" s="50"/>
      <c r="BL176" s="49"/>
      <c r="BM176" s="50"/>
      <c r="BN176" s="49" t="s">
        <v>1</v>
      </c>
      <c r="BO176" s="50" t="s">
        <v>96</v>
      </c>
      <c r="BP176" s="49"/>
      <c r="BQ176" s="50"/>
      <c r="BR176" s="49" t="s">
        <v>5</v>
      </c>
      <c r="BS176" s="50" t="s">
        <v>123</v>
      </c>
      <c r="BT176" s="49"/>
      <c r="BU176" s="50"/>
      <c r="BV176" s="49" t="s">
        <v>5</v>
      </c>
      <c r="BW176" s="50" t="s">
        <v>715</v>
      </c>
      <c r="BX176" s="49"/>
      <c r="BY176" s="50"/>
      <c r="BZ176" s="49"/>
      <c r="CA176" s="50"/>
    </row>
    <row r="177" spans="1:79" x14ac:dyDescent="0.25">
      <c r="A177" s="76">
        <v>151860</v>
      </c>
      <c r="B177" s="77" t="s">
        <v>1136</v>
      </c>
      <c r="C177" s="78" t="s">
        <v>952</v>
      </c>
      <c r="D177" s="76" t="s">
        <v>12</v>
      </c>
      <c r="E177" s="79" t="s">
        <v>14</v>
      </c>
      <c r="F177" s="79" t="s">
        <v>508</v>
      </c>
      <c r="G177" s="79" t="s">
        <v>14</v>
      </c>
      <c r="H177" s="79" t="s">
        <v>14</v>
      </c>
      <c r="I177" s="78" t="s">
        <v>14</v>
      </c>
      <c r="J177" s="79" t="s">
        <v>14</v>
      </c>
      <c r="K177" s="142" t="s">
        <v>1850</v>
      </c>
      <c r="L177" s="149" t="s">
        <v>1842</v>
      </c>
      <c r="M177" s="150" t="s">
        <v>12</v>
      </c>
      <c r="N177" s="151">
        <v>24</v>
      </c>
      <c r="O177" s="151">
        <v>0</v>
      </c>
      <c r="P177" s="152">
        <v>0</v>
      </c>
      <c r="Q177" s="153">
        <v>95.65</v>
      </c>
      <c r="R177" s="154">
        <v>0</v>
      </c>
      <c r="S177" s="38">
        <f t="shared" si="22"/>
        <v>1</v>
      </c>
      <c r="T177" s="39">
        <f t="shared" si="23"/>
        <v>9</v>
      </c>
      <c r="U177" s="40">
        <f t="shared" si="24"/>
        <v>0</v>
      </c>
      <c r="V177" s="40">
        <f t="shared" si="25"/>
        <v>0</v>
      </c>
      <c r="W177" s="40">
        <f t="shared" si="26"/>
        <v>1</v>
      </c>
      <c r="X177" s="40">
        <f t="shared" si="27"/>
        <v>1</v>
      </c>
      <c r="Y177" s="40">
        <f t="shared" si="28"/>
        <v>0</v>
      </c>
      <c r="Z177" s="40">
        <f t="shared" si="29"/>
        <v>0</v>
      </c>
      <c r="AA177" s="40">
        <f t="shared" si="30"/>
        <v>0</v>
      </c>
      <c r="AB177" s="40">
        <f t="shared" si="31"/>
        <v>0</v>
      </c>
      <c r="AC177" s="41">
        <f t="shared" si="32"/>
        <v>0</v>
      </c>
      <c r="AD177" s="49"/>
      <c r="AE177" s="50"/>
      <c r="AF177" s="49" t="s">
        <v>5</v>
      </c>
      <c r="AG177" s="50" t="s">
        <v>154</v>
      </c>
      <c r="AH177" s="49"/>
      <c r="AI177" s="50"/>
      <c r="AJ177" s="49" t="s">
        <v>5</v>
      </c>
      <c r="AK177" s="50" t="s">
        <v>83</v>
      </c>
      <c r="AL177" s="49"/>
      <c r="AM177" s="50"/>
      <c r="AN177" s="49"/>
      <c r="AO177" s="50"/>
      <c r="AP177" s="49"/>
      <c r="AQ177" s="50"/>
      <c r="AR177" s="49" t="s">
        <v>5</v>
      </c>
      <c r="AS177" s="50" t="s">
        <v>142</v>
      </c>
      <c r="AT177" s="49" t="s">
        <v>5</v>
      </c>
      <c r="AU177" s="50" t="s">
        <v>73</v>
      </c>
      <c r="AV177" s="49" t="s">
        <v>5</v>
      </c>
      <c r="AW177" s="50" t="s">
        <v>117</v>
      </c>
      <c r="AX177" s="49"/>
      <c r="AY177" s="50"/>
      <c r="AZ177" s="49"/>
      <c r="BA177" s="50"/>
      <c r="BB177" s="49"/>
      <c r="BC177" s="50"/>
      <c r="BD177" s="49"/>
      <c r="BE177" s="50"/>
      <c r="BF177" s="49"/>
      <c r="BG177" s="50"/>
      <c r="BH177" s="49" t="s">
        <v>5</v>
      </c>
      <c r="BI177" s="50" t="s">
        <v>106</v>
      </c>
      <c r="BJ177" s="49"/>
      <c r="BK177" s="50"/>
      <c r="BL177" s="49"/>
      <c r="BM177" s="50"/>
      <c r="BN177" s="49" t="s">
        <v>1</v>
      </c>
      <c r="BO177" s="50" t="s">
        <v>107</v>
      </c>
      <c r="BP177" s="49" t="s">
        <v>5</v>
      </c>
      <c r="BQ177" s="50" t="s">
        <v>152</v>
      </c>
      <c r="BR177" s="49" t="s">
        <v>5</v>
      </c>
      <c r="BS177" s="50" t="s">
        <v>98</v>
      </c>
      <c r="BT177" s="49"/>
      <c r="BU177" s="50"/>
      <c r="BV177" s="49" t="s">
        <v>5</v>
      </c>
      <c r="BW177" s="50" t="s">
        <v>132</v>
      </c>
      <c r="BX177" s="49"/>
      <c r="BY177" s="50"/>
      <c r="BZ177" s="49" t="s">
        <v>32</v>
      </c>
      <c r="CA177" s="50" t="s">
        <v>124</v>
      </c>
    </row>
    <row r="178" spans="1:79" x14ac:dyDescent="0.25">
      <c r="A178" s="76">
        <v>151894</v>
      </c>
      <c r="B178" s="77" t="s">
        <v>1137</v>
      </c>
      <c r="C178" s="78" t="s">
        <v>952</v>
      </c>
      <c r="D178" s="76" t="s">
        <v>12</v>
      </c>
      <c r="E178" s="79" t="s">
        <v>14</v>
      </c>
      <c r="F178" s="79" t="s">
        <v>150</v>
      </c>
      <c r="G178" s="79" t="s">
        <v>87</v>
      </c>
      <c r="H178" s="79" t="s">
        <v>14</v>
      </c>
      <c r="I178" s="78" t="s">
        <v>14</v>
      </c>
      <c r="J178" s="79" t="s">
        <v>14</v>
      </c>
      <c r="K178" s="142" t="s">
        <v>1851</v>
      </c>
      <c r="L178" s="149" t="s">
        <v>1844</v>
      </c>
      <c r="M178" s="150" t="s">
        <v>12</v>
      </c>
      <c r="N178" s="151">
        <v>15</v>
      </c>
      <c r="O178" s="151">
        <v>2</v>
      </c>
      <c r="P178" s="152">
        <v>1</v>
      </c>
      <c r="Q178" s="153">
        <v>97.83</v>
      </c>
      <c r="R178" s="154">
        <v>0</v>
      </c>
      <c r="S178" s="38">
        <f t="shared" si="22"/>
        <v>1</v>
      </c>
      <c r="T178" s="39">
        <f t="shared" si="23"/>
        <v>9</v>
      </c>
      <c r="U178" s="40">
        <f t="shared" si="24"/>
        <v>0</v>
      </c>
      <c r="V178" s="40">
        <f t="shared" si="25"/>
        <v>0</v>
      </c>
      <c r="W178" s="40">
        <f t="shared" si="26"/>
        <v>0</v>
      </c>
      <c r="X178" s="40">
        <f t="shared" si="27"/>
        <v>0</v>
      </c>
      <c r="Y178" s="40">
        <f t="shared" si="28"/>
        <v>0</v>
      </c>
      <c r="Z178" s="40">
        <f t="shared" si="29"/>
        <v>0</v>
      </c>
      <c r="AA178" s="40">
        <f t="shared" si="30"/>
        <v>0</v>
      </c>
      <c r="AB178" s="40">
        <f t="shared" si="31"/>
        <v>0</v>
      </c>
      <c r="AC178" s="41">
        <f t="shared" si="32"/>
        <v>0</v>
      </c>
      <c r="AD178" s="49"/>
      <c r="AE178" s="50"/>
      <c r="AF178" s="49"/>
      <c r="AG178" s="50"/>
      <c r="AH178" s="49"/>
      <c r="AI178" s="50"/>
      <c r="AJ178" s="49"/>
      <c r="AK178" s="50"/>
      <c r="AL178" s="49"/>
      <c r="AM178" s="50"/>
      <c r="AN178" s="49"/>
      <c r="AO178" s="50"/>
      <c r="AP178" s="49"/>
      <c r="AQ178" s="50"/>
      <c r="AR178" s="49" t="s">
        <v>5</v>
      </c>
      <c r="AS178" s="50" t="s">
        <v>194</v>
      </c>
      <c r="AT178" s="49"/>
      <c r="AU178" s="50"/>
      <c r="AV178" s="49" t="s">
        <v>5</v>
      </c>
      <c r="AW178" s="50" t="s">
        <v>117</v>
      </c>
      <c r="AX178" s="49"/>
      <c r="AY178" s="50"/>
      <c r="AZ178" s="49"/>
      <c r="BA178" s="50"/>
      <c r="BB178" s="49"/>
      <c r="BC178" s="50"/>
      <c r="BD178" s="49"/>
      <c r="BE178" s="50"/>
      <c r="BF178" s="49" t="s">
        <v>5</v>
      </c>
      <c r="BG178" s="50" t="s">
        <v>105</v>
      </c>
      <c r="BH178" s="49" t="s">
        <v>5</v>
      </c>
      <c r="BI178" s="50" t="s">
        <v>79</v>
      </c>
      <c r="BJ178" s="49" t="s">
        <v>1</v>
      </c>
      <c r="BK178" s="50" t="s">
        <v>95</v>
      </c>
      <c r="BL178" s="49" t="s">
        <v>5</v>
      </c>
      <c r="BM178" s="50" t="s">
        <v>72</v>
      </c>
      <c r="BN178" s="49" t="s">
        <v>5</v>
      </c>
      <c r="BO178" s="50" t="s">
        <v>96</v>
      </c>
      <c r="BP178" s="49"/>
      <c r="BQ178" s="50"/>
      <c r="BR178" s="49"/>
      <c r="BS178" s="50"/>
      <c r="BT178" s="49"/>
      <c r="BU178" s="50"/>
      <c r="BV178" s="49" t="s">
        <v>5</v>
      </c>
      <c r="BW178" s="50" t="s">
        <v>715</v>
      </c>
      <c r="BX178" s="49" t="s">
        <v>5</v>
      </c>
      <c r="BY178" s="50" t="s">
        <v>137</v>
      </c>
      <c r="BZ178" s="49" t="s">
        <v>5</v>
      </c>
      <c r="CA178" s="50" t="s">
        <v>124</v>
      </c>
    </row>
    <row r="179" spans="1:79" x14ac:dyDescent="0.25">
      <c r="A179" s="76">
        <v>151871</v>
      </c>
      <c r="B179" s="77" t="s">
        <v>1138</v>
      </c>
      <c r="C179" s="78" t="s">
        <v>970</v>
      </c>
      <c r="D179" s="76" t="s">
        <v>12</v>
      </c>
      <c r="E179" s="79" t="s">
        <v>14</v>
      </c>
      <c r="F179" s="79" t="s">
        <v>71</v>
      </c>
      <c r="G179" s="79" t="s">
        <v>14</v>
      </c>
      <c r="H179" s="79" t="s">
        <v>14</v>
      </c>
      <c r="I179" s="78" t="s">
        <v>14</v>
      </c>
      <c r="J179" s="79" t="s">
        <v>14</v>
      </c>
      <c r="K179" s="142" t="s">
        <v>1850</v>
      </c>
      <c r="L179" s="149" t="s">
        <v>1842</v>
      </c>
      <c r="M179" s="150" t="s">
        <v>12</v>
      </c>
      <c r="N179" s="151">
        <v>9</v>
      </c>
      <c r="O179" s="151">
        <v>0</v>
      </c>
      <c r="P179" s="152">
        <v>1</v>
      </c>
      <c r="Q179" s="153">
        <v>86.96</v>
      </c>
      <c r="R179" s="154">
        <v>0</v>
      </c>
      <c r="S179" s="38">
        <f t="shared" si="22"/>
        <v>1</v>
      </c>
      <c r="T179" s="39">
        <f t="shared" si="23"/>
        <v>10</v>
      </c>
      <c r="U179" s="40">
        <f t="shared" si="24"/>
        <v>0</v>
      </c>
      <c r="V179" s="40">
        <f t="shared" si="25"/>
        <v>0</v>
      </c>
      <c r="W179" s="40">
        <f t="shared" si="26"/>
        <v>0</v>
      </c>
      <c r="X179" s="40">
        <f t="shared" si="27"/>
        <v>0</v>
      </c>
      <c r="Y179" s="40">
        <f t="shared" si="28"/>
        <v>0</v>
      </c>
      <c r="Z179" s="40">
        <f t="shared" si="29"/>
        <v>0</v>
      </c>
      <c r="AA179" s="40">
        <f t="shared" si="30"/>
        <v>0</v>
      </c>
      <c r="AB179" s="40">
        <f t="shared" si="31"/>
        <v>0</v>
      </c>
      <c r="AC179" s="41">
        <f t="shared" si="32"/>
        <v>0</v>
      </c>
      <c r="AD179" s="49"/>
      <c r="AE179" s="50"/>
      <c r="AF179" s="49" t="s">
        <v>5</v>
      </c>
      <c r="AG179" s="50" t="s">
        <v>438</v>
      </c>
      <c r="AH179" s="49" t="s">
        <v>5</v>
      </c>
      <c r="AI179" s="50" t="s">
        <v>131</v>
      </c>
      <c r="AJ179" s="49" t="s">
        <v>5</v>
      </c>
      <c r="AK179" s="50" t="s">
        <v>83</v>
      </c>
      <c r="AL179" s="49"/>
      <c r="AM179" s="50"/>
      <c r="AN179" s="49"/>
      <c r="AO179" s="50"/>
      <c r="AP179" s="49"/>
      <c r="AQ179" s="50"/>
      <c r="AR179" s="49" t="s">
        <v>5</v>
      </c>
      <c r="AS179" s="50" t="s">
        <v>102</v>
      </c>
      <c r="AT179" s="49"/>
      <c r="AU179" s="50"/>
      <c r="AV179" s="49" t="s">
        <v>5</v>
      </c>
      <c r="AW179" s="50" t="s">
        <v>140</v>
      </c>
      <c r="AX179" s="49"/>
      <c r="AY179" s="50"/>
      <c r="AZ179" s="49" t="s">
        <v>5</v>
      </c>
      <c r="BA179" s="50" t="s">
        <v>76</v>
      </c>
      <c r="BB179" s="49"/>
      <c r="BC179" s="50"/>
      <c r="BD179" s="49"/>
      <c r="BE179" s="50"/>
      <c r="BF179" s="49"/>
      <c r="BG179" s="50"/>
      <c r="BH179" s="49" t="s">
        <v>5</v>
      </c>
      <c r="BI179" s="50" t="s">
        <v>112</v>
      </c>
      <c r="BJ179" s="49"/>
      <c r="BK179" s="50"/>
      <c r="BL179" s="49"/>
      <c r="BM179" s="50"/>
      <c r="BN179" s="49" t="s">
        <v>1</v>
      </c>
      <c r="BO179" s="50" t="s">
        <v>96</v>
      </c>
      <c r="BP179" s="49"/>
      <c r="BQ179" s="50"/>
      <c r="BR179" s="49" t="s">
        <v>5</v>
      </c>
      <c r="BS179" s="50" t="s">
        <v>123</v>
      </c>
      <c r="BT179" s="49"/>
      <c r="BU179" s="50"/>
      <c r="BV179" s="49" t="s">
        <v>5</v>
      </c>
      <c r="BW179" s="50" t="s">
        <v>122</v>
      </c>
      <c r="BX179" s="49"/>
      <c r="BY179" s="50"/>
      <c r="BZ179" s="49" t="s">
        <v>5</v>
      </c>
      <c r="CA179" s="50" t="s">
        <v>124</v>
      </c>
    </row>
    <row r="180" spans="1:79" x14ac:dyDescent="0.25">
      <c r="A180" s="76">
        <v>151766</v>
      </c>
      <c r="B180" s="77" t="s">
        <v>1139</v>
      </c>
      <c r="C180" s="78" t="s">
        <v>950</v>
      </c>
      <c r="D180" s="76" t="s">
        <v>12</v>
      </c>
      <c r="E180" s="79" t="s">
        <v>14</v>
      </c>
      <c r="F180" s="79" t="s">
        <v>198</v>
      </c>
      <c r="G180" s="79" t="s">
        <v>14</v>
      </c>
      <c r="H180" s="79" t="s">
        <v>14</v>
      </c>
      <c r="I180" s="78" t="s">
        <v>14</v>
      </c>
      <c r="J180" s="79" t="s">
        <v>14</v>
      </c>
      <c r="K180" s="142" t="s">
        <v>1850</v>
      </c>
      <c r="L180" s="149" t="s">
        <v>1844</v>
      </c>
      <c r="M180" s="150" t="s">
        <v>12</v>
      </c>
      <c r="N180" s="151">
        <v>26</v>
      </c>
      <c r="O180" s="151">
        <v>0</v>
      </c>
      <c r="P180" s="152">
        <v>1</v>
      </c>
      <c r="Q180" s="153">
        <v>89.13</v>
      </c>
      <c r="R180" s="154">
        <v>0</v>
      </c>
      <c r="S180" s="38">
        <f t="shared" si="22"/>
        <v>1</v>
      </c>
      <c r="T180" s="39">
        <f t="shared" si="23"/>
        <v>8</v>
      </c>
      <c r="U180" s="40">
        <f t="shared" si="24"/>
        <v>1</v>
      </c>
      <c r="V180" s="40">
        <f t="shared" si="25"/>
        <v>0</v>
      </c>
      <c r="W180" s="40">
        <f t="shared" si="26"/>
        <v>0</v>
      </c>
      <c r="X180" s="40">
        <f t="shared" si="27"/>
        <v>1</v>
      </c>
      <c r="Y180" s="40">
        <f t="shared" si="28"/>
        <v>0</v>
      </c>
      <c r="Z180" s="40">
        <f t="shared" si="29"/>
        <v>0</v>
      </c>
      <c r="AA180" s="40">
        <f t="shared" si="30"/>
        <v>0</v>
      </c>
      <c r="AB180" s="40">
        <f t="shared" si="31"/>
        <v>0</v>
      </c>
      <c r="AC180" s="41">
        <f t="shared" si="32"/>
        <v>0</v>
      </c>
      <c r="AD180" s="49"/>
      <c r="AE180" s="50"/>
      <c r="AF180" s="49"/>
      <c r="AG180" s="50"/>
      <c r="AH180" s="49" t="s">
        <v>5</v>
      </c>
      <c r="AI180" s="50" t="s">
        <v>78</v>
      </c>
      <c r="AJ180" s="49"/>
      <c r="AK180" s="50"/>
      <c r="AL180" s="49"/>
      <c r="AM180" s="50"/>
      <c r="AN180" s="49"/>
      <c r="AO180" s="50"/>
      <c r="AP180" s="49"/>
      <c r="AQ180" s="50"/>
      <c r="AR180" s="49" t="s">
        <v>5</v>
      </c>
      <c r="AS180" s="50" t="s">
        <v>102</v>
      </c>
      <c r="AT180" s="49" t="s">
        <v>5</v>
      </c>
      <c r="AU180" s="50" t="s">
        <v>73</v>
      </c>
      <c r="AV180" s="49" t="s">
        <v>30</v>
      </c>
      <c r="AW180" s="50" t="s">
        <v>96</v>
      </c>
      <c r="AX180" s="49" t="s">
        <v>5</v>
      </c>
      <c r="AY180" s="50" t="s">
        <v>84</v>
      </c>
      <c r="AZ180" s="49"/>
      <c r="BA180" s="50"/>
      <c r="BB180" s="49"/>
      <c r="BC180" s="50"/>
      <c r="BD180" s="49"/>
      <c r="BE180" s="50"/>
      <c r="BF180" s="49"/>
      <c r="BG180" s="50"/>
      <c r="BH180" s="49" t="s">
        <v>5</v>
      </c>
      <c r="BI180" s="50" t="s">
        <v>79</v>
      </c>
      <c r="BJ180" s="49"/>
      <c r="BK180" s="50"/>
      <c r="BL180" s="49" t="s">
        <v>5</v>
      </c>
      <c r="BM180" s="50" t="s">
        <v>72</v>
      </c>
      <c r="BN180" s="49" t="s">
        <v>1</v>
      </c>
      <c r="BO180" s="50" t="s">
        <v>107</v>
      </c>
      <c r="BP180" s="49"/>
      <c r="BQ180" s="50"/>
      <c r="BR180" s="49"/>
      <c r="BS180" s="50"/>
      <c r="BT180" s="49"/>
      <c r="BU180" s="50"/>
      <c r="BV180" s="49" t="s">
        <v>5</v>
      </c>
      <c r="BW180" s="50" t="s">
        <v>715</v>
      </c>
      <c r="BX180" s="49" t="s">
        <v>5</v>
      </c>
      <c r="BY180" s="50" t="s">
        <v>137</v>
      </c>
      <c r="BZ180" s="49"/>
      <c r="CA180" s="50"/>
    </row>
    <row r="181" spans="1:79" x14ac:dyDescent="0.25">
      <c r="A181" s="76">
        <v>151966</v>
      </c>
      <c r="B181" s="77" t="s">
        <v>1140</v>
      </c>
      <c r="C181" s="78" t="s">
        <v>954</v>
      </c>
      <c r="D181" s="76" t="s">
        <v>70</v>
      </c>
      <c r="E181" s="79" t="s">
        <v>14</v>
      </c>
      <c r="F181" s="79" t="s">
        <v>71</v>
      </c>
      <c r="G181" s="79" t="s">
        <v>14</v>
      </c>
      <c r="H181" s="79" t="s">
        <v>14</v>
      </c>
      <c r="I181" s="78" t="s">
        <v>14</v>
      </c>
      <c r="J181" s="79" t="s">
        <v>14</v>
      </c>
      <c r="K181" s="142" t="s">
        <v>1851</v>
      </c>
      <c r="L181" s="149" t="s">
        <v>1847</v>
      </c>
      <c r="M181" s="150" t="s">
        <v>1852</v>
      </c>
      <c r="N181" s="151">
        <v>6</v>
      </c>
      <c r="O181" s="151">
        <v>1</v>
      </c>
      <c r="P181" s="152">
        <v>1</v>
      </c>
      <c r="Q181" s="153">
        <v>91.3</v>
      </c>
      <c r="R181" s="154">
        <v>6</v>
      </c>
      <c r="S181" s="38">
        <f t="shared" si="22"/>
        <v>1</v>
      </c>
      <c r="T181" s="39">
        <f t="shared" si="23"/>
        <v>9</v>
      </c>
      <c r="U181" s="40">
        <f t="shared" si="24"/>
        <v>0</v>
      </c>
      <c r="V181" s="40">
        <f t="shared" si="25"/>
        <v>1</v>
      </c>
      <c r="W181" s="40">
        <f t="shared" si="26"/>
        <v>0</v>
      </c>
      <c r="X181" s="40">
        <f t="shared" si="27"/>
        <v>1</v>
      </c>
      <c r="Y181" s="40">
        <f t="shared" si="28"/>
        <v>0</v>
      </c>
      <c r="Z181" s="40">
        <f t="shared" si="29"/>
        <v>0</v>
      </c>
      <c r="AA181" s="40">
        <f t="shared" si="30"/>
        <v>0</v>
      </c>
      <c r="AB181" s="40">
        <f t="shared" si="31"/>
        <v>0</v>
      </c>
      <c r="AC181" s="41">
        <f t="shared" si="32"/>
        <v>0</v>
      </c>
      <c r="AD181" s="49"/>
      <c r="AE181" s="50"/>
      <c r="AF181" s="49" t="s">
        <v>1</v>
      </c>
      <c r="AG181" s="50" t="s">
        <v>154</v>
      </c>
      <c r="AH181" s="49"/>
      <c r="AI181" s="50"/>
      <c r="AJ181" s="49" t="s">
        <v>5</v>
      </c>
      <c r="AK181" s="50" t="s">
        <v>714</v>
      </c>
      <c r="AL181" s="49"/>
      <c r="AM181" s="50"/>
      <c r="AN181" s="49"/>
      <c r="AO181" s="50"/>
      <c r="AP181" s="49"/>
      <c r="AQ181" s="50"/>
      <c r="AR181" s="49" t="s">
        <v>5</v>
      </c>
      <c r="AS181" s="50" t="s">
        <v>169</v>
      </c>
      <c r="AT181" s="49"/>
      <c r="AU181" s="50"/>
      <c r="AV181" s="49" t="s">
        <v>31</v>
      </c>
      <c r="AW181" s="50" t="s">
        <v>955</v>
      </c>
      <c r="AX181" s="49" t="s">
        <v>5</v>
      </c>
      <c r="AY181" s="50" t="s">
        <v>103</v>
      </c>
      <c r="AZ181" s="49" t="s">
        <v>5</v>
      </c>
      <c r="BA181" s="50" t="s">
        <v>76</v>
      </c>
      <c r="BB181" s="49"/>
      <c r="BC181" s="50"/>
      <c r="BD181" s="49" t="s">
        <v>5</v>
      </c>
      <c r="BE181" s="50" t="s">
        <v>120</v>
      </c>
      <c r="BF181" s="49"/>
      <c r="BG181" s="50"/>
      <c r="BH181" s="49" t="s">
        <v>5</v>
      </c>
      <c r="BI181" s="50" t="s">
        <v>112</v>
      </c>
      <c r="BJ181" s="49"/>
      <c r="BK181" s="50"/>
      <c r="BL181" s="49"/>
      <c r="BM181" s="50"/>
      <c r="BN181" s="49" t="s">
        <v>5</v>
      </c>
      <c r="BO181" s="50" t="s">
        <v>152</v>
      </c>
      <c r="BP181" s="49"/>
      <c r="BQ181" s="50"/>
      <c r="BR181" s="49" t="s">
        <v>5</v>
      </c>
      <c r="BS181" s="50" t="s">
        <v>140</v>
      </c>
      <c r="BT181" s="49"/>
      <c r="BU181" s="50"/>
      <c r="BV181" s="49" t="s">
        <v>5</v>
      </c>
      <c r="BW181" s="50" t="s">
        <v>97</v>
      </c>
      <c r="BX181" s="49"/>
      <c r="BY181" s="50"/>
      <c r="BZ181" s="49"/>
      <c r="CA181" s="50"/>
    </row>
    <row r="182" spans="1:79" x14ac:dyDescent="0.25">
      <c r="A182" s="76">
        <v>151808</v>
      </c>
      <c r="B182" s="77" t="s">
        <v>1141</v>
      </c>
      <c r="C182" s="78" t="s">
        <v>961</v>
      </c>
      <c r="D182" s="76" t="s">
        <v>70</v>
      </c>
      <c r="E182" s="79" t="s">
        <v>14</v>
      </c>
      <c r="F182" s="79" t="s">
        <v>71</v>
      </c>
      <c r="G182" s="79" t="s">
        <v>14</v>
      </c>
      <c r="H182" s="79" t="s">
        <v>14</v>
      </c>
      <c r="I182" s="78" t="s">
        <v>14</v>
      </c>
      <c r="J182" s="79" t="s">
        <v>14</v>
      </c>
      <c r="K182" s="142" t="s">
        <v>1850</v>
      </c>
      <c r="L182" s="149" t="s">
        <v>1842</v>
      </c>
      <c r="M182" s="150" t="s">
        <v>1853</v>
      </c>
      <c r="N182" s="151">
        <v>11</v>
      </c>
      <c r="O182" s="151">
        <v>0</v>
      </c>
      <c r="P182" s="152">
        <v>0</v>
      </c>
      <c r="Q182" s="153">
        <v>97.83</v>
      </c>
      <c r="R182" s="154">
        <v>0</v>
      </c>
      <c r="S182" s="38">
        <f t="shared" si="22"/>
        <v>1</v>
      </c>
      <c r="T182" s="39">
        <f t="shared" si="23"/>
        <v>10</v>
      </c>
      <c r="U182" s="40">
        <f t="shared" si="24"/>
        <v>0</v>
      </c>
      <c r="V182" s="40">
        <f t="shared" si="25"/>
        <v>0</v>
      </c>
      <c r="W182" s="40">
        <f t="shared" si="26"/>
        <v>0</v>
      </c>
      <c r="X182" s="40">
        <f t="shared" si="27"/>
        <v>0</v>
      </c>
      <c r="Y182" s="40">
        <f t="shared" si="28"/>
        <v>0</v>
      </c>
      <c r="Z182" s="40">
        <f t="shared" si="29"/>
        <v>0</v>
      </c>
      <c r="AA182" s="40">
        <f t="shared" si="30"/>
        <v>0</v>
      </c>
      <c r="AB182" s="40">
        <f t="shared" si="31"/>
        <v>0</v>
      </c>
      <c r="AC182" s="41">
        <f t="shared" si="32"/>
        <v>0</v>
      </c>
      <c r="AD182" s="49"/>
      <c r="AE182" s="50"/>
      <c r="AF182" s="49" t="s">
        <v>5</v>
      </c>
      <c r="AG182" s="50" t="s">
        <v>154</v>
      </c>
      <c r="AH182" s="49"/>
      <c r="AI182" s="50"/>
      <c r="AJ182" s="49" t="s">
        <v>5</v>
      </c>
      <c r="AK182" s="50" t="s">
        <v>714</v>
      </c>
      <c r="AL182" s="49"/>
      <c r="AM182" s="50"/>
      <c r="AN182" s="49"/>
      <c r="AO182" s="50"/>
      <c r="AP182" s="49"/>
      <c r="AQ182" s="50"/>
      <c r="AR182" s="49" t="s">
        <v>5</v>
      </c>
      <c r="AS182" s="50" t="s">
        <v>102</v>
      </c>
      <c r="AT182" s="49" t="s">
        <v>5</v>
      </c>
      <c r="AU182" s="50" t="s">
        <v>73</v>
      </c>
      <c r="AV182" s="49" t="s">
        <v>5</v>
      </c>
      <c r="AW182" s="50" t="s">
        <v>139</v>
      </c>
      <c r="AX182" s="49"/>
      <c r="AY182" s="50"/>
      <c r="AZ182" s="49" t="s">
        <v>5</v>
      </c>
      <c r="BA182" s="50" t="s">
        <v>76</v>
      </c>
      <c r="BB182" s="49"/>
      <c r="BC182" s="50"/>
      <c r="BD182" s="49"/>
      <c r="BE182" s="50"/>
      <c r="BF182" s="49"/>
      <c r="BG182" s="50"/>
      <c r="BH182" s="49" t="s">
        <v>1</v>
      </c>
      <c r="BI182" s="50" t="s">
        <v>94</v>
      </c>
      <c r="BJ182" s="49"/>
      <c r="BK182" s="50"/>
      <c r="BL182" s="49"/>
      <c r="BM182" s="50"/>
      <c r="BN182" s="49" t="s">
        <v>5</v>
      </c>
      <c r="BO182" s="50" t="s">
        <v>152</v>
      </c>
      <c r="BP182" s="49"/>
      <c r="BQ182" s="50"/>
      <c r="BR182" s="49" t="s">
        <v>5</v>
      </c>
      <c r="BS182" s="50" t="s">
        <v>140</v>
      </c>
      <c r="BT182" s="49"/>
      <c r="BU182" s="50"/>
      <c r="BV182" s="49" t="s">
        <v>5</v>
      </c>
      <c r="BW182" s="50" t="s">
        <v>97</v>
      </c>
      <c r="BX182" s="49"/>
      <c r="BY182" s="50"/>
      <c r="BZ182" s="49" t="s">
        <v>5</v>
      </c>
      <c r="CA182" s="50" t="s">
        <v>124</v>
      </c>
    </row>
    <row r="183" spans="1:79" x14ac:dyDescent="0.25">
      <c r="A183" s="76">
        <v>151946</v>
      </c>
      <c r="B183" s="77" t="s">
        <v>1142</v>
      </c>
      <c r="C183" s="78" t="s">
        <v>957</v>
      </c>
      <c r="D183" s="76" t="s">
        <v>70</v>
      </c>
      <c r="E183" s="79" t="s">
        <v>14</v>
      </c>
      <c r="F183" s="79" t="s">
        <v>71</v>
      </c>
      <c r="G183" s="79" t="s">
        <v>14</v>
      </c>
      <c r="H183" s="79" t="s">
        <v>14</v>
      </c>
      <c r="I183" s="78" t="s">
        <v>14</v>
      </c>
      <c r="J183" s="79" t="s">
        <v>14</v>
      </c>
      <c r="K183" s="142" t="s">
        <v>1850</v>
      </c>
      <c r="L183" s="149" t="s">
        <v>1846</v>
      </c>
      <c r="M183" s="150" t="s">
        <v>1853</v>
      </c>
      <c r="N183" s="151">
        <v>8</v>
      </c>
      <c r="O183" s="151">
        <v>0</v>
      </c>
      <c r="P183" s="152">
        <v>2</v>
      </c>
      <c r="Q183" s="153">
        <v>97.83</v>
      </c>
      <c r="R183" s="154">
        <v>5</v>
      </c>
      <c r="S183" s="38">
        <f t="shared" si="22"/>
        <v>2</v>
      </c>
      <c r="T183" s="39">
        <f t="shared" si="23"/>
        <v>9</v>
      </c>
      <c r="U183" s="40">
        <f t="shared" si="24"/>
        <v>0</v>
      </c>
      <c r="V183" s="40">
        <f t="shared" si="25"/>
        <v>0</v>
      </c>
      <c r="W183" s="40">
        <f t="shared" si="26"/>
        <v>0</v>
      </c>
      <c r="X183" s="40">
        <f t="shared" si="27"/>
        <v>0</v>
      </c>
      <c r="Y183" s="40">
        <f t="shared" si="28"/>
        <v>0</v>
      </c>
      <c r="Z183" s="40">
        <f t="shared" si="29"/>
        <v>0</v>
      </c>
      <c r="AA183" s="40">
        <f t="shared" si="30"/>
        <v>0</v>
      </c>
      <c r="AB183" s="40">
        <f t="shared" si="31"/>
        <v>0</v>
      </c>
      <c r="AC183" s="41">
        <f t="shared" si="32"/>
        <v>0</v>
      </c>
      <c r="AD183" s="49" t="s">
        <v>5</v>
      </c>
      <c r="AE183" s="50" t="s">
        <v>72</v>
      </c>
      <c r="AF183" s="49" t="s">
        <v>5</v>
      </c>
      <c r="AG183" s="50" t="s">
        <v>433</v>
      </c>
      <c r="AH183" s="49"/>
      <c r="AI183" s="50"/>
      <c r="AJ183" s="49" t="s">
        <v>5</v>
      </c>
      <c r="AK183" s="50" t="s">
        <v>419</v>
      </c>
      <c r="AL183" s="49"/>
      <c r="AM183" s="50"/>
      <c r="AN183" s="49"/>
      <c r="AO183" s="50"/>
      <c r="AP183" s="49"/>
      <c r="AQ183" s="50"/>
      <c r="AR183" s="49" t="s">
        <v>1</v>
      </c>
      <c r="AS183" s="50" t="s">
        <v>169</v>
      </c>
      <c r="AT183" s="49"/>
      <c r="AU183" s="50"/>
      <c r="AV183" s="49" t="s">
        <v>5</v>
      </c>
      <c r="AW183" s="50" t="s">
        <v>77</v>
      </c>
      <c r="AX183" s="49"/>
      <c r="AY183" s="50"/>
      <c r="AZ183" s="49"/>
      <c r="BA183" s="50"/>
      <c r="BB183" s="49"/>
      <c r="BC183" s="50"/>
      <c r="BD183" s="49" t="s">
        <v>5</v>
      </c>
      <c r="BE183" s="50" t="s">
        <v>120</v>
      </c>
      <c r="BF183" s="49"/>
      <c r="BG183" s="50"/>
      <c r="BH183" s="49" t="s">
        <v>1</v>
      </c>
      <c r="BI183" s="50" t="s">
        <v>94</v>
      </c>
      <c r="BJ183" s="49"/>
      <c r="BK183" s="50"/>
      <c r="BL183" s="49"/>
      <c r="BM183" s="50"/>
      <c r="BN183" s="49" t="s">
        <v>5</v>
      </c>
      <c r="BO183" s="50" t="s">
        <v>152</v>
      </c>
      <c r="BP183" s="49"/>
      <c r="BQ183" s="50"/>
      <c r="BR183" s="49" t="s">
        <v>5</v>
      </c>
      <c r="BS183" s="50" t="s">
        <v>140</v>
      </c>
      <c r="BT183" s="49"/>
      <c r="BU183" s="50"/>
      <c r="BV183" s="49" t="s">
        <v>5</v>
      </c>
      <c r="BW183" s="50" t="s">
        <v>132</v>
      </c>
      <c r="BX183" s="49"/>
      <c r="BY183" s="50"/>
      <c r="BZ183" s="49" t="s">
        <v>5</v>
      </c>
      <c r="CA183" s="50" t="s">
        <v>75</v>
      </c>
    </row>
    <row r="184" spans="1:79" x14ac:dyDescent="0.25">
      <c r="A184" s="76">
        <v>151914</v>
      </c>
      <c r="B184" s="77" t="s">
        <v>1143</v>
      </c>
      <c r="C184" s="78" t="s">
        <v>957</v>
      </c>
      <c r="D184" s="76" t="s">
        <v>70</v>
      </c>
      <c r="E184" s="79" t="s">
        <v>14</v>
      </c>
      <c r="F184" s="79" t="s">
        <v>71</v>
      </c>
      <c r="G184" s="79" t="s">
        <v>14</v>
      </c>
      <c r="H184" s="79" t="s">
        <v>14</v>
      </c>
      <c r="I184" s="78" t="s">
        <v>14</v>
      </c>
      <c r="J184" s="79" t="s">
        <v>14</v>
      </c>
      <c r="K184" s="142" t="s">
        <v>1850</v>
      </c>
      <c r="L184" s="149" t="s">
        <v>1844</v>
      </c>
      <c r="M184" s="150" t="s">
        <v>12</v>
      </c>
      <c r="N184" s="151">
        <v>7</v>
      </c>
      <c r="O184" s="151">
        <v>0</v>
      </c>
      <c r="P184" s="152">
        <v>0</v>
      </c>
      <c r="Q184" s="153">
        <v>100</v>
      </c>
      <c r="R184" s="154">
        <v>1</v>
      </c>
      <c r="S184" s="38">
        <f t="shared" si="22"/>
        <v>1</v>
      </c>
      <c r="T184" s="39">
        <f t="shared" si="23"/>
        <v>9</v>
      </c>
      <c r="U184" s="40">
        <f t="shared" si="24"/>
        <v>0</v>
      </c>
      <c r="V184" s="40">
        <f t="shared" si="25"/>
        <v>0</v>
      </c>
      <c r="W184" s="40">
        <f t="shared" si="26"/>
        <v>0</v>
      </c>
      <c r="X184" s="40">
        <f t="shared" si="27"/>
        <v>0</v>
      </c>
      <c r="Y184" s="40">
        <f t="shared" si="28"/>
        <v>0</v>
      </c>
      <c r="Z184" s="40">
        <f t="shared" si="29"/>
        <v>0</v>
      </c>
      <c r="AA184" s="40">
        <f t="shared" si="30"/>
        <v>0</v>
      </c>
      <c r="AB184" s="40">
        <f t="shared" si="31"/>
        <v>0</v>
      </c>
      <c r="AC184" s="41">
        <f t="shared" si="32"/>
        <v>0</v>
      </c>
      <c r="AD184" s="49" t="s">
        <v>5</v>
      </c>
      <c r="AE184" s="50" t="s">
        <v>116</v>
      </c>
      <c r="AF184" s="49"/>
      <c r="AG184" s="50"/>
      <c r="AH184" s="49"/>
      <c r="AI184" s="50"/>
      <c r="AJ184" s="49"/>
      <c r="AK184" s="50"/>
      <c r="AL184" s="49"/>
      <c r="AM184" s="50"/>
      <c r="AN184" s="49"/>
      <c r="AO184" s="50"/>
      <c r="AP184" s="49"/>
      <c r="AQ184" s="50"/>
      <c r="AR184" s="49" t="s">
        <v>5</v>
      </c>
      <c r="AS184" s="50" t="s">
        <v>151</v>
      </c>
      <c r="AT184" s="49"/>
      <c r="AU184" s="50"/>
      <c r="AV184" s="49" t="s">
        <v>5</v>
      </c>
      <c r="AW184" s="50" t="s">
        <v>77</v>
      </c>
      <c r="AX184" s="49"/>
      <c r="AY184" s="50"/>
      <c r="AZ184" s="49"/>
      <c r="BA184" s="50"/>
      <c r="BB184" s="49" t="s">
        <v>5</v>
      </c>
      <c r="BC184" s="50" t="s">
        <v>425</v>
      </c>
      <c r="BD184" s="49"/>
      <c r="BE184" s="50"/>
      <c r="BF184" s="49"/>
      <c r="BG184" s="50"/>
      <c r="BH184" s="49" t="s">
        <v>5</v>
      </c>
      <c r="BI184" s="50" t="s">
        <v>112</v>
      </c>
      <c r="BJ184" s="49"/>
      <c r="BK184" s="50"/>
      <c r="BL184" s="49"/>
      <c r="BM184" s="50"/>
      <c r="BN184" s="49" t="s">
        <v>5</v>
      </c>
      <c r="BO184" s="50" t="s">
        <v>152</v>
      </c>
      <c r="BP184" s="49" t="s">
        <v>1</v>
      </c>
      <c r="BQ184" s="50" t="s">
        <v>107</v>
      </c>
      <c r="BR184" s="49"/>
      <c r="BS184" s="50"/>
      <c r="BT184" s="49"/>
      <c r="BU184" s="50"/>
      <c r="BV184" s="49" t="s">
        <v>5</v>
      </c>
      <c r="BW184" s="50" t="s">
        <v>97</v>
      </c>
      <c r="BX184" s="49" t="s">
        <v>5</v>
      </c>
      <c r="BY184" s="50" t="s">
        <v>137</v>
      </c>
      <c r="BZ184" s="49" t="s">
        <v>5</v>
      </c>
      <c r="CA184" s="50" t="s">
        <v>75</v>
      </c>
    </row>
    <row r="185" spans="1:79" x14ac:dyDescent="0.25">
      <c r="A185" s="76">
        <v>160352</v>
      </c>
      <c r="B185" s="77" t="s">
        <v>1144</v>
      </c>
      <c r="C185" s="78"/>
      <c r="D185" s="76" t="s">
        <v>12</v>
      </c>
      <c r="E185" s="79" t="s">
        <v>14</v>
      </c>
      <c r="F185" s="79"/>
      <c r="G185" s="79" t="s">
        <v>14</v>
      </c>
      <c r="H185" s="79" t="s">
        <v>87</v>
      </c>
      <c r="I185" s="78" t="s">
        <v>14</v>
      </c>
      <c r="J185" s="79" t="s">
        <v>14</v>
      </c>
      <c r="K185" s="142" t="s">
        <v>1850</v>
      </c>
      <c r="L185" s="149" t="e">
        <v>#N/A</v>
      </c>
      <c r="M185" s="150" t="s">
        <v>1406</v>
      </c>
      <c r="N185" s="151">
        <v>2</v>
      </c>
      <c r="O185" s="151">
        <v>0</v>
      </c>
      <c r="P185" s="152">
        <v>0</v>
      </c>
      <c r="Q185" s="153"/>
      <c r="R185" s="154">
        <v>0</v>
      </c>
      <c r="S185" s="38">
        <f t="shared" si="22"/>
        <v>1</v>
      </c>
      <c r="T185" s="39">
        <f t="shared" si="23"/>
        <v>1</v>
      </c>
      <c r="U185" s="40">
        <f t="shared" si="24"/>
        <v>0</v>
      </c>
      <c r="V185" s="40">
        <f t="shared" si="25"/>
        <v>0</v>
      </c>
      <c r="W185" s="40">
        <f t="shared" si="26"/>
        <v>0</v>
      </c>
      <c r="X185" s="40">
        <f t="shared" si="27"/>
        <v>0</v>
      </c>
      <c r="Y185" s="40">
        <f t="shared" si="28"/>
        <v>0</v>
      </c>
      <c r="Z185" s="40">
        <f t="shared" si="29"/>
        <v>0</v>
      </c>
      <c r="AA185" s="40">
        <f t="shared" si="30"/>
        <v>0</v>
      </c>
      <c r="AB185" s="40">
        <f t="shared" si="31"/>
        <v>0</v>
      </c>
      <c r="AC185" s="41">
        <f t="shared" si="32"/>
        <v>0</v>
      </c>
      <c r="AD185" s="49"/>
      <c r="AE185" s="50"/>
      <c r="AF185" s="49"/>
      <c r="AG185" s="50"/>
      <c r="AH185" s="49"/>
      <c r="AI185" s="50"/>
      <c r="AJ185" s="49"/>
      <c r="AK185" s="50"/>
      <c r="AL185" s="49"/>
      <c r="AM185" s="50"/>
      <c r="AN185" s="49"/>
      <c r="AO185" s="50"/>
      <c r="AP185" s="49"/>
      <c r="AQ185" s="50"/>
      <c r="AR185" s="49"/>
      <c r="AS185" s="50"/>
      <c r="AT185" s="49"/>
      <c r="AU185" s="50"/>
      <c r="AV185" s="49"/>
      <c r="AW185" s="50"/>
      <c r="AX185" s="49"/>
      <c r="AY185" s="50"/>
      <c r="AZ185" s="49"/>
      <c r="BA185" s="50"/>
      <c r="BB185" s="49"/>
      <c r="BC185" s="50"/>
      <c r="BD185" s="49"/>
      <c r="BE185" s="50"/>
      <c r="BF185" s="49"/>
      <c r="BG185" s="50"/>
      <c r="BH185" s="49"/>
      <c r="BI185" s="50"/>
      <c r="BJ185" s="49"/>
      <c r="BK185" s="50"/>
      <c r="BL185" s="49"/>
      <c r="BM185" s="50"/>
      <c r="BN185" s="49" t="s">
        <v>1</v>
      </c>
      <c r="BO185" s="50"/>
      <c r="BP185" s="49" t="s">
        <v>5</v>
      </c>
      <c r="BQ185" s="50" t="s">
        <v>152</v>
      </c>
      <c r="BR185" s="49"/>
      <c r="BS185" s="50"/>
      <c r="BT185" s="49"/>
      <c r="BU185" s="50"/>
      <c r="BV185" s="49"/>
      <c r="BW185" s="50"/>
      <c r="BX185" s="49"/>
      <c r="BY185" s="50"/>
      <c r="BZ185" s="49"/>
      <c r="CA185" s="50"/>
    </row>
    <row r="186" spans="1:79" x14ac:dyDescent="0.25">
      <c r="A186" s="76">
        <v>151864</v>
      </c>
      <c r="B186" s="77" t="s">
        <v>1145</v>
      </c>
      <c r="C186" s="78" t="s">
        <v>954</v>
      </c>
      <c r="D186" s="76" t="s">
        <v>70</v>
      </c>
      <c r="E186" s="79" t="s">
        <v>14</v>
      </c>
      <c r="F186" s="79" t="s">
        <v>455</v>
      </c>
      <c r="G186" s="79" t="s">
        <v>14</v>
      </c>
      <c r="H186" s="79" t="s">
        <v>14</v>
      </c>
      <c r="I186" s="78" t="s">
        <v>14</v>
      </c>
      <c r="J186" s="79" t="s">
        <v>14</v>
      </c>
      <c r="K186" s="142" t="s">
        <v>1850</v>
      </c>
      <c r="L186" s="149" t="s">
        <v>1848</v>
      </c>
      <c r="M186" s="150" t="s">
        <v>1852</v>
      </c>
      <c r="N186" s="151">
        <v>13</v>
      </c>
      <c r="O186" s="151">
        <v>5</v>
      </c>
      <c r="P186" s="152">
        <v>1</v>
      </c>
      <c r="Q186" s="153">
        <v>100</v>
      </c>
      <c r="R186" s="154">
        <v>10</v>
      </c>
      <c r="S186" s="38">
        <f t="shared" si="22"/>
        <v>0</v>
      </c>
      <c r="T186" s="39">
        <f t="shared" si="23"/>
        <v>10</v>
      </c>
      <c r="U186" s="40">
        <f t="shared" si="24"/>
        <v>1</v>
      </c>
      <c r="V186" s="40">
        <f t="shared" si="25"/>
        <v>0</v>
      </c>
      <c r="W186" s="40">
        <f t="shared" si="26"/>
        <v>0</v>
      </c>
      <c r="X186" s="40">
        <f t="shared" si="27"/>
        <v>1</v>
      </c>
      <c r="Y186" s="40">
        <f t="shared" si="28"/>
        <v>0</v>
      </c>
      <c r="Z186" s="40">
        <f t="shared" si="29"/>
        <v>0</v>
      </c>
      <c r="AA186" s="40">
        <f t="shared" si="30"/>
        <v>0</v>
      </c>
      <c r="AB186" s="40">
        <f t="shared" si="31"/>
        <v>0</v>
      </c>
      <c r="AC186" s="41">
        <f t="shared" si="32"/>
        <v>0</v>
      </c>
      <c r="AD186" s="49"/>
      <c r="AE186" s="50"/>
      <c r="AF186" s="49" t="s">
        <v>30</v>
      </c>
      <c r="AG186" s="50" t="s">
        <v>433</v>
      </c>
      <c r="AH186" s="49" t="s">
        <v>5</v>
      </c>
      <c r="AI186" s="50" t="s">
        <v>131</v>
      </c>
      <c r="AJ186" s="49" t="s">
        <v>5</v>
      </c>
      <c r="AK186" s="50" t="s">
        <v>714</v>
      </c>
      <c r="AL186" s="49"/>
      <c r="AM186" s="50"/>
      <c r="AN186" s="49"/>
      <c r="AO186" s="50"/>
      <c r="AP186" s="49"/>
      <c r="AQ186" s="50"/>
      <c r="AR186" s="49" t="s">
        <v>5</v>
      </c>
      <c r="AS186" s="50" t="s">
        <v>111</v>
      </c>
      <c r="AT186" s="49"/>
      <c r="AU186" s="50"/>
      <c r="AV186" s="49" t="s">
        <v>5</v>
      </c>
      <c r="AW186" s="50" t="s">
        <v>955</v>
      </c>
      <c r="AX186" s="49" t="s">
        <v>5</v>
      </c>
      <c r="AY186" s="50" t="s">
        <v>143</v>
      </c>
      <c r="AZ186" s="49"/>
      <c r="BA186" s="50"/>
      <c r="BB186" s="49" t="s">
        <v>5</v>
      </c>
      <c r="BC186" s="50" t="s">
        <v>420</v>
      </c>
      <c r="BD186" s="49"/>
      <c r="BE186" s="50"/>
      <c r="BF186" s="49"/>
      <c r="BG186" s="50"/>
      <c r="BH186" s="49" t="s">
        <v>5</v>
      </c>
      <c r="BI186" s="50" t="s">
        <v>505</v>
      </c>
      <c r="BJ186" s="49"/>
      <c r="BK186" s="50"/>
      <c r="BL186" s="49"/>
      <c r="BM186" s="50"/>
      <c r="BN186" s="49" t="s">
        <v>5</v>
      </c>
      <c r="BO186" s="50" t="s">
        <v>152</v>
      </c>
      <c r="BP186" s="49"/>
      <c r="BQ186" s="50"/>
      <c r="BR186" s="49" t="s">
        <v>5</v>
      </c>
      <c r="BS186" s="50" t="s">
        <v>170</v>
      </c>
      <c r="BT186" s="49"/>
      <c r="BU186" s="50"/>
      <c r="BV186" s="49" t="s">
        <v>5</v>
      </c>
      <c r="BW186" s="50" t="s">
        <v>602</v>
      </c>
      <c r="BX186" s="49"/>
      <c r="BY186" s="50"/>
      <c r="BZ186" s="49"/>
      <c r="CA186" s="50"/>
    </row>
    <row r="187" spans="1:79" x14ac:dyDescent="0.25">
      <c r="A187" s="76">
        <v>151778</v>
      </c>
      <c r="B187" s="77" t="s">
        <v>1146</v>
      </c>
      <c r="C187" s="78" t="s">
        <v>950</v>
      </c>
      <c r="D187" s="76" t="s">
        <v>12</v>
      </c>
      <c r="E187" s="79" t="s">
        <v>14</v>
      </c>
      <c r="F187" s="79" t="s">
        <v>71</v>
      </c>
      <c r="G187" s="79" t="s">
        <v>87</v>
      </c>
      <c r="H187" s="79" t="s">
        <v>14</v>
      </c>
      <c r="I187" s="78" t="s">
        <v>14</v>
      </c>
      <c r="J187" s="79" t="s">
        <v>14</v>
      </c>
      <c r="K187" s="142" t="s">
        <v>1851</v>
      </c>
      <c r="L187" s="149" t="s">
        <v>1842</v>
      </c>
      <c r="M187" s="150" t="s">
        <v>12</v>
      </c>
      <c r="N187" s="151">
        <v>13</v>
      </c>
      <c r="O187" s="151">
        <v>0</v>
      </c>
      <c r="P187" s="152">
        <v>0</v>
      </c>
      <c r="Q187" s="153">
        <v>100</v>
      </c>
      <c r="R187" s="154">
        <v>0</v>
      </c>
      <c r="S187" s="38">
        <f t="shared" si="22"/>
        <v>2</v>
      </c>
      <c r="T187" s="39">
        <f t="shared" si="23"/>
        <v>8</v>
      </c>
      <c r="U187" s="40">
        <f t="shared" si="24"/>
        <v>0</v>
      </c>
      <c r="V187" s="40">
        <f t="shared" si="25"/>
        <v>0</v>
      </c>
      <c r="W187" s="40">
        <f t="shared" si="26"/>
        <v>0</v>
      </c>
      <c r="X187" s="40">
        <f t="shared" si="27"/>
        <v>0</v>
      </c>
      <c r="Y187" s="40">
        <f t="shared" si="28"/>
        <v>0</v>
      </c>
      <c r="Z187" s="40">
        <f t="shared" si="29"/>
        <v>0</v>
      </c>
      <c r="AA187" s="40">
        <f t="shared" si="30"/>
        <v>0</v>
      </c>
      <c r="AB187" s="40">
        <f t="shared" si="31"/>
        <v>0</v>
      </c>
      <c r="AC187" s="41">
        <f t="shared" si="32"/>
        <v>0</v>
      </c>
      <c r="AD187" s="49"/>
      <c r="AE187" s="50"/>
      <c r="AF187" s="49"/>
      <c r="AG187" s="50"/>
      <c r="AH187" s="49" t="s">
        <v>1</v>
      </c>
      <c r="AI187" s="50" t="s">
        <v>78</v>
      </c>
      <c r="AJ187" s="49"/>
      <c r="AK187" s="50"/>
      <c r="AL187" s="49"/>
      <c r="AM187" s="50"/>
      <c r="AN187" s="49" t="s">
        <v>5</v>
      </c>
      <c r="AO187" s="50" t="s">
        <v>163</v>
      </c>
      <c r="AP187" s="49"/>
      <c r="AQ187" s="50"/>
      <c r="AR187" s="49" t="s">
        <v>5</v>
      </c>
      <c r="AS187" s="50" t="s">
        <v>102</v>
      </c>
      <c r="AT187" s="49"/>
      <c r="AU187" s="50"/>
      <c r="AV187" s="49" t="s">
        <v>5</v>
      </c>
      <c r="AW187" s="50" t="s">
        <v>96</v>
      </c>
      <c r="AX187" s="49" t="s">
        <v>5</v>
      </c>
      <c r="AY187" s="50" t="s">
        <v>103</v>
      </c>
      <c r="AZ187" s="49"/>
      <c r="BA187" s="50"/>
      <c r="BB187" s="49"/>
      <c r="BC187" s="50"/>
      <c r="BD187" s="49"/>
      <c r="BE187" s="50"/>
      <c r="BF187" s="49"/>
      <c r="BG187" s="50"/>
      <c r="BH187" s="49" t="s">
        <v>1</v>
      </c>
      <c r="BI187" s="50" t="s">
        <v>106</v>
      </c>
      <c r="BJ187" s="49"/>
      <c r="BK187" s="50"/>
      <c r="BL187" s="49"/>
      <c r="BM187" s="50"/>
      <c r="BN187" s="49" t="s">
        <v>5</v>
      </c>
      <c r="BO187" s="50" t="s">
        <v>96</v>
      </c>
      <c r="BP187" s="49"/>
      <c r="BQ187" s="50"/>
      <c r="BR187" s="49"/>
      <c r="BS187" s="50"/>
      <c r="BT187" s="49" t="s">
        <v>5</v>
      </c>
      <c r="BU187" s="50" t="s">
        <v>117</v>
      </c>
      <c r="BV187" s="49" t="s">
        <v>5</v>
      </c>
      <c r="BW187" s="50" t="s">
        <v>122</v>
      </c>
      <c r="BX187" s="49" t="s">
        <v>5</v>
      </c>
      <c r="BY187" s="50" t="s">
        <v>137</v>
      </c>
      <c r="BZ187" s="49"/>
      <c r="CA187" s="50"/>
    </row>
    <row r="188" spans="1:79" x14ac:dyDescent="0.25">
      <c r="A188" s="76">
        <v>151958</v>
      </c>
      <c r="B188" s="77" t="s">
        <v>1147</v>
      </c>
      <c r="C188" s="78" t="s">
        <v>954</v>
      </c>
      <c r="D188" s="76" t="s">
        <v>12</v>
      </c>
      <c r="E188" s="79" t="s">
        <v>14</v>
      </c>
      <c r="F188" s="79" t="s">
        <v>71</v>
      </c>
      <c r="G188" s="79" t="s">
        <v>14</v>
      </c>
      <c r="H188" s="79" t="s">
        <v>14</v>
      </c>
      <c r="I188" s="78" t="s">
        <v>14</v>
      </c>
      <c r="J188" s="79" t="s">
        <v>14</v>
      </c>
      <c r="K188" s="142" t="s">
        <v>1851</v>
      </c>
      <c r="L188" s="149" t="s">
        <v>1845</v>
      </c>
      <c r="M188" s="150" t="s">
        <v>12</v>
      </c>
      <c r="N188" s="151">
        <v>22</v>
      </c>
      <c r="O188" s="151">
        <v>0</v>
      </c>
      <c r="P188" s="152">
        <v>0</v>
      </c>
      <c r="Q188" s="153">
        <v>91.3</v>
      </c>
      <c r="R188" s="154">
        <v>2</v>
      </c>
      <c r="S188" s="38">
        <f t="shared" si="22"/>
        <v>2</v>
      </c>
      <c r="T188" s="39">
        <f t="shared" si="23"/>
        <v>7</v>
      </c>
      <c r="U188" s="40">
        <f t="shared" si="24"/>
        <v>0</v>
      </c>
      <c r="V188" s="40">
        <f t="shared" si="25"/>
        <v>0</v>
      </c>
      <c r="W188" s="40">
        <f t="shared" si="26"/>
        <v>0</v>
      </c>
      <c r="X188" s="40">
        <f t="shared" si="27"/>
        <v>0</v>
      </c>
      <c r="Y188" s="40">
        <f t="shared" si="28"/>
        <v>0</v>
      </c>
      <c r="Z188" s="40">
        <f t="shared" si="29"/>
        <v>0</v>
      </c>
      <c r="AA188" s="40">
        <f t="shared" si="30"/>
        <v>0</v>
      </c>
      <c r="AB188" s="40">
        <f t="shared" si="31"/>
        <v>0</v>
      </c>
      <c r="AC188" s="41">
        <f t="shared" si="32"/>
        <v>0</v>
      </c>
      <c r="AD188" s="49"/>
      <c r="AE188" s="50"/>
      <c r="AF188" s="49"/>
      <c r="AG188" s="50"/>
      <c r="AH188" s="49"/>
      <c r="AI188" s="50"/>
      <c r="AJ188" s="49"/>
      <c r="AK188" s="50"/>
      <c r="AL188" s="49"/>
      <c r="AM188" s="50"/>
      <c r="AN188" s="49"/>
      <c r="AO188" s="50"/>
      <c r="AP188" s="49"/>
      <c r="AQ188" s="50"/>
      <c r="AR188" s="49" t="s">
        <v>5</v>
      </c>
      <c r="AS188" s="50" t="s">
        <v>111</v>
      </c>
      <c r="AT188" s="49"/>
      <c r="AU188" s="50"/>
      <c r="AV188" s="49" t="s">
        <v>5</v>
      </c>
      <c r="AW188" s="50" t="s">
        <v>955</v>
      </c>
      <c r="AX188" s="49" t="s">
        <v>5</v>
      </c>
      <c r="AY188" s="50" t="s">
        <v>143</v>
      </c>
      <c r="AZ188" s="49" t="s">
        <v>5</v>
      </c>
      <c r="BA188" s="50" t="s">
        <v>76</v>
      </c>
      <c r="BB188" s="49"/>
      <c r="BC188" s="50"/>
      <c r="BD188" s="49"/>
      <c r="BE188" s="50"/>
      <c r="BF188" s="49"/>
      <c r="BG188" s="50"/>
      <c r="BH188" s="49" t="s">
        <v>1</v>
      </c>
      <c r="BI188" s="50" t="s">
        <v>995</v>
      </c>
      <c r="BJ188" s="49"/>
      <c r="BK188" s="50"/>
      <c r="BL188" s="49" t="s">
        <v>5</v>
      </c>
      <c r="BM188" s="50" t="s">
        <v>116</v>
      </c>
      <c r="BN188" s="49" t="s">
        <v>1</v>
      </c>
      <c r="BO188" s="50" t="s">
        <v>96</v>
      </c>
      <c r="BP188" s="49"/>
      <c r="BQ188" s="50"/>
      <c r="BR188" s="49"/>
      <c r="BS188" s="50"/>
      <c r="BT188" s="49"/>
      <c r="BU188" s="50"/>
      <c r="BV188" s="49" t="s">
        <v>5</v>
      </c>
      <c r="BW188" s="50" t="s">
        <v>457</v>
      </c>
      <c r="BX188" s="49" t="s">
        <v>5</v>
      </c>
      <c r="BY188" s="50" t="s">
        <v>133</v>
      </c>
      <c r="BZ188" s="49"/>
      <c r="CA188" s="50"/>
    </row>
    <row r="189" spans="1:79" x14ac:dyDescent="0.25">
      <c r="A189" s="76">
        <v>151793</v>
      </c>
      <c r="B189" s="77" t="s">
        <v>1148</v>
      </c>
      <c r="C189" s="78" t="s">
        <v>957</v>
      </c>
      <c r="D189" s="76" t="s">
        <v>12</v>
      </c>
      <c r="E189" s="79" t="s">
        <v>14</v>
      </c>
      <c r="F189" s="79" t="s">
        <v>184</v>
      </c>
      <c r="G189" s="79" t="s">
        <v>14</v>
      </c>
      <c r="H189" s="79" t="s">
        <v>14</v>
      </c>
      <c r="I189" s="78" t="s">
        <v>14</v>
      </c>
      <c r="J189" s="79" t="s">
        <v>14</v>
      </c>
      <c r="K189" s="142" t="s">
        <v>1850</v>
      </c>
      <c r="L189" s="149" t="s">
        <v>1842</v>
      </c>
      <c r="M189" s="150" t="s">
        <v>12</v>
      </c>
      <c r="N189" s="151">
        <v>15</v>
      </c>
      <c r="O189" s="151">
        <v>0</v>
      </c>
      <c r="P189" s="152">
        <v>0</v>
      </c>
      <c r="Q189" s="153">
        <v>100</v>
      </c>
      <c r="R189" s="154">
        <v>0</v>
      </c>
      <c r="S189" s="38">
        <f t="shared" si="22"/>
        <v>5</v>
      </c>
      <c r="T189" s="39">
        <f t="shared" si="23"/>
        <v>6</v>
      </c>
      <c r="U189" s="40">
        <f t="shared" si="24"/>
        <v>0</v>
      </c>
      <c r="V189" s="40">
        <f t="shared" si="25"/>
        <v>0</v>
      </c>
      <c r="W189" s="40">
        <f t="shared" si="26"/>
        <v>0</v>
      </c>
      <c r="X189" s="40">
        <f t="shared" si="27"/>
        <v>0</v>
      </c>
      <c r="Y189" s="40">
        <f t="shared" si="28"/>
        <v>0</v>
      </c>
      <c r="Z189" s="40">
        <f t="shared" si="29"/>
        <v>0</v>
      </c>
      <c r="AA189" s="40">
        <f t="shared" si="30"/>
        <v>0</v>
      </c>
      <c r="AB189" s="40">
        <f t="shared" si="31"/>
        <v>0</v>
      </c>
      <c r="AC189" s="41">
        <f t="shared" si="32"/>
        <v>0</v>
      </c>
      <c r="AD189" s="49"/>
      <c r="AE189" s="50"/>
      <c r="AF189" s="49" t="s">
        <v>5</v>
      </c>
      <c r="AG189" s="50" t="s">
        <v>154</v>
      </c>
      <c r="AH189" s="49"/>
      <c r="AI189" s="50"/>
      <c r="AJ189" s="49" t="s">
        <v>5</v>
      </c>
      <c r="AK189" s="50" t="s">
        <v>714</v>
      </c>
      <c r="AL189" s="49"/>
      <c r="AM189" s="50"/>
      <c r="AN189" s="49"/>
      <c r="AO189" s="50"/>
      <c r="AP189" s="49"/>
      <c r="AQ189" s="50"/>
      <c r="AR189" s="49" t="s">
        <v>5</v>
      </c>
      <c r="AS189" s="50" t="s">
        <v>102</v>
      </c>
      <c r="AT189" s="49"/>
      <c r="AU189" s="50"/>
      <c r="AV189" s="49" t="s">
        <v>1</v>
      </c>
      <c r="AW189" s="50" t="s">
        <v>77</v>
      </c>
      <c r="AX189" s="49"/>
      <c r="AY189" s="50"/>
      <c r="AZ189" s="49" t="s">
        <v>5</v>
      </c>
      <c r="BA189" s="50" t="s">
        <v>76</v>
      </c>
      <c r="BB189" s="49"/>
      <c r="BC189" s="50"/>
      <c r="BD189" s="49" t="s">
        <v>5</v>
      </c>
      <c r="BE189" s="50" t="s">
        <v>120</v>
      </c>
      <c r="BF189" s="49"/>
      <c r="BG189" s="50"/>
      <c r="BH189" s="49" t="s">
        <v>1</v>
      </c>
      <c r="BI189" s="50" t="s">
        <v>94</v>
      </c>
      <c r="BJ189" s="49"/>
      <c r="BK189" s="50"/>
      <c r="BL189" s="49"/>
      <c r="BM189" s="50"/>
      <c r="BN189" s="49" t="s">
        <v>1</v>
      </c>
      <c r="BO189" s="50" t="s">
        <v>107</v>
      </c>
      <c r="BP189" s="49"/>
      <c r="BQ189" s="50"/>
      <c r="BR189" s="49" t="s">
        <v>5</v>
      </c>
      <c r="BS189" s="50" t="s">
        <v>140</v>
      </c>
      <c r="BT189" s="49"/>
      <c r="BU189" s="50"/>
      <c r="BV189" s="49" t="s">
        <v>1</v>
      </c>
      <c r="BW189" s="50" t="s">
        <v>122</v>
      </c>
      <c r="BX189" s="49"/>
      <c r="BY189" s="50"/>
      <c r="BZ189" s="49" t="s">
        <v>1</v>
      </c>
      <c r="CA189" s="50" t="s">
        <v>124</v>
      </c>
    </row>
    <row r="190" spans="1:79" x14ac:dyDescent="0.25">
      <c r="A190" s="76">
        <v>151798</v>
      </c>
      <c r="B190" s="77" t="s">
        <v>1149</v>
      </c>
      <c r="C190" s="78" t="s">
        <v>963</v>
      </c>
      <c r="D190" s="76" t="s">
        <v>70</v>
      </c>
      <c r="E190" s="79" t="s">
        <v>87</v>
      </c>
      <c r="F190" s="79" t="s">
        <v>88</v>
      </c>
      <c r="G190" s="79" t="s">
        <v>87</v>
      </c>
      <c r="H190" s="79" t="s">
        <v>87</v>
      </c>
      <c r="I190" s="78" t="s">
        <v>14</v>
      </c>
      <c r="J190" s="79" t="s">
        <v>14</v>
      </c>
      <c r="K190" s="142" t="s">
        <v>1850</v>
      </c>
      <c r="L190" s="149" t="s">
        <v>1846</v>
      </c>
      <c r="M190" s="150" t="s">
        <v>1853</v>
      </c>
      <c r="N190" s="151">
        <v>16</v>
      </c>
      <c r="O190" s="151">
        <v>0</v>
      </c>
      <c r="P190" s="152">
        <v>1</v>
      </c>
      <c r="Q190" s="153">
        <v>100</v>
      </c>
      <c r="R190" s="154">
        <v>0</v>
      </c>
      <c r="S190" s="38">
        <f t="shared" si="22"/>
        <v>2</v>
      </c>
      <c r="T190" s="39">
        <f t="shared" si="23"/>
        <v>9</v>
      </c>
      <c r="U190" s="40">
        <f t="shared" si="24"/>
        <v>0</v>
      </c>
      <c r="V190" s="40">
        <f t="shared" si="25"/>
        <v>0</v>
      </c>
      <c r="W190" s="40">
        <f t="shared" si="26"/>
        <v>0</v>
      </c>
      <c r="X190" s="40">
        <f t="shared" si="27"/>
        <v>0</v>
      </c>
      <c r="Y190" s="40">
        <f t="shared" si="28"/>
        <v>0</v>
      </c>
      <c r="Z190" s="40">
        <f t="shared" si="29"/>
        <v>0</v>
      </c>
      <c r="AA190" s="40">
        <f t="shared" si="30"/>
        <v>0</v>
      </c>
      <c r="AB190" s="40">
        <f t="shared" si="31"/>
        <v>0</v>
      </c>
      <c r="AC190" s="41">
        <f t="shared" si="32"/>
        <v>0</v>
      </c>
      <c r="AD190" s="49" t="s">
        <v>5</v>
      </c>
      <c r="AE190" s="50" t="s">
        <v>72</v>
      </c>
      <c r="AF190" s="49" t="s">
        <v>5</v>
      </c>
      <c r="AG190" s="50" t="s">
        <v>438</v>
      </c>
      <c r="AH190" s="49"/>
      <c r="AI190" s="50"/>
      <c r="AJ190" s="49" t="s">
        <v>5</v>
      </c>
      <c r="AK190" s="50" t="s">
        <v>83</v>
      </c>
      <c r="AL190" s="49" t="s">
        <v>5</v>
      </c>
      <c r="AM190" s="50" t="s">
        <v>436</v>
      </c>
      <c r="AN190" s="49"/>
      <c r="AO190" s="50"/>
      <c r="AP190" s="49"/>
      <c r="AQ190" s="50"/>
      <c r="AR190" s="49" t="s">
        <v>5</v>
      </c>
      <c r="AS190" s="50" t="s">
        <v>151</v>
      </c>
      <c r="AT190" s="49"/>
      <c r="AU190" s="50"/>
      <c r="AV190" s="49" t="s">
        <v>5</v>
      </c>
      <c r="AW190" s="50" t="s">
        <v>495</v>
      </c>
      <c r="AX190" s="49" t="s">
        <v>1</v>
      </c>
      <c r="AY190" s="50" t="s">
        <v>143</v>
      </c>
      <c r="AZ190" s="49"/>
      <c r="BA190" s="50"/>
      <c r="BB190" s="49"/>
      <c r="BC190" s="50"/>
      <c r="BD190" s="49"/>
      <c r="BE190" s="50"/>
      <c r="BF190" s="49"/>
      <c r="BG190" s="50"/>
      <c r="BH190" s="49" t="s">
        <v>5</v>
      </c>
      <c r="BI190" s="50" t="s">
        <v>711</v>
      </c>
      <c r="BJ190" s="49"/>
      <c r="BK190" s="50"/>
      <c r="BL190" s="49"/>
      <c r="BM190" s="50"/>
      <c r="BN190" s="49" t="s">
        <v>5</v>
      </c>
      <c r="BO190" s="50" t="s">
        <v>81</v>
      </c>
      <c r="BP190" s="49"/>
      <c r="BQ190" s="50"/>
      <c r="BR190" s="49" t="s">
        <v>5</v>
      </c>
      <c r="BS190" s="50" t="s">
        <v>123</v>
      </c>
      <c r="BT190" s="49"/>
      <c r="BU190" s="50"/>
      <c r="BV190" s="49" t="s">
        <v>1</v>
      </c>
      <c r="BW190" s="50" t="s">
        <v>97</v>
      </c>
      <c r="BX190" s="49"/>
      <c r="BY190" s="50"/>
      <c r="BZ190" s="49"/>
      <c r="CA190" s="50"/>
    </row>
    <row r="191" spans="1:79" x14ac:dyDescent="0.25">
      <c r="A191" s="76">
        <v>151882</v>
      </c>
      <c r="B191" s="77" t="s">
        <v>1150</v>
      </c>
      <c r="C191" s="78" t="s">
        <v>961</v>
      </c>
      <c r="D191" s="76" t="s">
        <v>12</v>
      </c>
      <c r="E191" s="79" t="s">
        <v>14</v>
      </c>
      <c r="F191" s="79" t="s">
        <v>220</v>
      </c>
      <c r="G191" s="79" t="s">
        <v>87</v>
      </c>
      <c r="H191" s="79" t="s">
        <v>14</v>
      </c>
      <c r="I191" s="78" t="s">
        <v>14</v>
      </c>
      <c r="J191" s="79" t="s">
        <v>14</v>
      </c>
      <c r="K191" s="142" t="s">
        <v>1850</v>
      </c>
      <c r="L191" s="149" t="s">
        <v>1842</v>
      </c>
      <c r="M191" s="150" t="s">
        <v>1853</v>
      </c>
      <c r="N191" s="151">
        <v>17</v>
      </c>
      <c r="O191" s="151">
        <v>0</v>
      </c>
      <c r="P191" s="152">
        <v>0</v>
      </c>
      <c r="Q191" s="153">
        <v>100</v>
      </c>
      <c r="R191" s="154">
        <v>0</v>
      </c>
      <c r="S191" s="38">
        <f t="shared" si="22"/>
        <v>2</v>
      </c>
      <c r="T191" s="39">
        <f t="shared" si="23"/>
        <v>9</v>
      </c>
      <c r="U191" s="40">
        <f t="shared" si="24"/>
        <v>0</v>
      </c>
      <c r="V191" s="40">
        <f t="shared" si="25"/>
        <v>0</v>
      </c>
      <c r="W191" s="40">
        <f t="shared" si="26"/>
        <v>0</v>
      </c>
      <c r="X191" s="40">
        <f t="shared" si="27"/>
        <v>0</v>
      </c>
      <c r="Y191" s="40">
        <f t="shared" si="28"/>
        <v>0</v>
      </c>
      <c r="Z191" s="40">
        <f t="shared" si="29"/>
        <v>0</v>
      </c>
      <c r="AA191" s="40">
        <f t="shared" si="30"/>
        <v>0</v>
      </c>
      <c r="AB191" s="40">
        <f t="shared" si="31"/>
        <v>0</v>
      </c>
      <c r="AC191" s="41">
        <f t="shared" si="32"/>
        <v>0</v>
      </c>
      <c r="AD191" s="49"/>
      <c r="AE191" s="50"/>
      <c r="AF191" s="49" t="s">
        <v>5</v>
      </c>
      <c r="AG191" s="50" t="s">
        <v>433</v>
      </c>
      <c r="AH191" s="49" t="s">
        <v>5</v>
      </c>
      <c r="AI191" s="50" t="s">
        <v>131</v>
      </c>
      <c r="AJ191" s="49" t="s">
        <v>5</v>
      </c>
      <c r="AK191" s="50" t="s">
        <v>419</v>
      </c>
      <c r="AL191" s="49"/>
      <c r="AM191" s="50"/>
      <c r="AN191" s="49"/>
      <c r="AO191" s="50"/>
      <c r="AP191" s="49"/>
      <c r="AQ191" s="50"/>
      <c r="AR191" s="49" t="s">
        <v>5</v>
      </c>
      <c r="AS191" s="50" t="s">
        <v>142</v>
      </c>
      <c r="AT191" s="49"/>
      <c r="AU191" s="50"/>
      <c r="AV191" s="49" t="s">
        <v>5</v>
      </c>
      <c r="AW191" s="50" t="s">
        <v>139</v>
      </c>
      <c r="AX191" s="49"/>
      <c r="AY191" s="50"/>
      <c r="AZ191" s="49"/>
      <c r="BA191" s="50"/>
      <c r="BB191" s="49"/>
      <c r="BC191" s="50"/>
      <c r="BD191" s="49"/>
      <c r="BE191" s="50"/>
      <c r="BF191" s="49" t="s">
        <v>1</v>
      </c>
      <c r="BG191" s="50" t="s">
        <v>105</v>
      </c>
      <c r="BH191" s="49" t="s">
        <v>5</v>
      </c>
      <c r="BI191" s="50" t="s">
        <v>711</v>
      </c>
      <c r="BJ191" s="49"/>
      <c r="BK191" s="50"/>
      <c r="BL191" s="49"/>
      <c r="BM191" s="50"/>
      <c r="BN191" s="49" t="s">
        <v>1</v>
      </c>
      <c r="BO191" s="50" t="s">
        <v>96</v>
      </c>
      <c r="BP191" s="49"/>
      <c r="BQ191" s="50"/>
      <c r="BR191" s="49" t="s">
        <v>5</v>
      </c>
      <c r="BS191" s="50" t="s">
        <v>140</v>
      </c>
      <c r="BT191" s="49"/>
      <c r="BU191" s="50"/>
      <c r="BV191" s="49" t="s">
        <v>5</v>
      </c>
      <c r="BW191" s="50" t="s">
        <v>122</v>
      </c>
      <c r="BX191" s="49"/>
      <c r="BY191" s="50"/>
      <c r="BZ191" s="49" t="s">
        <v>5</v>
      </c>
      <c r="CA191" s="50" t="s">
        <v>75</v>
      </c>
    </row>
    <row r="192" spans="1:79" x14ac:dyDescent="0.25">
      <c r="A192" s="76">
        <v>151901</v>
      </c>
      <c r="B192" s="77" t="s">
        <v>1151</v>
      </c>
      <c r="C192" s="78" t="s">
        <v>970</v>
      </c>
      <c r="D192" s="76" t="s">
        <v>12</v>
      </c>
      <c r="E192" s="79" t="s">
        <v>14</v>
      </c>
      <c r="F192" s="79" t="s">
        <v>220</v>
      </c>
      <c r="G192" s="79" t="s">
        <v>87</v>
      </c>
      <c r="H192" s="79" t="s">
        <v>14</v>
      </c>
      <c r="I192" s="78" t="s">
        <v>14</v>
      </c>
      <c r="J192" s="79" t="s">
        <v>14</v>
      </c>
      <c r="K192" s="142" t="s">
        <v>1850</v>
      </c>
      <c r="L192" s="149" t="s">
        <v>1842</v>
      </c>
      <c r="M192" s="150" t="s">
        <v>1853</v>
      </c>
      <c r="N192" s="151">
        <v>16</v>
      </c>
      <c r="O192" s="151">
        <v>0</v>
      </c>
      <c r="P192" s="152">
        <v>0</v>
      </c>
      <c r="Q192" s="153">
        <v>100</v>
      </c>
      <c r="R192" s="154">
        <v>0</v>
      </c>
      <c r="S192" s="38">
        <f t="shared" si="22"/>
        <v>3</v>
      </c>
      <c r="T192" s="39">
        <f t="shared" si="23"/>
        <v>8</v>
      </c>
      <c r="U192" s="40">
        <f t="shared" si="24"/>
        <v>0</v>
      </c>
      <c r="V192" s="40">
        <f t="shared" si="25"/>
        <v>0</v>
      </c>
      <c r="W192" s="40">
        <f t="shared" si="26"/>
        <v>0</v>
      </c>
      <c r="X192" s="40">
        <f t="shared" si="27"/>
        <v>0</v>
      </c>
      <c r="Y192" s="40">
        <f t="shared" si="28"/>
        <v>0</v>
      </c>
      <c r="Z192" s="40">
        <f t="shared" si="29"/>
        <v>0</v>
      </c>
      <c r="AA192" s="40">
        <f t="shared" si="30"/>
        <v>0</v>
      </c>
      <c r="AB192" s="40">
        <f t="shared" si="31"/>
        <v>0</v>
      </c>
      <c r="AC192" s="41">
        <f t="shared" si="32"/>
        <v>0</v>
      </c>
      <c r="AD192" s="49"/>
      <c r="AE192" s="50"/>
      <c r="AF192" s="49" t="s">
        <v>5</v>
      </c>
      <c r="AG192" s="50" t="s">
        <v>433</v>
      </c>
      <c r="AH192" s="49" t="s">
        <v>5</v>
      </c>
      <c r="AI192" s="50" t="s">
        <v>131</v>
      </c>
      <c r="AJ192" s="49" t="s">
        <v>5</v>
      </c>
      <c r="AK192" s="50" t="s">
        <v>419</v>
      </c>
      <c r="AL192" s="49"/>
      <c r="AM192" s="50"/>
      <c r="AN192" s="49"/>
      <c r="AO192" s="50"/>
      <c r="AP192" s="49"/>
      <c r="AQ192" s="50"/>
      <c r="AR192" s="49" t="s">
        <v>5</v>
      </c>
      <c r="AS192" s="50" t="s">
        <v>74</v>
      </c>
      <c r="AT192" s="49"/>
      <c r="AU192" s="50"/>
      <c r="AV192" s="49" t="s">
        <v>5</v>
      </c>
      <c r="AW192" s="50" t="s">
        <v>140</v>
      </c>
      <c r="AX192" s="49"/>
      <c r="AY192" s="50"/>
      <c r="AZ192" s="49"/>
      <c r="BA192" s="50"/>
      <c r="BB192" s="49" t="s">
        <v>1</v>
      </c>
      <c r="BC192" s="50" t="s">
        <v>420</v>
      </c>
      <c r="BD192" s="49"/>
      <c r="BE192" s="50"/>
      <c r="BF192" s="49"/>
      <c r="BG192" s="50"/>
      <c r="BH192" s="49" t="s">
        <v>1</v>
      </c>
      <c r="BI192" s="50" t="s">
        <v>94</v>
      </c>
      <c r="BJ192" s="49"/>
      <c r="BK192" s="50"/>
      <c r="BL192" s="49"/>
      <c r="BM192" s="50"/>
      <c r="BN192" s="49" t="s">
        <v>1</v>
      </c>
      <c r="BO192" s="50" t="s">
        <v>96</v>
      </c>
      <c r="BP192" s="49"/>
      <c r="BQ192" s="50"/>
      <c r="BR192" s="49" t="s">
        <v>5</v>
      </c>
      <c r="BS192" s="50" t="s">
        <v>140</v>
      </c>
      <c r="BT192" s="49"/>
      <c r="BU192" s="50"/>
      <c r="BV192" s="49" t="s">
        <v>5</v>
      </c>
      <c r="BW192" s="50" t="s">
        <v>132</v>
      </c>
      <c r="BX192" s="49"/>
      <c r="BY192" s="50"/>
      <c r="BZ192" s="49" t="s">
        <v>5</v>
      </c>
      <c r="CA192" s="50" t="s">
        <v>75</v>
      </c>
    </row>
    <row r="193" spans="1:79" x14ac:dyDescent="0.25">
      <c r="A193" s="76">
        <v>151884</v>
      </c>
      <c r="B193" s="77" t="s">
        <v>1152</v>
      </c>
      <c r="C193" s="78" t="s">
        <v>961</v>
      </c>
      <c r="D193" s="76" t="s">
        <v>12</v>
      </c>
      <c r="E193" s="79" t="s">
        <v>14</v>
      </c>
      <c r="F193" s="77" t="s">
        <v>71</v>
      </c>
      <c r="G193" s="79" t="s">
        <v>14</v>
      </c>
      <c r="H193" s="79" t="s">
        <v>14</v>
      </c>
      <c r="I193" s="78" t="s">
        <v>14</v>
      </c>
      <c r="J193" s="79" t="s">
        <v>14</v>
      </c>
      <c r="K193" s="142" t="s">
        <v>1851</v>
      </c>
      <c r="L193" s="149" t="s">
        <v>1847</v>
      </c>
      <c r="M193" s="150" t="s">
        <v>1852</v>
      </c>
      <c r="N193" s="151">
        <v>16</v>
      </c>
      <c r="O193" s="151">
        <v>0</v>
      </c>
      <c r="P193" s="152">
        <v>0</v>
      </c>
      <c r="Q193" s="153">
        <v>91.3</v>
      </c>
      <c r="R193" s="154">
        <v>0</v>
      </c>
      <c r="S193" s="38">
        <f t="shared" si="22"/>
        <v>3</v>
      </c>
      <c r="T193" s="39">
        <f t="shared" si="23"/>
        <v>6</v>
      </c>
      <c r="U193" s="40">
        <f t="shared" si="24"/>
        <v>0</v>
      </c>
      <c r="V193" s="40">
        <f t="shared" si="25"/>
        <v>0</v>
      </c>
      <c r="W193" s="40">
        <f t="shared" si="26"/>
        <v>0</v>
      </c>
      <c r="X193" s="40">
        <f t="shared" si="27"/>
        <v>0</v>
      </c>
      <c r="Y193" s="40">
        <f t="shared" si="28"/>
        <v>0</v>
      </c>
      <c r="Z193" s="40">
        <f t="shared" si="29"/>
        <v>0</v>
      </c>
      <c r="AA193" s="40">
        <f t="shared" si="30"/>
        <v>0</v>
      </c>
      <c r="AB193" s="40">
        <f t="shared" si="31"/>
        <v>0</v>
      </c>
      <c r="AC193" s="41">
        <f t="shared" si="32"/>
        <v>0</v>
      </c>
      <c r="AD193" s="49" t="s">
        <v>1</v>
      </c>
      <c r="AE193" s="50" t="s">
        <v>72</v>
      </c>
      <c r="AF193" s="49"/>
      <c r="AG193" s="50"/>
      <c r="AH193" s="49"/>
      <c r="AI193" s="50"/>
      <c r="AJ193" s="49"/>
      <c r="AK193" s="50"/>
      <c r="AL193" s="49"/>
      <c r="AM193" s="50"/>
      <c r="AN193" s="49"/>
      <c r="AO193" s="50"/>
      <c r="AP193" s="49"/>
      <c r="AQ193" s="50"/>
      <c r="AR193" s="49" t="s">
        <v>5</v>
      </c>
      <c r="AS193" s="50" t="s">
        <v>91</v>
      </c>
      <c r="AT193" s="49"/>
      <c r="AU193" s="50"/>
      <c r="AV193" s="49" t="s">
        <v>5</v>
      </c>
      <c r="AW193" s="50" t="s">
        <v>139</v>
      </c>
      <c r="AX193" s="49"/>
      <c r="AY193" s="50"/>
      <c r="AZ193" s="49"/>
      <c r="BA193" s="50"/>
      <c r="BB193" s="49"/>
      <c r="BC193" s="50"/>
      <c r="BD193" s="49" t="s">
        <v>1</v>
      </c>
      <c r="BE193" s="50" t="s">
        <v>120</v>
      </c>
      <c r="BF193" s="49"/>
      <c r="BG193" s="50"/>
      <c r="BH193" s="49" t="s">
        <v>5</v>
      </c>
      <c r="BI193" s="50" t="s">
        <v>505</v>
      </c>
      <c r="BJ193" s="49"/>
      <c r="BK193" s="50"/>
      <c r="BL193" s="49"/>
      <c r="BM193" s="50"/>
      <c r="BN193" s="49" t="s">
        <v>1</v>
      </c>
      <c r="BO193" s="50" t="s">
        <v>96</v>
      </c>
      <c r="BP193" s="49"/>
      <c r="BQ193" s="50"/>
      <c r="BR193" s="49"/>
      <c r="BS193" s="50"/>
      <c r="BT193" s="49"/>
      <c r="BU193" s="50"/>
      <c r="BV193" s="49" t="s">
        <v>5</v>
      </c>
      <c r="BW193" s="50" t="s">
        <v>457</v>
      </c>
      <c r="BX193" s="49" t="s">
        <v>5</v>
      </c>
      <c r="BY193" s="50" t="s">
        <v>137</v>
      </c>
      <c r="BZ193" s="49" t="s">
        <v>5</v>
      </c>
      <c r="CA193" s="50" t="s">
        <v>75</v>
      </c>
    </row>
    <row r="194" spans="1:79" x14ac:dyDescent="0.25">
      <c r="A194" s="76">
        <v>151753</v>
      </c>
      <c r="B194" s="77" t="s">
        <v>1153</v>
      </c>
      <c r="C194" s="78" t="s">
        <v>970</v>
      </c>
      <c r="D194" s="76" t="s">
        <v>70</v>
      </c>
      <c r="E194" s="79" t="s">
        <v>14</v>
      </c>
      <c r="F194" s="77" t="s">
        <v>71</v>
      </c>
      <c r="G194" s="79" t="s">
        <v>87</v>
      </c>
      <c r="H194" s="79" t="s">
        <v>14</v>
      </c>
      <c r="I194" s="78" t="s">
        <v>14</v>
      </c>
      <c r="J194" s="79" t="s">
        <v>14</v>
      </c>
      <c r="K194" s="142" t="s">
        <v>1850</v>
      </c>
      <c r="L194" s="149" t="s">
        <v>1848</v>
      </c>
      <c r="M194" s="150" t="s">
        <v>1852</v>
      </c>
      <c r="N194" s="151">
        <v>15</v>
      </c>
      <c r="O194" s="151">
        <v>5</v>
      </c>
      <c r="P194" s="152">
        <v>2</v>
      </c>
      <c r="Q194" s="153">
        <v>91.11</v>
      </c>
      <c r="R194" s="154">
        <v>16</v>
      </c>
      <c r="S194" s="38">
        <f t="shared" ref="S194:S214" si="33">COUNTIF($AD194:$CA194,"Outstanding")</f>
        <v>0</v>
      </c>
      <c r="T194" s="39">
        <f t="shared" ref="T194:T214" si="34">COUNTIF($AD194:$CA194,"Good")</f>
        <v>5</v>
      </c>
      <c r="U194" s="40">
        <f t="shared" ref="U194:U214" si="35">COUNTIF($AD194:$CA194,"N2Improve - Engagement")</f>
        <v>5</v>
      </c>
      <c r="V194" s="40">
        <f t="shared" ref="V194:V214" si="36">COUNTIF($AD194:$CA194,"N2Improve - Community Conduct")</f>
        <v>0</v>
      </c>
      <c r="W194" s="40">
        <f t="shared" ref="W194:W214" si="37">COUNTIF($AD194:$CA194,"N2Improve - Personal Org.")</f>
        <v>0</v>
      </c>
      <c r="X194" s="40">
        <f t="shared" ref="X194:X214" si="38">SUM(U194:W194)</f>
        <v>5</v>
      </c>
      <c r="Y194" s="40">
        <f t="shared" ref="Y194:Y214" si="39">COUNTIF($AD194:$CA194,"Serious Conc - Engagement")</f>
        <v>0</v>
      </c>
      <c r="Z194" s="40">
        <f t="shared" ref="Z194:Z214" si="40">COUNTIF($AD194:$CA194,"Serious Conc - Comm. Concern")</f>
        <v>0</v>
      </c>
      <c r="AA194" s="40">
        <f t="shared" ref="AA194:AA214" si="41">COUNTIF($AD194:$CA194,"Serious Conc - Personal Org.")</f>
        <v>0</v>
      </c>
      <c r="AB194" s="40">
        <f t="shared" ref="AB194:AB214" si="42">SUM(Y194:AA194)</f>
        <v>0</v>
      </c>
      <c r="AC194" s="41">
        <f t="shared" si="32"/>
        <v>0</v>
      </c>
      <c r="AD194" s="49"/>
      <c r="AE194" s="50"/>
      <c r="AF194" s="49"/>
      <c r="AG194" s="50"/>
      <c r="AH194" s="49"/>
      <c r="AI194" s="50"/>
      <c r="AJ194" s="49"/>
      <c r="AK194" s="50"/>
      <c r="AL194" s="49" t="s">
        <v>30</v>
      </c>
      <c r="AM194" s="50" t="s">
        <v>436</v>
      </c>
      <c r="AN194" s="49"/>
      <c r="AO194" s="50"/>
      <c r="AP194" s="49"/>
      <c r="AQ194" s="50"/>
      <c r="AR194" s="49" t="s">
        <v>30</v>
      </c>
      <c r="AS194" s="50" t="s">
        <v>722</v>
      </c>
      <c r="AT194" s="49" t="s">
        <v>5</v>
      </c>
      <c r="AU194" s="50" t="s">
        <v>73</v>
      </c>
      <c r="AV194" s="49" t="s">
        <v>5</v>
      </c>
      <c r="AW194" s="50" t="s">
        <v>140</v>
      </c>
      <c r="AX194" s="49"/>
      <c r="AY194" s="50"/>
      <c r="AZ194" s="49"/>
      <c r="BA194" s="50"/>
      <c r="BB194" s="49" t="s">
        <v>30</v>
      </c>
      <c r="BC194" s="50" t="s">
        <v>425</v>
      </c>
      <c r="BD194" s="49"/>
      <c r="BE194" s="50"/>
      <c r="BF194" s="49"/>
      <c r="BG194" s="50"/>
      <c r="BH194" s="49" t="s">
        <v>30</v>
      </c>
      <c r="BI194" s="50" t="s">
        <v>79</v>
      </c>
      <c r="BJ194" s="49"/>
      <c r="BK194" s="50"/>
      <c r="BL194" s="49"/>
      <c r="BM194" s="50"/>
      <c r="BN194" s="49" t="s">
        <v>30</v>
      </c>
      <c r="BO194" s="50" t="s">
        <v>152</v>
      </c>
      <c r="BP194" s="49"/>
      <c r="BQ194" s="50"/>
      <c r="BR194" s="49"/>
      <c r="BS194" s="50"/>
      <c r="BT194" s="49"/>
      <c r="BU194" s="50"/>
      <c r="BV194" s="49" t="s">
        <v>5</v>
      </c>
      <c r="BW194" s="50" t="s">
        <v>82</v>
      </c>
      <c r="BX194" s="49" t="s">
        <v>5</v>
      </c>
      <c r="BY194" s="50" t="s">
        <v>164</v>
      </c>
      <c r="BZ194" s="49" t="s">
        <v>5</v>
      </c>
      <c r="CA194" s="50" t="s">
        <v>124</v>
      </c>
    </row>
    <row r="195" spans="1:79" x14ac:dyDescent="0.25">
      <c r="A195" s="76">
        <v>151956</v>
      </c>
      <c r="B195" s="77" t="s">
        <v>1154</v>
      </c>
      <c r="C195" s="78" t="s">
        <v>957</v>
      </c>
      <c r="D195" s="76" t="s">
        <v>12</v>
      </c>
      <c r="E195" s="79" t="s">
        <v>14</v>
      </c>
      <c r="F195" s="79" t="s">
        <v>71</v>
      </c>
      <c r="G195" s="79" t="s">
        <v>14</v>
      </c>
      <c r="H195" s="79" t="s">
        <v>14</v>
      </c>
      <c r="I195" s="78" t="s">
        <v>14</v>
      </c>
      <c r="J195" s="79" t="s">
        <v>14</v>
      </c>
      <c r="K195" s="142" t="s">
        <v>1850</v>
      </c>
      <c r="L195" s="149" t="s">
        <v>1842</v>
      </c>
      <c r="M195" s="150" t="s">
        <v>12</v>
      </c>
      <c r="N195" s="151">
        <v>19</v>
      </c>
      <c r="O195" s="151">
        <v>0</v>
      </c>
      <c r="P195" s="152">
        <v>0</v>
      </c>
      <c r="Q195" s="153">
        <v>100</v>
      </c>
      <c r="R195" s="154">
        <v>0</v>
      </c>
      <c r="S195" s="38">
        <f t="shared" si="33"/>
        <v>2</v>
      </c>
      <c r="T195" s="39">
        <f t="shared" si="34"/>
        <v>9</v>
      </c>
      <c r="U195" s="40">
        <f t="shared" si="35"/>
        <v>0</v>
      </c>
      <c r="V195" s="40">
        <f t="shared" si="36"/>
        <v>0</v>
      </c>
      <c r="W195" s="40">
        <f t="shared" si="37"/>
        <v>0</v>
      </c>
      <c r="X195" s="40">
        <f t="shared" si="38"/>
        <v>0</v>
      </c>
      <c r="Y195" s="40">
        <f t="shared" si="39"/>
        <v>0</v>
      </c>
      <c r="Z195" s="40">
        <f t="shared" si="40"/>
        <v>0</v>
      </c>
      <c r="AA195" s="40">
        <f t="shared" si="41"/>
        <v>0</v>
      </c>
      <c r="AB195" s="40">
        <f t="shared" si="42"/>
        <v>0</v>
      </c>
      <c r="AC195" s="41">
        <f t="shared" ref="AC195:AC214" si="43">COUNTIF(AD195:CA195,"*still*")</f>
        <v>0</v>
      </c>
      <c r="AD195" s="49"/>
      <c r="AE195" s="50"/>
      <c r="AF195" s="49" t="s">
        <v>5</v>
      </c>
      <c r="AG195" s="50" t="s">
        <v>154</v>
      </c>
      <c r="AH195" s="49"/>
      <c r="AI195" s="50"/>
      <c r="AJ195" s="49" t="s">
        <v>5</v>
      </c>
      <c r="AK195" s="50" t="s">
        <v>714</v>
      </c>
      <c r="AL195" s="49"/>
      <c r="AM195" s="50"/>
      <c r="AN195" s="49" t="s">
        <v>5</v>
      </c>
      <c r="AO195" s="50" t="s">
        <v>163</v>
      </c>
      <c r="AP195" s="49"/>
      <c r="AQ195" s="50"/>
      <c r="AR195" s="49" t="s">
        <v>5</v>
      </c>
      <c r="AS195" s="50" t="s">
        <v>142</v>
      </c>
      <c r="AT195" s="49"/>
      <c r="AU195" s="50"/>
      <c r="AV195" s="49" t="s">
        <v>5</v>
      </c>
      <c r="AW195" s="50" t="s">
        <v>77</v>
      </c>
      <c r="AX195" s="49"/>
      <c r="AY195" s="50"/>
      <c r="AZ195" s="49" t="s">
        <v>5</v>
      </c>
      <c r="BA195" s="50" t="s">
        <v>76</v>
      </c>
      <c r="BB195" s="49"/>
      <c r="BC195" s="50"/>
      <c r="BD195" s="49"/>
      <c r="BE195" s="50"/>
      <c r="BF195" s="49"/>
      <c r="BG195" s="50"/>
      <c r="BH195" s="49" t="s">
        <v>5</v>
      </c>
      <c r="BI195" s="50" t="s">
        <v>112</v>
      </c>
      <c r="BJ195" s="49"/>
      <c r="BK195" s="50"/>
      <c r="BL195" s="49"/>
      <c r="BM195" s="50"/>
      <c r="BN195" s="49" t="s">
        <v>1</v>
      </c>
      <c r="BO195" s="50" t="s">
        <v>96</v>
      </c>
      <c r="BP195" s="49"/>
      <c r="BQ195" s="50"/>
      <c r="BR195" s="49" t="s">
        <v>5</v>
      </c>
      <c r="BS195" s="50" t="s">
        <v>140</v>
      </c>
      <c r="BT195" s="49"/>
      <c r="BU195" s="50"/>
      <c r="BV195" s="49" t="s">
        <v>1</v>
      </c>
      <c r="BW195" s="50" t="s">
        <v>715</v>
      </c>
      <c r="BX195" s="49"/>
      <c r="BY195" s="50"/>
      <c r="BZ195" s="49" t="s">
        <v>5</v>
      </c>
      <c r="CA195" s="50" t="s">
        <v>75</v>
      </c>
    </row>
    <row r="196" spans="1:79" x14ac:dyDescent="0.25">
      <c r="A196" s="76">
        <v>151785</v>
      </c>
      <c r="B196" s="77" t="s">
        <v>1155</v>
      </c>
      <c r="C196" s="78" t="s">
        <v>952</v>
      </c>
      <c r="D196" s="76" t="s">
        <v>70</v>
      </c>
      <c r="E196" s="79" t="s">
        <v>14</v>
      </c>
      <c r="F196" s="79" t="s">
        <v>275</v>
      </c>
      <c r="G196" s="79" t="s">
        <v>14</v>
      </c>
      <c r="H196" s="79" t="s">
        <v>14</v>
      </c>
      <c r="I196" s="78" t="s">
        <v>14</v>
      </c>
      <c r="J196" s="79" t="s">
        <v>14</v>
      </c>
      <c r="K196" s="142" t="s">
        <v>1850</v>
      </c>
      <c r="L196" s="149" t="s">
        <v>1844</v>
      </c>
      <c r="M196" s="150" t="s">
        <v>12</v>
      </c>
      <c r="N196" s="151">
        <v>19</v>
      </c>
      <c r="O196" s="151">
        <v>0</v>
      </c>
      <c r="P196" s="152">
        <v>1</v>
      </c>
      <c r="Q196" s="153">
        <v>91.3</v>
      </c>
      <c r="R196" s="154">
        <v>0</v>
      </c>
      <c r="S196" s="38">
        <f t="shared" si="33"/>
        <v>2</v>
      </c>
      <c r="T196" s="39">
        <f t="shared" si="34"/>
        <v>8</v>
      </c>
      <c r="U196" s="40">
        <f t="shared" si="35"/>
        <v>0</v>
      </c>
      <c r="V196" s="40">
        <f t="shared" si="36"/>
        <v>0</v>
      </c>
      <c r="W196" s="40">
        <f t="shared" si="37"/>
        <v>0</v>
      </c>
      <c r="X196" s="40">
        <f t="shared" si="38"/>
        <v>0</v>
      </c>
      <c r="Y196" s="40">
        <f t="shared" si="39"/>
        <v>0</v>
      </c>
      <c r="Z196" s="40">
        <f t="shared" si="40"/>
        <v>0</v>
      </c>
      <c r="AA196" s="40">
        <f t="shared" si="41"/>
        <v>0</v>
      </c>
      <c r="AB196" s="40">
        <f t="shared" si="42"/>
        <v>0</v>
      </c>
      <c r="AC196" s="41">
        <f t="shared" si="43"/>
        <v>0</v>
      </c>
      <c r="AD196" s="49" t="s">
        <v>5</v>
      </c>
      <c r="AE196" s="50" t="s">
        <v>116</v>
      </c>
      <c r="AF196" s="49"/>
      <c r="AG196" s="50"/>
      <c r="AH196" s="49" t="s">
        <v>5</v>
      </c>
      <c r="AI196" s="50" t="s">
        <v>78</v>
      </c>
      <c r="AJ196" s="49"/>
      <c r="AK196" s="50"/>
      <c r="AL196" s="49"/>
      <c r="AM196" s="50"/>
      <c r="AN196" s="49" t="s">
        <v>5</v>
      </c>
      <c r="AO196" s="50" t="s">
        <v>163</v>
      </c>
      <c r="AP196" s="49"/>
      <c r="AQ196" s="50"/>
      <c r="AR196" s="49" t="s">
        <v>5</v>
      </c>
      <c r="AS196" s="50" t="s">
        <v>142</v>
      </c>
      <c r="AT196" s="49"/>
      <c r="AU196" s="50"/>
      <c r="AV196" s="49" t="s">
        <v>5</v>
      </c>
      <c r="AW196" s="50" t="s">
        <v>117</v>
      </c>
      <c r="AX196" s="49"/>
      <c r="AY196" s="50"/>
      <c r="AZ196" s="49"/>
      <c r="BA196" s="50"/>
      <c r="BB196" s="49"/>
      <c r="BC196" s="50"/>
      <c r="BD196" s="49"/>
      <c r="BE196" s="50"/>
      <c r="BF196" s="49"/>
      <c r="BG196" s="50"/>
      <c r="BH196" s="49" t="s">
        <v>1</v>
      </c>
      <c r="BI196" s="50" t="s">
        <v>106</v>
      </c>
      <c r="BJ196" s="49"/>
      <c r="BK196" s="50"/>
      <c r="BL196" s="49"/>
      <c r="BM196" s="50"/>
      <c r="BN196" s="49" t="s">
        <v>5</v>
      </c>
      <c r="BO196" s="50" t="s">
        <v>81</v>
      </c>
      <c r="BP196" s="49"/>
      <c r="BQ196" s="50"/>
      <c r="BR196" s="49"/>
      <c r="BS196" s="50"/>
      <c r="BT196" s="49"/>
      <c r="BU196" s="50"/>
      <c r="BV196" s="49" t="s">
        <v>1</v>
      </c>
      <c r="BW196" s="50" t="s">
        <v>97</v>
      </c>
      <c r="BX196" s="49" t="s">
        <v>5</v>
      </c>
      <c r="BY196" s="50" t="s">
        <v>137</v>
      </c>
      <c r="BZ196" s="49" t="s">
        <v>5</v>
      </c>
      <c r="CA196" s="50" t="s">
        <v>75</v>
      </c>
    </row>
    <row r="197" spans="1:79" x14ac:dyDescent="0.25">
      <c r="A197" s="76">
        <v>151893</v>
      </c>
      <c r="B197" s="77" t="s">
        <v>1156</v>
      </c>
      <c r="C197" s="78" t="s">
        <v>950</v>
      </c>
      <c r="D197" s="76" t="s">
        <v>70</v>
      </c>
      <c r="E197" s="79" t="s">
        <v>14</v>
      </c>
      <c r="F197" s="79" t="s">
        <v>198</v>
      </c>
      <c r="G197" s="79" t="s">
        <v>14</v>
      </c>
      <c r="H197" s="79" t="s">
        <v>14</v>
      </c>
      <c r="I197" s="78" t="s">
        <v>14</v>
      </c>
      <c r="J197" s="79" t="s">
        <v>14</v>
      </c>
      <c r="K197" s="142" t="s">
        <v>1850</v>
      </c>
      <c r="L197" s="149" t="s">
        <v>1842</v>
      </c>
      <c r="M197" s="150" t="s">
        <v>12</v>
      </c>
      <c r="N197" s="151">
        <v>13</v>
      </c>
      <c r="O197" s="151">
        <v>0</v>
      </c>
      <c r="P197" s="152">
        <v>0</v>
      </c>
      <c r="Q197" s="153">
        <v>100</v>
      </c>
      <c r="R197" s="154">
        <v>0</v>
      </c>
      <c r="S197" s="38">
        <f t="shared" si="33"/>
        <v>2</v>
      </c>
      <c r="T197" s="39">
        <f t="shared" si="34"/>
        <v>9</v>
      </c>
      <c r="U197" s="40">
        <f t="shared" si="35"/>
        <v>0</v>
      </c>
      <c r="V197" s="40">
        <f t="shared" si="36"/>
        <v>0</v>
      </c>
      <c r="W197" s="40">
        <f t="shared" si="37"/>
        <v>0</v>
      </c>
      <c r="X197" s="40">
        <f t="shared" si="38"/>
        <v>0</v>
      </c>
      <c r="Y197" s="40">
        <f t="shared" si="39"/>
        <v>0</v>
      </c>
      <c r="Z197" s="40">
        <f t="shared" si="40"/>
        <v>0</v>
      </c>
      <c r="AA197" s="40">
        <f t="shared" si="41"/>
        <v>0</v>
      </c>
      <c r="AB197" s="40">
        <f t="shared" si="42"/>
        <v>0</v>
      </c>
      <c r="AC197" s="41">
        <f t="shared" si="43"/>
        <v>0</v>
      </c>
      <c r="AD197" s="49" t="s">
        <v>5</v>
      </c>
      <c r="AE197" s="50" t="s">
        <v>72</v>
      </c>
      <c r="AF197" s="49" t="s">
        <v>5</v>
      </c>
      <c r="AG197" s="50" t="s">
        <v>154</v>
      </c>
      <c r="AH197" s="49"/>
      <c r="AI197" s="50"/>
      <c r="AJ197" s="49" t="s">
        <v>5</v>
      </c>
      <c r="AK197" s="50" t="s">
        <v>714</v>
      </c>
      <c r="AL197" s="49"/>
      <c r="AM197" s="50"/>
      <c r="AN197" s="49"/>
      <c r="AO197" s="50"/>
      <c r="AP197" s="49"/>
      <c r="AQ197" s="50"/>
      <c r="AR197" s="49" t="s">
        <v>5</v>
      </c>
      <c r="AS197" s="50" t="s">
        <v>74</v>
      </c>
      <c r="AT197" s="49"/>
      <c r="AU197" s="50"/>
      <c r="AV197" s="49" t="s">
        <v>1</v>
      </c>
      <c r="AW197" s="50" t="s">
        <v>96</v>
      </c>
      <c r="AX197" s="49" t="s">
        <v>5</v>
      </c>
      <c r="AY197" s="50" t="s">
        <v>143</v>
      </c>
      <c r="AZ197" s="49" t="s">
        <v>5</v>
      </c>
      <c r="BA197" s="50" t="s">
        <v>76</v>
      </c>
      <c r="BB197" s="49"/>
      <c r="BC197" s="50"/>
      <c r="BD197" s="49"/>
      <c r="BE197" s="50"/>
      <c r="BF197" s="49"/>
      <c r="BG197" s="50"/>
      <c r="BH197" s="49" t="s">
        <v>1</v>
      </c>
      <c r="BI197" s="50" t="s">
        <v>94</v>
      </c>
      <c r="BJ197" s="49"/>
      <c r="BK197" s="50"/>
      <c r="BL197" s="49"/>
      <c r="BM197" s="50"/>
      <c r="BN197" s="49" t="s">
        <v>5</v>
      </c>
      <c r="BO197" s="50" t="s">
        <v>81</v>
      </c>
      <c r="BP197" s="49"/>
      <c r="BQ197" s="50"/>
      <c r="BR197" s="49" t="s">
        <v>5</v>
      </c>
      <c r="BS197" s="50" t="s">
        <v>140</v>
      </c>
      <c r="BT197" s="49"/>
      <c r="BU197" s="50"/>
      <c r="BV197" s="49" t="s">
        <v>5</v>
      </c>
      <c r="BW197" s="50" t="s">
        <v>97</v>
      </c>
      <c r="BX197" s="49"/>
      <c r="BY197" s="50"/>
      <c r="BZ197" s="49"/>
      <c r="CA197" s="50"/>
    </row>
    <row r="198" spans="1:79" x14ac:dyDescent="0.25">
      <c r="A198" s="76">
        <v>151909</v>
      </c>
      <c r="B198" s="77" t="s">
        <v>1157</v>
      </c>
      <c r="C198" s="78" t="s">
        <v>954</v>
      </c>
      <c r="D198" s="76" t="s">
        <v>12</v>
      </c>
      <c r="E198" s="79" t="s">
        <v>14</v>
      </c>
      <c r="F198" s="79" t="s">
        <v>71</v>
      </c>
      <c r="G198" s="79" t="s">
        <v>14</v>
      </c>
      <c r="H198" s="79" t="s">
        <v>14</v>
      </c>
      <c r="I198" s="78" t="s">
        <v>14</v>
      </c>
      <c r="J198" s="79" t="s">
        <v>14</v>
      </c>
      <c r="K198" s="142" t="s">
        <v>1850</v>
      </c>
      <c r="L198" s="149" t="s">
        <v>1844</v>
      </c>
      <c r="M198" s="150" t="s">
        <v>12</v>
      </c>
      <c r="N198" s="151">
        <v>30</v>
      </c>
      <c r="O198" s="151">
        <v>3</v>
      </c>
      <c r="P198" s="152">
        <v>0</v>
      </c>
      <c r="Q198" s="153">
        <v>95.65</v>
      </c>
      <c r="R198" s="154">
        <v>4</v>
      </c>
      <c r="S198" s="38">
        <f t="shared" si="33"/>
        <v>4</v>
      </c>
      <c r="T198" s="39">
        <f t="shared" si="34"/>
        <v>6</v>
      </c>
      <c r="U198" s="40">
        <f t="shared" si="35"/>
        <v>1</v>
      </c>
      <c r="V198" s="40">
        <f t="shared" si="36"/>
        <v>0</v>
      </c>
      <c r="W198" s="40">
        <f t="shared" si="37"/>
        <v>0</v>
      </c>
      <c r="X198" s="40">
        <f t="shared" si="38"/>
        <v>1</v>
      </c>
      <c r="Y198" s="40">
        <f t="shared" si="39"/>
        <v>0</v>
      </c>
      <c r="Z198" s="40">
        <f t="shared" si="40"/>
        <v>0</v>
      </c>
      <c r="AA198" s="40">
        <f t="shared" si="41"/>
        <v>0</v>
      </c>
      <c r="AB198" s="40">
        <f t="shared" si="42"/>
        <v>0</v>
      </c>
      <c r="AC198" s="41">
        <f t="shared" si="43"/>
        <v>0</v>
      </c>
      <c r="AD198" s="49"/>
      <c r="AE198" s="50"/>
      <c r="AF198" s="49" t="s">
        <v>5</v>
      </c>
      <c r="AG198" s="50" t="s">
        <v>438</v>
      </c>
      <c r="AH198" s="49"/>
      <c r="AI198" s="50"/>
      <c r="AJ198" s="49" t="s">
        <v>1</v>
      </c>
      <c r="AK198" s="50" t="s">
        <v>83</v>
      </c>
      <c r="AL198" s="49"/>
      <c r="AM198" s="50"/>
      <c r="AN198" s="49"/>
      <c r="AO198" s="50"/>
      <c r="AP198" s="49"/>
      <c r="AQ198" s="50"/>
      <c r="AR198" s="49" t="s">
        <v>5</v>
      </c>
      <c r="AS198" s="50" t="s">
        <v>74</v>
      </c>
      <c r="AT198" s="49"/>
      <c r="AU198" s="50"/>
      <c r="AV198" s="49" t="s">
        <v>5</v>
      </c>
      <c r="AW198" s="50" t="s">
        <v>955</v>
      </c>
      <c r="AX198" s="49" t="s">
        <v>30</v>
      </c>
      <c r="AY198" s="50" t="s">
        <v>84</v>
      </c>
      <c r="AZ198" s="49" t="s">
        <v>5</v>
      </c>
      <c r="BA198" s="50" t="s">
        <v>76</v>
      </c>
      <c r="BB198" s="49"/>
      <c r="BC198" s="50"/>
      <c r="BD198" s="49"/>
      <c r="BE198" s="50"/>
      <c r="BF198" s="49"/>
      <c r="BG198" s="50"/>
      <c r="BH198" s="49" t="s">
        <v>5</v>
      </c>
      <c r="BI198" s="50" t="s">
        <v>106</v>
      </c>
      <c r="BJ198" s="49"/>
      <c r="BK198" s="50"/>
      <c r="BL198" s="49"/>
      <c r="BM198" s="50"/>
      <c r="BN198" s="49" t="s">
        <v>1</v>
      </c>
      <c r="BO198" s="50" t="s">
        <v>107</v>
      </c>
      <c r="BP198" s="49" t="s">
        <v>1</v>
      </c>
      <c r="BQ198" s="50" t="s">
        <v>107</v>
      </c>
      <c r="BR198" s="49" t="s">
        <v>5</v>
      </c>
      <c r="BS198" s="50" t="s">
        <v>123</v>
      </c>
      <c r="BT198" s="49"/>
      <c r="BU198" s="50"/>
      <c r="BV198" s="49" t="s">
        <v>1</v>
      </c>
      <c r="BW198" s="50" t="s">
        <v>715</v>
      </c>
      <c r="BX198" s="49"/>
      <c r="BY198" s="50"/>
      <c r="BZ198" s="49"/>
      <c r="CA198" s="50"/>
    </row>
    <row r="199" spans="1:79" x14ac:dyDescent="0.25">
      <c r="A199" s="76">
        <v>151782</v>
      </c>
      <c r="B199" s="77" t="s">
        <v>1158</v>
      </c>
      <c r="C199" s="78" t="s">
        <v>963</v>
      </c>
      <c r="D199" s="76" t="s">
        <v>70</v>
      </c>
      <c r="E199" s="79" t="s">
        <v>14</v>
      </c>
      <c r="F199" s="79" t="s">
        <v>503</v>
      </c>
      <c r="G199" s="79" t="s">
        <v>87</v>
      </c>
      <c r="H199" s="79" t="s">
        <v>14</v>
      </c>
      <c r="I199" s="78" t="s">
        <v>14</v>
      </c>
      <c r="J199" s="79" t="s">
        <v>14</v>
      </c>
      <c r="K199" s="142" t="s">
        <v>1850</v>
      </c>
      <c r="L199" s="149" t="s">
        <v>1846</v>
      </c>
      <c r="M199" s="150" t="s">
        <v>1853</v>
      </c>
      <c r="N199" s="151">
        <v>14</v>
      </c>
      <c r="O199" s="151">
        <v>0</v>
      </c>
      <c r="P199" s="152">
        <v>1</v>
      </c>
      <c r="Q199" s="153">
        <v>100</v>
      </c>
      <c r="R199" s="154">
        <v>3</v>
      </c>
      <c r="S199" s="38">
        <f t="shared" si="33"/>
        <v>2</v>
      </c>
      <c r="T199" s="39">
        <f t="shared" si="34"/>
        <v>8</v>
      </c>
      <c r="U199" s="40">
        <f t="shared" si="35"/>
        <v>0</v>
      </c>
      <c r="V199" s="40">
        <f t="shared" si="36"/>
        <v>0</v>
      </c>
      <c r="W199" s="40">
        <f t="shared" si="37"/>
        <v>0</v>
      </c>
      <c r="X199" s="40">
        <f t="shared" si="38"/>
        <v>0</v>
      </c>
      <c r="Y199" s="40">
        <f t="shared" si="39"/>
        <v>0</v>
      </c>
      <c r="Z199" s="40">
        <f t="shared" si="40"/>
        <v>0</v>
      </c>
      <c r="AA199" s="40">
        <f t="shared" si="41"/>
        <v>0</v>
      </c>
      <c r="AB199" s="40">
        <f t="shared" si="42"/>
        <v>0</v>
      </c>
      <c r="AC199" s="41">
        <f t="shared" si="43"/>
        <v>0</v>
      </c>
      <c r="AD199" s="49" t="s">
        <v>5</v>
      </c>
      <c r="AE199" s="50" t="s">
        <v>116</v>
      </c>
      <c r="AF199" s="49"/>
      <c r="AG199" s="50"/>
      <c r="AH199" s="49" t="s">
        <v>1</v>
      </c>
      <c r="AI199" s="50" t="s">
        <v>78</v>
      </c>
      <c r="AJ199" s="49"/>
      <c r="AK199" s="50"/>
      <c r="AL199" s="49"/>
      <c r="AM199" s="50"/>
      <c r="AN199" s="49"/>
      <c r="AO199" s="50"/>
      <c r="AP199" s="49"/>
      <c r="AQ199" s="50"/>
      <c r="AR199" s="49" t="s">
        <v>5</v>
      </c>
      <c r="AS199" s="50" t="s">
        <v>74</v>
      </c>
      <c r="AT199" s="49"/>
      <c r="AU199" s="50"/>
      <c r="AV199" s="49" t="s">
        <v>5</v>
      </c>
      <c r="AW199" s="50" t="s">
        <v>495</v>
      </c>
      <c r="AX199" s="49" t="s">
        <v>5</v>
      </c>
      <c r="AY199" s="50" t="s">
        <v>143</v>
      </c>
      <c r="AZ199" s="49"/>
      <c r="BA199" s="50"/>
      <c r="BB199" s="49"/>
      <c r="BC199" s="50"/>
      <c r="BD199" s="49"/>
      <c r="BE199" s="50"/>
      <c r="BF199" s="49"/>
      <c r="BG199" s="50"/>
      <c r="BH199" s="49" t="s">
        <v>5</v>
      </c>
      <c r="BI199" s="50" t="s">
        <v>94</v>
      </c>
      <c r="BJ199" s="49"/>
      <c r="BK199" s="50"/>
      <c r="BL199" s="49"/>
      <c r="BM199" s="50"/>
      <c r="BN199" s="49" t="s">
        <v>5</v>
      </c>
      <c r="BO199" s="50" t="s">
        <v>81</v>
      </c>
      <c r="BP199" s="49" t="s">
        <v>1</v>
      </c>
      <c r="BQ199" s="50" t="s">
        <v>107</v>
      </c>
      <c r="BR199" s="49"/>
      <c r="BS199" s="50"/>
      <c r="BT199" s="49"/>
      <c r="BU199" s="50"/>
      <c r="BV199" s="49" t="s">
        <v>5</v>
      </c>
      <c r="BW199" s="50" t="s">
        <v>122</v>
      </c>
      <c r="BX199" s="49" t="s">
        <v>5</v>
      </c>
      <c r="BY199" s="50" t="s">
        <v>137</v>
      </c>
      <c r="BZ199" s="49"/>
      <c r="CA199" s="50"/>
    </row>
    <row r="200" spans="1:79" x14ac:dyDescent="0.25">
      <c r="A200" s="76">
        <v>151853</v>
      </c>
      <c r="B200" s="77" t="s">
        <v>1159</v>
      </c>
      <c r="C200" s="78" t="s">
        <v>950</v>
      </c>
      <c r="D200" s="76" t="s">
        <v>70</v>
      </c>
      <c r="E200" s="79" t="s">
        <v>14</v>
      </c>
      <c r="F200" s="79" t="s">
        <v>158</v>
      </c>
      <c r="G200" s="79" t="s">
        <v>14</v>
      </c>
      <c r="H200" s="79" t="s">
        <v>14</v>
      </c>
      <c r="I200" s="78" t="s">
        <v>14</v>
      </c>
      <c r="J200" s="79" t="s">
        <v>14</v>
      </c>
      <c r="K200" s="142" t="s">
        <v>1850</v>
      </c>
      <c r="L200" s="149" t="s">
        <v>1846</v>
      </c>
      <c r="M200" s="150" t="s">
        <v>1853</v>
      </c>
      <c r="N200" s="151">
        <v>14</v>
      </c>
      <c r="O200" s="151">
        <v>0</v>
      </c>
      <c r="P200" s="152">
        <v>0</v>
      </c>
      <c r="Q200" s="153">
        <v>100</v>
      </c>
      <c r="R200" s="154">
        <v>0</v>
      </c>
      <c r="S200" s="38">
        <f t="shared" si="33"/>
        <v>2</v>
      </c>
      <c r="T200" s="39">
        <f t="shared" si="34"/>
        <v>9</v>
      </c>
      <c r="U200" s="40">
        <f t="shared" si="35"/>
        <v>0</v>
      </c>
      <c r="V200" s="40">
        <f t="shared" si="36"/>
        <v>0</v>
      </c>
      <c r="W200" s="40">
        <f t="shared" si="37"/>
        <v>0</v>
      </c>
      <c r="X200" s="40">
        <f t="shared" si="38"/>
        <v>0</v>
      </c>
      <c r="Y200" s="40">
        <f t="shared" si="39"/>
        <v>0</v>
      </c>
      <c r="Z200" s="40">
        <f t="shared" si="40"/>
        <v>0</v>
      </c>
      <c r="AA200" s="40">
        <f t="shared" si="41"/>
        <v>0</v>
      </c>
      <c r="AB200" s="40">
        <f t="shared" si="42"/>
        <v>0</v>
      </c>
      <c r="AC200" s="41">
        <f t="shared" si="43"/>
        <v>0</v>
      </c>
      <c r="AD200" s="49"/>
      <c r="AE200" s="50"/>
      <c r="AF200" s="49" t="s">
        <v>5</v>
      </c>
      <c r="AG200" s="50" t="s">
        <v>154</v>
      </c>
      <c r="AH200" s="49"/>
      <c r="AI200" s="50"/>
      <c r="AJ200" s="49" t="s">
        <v>5</v>
      </c>
      <c r="AK200" s="50" t="s">
        <v>714</v>
      </c>
      <c r="AL200" s="49"/>
      <c r="AM200" s="50"/>
      <c r="AN200" s="49"/>
      <c r="AO200" s="50"/>
      <c r="AP200" s="49"/>
      <c r="AQ200" s="50"/>
      <c r="AR200" s="49" t="s">
        <v>5</v>
      </c>
      <c r="AS200" s="50" t="s">
        <v>169</v>
      </c>
      <c r="AT200" s="49"/>
      <c r="AU200" s="50"/>
      <c r="AV200" s="49" t="s">
        <v>1</v>
      </c>
      <c r="AW200" s="50" t="s">
        <v>96</v>
      </c>
      <c r="AX200" s="49" t="s">
        <v>5</v>
      </c>
      <c r="AY200" s="50" t="s">
        <v>103</v>
      </c>
      <c r="AZ200" s="49" t="s">
        <v>5</v>
      </c>
      <c r="BA200" s="50" t="s">
        <v>76</v>
      </c>
      <c r="BB200" s="49"/>
      <c r="BC200" s="50"/>
      <c r="BD200" s="49"/>
      <c r="BE200" s="50"/>
      <c r="BF200" s="49"/>
      <c r="BG200" s="50"/>
      <c r="BH200" s="49" t="s">
        <v>1</v>
      </c>
      <c r="BI200" s="50" t="s">
        <v>94</v>
      </c>
      <c r="BJ200" s="49"/>
      <c r="BK200" s="50"/>
      <c r="BL200" s="49"/>
      <c r="BM200" s="50"/>
      <c r="BN200" s="49" t="s">
        <v>5</v>
      </c>
      <c r="BO200" s="50" t="s">
        <v>81</v>
      </c>
      <c r="BP200" s="49" t="s">
        <v>5</v>
      </c>
      <c r="BQ200" s="50" t="s">
        <v>152</v>
      </c>
      <c r="BR200" s="49" t="s">
        <v>5</v>
      </c>
      <c r="BS200" s="50" t="s">
        <v>140</v>
      </c>
      <c r="BT200" s="49"/>
      <c r="BU200" s="50"/>
      <c r="BV200" s="49" t="s">
        <v>5</v>
      </c>
      <c r="BW200" s="50" t="s">
        <v>132</v>
      </c>
      <c r="BX200" s="49"/>
      <c r="BY200" s="50"/>
      <c r="BZ200" s="49"/>
      <c r="CA200" s="50"/>
    </row>
    <row r="201" spans="1:79" x14ac:dyDescent="0.25">
      <c r="A201" s="76">
        <v>151796</v>
      </c>
      <c r="B201" s="77" t="s">
        <v>1160</v>
      </c>
      <c r="C201" s="78" t="s">
        <v>961</v>
      </c>
      <c r="D201" s="76" t="s">
        <v>70</v>
      </c>
      <c r="E201" s="79" t="s">
        <v>14</v>
      </c>
      <c r="F201" s="79" t="s">
        <v>1161</v>
      </c>
      <c r="G201" s="79" t="s">
        <v>87</v>
      </c>
      <c r="H201" s="79" t="s">
        <v>14</v>
      </c>
      <c r="I201" s="78" t="s">
        <v>14</v>
      </c>
      <c r="J201" s="79" t="s">
        <v>14</v>
      </c>
      <c r="K201" s="142" t="s">
        <v>1850</v>
      </c>
      <c r="L201" s="149" t="s">
        <v>1844</v>
      </c>
      <c r="M201" s="150" t="s">
        <v>12</v>
      </c>
      <c r="N201" s="151">
        <v>11</v>
      </c>
      <c r="O201" s="151">
        <v>0</v>
      </c>
      <c r="P201" s="152">
        <v>0</v>
      </c>
      <c r="Q201" s="153">
        <v>100</v>
      </c>
      <c r="R201" s="154">
        <v>0</v>
      </c>
      <c r="S201" s="38">
        <f t="shared" si="33"/>
        <v>2</v>
      </c>
      <c r="T201" s="39">
        <f t="shared" si="34"/>
        <v>9</v>
      </c>
      <c r="U201" s="40">
        <f t="shared" si="35"/>
        <v>0</v>
      </c>
      <c r="V201" s="40">
        <f t="shared" si="36"/>
        <v>0</v>
      </c>
      <c r="W201" s="40">
        <f t="shared" si="37"/>
        <v>0</v>
      </c>
      <c r="X201" s="40">
        <f t="shared" si="38"/>
        <v>0</v>
      </c>
      <c r="Y201" s="40">
        <f t="shared" si="39"/>
        <v>0</v>
      </c>
      <c r="Z201" s="40">
        <f t="shared" si="40"/>
        <v>0</v>
      </c>
      <c r="AA201" s="40">
        <f t="shared" si="41"/>
        <v>0</v>
      </c>
      <c r="AB201" s="40">
        <f t="shared" si="42"/>
        <v>0</v>
      </c>
      <c r="AC201" s="41">
        <f t="shared" si="43"/>
        <v>0</v>
      </c>
      <c r="AD201" s="49" t="s">
        <v>5</v>
      </c>
      <c r="AE201" s="50" t="s">
        <v>72</v>
      </c>
      <c r="AF201" s="49" t="s">
        <v>5</v>
      </c>
      <c r="AG201" s="50" t="s">
        <v>433</v>
      </c>
      <c r="AH201" s="49" t="s">
        <v>5</v>
      </c>
      <c r="AI201" s="50" t="s">
        <v>131</v>
      </c>
      <c r="AJ201" s="49" t="s">
        <v>5</v>
      </c>
      <c r="AK201" s="50" t="s">
        <v>714</v>
      </c>
      <c r="AL201" s="49"/>
      <c r="AM201" s="50"/>
      <c r="AN201" s="49"/>
      <c r="AO201" s="50"/>
      <c r="AP201" s="49"/>
      <c r="AQ201" s="50"/>
      <c r="AR201" s="49" t="s">
        <v>5</v>
      </c>
      <c r="AS201" s="50" t="s">
        <v>102</v>
      </c>
      <c r="AT201" s="49"/>
      <c r="AU201" s="50"/>
      <c r="AV201" s="49" t="s">
        <v>5</v>
      </c>
      <c r="AW201" s="50" t="s">
        <v>139</v>
      </c>
      <c r="AX201" s="49"/>
      <c r="AY201" s="50"/>
      <c r="AZ201" s="49"/>
      <c r="BA201" s="50"/>
      <c r="BB201" s="49"/>
      <c r="BC201" s="50"/>
      <c r="BD201" s="49"/>
      <c r="BE201" s="50"/>
      <c r="BF201" s="49"/>
      <c r="BG201" s="50"/>
      <c r="BH201" s="49" t="s">
        <v>1</v>
      </c>
      <c r="BI201" s="50" t="s">
        <v>136</v>
      </c>
      <c r="BJ201" s="49"/>
      <c r="BK201" s="50"/>
      <c r="BL201" s="49"/>
      <c r="BM201" s="50"/>
      <c r="BN201" s="49" t="s">
        <v>5</v>
      </c>
      <c r="BO201" s="50" t="s">
        <v>81</v>
      </c>
      <c r="BP201" s="49"/>
      <c r="BQ201" s="50"/>
      <c r="BR201" s="49" t="s">
        <v>1</v>
      </c>
      <c r="BS201" s="50" t="s">
        <v>170</v>
      </c>
      <c r="BT201" s="49"/>
      <c r="BU201" s="50"/>
      <c r="BV201" s="49" t="s">
        <v>5</v>
      </c>
      <c r="BW201" s="50" t="s">
        <v>97</v>
      </c>
      <c r="BX201" s="49"/>
      <c r="BY201" s="50"/>
      <c r="BZ201" s="49" t="s">
        <v>5</v>
      </c>
      <c r="CA201" s="50" t="s">
        <v>124</v>
      </c>
    </row>
    <row r="202" spans="1:79" x14ac:dyDescent="0.25">
      <c r="A202" s="76">
        <v>151819</v>
      </c>
      <c r="B202" s="77" t="s">
        <v>1162</v>
      </c>
      <c r="C202" s="78" t="s">
        <v>961</v>
      </c>
      <c r="D202" s="76" t="s">
        <v>70</v>
      </c>
      <c r="E202" s="79" t="s">
        <v>14</v>
      </c>
      <c r="F202" s="79" t="s">
        <v>88</v>
      </c>
      <c r="G202" s="79" t="s">
        <v>87</v>
      </c>
      <c r="H202" s="79" t="s">
        <v>14</v>
      </c>
      <c r="I202" s="78" t="s">
        <v>14</v>
      </c>
      <c r="J202" s="79" t="s">
        <v>14</v>
      </c>
      <c r="K202" s="142" t="s">
        <v>1850</v>
      </c>
      <c r="L202" s="149" t="s">
        <v>1841</v>
      </c>
      <c r="M202" s="150" t="s">
        <v>1853</v>
      </c>
      <c r="N202" s="151">
        <v>9</v>
      </c>
      <c r="O202" s="151">
        <v>0</v>
      </c>
      <c r="P202" s="152">
        <v>1</v>
      </c>
      <c r="Q202" s="153">
        <v>100</v>
      </c>
      <c r="R202" s="154">
        <v>0</v>
      </c>
      <c r="S202" s="38">
        <f t="shared" si="33"/>
        <v>3</v>
      </c>
      <c r="T202" s="39">
        <f t="shared" si="34"/>
        <v>7</v>
      </c>
      <c r="U202" s="40">
        <f t="shared" si="35"/>
        <v>0</v>
      </c>
      <c r="V202" s="40">
        <f t="shared" si="36"/>
        <v>0</v>
      </c>
      <c r="W202" s="40">
        <f t="shared" si="37"/>
        <v>0</v>
      </c>
      <c r="X202" s="40">
        <f t="shared" si="38"/>
        <v>0</v>
      </c>
      <c r="Y202" s="40">
        <f t="shared" si="39"/>
        <v>0</v>
      </c>
      <c r="Z202" s="40">
        <f t="shared" si="40"/>
        <v>0</v>
      </c>
      <c r="AA202" s="40">
        <f t="shared" si="41"/>
        <v>0</v>
      </c>
      <c r="AB202" s="40">
        <f t="shared" si="42"/>
        <v>0</v>
      </c>
      <c r="AC202" s="41">
        <f t="shared" si="43"/>
        <v>0</v>
      </c>
      <c r="AD202" s="49"/>
      <c r="AE202" s="50"/>
      <c r="AF202" s="49"/>
      <c r="AG202" s="50"/>
      <c r="AH202" s="49"/>
      <c r="AI202" s="50"/>
      <c r="AJ202" s="49"/>
      <c r="AK202" s="50"/>
      <c r="AL202" s="49"/>
      <c r="AM202" s="50"/>
      <c r="AN202" s="49" t="s">
        <v>5</v>
      </c>
      <c r="AO202" s="50" t="s">
        <v>163</v>
      </c>
      <c r="AP202" s="49"/>
      <c r="AQ202" s="50"/>
      <c r="AR202" s="49" t="s">
        <v>5</v>
      </c>
      <c r="AS202" s="50" t="s">
        <v>169</v>
      </c>
      <c r="AT202" s="49" t="s">
        <v>1</v>
      </c>
      <c r="AU202" s="50" t="s">
        <v>73</v>
      </c>
      <c r="AV202" s="49" t="s">
        <v>5</v>
      </c>
      <c r="AW202" s="50" t="s">
        <v>139</v>
      </c>
      <c r="AX202" s="49"/>
      <c r="AY202" s="50"/>
      <c r="AZ202" s="49"/>
      <c r="BA202" s="50"/>
      <c r="BB202" s="49"/>
      <c r="BC202" s="50"/>
      <c r="BD202" s="49"/>
      <c r="BE202" s="50"/>
      <c r="BF202" s="49" t="s">
        <v>1</v>
      </c>
      <c r="BG202" s="50" t="s">
        <v>105</v>
      </c>
      <c r="BH202" s="49" t="s">
        <v>5</v>
      </c>
      <c r="BI202" s="50" t="s">
        <v>711</v>
      </c>
      <c r="BJ202" s="49"/>
      <c r="BK202" s="50"/>
      <c r="BL202" s="49"/>
      <c r="BM202" s="50"/>
      <c r="BN202" s="49" t="s">
        <v>1</v>
      </c>
      <c r="BO202" s="50" t="s">
        <v>152</v>
      </c>
      <c r="BP202" s="49"/>
      <c r="BQ202" s="50"/>
      <c r="BR202" s="49"/>
      <c r="BS202" s="50"/>
      <c r="BT202" s="49"/>
      <c r="BU202" s="50"/>
      <c r="BV202" s="49" t="s">
        <v>5</v>
      </c>
      <c r="BW202" s="50" t="s">
        <v>132</v>
      </c>
      <c r="BX202" s="49" t="s">
        <v>5</v>
      </c>
      <c r="BY202" s="50" t="s">
        <v>137</v>
      </c>
      <c r="BZ202" s="49" t="s">
        <v>5</v>
      </c>
      <c r="CA202" s="50" t="s">
        <v>75</v>
      </c>
    </row>
    <row r="203" spans="1:79" x14ac:dyDescent="0.25">
      <c r="A203" s="76">
        <v>151802</v>
      </c>
      <c r="B203" s="77" t="s">
        <v>1163</v>
      </c>
      <c r="C203" s="78" t="s">
        <v>950</v>
      </c>
      <c r="D203" s="76" t="s">
        <v>70</v>
      </c>
      <c r="E203" s="79" t="s">
        <v>14</v>
      </c>
      <c r="F203" s="79" t="s">
        <v>71</v>
      </c>
      <c r="G203" s="79" t="s">
        <v>14</v>
      </c>
      <c r="H203" s="79" t="s">
        <v>14</v>
      </c>
      <c r="I203" s="78" t="s">
        <v>14</v>
      </c>
      <c r="J203" s="79" t="s">
        <v>14</v>
      </c>
      <c r="K203" s="142" t="s">
        <v>1850</v>
      </c>
      <c r="L203" s="149" t="s">
        <v>1842</v>
      </c>
      <c r="M203" s="150" t="s">
        <v>1853</v>
      </c>
      <c r="N203" s="151">
        <v>12</v>
      </c>
      <c r="O203" s="151">
        <v>0</v>
      </c>
      <c r="P203" s="152">
        <v>1</v>
      </c>
      <c r="Q203" s="153">
        <v>100</v>
      </c>
      <c r="R203" s="154">
        <v>0</v>
      </c>
      <c r="S203" s="38">
        <f t="shared" si="33"/>
        <v>1</v>
      </c>
      <c r="T203" s="39">
        <f t="shared" si="34"/>
        <v>9</v>
      </c>
      <c r="U203" s="40">
        <f t="shared" si="35"/>
        <v>0</v>
      </c>
      <c r="V203" s="40">
        <f t="shared" si="36"/>
        <v>0</v>
      </c>
      <c r="W203" s="40">
        <f t="shared" si="37"/>
        <v>0</v>
      </c>
      <c r="X203" s="40">
        <f t="shared" si="38"/>
        <v>0</v>
      </c>
      <c r="Y203" s="40">
        <f t="shared" si="39"/>
        <v>0</v>
      </c>
      <c r="Z203" s="40">
        <f t="shared" si="40"/>
        <v>0</v>
      </c>
      <c r="AA203" s="40">
        <f t="shared" si="41"/>
        <v>0</v>
      </c>
      <c r="AB203" s="40">
        <f t="shared" si="42"/>
        <v>0</v>
      </c>
      <c r="AC203" s="41">
        <f t="shared" si="43"/>
        <v>0</v>
      </c>
      <c r="AD203" s="49" t="s">
        <v>5</v>
      </c>
      <c r="AE203" s="50" t="s">
        <v>116</v>
      </c>
      <c r="AF203" s="49"/>
      <c r="AG203" s="50"/>
      <c r="AH203" s="49"/>
      <c r="AI203" s="50"/>
      <c r="AJ203" s="49"/>
      <c r="AK203" s="50"/>
      <c r="AL203" s="49"/>
      <c r="AM203" s="50"/>
      <c r="AN203" s="49"/>
      <c r="AO203" s="50"/>
      <c r="AP203" s="49"/>
      <c r="AQ203" s="50"/>
      <c r="AR203" s="49" t="s">
        <v>1</v>
      </c>
      <c r="AS203" s="50" t="s">
        <v>74</v>
      </c>
      <c r="AT203" s="49"/>
      <c r="AU203" s="50"/>
      <c r="AV203" s="49" t="s">
        <v>5</v>
      </c>
      <c r="AW203" s="50" t="s">
        <v>96</v>
      </c>
      <c r="AX203" s="49" t="s">
        <v>5</v>
      </c>
      <c r="AY203" s="50" t="s">
        <v>103</v>
      </c>
      <c r="AZ203" s="49" t="s">
        <v>5</v>
      </c>
      <c r="BA203" s="50" t="s">
        <v>76</v>
      </c>
      <c r="BB203" s="49"/>
      <c r="BC203" s="50"/>
      <c r="BD203" s="49"/>
      <c r="BE203" s="50"/>
      <c r="BF203" s="49"/>
      <c r="BG203" s="50"/>
      <c r="BH203" s="49" t="s">
        <v>5</v>
      </c>
      <c r="BI203" s="50" t="s">
        <v>106</v>
      </c>
      <c r="BJ203" s="49"/>
      <c r="BK203" s="50"/>
      <c r="BL203" s="49"/>
      <c r="BM203" s="50"/>
      <c r="BN203" s="49" t="s">
        <v>5</v>
      </c>
      <c r="BO203" s="50" t="s">
        <v>81</v>
      </c>
      <c r="BP203" s="49"/>
      <c r="BQ203" s="50"/>
      <c r="BR203" s="49"/>
      <c r="BS203" s="50"/>
      <c r="BT203" s="49" t="s">
        <v>5</v>
      </c>
      <c r="BU203" s="50" t="s">
        <v>90</v>
      </c>
      <c r="BV203" s="49" t="s">
        <v>5</v>
      </c>
      <c r="BW203" s="50" t="s">
        <v>122</v>
      </c>
      <c r="BX203" s="49" t="s">
        <v>5</v>
      </c>
      <c r="BY203" s="50" t="s">
        <v>137</v>
      </c>
      <c r="BZ203" s="49"/>
      <c r="CA203" s="50"/>
    </row>
    <row r="204" spans="1:79" x14ac:dyDescent="0.25">
      <c r="A204" s="76">
        <v>151813</v>
      </c>
      <c r="B204" s="77" t="s">
        <v>1164</v>
      </c>
      <c r="C204" s="78" t="s">
        <v>952</v>
      </c>
      <c r="D204" s="76" t="s">
        <v>70</v>
      </c>
      <c r="E204" s="79" t="s">
        <v>14</v>
      </c>
      <c r="F204" s="79" t="s">
        <v>71</v>
      </c>
      <c r="G204" s="79" t="s">
        <v>14</v>
      </c>
      <c r="H204" s="79" t="s">
        <v>14</v>
      </c>
      <c r="I204" s="78" t="s">
        <v>14</v>
      </c>
      <c r="J204" s="79" t="s">
        <v>14</v>
      </c>
      <c r="K204" s="142" t="s">
        <v>1850</v>
      </c>
      <c r="L204" s="149" t="s">
        <v>1844</v>
      </c>
      <c r="M204" s="150" t="s">
        <v>12</v>
      </c>
      <c r="N204" s="151">
        <v>18</v>
      </c>
      <c r="O204" s="151">
        <v>0</v>
      </c>
      <c r="P204" s="152">
        <v>0</v>
      </c>
      <c r="Q204" s="153">
        <v>95.65</v>
      </c>
      <c r="R204" s="154">
        <v>2</v>
      </c>
      <c r="S204" s="38">
        <f t="shared" si="33"/>
        <v>1</v>
      </c>
      <c r="T204" s="39">
        <f t="shared" si="34"/>
        <v>9</v>
      </c>
      <c r="U204" s="40">
        <f t="shared" si="35"/>
        <v>0</v>
      </c>
      <c r="V204" s="40">
        <f t="shared" si="36"/>
        <v>0</v>
      </c>
      <c r="W204" s="40">
        <f t="shared" si="37"/>
        <v>0</v>
      </c>
      <c r="X204" s="40">
        <f t="shared" si="38"/>
        <v>0</v>
      </c>
      <c r="Y204" s="40">
        <f t="shared" si="39"/>
        <v>0</v>
      </c>
      <c r="Z204" s="40">
        <f t="shared" si="40"/>
        <v>0</v>
      </c>
      <c r="AA204" s="40">
        <f t="shared" si="41"/>
        <v>0</v>
      </c>
      <c r="AB204" s="40">
        <f t="shared" si="42"/>
        <v>0</v>
      </c>
      <c r="AC204" s="41">
        <f t="shared" si="43"/>
        <v>0</v>
      </c>
      <c r="AD204" s="49"/>
      <c r="AE204" s="50"/>
      <c r="AF204" s="49"/>
      <c r="AG204" s="50"/>
      <c r="AH204" s="49"/>
      <c r="AI204" s="50"/>
      <c r="AJ204" s="49"/>
      <c r="AK204" s="50"/>
      <c r="AL204" s="49"/>
      <c r="AM204" s="50"/>
      <c r="AN204" s="49"/>
      <c r="AO204" s="50"/>
      <c r="AP204" s="49" t="s">
        <v>5</v>
      </c>
      <c r="AQ204" s="50" t="s">
        <v>101</v>
      </c>
      <c r="AR204" s="49" t="s">
        <v>5</v>
      </c>
      <c r="AS204" s="50" t="s">
        <v>142</v>
      </c>
      <c r="AT204" s="49" t="s">
        <v>5</v>
      </c>
      <c r="AU204" s="50" t="s">
        <v>73</v>
      </c>
      <c r="AV204" s="49" t="s">
        <v>5</v>
      </c>
      <c r="AW204" s="50" t="s">
        <v>117</v>
      </c>
      <c r="AX204" s="49"/>
      <c r="AY204" s="50"/>
      <c r="AZ204" s="49"/>
      <c r="BA204" s="50"/>
      <c r="BB204" s="49"/>
      <c r="BC204" s="50"/>
      <c r="BD204" s="49"/>
      <c r="BE204" s="50"/>
      <c r="BF204" s="49"/>
      <c r="BG204" s="50"/>
      <c r="BH204" s="49" t="s">
        <v>1</v>
      </c>
      <c r="BI204" s="50" t="s">
        <v>94</v>
      </c>
      <c r="BJ204" s="49"/>
      <c r="BK204" s="50"/>
      <c r="BL204" s="49"/>
      <c r="BM204" s="50"/>
      <c r="BN204" s="49" t="s">
        <v>5</v>
      </c>
      <c r="BO204" s="50" t="s">
        <v>152</v>
      </c>
      <c r="BP204" s="49" t="s">
        <v>5</v>
      </c>
      <c r="BQ204" s="50" t="s">
        <v>152</v>
      </c>
      <c r="BR204" s="49"/>
      <c r="BS204" s="50"/>
      <c r="BT204" s="49"/>
      <c r="BU204" s="50"/>
      <c r="BV204" s="49" t="s">
        <v>5</v>
      </c>
      <c r="BW204" s="50" t="s">
        <v>97</v>
      </c>
      <c r="BX204" s="49" t="s">
        <v>5</v>
      </c>
      <c r="BY204" s="50" t="s">
        <v>137</v>
      </c>
      <c r="BZ204" s="49" t="s">
        <v>5</v>
      </c>
      <c r="CA204" s="50" t="s">
        <v>124</v>
      </c>
    </row>
    <row r="205" spans="1:79" s="155" customFormat="1" x14ac:dyDescent="0.25">
      <c r="A205" s="76">
        <v>151888</v>
      </c>
      <c r="B205" s="77" t="s">
        <v>1165</v>
      </c>
      <c r="C205" s="78" t="s">
        <v>970</v>
      </c>
      <c r="D205" s="76" t="s">
        <v>12</v>
      </c>
      <c r="E205" s="79" t="s">
        <v>87</v>
      </c>
      <c r="F205" s="79" t="s">
        <v>218</v>
      </c>
      <c r="G205" s="79" t="s">
        <v>87</v>
      </c>
      <c r="H205" s="79" t="s">
        <v>87</v>
      </c>
      <c r="I205" s="78" t="s">
        <v>14</v>
      </c>
      <c r="J205" s="79" t="s">
        <v>14</v>
      </c>
      <c r="K205" s="142" t="s">
        <v>1850</v>
      </c>
      <c r="L205" s="149" t="s">
        <v>1842</v>
      </c>
      <c r="M205" s="150" t="s">
        <v>12</v>
      </c>
      <c r="N205" s="151">
        <v>13</v>
      </c>
      <c r="O205" s="151">
        <v>0</v>
      </c>
      <c r="P205" s="152">
        <v>0</v>
      </c>
      <c r="Q205" s="153">
        <v>100</v>
      </c>
      <c r="R205" s="154">
        <v>0</v>
      </c>
      <c r="S205" s="38">
        <f t="shared" si="33"/>
        <v>3</v>
      </c>
      <c r="T205" s="39">
        <f t="shared" si="34"/>
        <v>8</v>
      </c>
      <c r="U205" s="40">
        <f t="shared" si="35"/>
        <v>0</v>
      </c>
      <c r="V205" s="40">
        <f t="shared" si="36"/>
        <v>0</v>
      </c>
      <c r="W205" s="40">
        <f t="shared" si="37"/>
        <v>0</v>
      </c>
      <c r="X205" s="40">
        <f t="shared" si="38"/>
        <v>0</v>
      </c>
      <c r="Y205" s="40">
        <f t="shared" si="39"/>
        <v>0</v>
      </c>
      <c r="Z205" s="40">
        <f t="shared" si="40"/>
        <v>0</v>
      </c>
      <c r="AA205" s="40">
        <f t="shared" si="41"/>
        <v>0</v>
      </c>
      <c r="AB205" s="40">
        <f t="shared" si="42"/>
        <v>0</v>
      </c>
      <c r="AC205" s="41">
        <f t="shared" si="43"/>
        <v>0</v>
      </c>
      <c r="AD205" s="49" t="s">
        <v>5</v>
      </c>
      <c r="AE205" s="50" t="s">
        <v>72</v>
      </c>
      <c r="AF205" s="49" t="s">
        <v>5</v>
      </c>
      <c r="AG205" s="50" t="s">
        <v>433</v>
      </c>
      <c r="AH205" s="49"/>
      <c r="AI205" s="50"/>
      <c r="AJ205" s="49" t="s">
        <v>5</v>
      </c>
      <c r="AK205" s="50" t="s">
        <v>419</v>
      </c>
      <c r="AL205" s="49"/>
      <c r="AM205" s="50"/>
      <c r="AN205" s="49" t="s">
        <v>1</v>
      </c>
      <c r="AO205" s="50" t="s">
        <v>163</v>
      </c>
      <c r="AP205" s="49"/>
      <c r="AQ205" s="50"/>
      <c r="AR205" s="49" t="s">
        <v>5</v>
      </c>
      <c r="AS205" s="50" t="s">
        <v>722</v>
      </c>
      <c r="AT205" s="49"/>
      <c r="AU205" s="50"/>
      <c r="AV205" s="49" t="s">
        <v>5</v>
      </c>
      <c r="AW205" s="50" t="s">
        <v>140</v>
      </c>
      <c r="AX205" s="49"/>
      <c r="AY205" s="50"/>
      <c r="AZ205" s="49"/>
      <c r="BA205" s="50"/>
      <c r="BB205" s="49"/>
      <c r="BC205" s="50"/>
      <c r="BD205" s="49"/>
      <c r="BE205" s="50"/>
      <c r="BF205" s="49"/>
      <c r="BG205" s="50"/>
      <c r="BH205" s="49" t="s">
        <v>5</v>
      </c>
      <c r="BI205" s="50" t="s">
        <v>711</v>
      </c>
      <c r="BJ205" s="49"/>
      <c r="BK205" s="50"/>
      <c r="BL205" s="49"/>
      <c r="BM205" s="50"/>
      <c r="BN205" s="49" t="s">
        <v>1</v>
      </c>
      <c r="BO205" s="50" t="s">
        <v>96</v>
      </c>
      <c r="BP205" s="49"/>
      <c r="BQ205" s="50"/>
      <c r="BR205" s="49" t="s">
        <v>5</v>
      </c>
      <c r="BS205" s="50" t="s">
        <v>140</v>
      </c>
      <c r="BT205" s="49"/>
      <c r="BU205" s="50"/>
      <c r="BV205" s="49" t="s">
        <v>1</v>
      </c>
      <c r="BW205" s="50" t="s">
        <v>122</v>
      </c>
      <c r="BX205" s="49"/>
      <c r="BY205" s="50"/>
      <c r="BZ205" s="49" t="s">
        <v>5</v>
      </c>
      <c r="CA205" s="50" t="s">
        <v>75</v>
      </c>
    </row>
    <row r="206" spans="1:79" s="99" customFormat="1" x14ac:dyDescent="0.25">
      <c r="A206" s="76">
        <v>151804</v>
      </c>
      <c r="B206" s="77" t="s">
        <v>1166</v>
      </c>
      <c r="C206" s="78" t="s">
        <v>954</v>
      </c>
      <c r="D206" s="76" t="s">
        <v>12</v>
      </c>
      <c r="E206" s="79" t="s">
        <v>14</v>
      </c>
      <c r="F206" s="79" t="s">
        <v>71</v>
      </c>
      <c r="G206" s="79" t="s">
        <v>14</v>
      </c>
      <c r="H206" s="79" t="s">
        <v>14</v>
      </c>
      <c r="I206" s="78" t="s">
        <v>14</v>
      </c>
      <c r="J206" s="79" t="s">
        <v>14</v>
      </c>
      <c r="K206" s="142" t="s">
        <v>1850</v>
      </c>
      <c r="L206" s="149" t="s">
        <v>1843</v>
      </c>
      <c r="M206" s="150" t="s">
        <v>1852</v>
      </c>
      <c r="N206" s="151">
        <v>6</v>
      </c>
      <c r="O206" s="151">
        <v>16</v>
      </c>
      <c r="P206" s="152">
        <v>3</v>
      </c>
      <c r="Q206" s="153">
        <v>86.67</v>
      </c>
      <c r="R206" s="154">
        <v>14</v>
      </c>
      <c r="S206" s="38">
        <f t="shared" si="33"/>
        <v>0</v>
      </c>
      <c r="T206" s="39">
        <f t="shared" si="34"/>
        <v>5</v>
      </c>
      <c r="U206" s="40">
        <f t="shared" si="35"/>
        <v>4</v>
      </c>
      <c r="V206" s="40">
        <f t="shared" si="36"/>
        <v>1</v>
      </c>
      <c r="W206" s="40">
        <f t="shared" si="37"/>
        <v>0</v>
      </c>
      <c r="X206" s="40">
        <f t="shared" si="38"/>
        <v>5</v>
      </c>
      <c r="Y206" s="40">
        <f t="shared" si="39"/>
        <v>0</v>
      </c>
      <c r="Z206" s="40">
        <f t="shared" si="40"/>
        <v>0</v>
      </c>
      <c r="AA206" s="40">
        <f t="shared" si="41"/>
        <v>0</v>
      </c>
      <c r="AB206" s="40">
        <f t="shared" si="42"/>
        <v>0</v>
      </c>
      <c r="AC206" s="41">
        <f t="shared" si="43"/>
        <v>0</v>
      </c>
      <c r="AD206" s="49"/>
      <c r="AE206" s="50"/>
      <c r="AF206" s="49"/>
      <c r="AG206" s="50"/>
      <c r="AH206" s="49"/>
      <c r="AI206" s="50"/>
      <c r="AJ206" s="49"/>
      <c r="AK206" s="50"/>
      <c r="AL206" s="49"/>
      <c r="AM206" s="50"/>
      <c r="AN206" s="49"/>
      <c r="AO206" s="50"/>
      <c r="AP206" s="49"/>
      <c r="AQ206" s="50"/>
      <c r="AR206" s="49" t="s">
        <v>30</v>
      </c>
      <c r="AS206" s="50" t="s">
        <v>194</v>
      </c>
      <c r="AT206" s="49"/>
      <c r="AU206" s="50"/>
      <c r="AV206" s="49" t="s">
        <v>31</v>
      </c>
      <c r="AW206" s="50" t="s">
        <v>955</v>
      </c>
      <c r="AX206" s="49" t="s">
        <v>5</v>
      </c>
      <c r="AY206" s="50" t="s">
        <v>103</v>
      </c>
      <c r="AZ206" s="49" t="s">
        <v>5</v>
      </c>
      <c r="BA206" s="50" t="s">
        <v>76</v>
      </c>
      <c r="BB206" s="49"/>
      <c r="BC206" s="50"/>
      <c r="BD206" s="49"/>
      <c r="BE206" s="50"/>
      <c r="BF206" s="49"/>
      <c r="BG206" s="50"/>
      <c r="BH206" s="49" t="s">
        <v>5</v>
      </c>
      <c r="BI206" s="50" t="s">
        <v>995</v>
      </c>
      <c r="BJ206" s="49" t="s">
        <v>5</v>
      </c>
      <c r="BK206" s="50" t="s">
        <v>95</v>
      </c>
      <c r="BL206" s="49" t="s">
        <v>5</v>
      </c>
      <c r="BM206" s="50" t="s">
        <v>72</v>
      </c>
      <c r="BN206" s="49" t="s">
        <v>30</v>
      </c>
      <c r="BO206" s="50" t="s">
        <v>107</v>
      </c>
      <c r="BP206" s="49"/>
      <c r="BQ206" s="50"/>
      <c r="BR206" s="49"/>
      <c r="BS206" s="50"/>
      <c r="BT206" s="49"/>
      <c r="BU206" s="50"/>
      <c r="BV206" s="49" t="s">
        <v>30</v>
      </c>
      <c r="BW206" s="50" t="s">
        <v>457</v>
      </c>
      <c r="BX206" s="49" t="s">
        <v>30</v>
      </c>
      <c r="BY206" s="50" t="s">
        <v>164</v>
      </c>
      <c r="BZ206" s="49"/>
      <c r="CA206" s="50"/>
    </row>
    <row r="207" spans="1:79" s="99" customFormat="1" x14ac:dyDescent="0.25">
      <c r="A207" s="76">
        <v>151950</v>
      </c>
      <c r="B207" s="77" t="s">
        <v>1167</v>
      </c>
      <c r="C207" s="78" t="s">
        <v>957</v>
      </c>
      <c r="D207" s="76" t="s">
        <v>12</v>
      </c>
      <c r="E207" s="79" t="s">
        <v>14</v>
      </c>
      <c r="F207" s="79" t="s">
        <v>71</v>
      </c>
      <c r="G207" s="79" t="s">
        <v>14</v>
      </c>
      <c r="H207" s="79" t="s">
        <v>14</v>
      </c>
      <c r="I207" s="78" t="s">
        <v>14</v>
      </c>
      <c r="J207" s="79" t="s">
        <v>14</v>
      </c>
      <c r="K207" s="142" t="s">
        <v>1850</v>
      </c>
      <c r="L207" s="149" t="s">
        <v>1845</v>
      </c>
      <c r="M207" s="150" t="s">
        <v>12</v>
      </c>
      <c r="N207" s="151">
        <v>10</v>
      </c>
      <c r="O207" s="151">
        <v>14</v>
      </c>
      <c r="P207" s="152">
        <v>7</v>
      </c>
      <c r="Q207" s="153">
        <v>71.739999999999995</v>
      </c>
      <c r="R207" s="154">
        <v>8</v>
      </c>
      <c r="S207" s="38">
        <f t="shared" si="33"/>
        <v>0</v>
      </c>
      <c r="T207" s="39">
        <f t="shared" si="34"/>
        <v>3</v>
      </c>
      <c r="U207" s="40">
        <f t="shared" si="35"/>
        <v>3</v>
      </c>
      <c r="V207" s="40">
        <f t="shared" si="36"/>
        <v>4</v>
      </c>
      <c r="W207" s="40">
        <f t="shared" si="37"/>
        <v>0</v>
      </c>
      <c r="X207" s="40">
        <f t="shared" si="38"/>
        <v>7</v>
      </c>
      <c r="Y207" s="40">
        <f t="shared" si="39"/>
        <v>0</v>
      </c>
      <c r="Z207" s="40">
        <f t="shared" si="40"/>
        <v>0</v>
      </c>
      <c r="AA207" s="40">
        <f t="shared" si="41"/>
        <v>0</v>
      </c>
      <c r="AB207" s="40">
        <f t="shared" si="42"/>
        <v>0</v>
      </c>
      <c r="AC207" s="41">
        <f t="shared" si="43"/>
        <v>0</v>
      </c>
      <c r="AD207" s="49"/>
      <c r="AE207" s="50"/>
      <c r="AF207" s="49" t="s">
        <v>31</v>
      </c>
      <c r="AG207" s="50" t="s">
        <v>433</v>
      </c>
      <c r="AH207" s="49"/>
      <c r="AI207" s="50"/>
      <c r="AJ207" s="49" t="s">
        <v>30</v>
      </c>
      <c r="AK207" s="50" t="s">
        <v>714</v>
      </c>
      <c r="AL207" s="49"/>
      <c r="AM207" s="50"/>
      <c r="AN207" s="49"/>
      <c r="AO207" s="50"/>
      <c r="AP207" s="49"/>
      <c r="AQ207" s="50"/>
      <c r="AR207" s="49" t="s">
        <v>30</v>
      </c>
      <c r="AS207" s="50" t="s">
        <v>151</v>
      </c>
      <c r="AT207" s="49"/>
      <c r="AU207" s="50"/>
      <c r="AV207" s="49" t="s">
        <v>31</v>
      </c>
      <c r="AW207" s="50" t="s">
        <v>77</v>
      </c>
      <c r="AX207" s="49"/>
      <c r="AY207" s="50"/>
      <c r="AZ207" s="49"/>
      <c r="BA207" s="50"/>
      <c r="BB207" s="49" t="s">
        <v>5</v>
      </c>
      <c r="BC207" s="50" t="s">
        <v>420</v>
      </c>
      <c r="BD207" s="49"/>
      <c r="BE207" s="50"/>
      <c r="BF207" s="49"/>
      <c r="BG207" s="50"/>
      <c r="BH207" s="49" t="s">
        <v>31</v>
      </c>
      <c r="BI207" s="50" t="s">
        <v>106</v>
      </c>
      <c r="BJ207" s="49"/>
      <c r="BK207" s="50"/>
      <c r="BL207" s="49"/>
      <c r="BM207" s="50"/>
      <c r="BN207" s="49" t="s">
        <v>31</v>
      </c>
      <c r="BO207" s="50" t="s">
        <v>107</v>
      </c>
      <c r="BP207" s="49" t="s">
        <v>5</v>
      </c>
      <c r="BQ207" s="50" t="s">
        <v>107</v>
      </c>
      <c r="BR207" s="49" t="s">
        <v>30</v>
      </c>
      <c r="BS207" s="50" t="s">
        <v>170</v>
      </c>
      <c r="BT207" s="49"/>
      <c r="BU207" s="50"/>
      <c r="BV207" s="49" t="s">
        <v>5</v>
      </c>
      <c r="BW207" s="50" t="s">
        <v>602</v>
      </c>
      <c r="BX207" s="49"/>
      <c r="BY207" s="50"/>
      <c r="BZ207" s="49" t="s">
        <v>189</v>
      </c>
      <c r="CA207" s="50" t="s">
        <v>84</v>
      </c>
    </row>
    <row r="208" spans="1:79" s="99" customFormat="1" x14ac:dyDescent="0.25">
      <c r="A208" s="76">
        <v>151809</v>
      </c>
      <c r="B208" s="77" t="s">
        <v>1168</v>
      </c>
      <c r="C208" s="78" t="s">
        <v>959</v>
      </c>
      <c r="D208" s="76" t="s">
        <v>12</v>
      </c>
      <c r="E208" s="79" t="s">
        <v>14</v>
      </c>
      <c r="F208" s="79" t="s">
        <v>71</v>
      </c>
      <c r="G208" s="79" t="s">
        <v>14</v>
      </c>
      <c r="H208" s="79" t="s">
        <v>14</v>
      </c>
      <c r="I208" s="78" t="s">
        <v>14</v>
      </c>
      <c r="J208" s="79" t="s">
        <v>14</v>
      </c>
      <c r="K208" s="142" t="s">
        <v>1851</v>
      </c>
      <c r="L208" s="149" t="s">
        <v>1848</v>
      </c>
      <c r="M208" s="150" t="s">
        <v>1852</v>
      </c>
      <c r="N208" s="151">
        <v>15</v>
      </c>
      <c r="O208" s="151">
        <v>6</v>
      </c>
      <c r="P208" s="152">
        <v>0</v>
      </c>
      <c r="Q208" s="153">
        <v>100</v>
      </c>
      <c r="R208" s="154">
        <v>4</v>
      </c>
      <c r="S208" s="38">
        <f t="shared" si="33"/>
        <v>0</v>
      </c>
      <c r="T208" s="39">
        <f t="shared" si="34"/>
        <v>6</v>
      </c>
      <c r="U208" s="40">
        <f t="shared" si="35"/>
        <v>2</v>
      </c>
      <c r="V208" s="40">
        <f t="shared" si="36"/>
        <v>0</v>
      </c>
      <c r="W208" s="40">
        <f t="shared" si="37"/>
        <v>1</v>
      </c>
      <c r="X208" s="40">
        <f t="shared" si="38"/>
        <v>3</v>
      </c>
      <c r="Y208" s="40">
        <f t="shared" si="39"/>
        <v>0</v>
      </c>
      <c r="Z208" s="40">
        <f t="shared" si="40"/>
        <v>0</v>
      </c>
      <c r="AA208" s="40">
        <f t="shared" si="41"/>
        <v>0</v>
      </c>
      <c r="AB208" s="40">
        <f t="shared" si="42"/>
        <v>0</v>
      </c>
      <c r="AC208" s="41">
        <f t="shared" si="43"/>
        <v>0</v>
      </c>
      <c r="AD208" s="49"/>
      <c r="AE208" s="50"/>
      <c r="AF208" s="49"/>
      <c r="AG208" s="50"/>
      <c r="AH208" s="49"/>
      <c r="AI208" s="50"/>
      <c r="AJ208" s="49"/>
      <c r="AK208" s="50"/>
      <c r="AL208" s="49"/>
      <c r="AM208" s="50"/>
      <c r="AN208" s="49"/>
      <c r="AO208" s="50"/>
      <c r="AP208" s="49"/>
      <c r="AQ208" s="50"/>
      <c r="AR208" s="49" t="s">
        <v>5</v>
      </c>
      <c r="AS208" s="50" t="s">
        <v>111</v>
      </c>
      <c r="AT208" s="49"/>
      <c r="AU208" s="50"/>
      <c r="AV208" s="49" t="s">
        <v>32</v>
      </c>
      <c r="AW208" s="50" t="s">
        <v>194</v>
      </c>
      <c r="AX208" s="49" t="s">
        <v>5</v>
      </c>
      <c r="AY208" s="50" t="s">
        <v>103</v>
      </c>
      <c r="AZ208" s="49"/>
      <c r="BA208" s="50"/>
      <c r="BB208" s="49"/>
      <c r="BC208" s="50"/>
      <c r="BD208" s="49"/>
      <c r="BE208" s="50"/>
      <c r="BF208" s="49" t="s">
        <v>30</v>
      </c>
      <c r="BG208" s="50" t="s">
        <v>105</v>
      </c>
      <c r="BH208" s="49" t="s">
        <v>5</v>
      </c>
      <c r="BI208" s="50" t="s">
        <v>505</v>
      </c>
      <c r="BJ208" s="49" t="s">
        <v>5</v>
      </c>
      <c r="BK208" s="50" t="s">
        <v>95</v>
      </c>
      <c r="BL208" s="49"/>
      <c r="BM208" s="50"/>
      <c r="BN208" s="49" t="s">
        <v>5</v>
      </c>
      <c r="BO208" s="50" t="s">
        <v>96</v>
      </c>
      <c r="BP208" s="49"/>
      <c r="BQ208" s="50"/>
      <c r="BR208" s="49"/>
      <c r="BS208" s="50"/>
      <c r="BT208" s="49"/>
      <c r="BU208" s="50"/>
      <c r="BV208" s="49" t="s">
        <v>5</v>
      </c>
      <c r="BW208" s="50" t="s">
        <v>82</v>
      </c>
      <c r="BX208" s="49" t="s">
        <v>30</v>
      </c>
      <c r="BY208" s="50" t="s">
        <v>164</v>
      </c>
      <c r="BZ208" s="49"/>
      <c r="CA208" s="50"/>
    </row>
    <row r="209" spans="1:79" s="156" customFormat="1" x14ac:dyDescent="0.25">
      <c r="A209" s="76">
        <v>151921</v>
      </c>
      <c r="B209" s="77" t="s">
        <v>1169</v>
      </c>
      <c r="C209" s="78" t="s">
        <v>970</v>
      </c>
      <c r="D209" s="76" t="s">
        <v>12</v>
      </c>
      <c r="E209" s="79" t="s">
        <v>87</v>
      </c>
      <c r="F209" s="79" t="s">
        <v>503</v>
      </c>
      <c r="G209" s="79" t="s">
        <v>14</v>
      </c>
      <c r="H209" s="79" t="s">
        <v>87</v>
      </c>
      <c r="I209" s="78" t="s">
        <v>14</v>
      </c>
      <c r="J209" s="79" t="s">
        <v>14</v>
      </c>
      <c r="K209" s="142" t="s">
        <v>1850</v>
      </c>
      <c r="L209" s="149" t="s">
        <v>1842</v>
      </c>
      <c r="M209" s="150" t="s">
        <v>12</v>
      </c>
      <c r="N209" s="151">
        <v>12</v>
      </c>
      <c r="O209" s="151">
        <v>0</v>
      </c>
      <c r="P209" s="152">
        <v>2</v>
      </c>
      <c r="Q209" s="153">
        <v>95.65</v>
      </c>
      <c r="R209" s="154">
        <v>7</v>
      </c>
      <c r="S209" s="38">
        <f t="shared" si="33"/>
        <v>0</v>
      </c>
      <c r="T209" s="39">
        <f t="shared" si="34"/>
        <v>9</v>
      </c>
      <c r="U209" s="40">
        <f t="shared" si="35"/>
        <v>0</v>
      </c>
      <c r="V209" s="40">
        <f t="shared" si="36"/>
        <v>1</v>
      </c>
      <c r="W209" s="40">
        <f t="shared" si="37"/>
        <v>0</v>
      </c>
      <c r="X209" s="40">
        <f t="shared" si="38"/>
        <v>1</v>
      </c>
      <c r="Y209" s="40">
        <f t="shared" si="39"/>
        <v>0</v>
      </c>
      <c r="Z209" s="40">
        <f t="shared" si="40"/>
        <v>0</v>
      </c>
      <c r="AA209" s="40">
        <f t="shared" si="41"/>
        <v>0</v>
      </c>
      <c r="AB209" s="40">
        <f t="shared" si="42"/>
        <v>0</v>
      </c>
      <c r="AC209" s="41">
        <f t="shared" si="43"/>
        <v>0</v>
      </c>
      <c r="AD209" s="49"/>
      <c r="AE209" s="50"/>
      <c r="AF209" s="49"/>
      <c r="AG209" s="50"/>
      <c r="AH209" s="49" t="s">
        <v>5</v>
      </c>
      <c r="AI209" s="50" t="s">
        <v>131</v>
      </c>
      <c r="AJ209" s="49"/>
      <c r="AK209" s="50"/>
      <c r="AL209" s="49"/>
      <c r="AM209" s="50"/>
      <c r="AN209" s="49"/>
      <c r="AO209" s="50"/>
      <c r="AP209" s="49"/>
      <c r="AQ209" s="50"/>
      <c r="AR209" s="49" t="s">
        <v>5</v>
      </c>
      <c r="AS209" s="50" t="s">
        <v>102</v>
      </c>
      <c r="AT209" s="49" t="s">
        <v>31</v>
      </c>
      <c r="AU209" s="50" t="s">
        <v>73</v>
      </c>
      <c r="AV209" s="49" t="s">
        <v>5</v>
      </c>
      <c r="AW209" s="50" t="s">
        <v>140</v>
      </c>
      <c r="AX209" s="49"/>
      <c r="AY209" s="50"/>
      <c r="AZ209" s="49"/>
      <c r="BA209" s="50"/>
      <c r="BB209" s="49"/>
      <c r="BC209" s="50"/>
      <c r="BD209" s="49"/>
      <c r="BE209" s="50"/>
      <c r="BF209" s="49" t="s">
        <v>5</v>
      </c>
      <c r="BG209" s="50" t="s">
        <v>105</v>
      </c>
      <c r="BH209" s="49" t="s">
        <v>5</v>
      </c>
      <c r="BI209" s="50" t="s">
        <v>106</v>
      </c>
      <c r="BJ209" s="49"/>
      <c r="BK209" s="50"/>
      <c r="BL209" s="49"/>
      <c r="BM209" s="50"/>
      <c r="BN209" s="49" t="s">
        <v>5</v>
      </c>
      <c r="BO209" s="50" t="s">
        <v>96</v>
      </c>
      <c r="BP209" s="49"/>
      <c r="BQ209" s="50"/>
      <c r="BR209" s="49"/>
      <c r="BS209" s="50"/>
      <c r="BT209" s="49"/>
      <c r="BU209" s="50"/>
      <c r="BV209" s="49" t="s">
        <v>5</v>
      </c>
      <c r="BW209" s="50" t="s">
        <v>132</v>
      </c>
      <c r="BX209" s="49" t="s">
        <v>5</v>
      </c>
      <c r="BY209" s="50" t="s">
        <v>137</v>
      </c>
      <c r="BZ209" s="49" t="s">
        <v>5</v>
      </c>
      <c r="CA209" s="50" t="s">
        <v>124</v>
      </c>
    </row>
    <row r="210" spans="1:79" x14ac:dyDescent="0.25">
      <c r="A210" s="76">
        <v>151822</v>
      </c>
      <c r="B210" s="77" t="s">
        <v>1170</v>
      </c>
      <c r="C210" s="78" t="s">
        <v>952</v>
      </c>
      <c r="D210" s="76" t="s">
        <v>12</v>
      </c>
      <c r="E210" s="79" t="s">
        <v>14</v>
      </c>
      <c r="F210" s="79" t="s">
        <v>450</v>
      </c>
      <c r="G210" s="79" t="s">
        <v>14</v>
      </c>
      <c r="H210" s="79" t="s">
        <v>14</v>
      </c>
      <c r="I210" s="78" t="s">
        <v>14</v>
      </c>
      <c r="J210" s="79" t="s">
        <v>14</v>
      </c>
      <c r="K210" s="142" t="s">
        <v>1850</v>
      </c>
      <c r="L210" s="149" t="s">
        <v>1842</v>
      </c>
      <c r="M210" s="150" t="s">
        <v>12</v>
      </c>
      <c r="N210" s="151">
        <v>11</v>
      </c>
      <c r="O210" s="151">
        <v>4</v>
      </c>
      <c r="P210" s="152">
        <v>1</v>
      </c>
      <c r="Q210" s="153">
        <v>100</v>
      </c>
      <c r="R210" s="154">
        <v>5</v>
      </c>
      <c r="S210" s="38">
        <f t="shared" si="33"/>
        <v>0</v>
      </c>
      <c r="T210" s="39">
        <f t="shared" si="34"/>
        <v>9</v>
      </c>
      <c r="U210" s="40">
        <f t="shared" si="35"/>
        <v>1</v>
      </c>
      <c r="V210" s="40">
        <f t="shared" si="36"/>
        <v>0</v>
      </c>
      <c r="W210" s="40">
        <f t="shared" si="37"/>
        <v>1</v>
      </c>
      <c r="X210" s="40">
        <f t="shared" si="38"/>
        <v>2</v>
      </c>
      <c r="Y210" s="40">
        <f t="shared" si="39"/>
        <v>0</v>
      </c>
      <c r="Z210" s="40">
        <f t="shared" si="40"/>
        <v>0</v>
      </c>
      <c r="AA210" s="40">
        <f t="shared" si="41"/>
        <v>0</v>
      </c>
      <c r="AB210" s="40">
        <f t="shared" si="42"/>
        <v>0</v>
      </c>
      <c r="AC210" s="41">
        <f t="shared" si="43"/>
        <v>0</v>
      </c>
      <c r="AD210" s="49"/>
      <c r="AE210" s="50"/>
      <c r="AF210" s="49" t="s">
        <v>5</v>
      </c>
      <c r="AG210" s="50" t="s">
        <v>438</v>
      </c>
      <c r="AH210" s="49" t="s">
        <v>30</v>
      </c>
      <c r="AI210" s="50" t="s">
        <v>78</v>
      </c>
      <c r="AJ210" s="49" t="s">
        <v>32</v>
      </c>
      <c r="AK210" s="50" t="s">
        <v>83</v>
      </c>
      <c r="AL210" s="49"/>
      <c r="AM210" s="50"/>
      <c r="AN210" s="49"/>
      <c r="AO210" s="50"/>
      <c r="AP210" s="49"/>
      <c r="AQ210" s="50"/>
      <c r="AR210" s="49" t="s">
        <v>5</v>
      </c>
      <c r="AS210" s="50" t="s">
        <v>74</v>
      </c>
      <c r="AT210" s="49"/>
      <c r="AU210" s="50"/>
      <c r="AV210" s="49" t="s">
        <v>5</v>
      </c>
      <c r="AW210" s="50" t="s">
        <v>117</v>
      </c>
      <c r="AX210" s="49"/>
      <c r="AY210" s="50"/>
      <c r="AZ210" s="49"/>
      <c r="BA210" s="50"/>
      <c r="BB210" s="49"/>
      <c r="BC210" s="50"/>
      <c r="BD210" s="49"/>
      <c r="BE210" s="50"/>
      <c r="BF210" s="49"/>
      <c r="BG210" s="50"/>
      <c r="BH210" s="49" t="s">
        <v>5</v>
      </c>
      <c r="BI210" s="50" t="s">
        <v>94</v>
      </c>
      <c r="BJ210" s="49"/>
      <c r="BK210" s="50"/>
      <c r="BL210" s="49"/>
      <c r="BM210" s="50"/>
      <c r="BN210" s="49" t="s">
        <v>5</v>
      </c>
      <c r="BO210" s="50" t="s">
        <v>107</v>
      </c>
      <c r="BP210" s="49" t="s">
        <v>5</v>
      </c>
      <c r="BQ210" s="50" t="s">
        <v>107</v>
      </c>
      <c r="BR210" s="49" t="s">
        <v>5</v>
      </c>
      <c r="BS210" s="50" t="s">
        <v>123</v>
      </c>
      <c r="BT210" s="49"/>
      <c r="BU210" s="50"/>
      <c r="BV210" s="49" t="s">
        <v>5</v>
      </c>
      <c r="BW210" s="50" t="s">
        <v>122</v>
      </c>
      <c r="BX210" s="49"/>
      <c r="BY210" s="50"/>
      <c r="BZ210" s="49" t="s">
        <v>5</v>
      </c>
      <c r="CA210" s="50" t="s">
        <v>124</v>
      </c>
    </row>
    <row r="211" spans="1:79" x14ac:dyDescent="0.25">
      <c r="A211" s="76">
        <v>151834</v>
      </c>
      <c r="B211" s="77" t="s">
        <v>1171</v>
      </c>
      <c r="C211" s="78" t="s">
        <v>963</v>
      </c>
      <c r="D211" s="76" t="s">
        <v>12</v>
      </c>
      <c r="E211" s="79" t="s">
        <v>14</v>
      </c>
      <c r="F211" s="79" t="s">
        <v>88</v>
      </c>
      <c r="G211" s="79" t="s">
        <v>87</v>
      </c>
      <c r="H211" s="79" t="s">
        <v>14</v>
      </c>
      <c r="I211" s="78" t="s">
        <v>14</v>
      </c>
      <c r="J211" s="79" t="s">
        <v>14</v>
      </c>
      <c r="K211" s="142" t="s">
        <v>1850</v>
      </c>
      <c r="L211" s="149" t="s">
        <v>1844</v>
      </c>
      <c r="M211" s="150" t="s">
        <v>12</v>
      </c>
      <c r="N211" s="151">
        <v>24</v>
      </c>
      <c r="O211" s="151">
        <v>0</v>
      </c>
      <c r="P211" s="152">
        <v>0</v>
      </c>
      <c r="Q211" s="153">
        <v>97.83</v>
      </c>
      <c r="R211" s="154">
        <v>0</v>
      </c>
      <c r="S211" s="38">
        <f t="shared" si="33"/>
        <v>6</v>
      </c>
      <c r="T211" s="39">
        <f t="shared" si="34"/>
        <v>5</v>
      </c>
      <c r="U211" s="40">
        <f t="shared" si="35"/>
        <v>0</v>
      </c>
      <c r="V211" s="40">
        <f t="shared" si="36"/>
        <v>0</v>
      </c>
      <c r="W211" s="40">
        <f t="shared" si="37"/>
        <v>0</v>
      </c>
      <c r="X211" s="40">
        <f t="shared" si="38"/>
        <v>0</v>
      </c>
      <c r="Y211" s="40">
        <f t="shared" si="39"/>
        <v>0</v>
      </c>
      <c r="Z211" s="40">
        <f t="shared" si="40"/>
        <v>0</v>
      </c>
      <c r="AA211" s="40">
        <f t="shared" si="41"/>
        <v>0</v>
      </c>
      <c r="AB211" s="40">
        <f t="shared" si="42"/>
        <v>0</v>
      </c>
      <c r="AC211" s="41">
        <f t="shared" si="43"/>
        <v>0</v>
      </c>
      <c r="AD211" s="49"/>
      <c r="AE211" s="50"/>
      <c r="AF211" s="49" t="s">
        <v>5</v>
      </c>
      <c r="AG211" s="50" t="s">
        <v>438</v>
      </c>
      <c r="AH211" s="49" t="s">
        <v>1</v>
      </c>
      <c r="AI211" s="50" t="s">
        <v>78</v>
      </c>
      <c r="AJ211" s="49" t="s">
        <v>5</v>
      </c>
      <c r="AK211" s="50" t="s">
        <v>83</v>
      </c>
      <c r="AL211" s="49"/>
      <c r="AM211" s="50"/>
      <c r="AN211" s="49"/>
      <c r="AO211" s="50"/>
      <c r="AP211" s="49"/>
      <c r="AQ211" s="50"/>
      <c r="AR211" s="49" t="s">
        <v>5</v>
      </c>
      <c r="AS211" s="50" t="s">
        <v>102</v>
      </c>
      <c r="AT211" s="49"/>
      <c r="AU211" s="50"/>
      <c r="AV211" s="49" t="s">
        <v>1</v>
      </c>
      <c r="AW211" s="50" t="s">
        <v>495</v>
      </c>
      <c r="AX211" s="49" t="s">
        <v>1</v>
      </c>
      <c r="AY211" s="50" t="s">
        <v>143</v>
      </c>
      <c r="AZ211" s="49"/>
      <c r="BA211" s="50"/>
      <c r="BB211" s="49"/>
      <c r="BC211" s="50"/>
      <c r="BD211" s="49" t="s">
        <v>5</v>
      </c>
      <c r="BE211" s="50" t="s">
        <v>120</v>
      </c>
      <c r="BF211" s="49"/>
      <c r="BG211" s="50"/>
      <c r="BH211" s="49" t="s">
        <v>1</v>
      </c>
      <c r="BI211" s="50" t="s">
        <v>112</v>
      </c>
      <c r="BJ211" s="49"/>
      <c r="BK211" s="50"/>
      <c r="BL211" s="49"/>
      <c r="BM211" s="50"/>
      <c r="BN211" s="49" t="s">
        <v>1</v>
      </c>
      <c r="BO211" s="50" t="s">
        <v>96</v>
      </c>
      <c r="BP211" s="49"/>
      <c r="BQ211" s="50"/>
      <c r="BR211" s="49" t="s">
        <v>5</v>
      </c>
      <c r="BS211" s="50" t="s">
        <v>123</v>
      </c>
      <c r="BT211" s="49"/>
      <c r="BU211" s="50"/>
      <c r="BV211" s="49" t="s">
        <v>1</v>
      </c>
      <c r="BW211" s="50" t="s">
        <v>715</v>
      </c>
      <c r="BX211" s="49"/>
      <c r="BY211" s="50"/>
      <c r="BZ211" s="49"/>
      <c r="CA211" s="50"/>
    </row>
    <row r="212" spans="1:79" x14ac:dyDescent="0.25">
      <c r="A212" s="76">
        <v>151818</v>
      </c>
      <c r="B212" s="77" t="s">
        <v>1172</v>
      </c>
      <c r="C212" s="78" t="s">
        <v>970</v>
      </c>
      <c r="D212" s="76" t="s">
        <v>12</v>
      </c>
      <c r="E212" s="79" t="s">
        <v>14</v>
      </c>
      <c r="F212" s="79" t="s">
        <v>774</v>
      </c>
      <c r="G212" s="79" t="s">
        <v>14</v>
      </c>
      <c r="H212" s="79" t="s">
        <v>14</v>
      </c>
      <c r="I212" s="78" t="s">
        <v>14</v>
      </c>
      <c r="J212" s="79" t="s">
        <v>14</v>
      </c>
      <c r="K212" s="142" t="s">
        <v>1850</v>
      </c>
      <c r="L212" s="149" t="s">
        <v>1846</v>
      </c>
      <c r="M212" s="150" t="s">
        <v>1853</v>
      </c>
      <c r="N212" s="151"/>
      <c r="O212" s="151"/>
      <c r="P212" s="152"/>
      <c r="Q212" s="153">
        <v>100</v>
      </c>
      <c r="R212" s="154">
        <v>0</v>
      </c>
      <c r="S212" s="38">
        <f t="shared" si="33"/>
        <v>3</v>
      </c>
      <c r="T212" s="39">
        <f t="shared" si="34"/>
        <v>8</v>
      </c>
      <c r="U212" s="40">
        <f t="shared" si="35"/>
        <v>0</v>
      </c>
      <c r="V212" s="40">
        <f t="shared" si="36"/>
        <v>0</v>
      </c>
      <c r="W212" s="40">
        <f t="shared" si="37"/>
        <v>0</v>
      </c>
      <c r="X212" s="40">
        <f t="shared" si="38"/>
        <v>0</v>
      </c>
      <c r="Y212" s="40">
        <f t="shared" si="39"/>
        <v>0</v>
      </c>
      <c r="Z212" s="40">
        <f t="shared" si="40"/>
        <v>0</v>
      </c>
      <c r="AA212" s="40">
        <f t="shared" si="41"/>
        <v>0</v>
      </c>
      <c r="AB212" s="40">
        <f t="shared" si="42"/>
        <v>0</v>
      </c>
      <c r="AC212" s="41">
        <f t="shared" si="43"/>
        <v>0</v>
      </c>
      <c r="AD212" s="49"/>
      <c r="AE212" s="50"/>
      <c r="AF212" s="49" t="s">
        <v>5</v>
      </c>
      <c r="AG212" s="50" t="s">
        <v>433</v>
      </c>
      <c r="AH212" s="49"/>
      <c r="AI212" s="50"/>
      <c r="AJ212" s="49" t="s">
        <v>5</v>
      </c>
      <c r="AK212" s="50" t="s">
        <v>419</v>
      </c>
      <c r="AL212" s="49"/>
      <c r="AM212" s="50"/>
      <c r="AN212" s="49"/>
      <c r="AO212" s="50"/>
      <c r="AP212" s="49"/>
      <c r="AQ212" s="50"/>
      <c r="AR212" s="49" t="s">
        <v>5</v>
      </c>
      <c r="AS212" s="50" t="s">
        <v>169</v>
      </c>
      <c r="AT212" s="49"/>
      <c r="AU212" s="50"/>
      <c r="AV212" s="49" t="s">
        <v>5</v>
      </c>
      <c r="AW212" s="50" t="s">
        <v>140</v>
      </c>
      <c r="AX212" s="49"/>
      <c r="AY212" s="50"/>
      <c r="AZ212" s="49" t="s">
        <v>5</v>
      </c>
      <c r="BA212" s="50" t="s">
        <v>76</v>
      </c>
      <c r="BB212" s="49"/>
      <c r="BC212" s="50"/>
      <c r="BD212" s="49"/>
      <c r="BE212" s="50"/>
      <c r="BF212" s="49"/>
      <c r="BG212" s="50"/>
      <c r="BH212" s="49" t="s">
        <v>1</v>
      </c>
      <c r="BI212" s="50" t="s">
        <v>94</v>
      </c>
      <c r="BJ212" s="49"/>
      <c r="BK212" s="50"/>
      <c r="BL212" s="49"/>
      <c r="BM212" s="50"/>
      <c r="BN212" s="49" t="s">
        <v>1</v>
      </c>
      <c r="BO212" s="50" t="s">
        <v>96</v>
      </c>
      <c r="BP212" s="49"/>
      <c r="BQ212" s="50"/>
      <c r="BR212" s="49" t="s">
        <v>5</v>
      </c>
      <c r="BS212" s="50" t="s">
        <v>140</v>
      </c>
      <c r="BT212" s="49" t="s">
        <v>5</v>
      </c>
      <c r="BU212" s="50" t="s">
        <v>90</v>
      </c>
      <c r="BV212" s="49" t="s">
        <v>5</v>
      </c>
      <c r="BW212" s="50" t="s">
        <v>132</v>
      </c>
      <c r="BX212" s="49"/>
      <c r="BY212" s="50"/>
      <c r="BZ212" s="49" t="s">
        <v>1</v>
      </c>
      <c r="CA212" s="50" t="s">
        <v>124</v>
      </c>
    </row>
    <row r="213" spans="1:79" x14ac:dyDescent="0.25">
      <c r="A213" s="76">
        <v>151775</v>
      </c>
      <c r="B213" s="77" t="s">
        <v>1173</v>
      </c>
      <c r="C213" s="78" t="s">
        <v>950</v>
      </c>
      <c r="D213" s="76" t="s">
        <v>70</v>
      </c>
      <c r="E213" s="79" t="s">
        <v>14</v>
      </c>
      <c r="F213" s="79" t="s">
        <v>88</v>
      </c>
      <c r="G213" s="79" t="s">
        <v>87</v>
      </c>
      <c r="H213" s="79" t="s">
        <v>14</v>
      </c>
      <c r="I213" s="78" t="s">
        <v>14</v>
      </c>
      <c r="J213" s="79" t="s">
        <v>14</v>
      </c>
      <c r="K213" s="142" t="s">
        <v>1850</v>
      </c>
      <c r="L213" s="149" t="s">
        <v>1848</v>
      </c>
      <c r="M213" s="150" t="s">
        <v>1852</v>
      </c>
      <c r="N213" s="151"/>
      <c r="O213" s="151"/>
      <c r="P213" s="152"/>
      <c r="Q213" s="153">
        <v>100</v>
      </c>
      <c r="R213" s="154">
        <v>4</v>
      </c>
      <c r="S213" s="38">
        <f t="shared" si="33"/>
        <v>5</v>
      </c>
      <c r="T213" s="39">
        <f t="shared" si="34"/>
        <v>6</v>
      </c>
      <c r="U213" s="40">
        <f t="shared" si="35"/>
        <v>0</v>
      </c>
      <c r="V213" s="40">
        <f t="shared" si="36"/>
        <v>0</v>
      </c>
      <c r="W213" s="40">
        <f t="shared" si="37"/>
        <v>0</v>
      </c>
      <c r="X213" s="40">
        <f t="shared" si="38"/>
        <v>0</v>
      </c>
      <c r="Y213" s="40">
        <f t="shared" si="39"/>
        <v>0</v>
      </c>
      <c r="Z213" s="40">
        <f t="shared" si="40"/>
        <v>0</v>
      </c>
      <c r="AA213" s="40">
        <f t="shared" si="41"/>
        <v>0</v>
      </c>
      <c r="AB213" s="40">
        <f t="shared" si="42"/>
        <v>0</v>
      </c>
      <c r="AC213" s="41">
        <f t="shared" si="43"/>
        <v>0</v>
      </c>
      <c r="AD213" s="49"/>
      <c r="AE213" s="50"/>
      <c r="AF213" s="49" t="s">
        <v>1</v>
      </c>
      <c r="AG213" s="50" t="s">
        <v>154</v>
      </c>
      <c r="AH213" s="49" t="s">
        <v>5</v>
      </c>
      <c r="AI213" s="50" t="s">
        <v>131</v>
      </c>
      <c r="AJ213" s="49" t="s">
        <v>1</v>
      </c>
      <c r="AK213" s="50" t="s">
        <v>83</v>
      </c>
      <c r="AL213" s="49"/>
      <c r="AM213" s="50"/>
      <c r="AN213" s="49"/>
      <c r="AO213" s="50"/>
      <c r="AP213" s="49"/>
      <c r="AQ213" s="50"/>
      <c r="AR213" s="49" t="s">
        <v>5</v>
      </c>
      <c r="AS213" s="50" t="s">
        <v>722</v>
      </c>
      <c r="AT213" s="49"/>
      <c r="AU213" s="50"/>
      <c r="AV213" s="49" t="s">
        <v>1</v>
      </c>
      <c r="AW213" s="50" t="s">
        <v>96</v>
      </c>
      <c r="AX213" s="49" t="s">
        <v>5</v>
      </c>
      <c r="AY213" s="50" t="s">
        <v>84</v>
      </c>
      <c r="AZ213" s="49"/>
      <c r="BA213" s="50"/>
      <c r="BB213" s="49" t="s">
        <v>5</v>
      </c>
      <c r="BC213" s="50" t="s">
        <v>420</v>
      </c>
      <c r="BD213" s="49"/>
      <c r="BE213" s="50"/>
      <c r="BF213" s="49"/>
      <c r="BG213" s="50"/>
      <c r="BH213" s="49" t="s">
        <v>5</v>
      </c>
      <c r="BI213" s="50" t="s">
        <v>79</v>
      </c>
      <c r="BJ213" s="49"/>
      <c r="BK213" s="50"/>
      <c r="BL213" s="49"/>
      <c r="BM213" s="50"/>
      <c r="BN213" s="49" t="s">
        <v>5</v>
      </c>
      <c r="BO213" s="50" t="s">
        <v>81</v>
      </c>
      <c r="BP213" s="49"/>
      <c r="BQ213" s="50"/>
      <c r="BR213" s="49" t="s">
        <v>1</v>
      </c>
      <c r="BS213" s="50" t="s">
        <v>98</v>
      </c>
      <c r="BT213" s="49"/>
      <c r="BU213" s="50"/>
      <c r="BV213" s="49" t="s">
        <v>1</v>
      </c>
      <c r="BW213" s="50" t="s">
        <v>602</v>
      </c>
      <c r="BX213" s="49"/>
      <c r="BY213" s="50"/>
      <c r="BZ213" s="49"/>
      <c r="CA213" s="50"/>
    </row>
    <row r="214" spans="1:79" x14ac:dyDescent="0.25">
      <c r="A214" s="76"/>
      <c r="B214" s="77"/>
      <c r="C214" s="78"/>
      <c r="D214" s="76"/>
      <c r="E214" s="79"/>
      <c r="F214" s="79"/>
      <c r="G214" s="79"/>
      <c r="H214" s="79"/>
      <c r="I214" s="78"/>
      <c r="J214" s="79"/>
      <c r="K214" s="142" t="s">
        <v>1406</v>
      </c>
      <c r="L214" s="149" t="e">
        <v>#VALUE!</v>
      </c>
      <c r="M214" s="150" t="s">
        <v>1406</v>
      </c>
      <c r="N214" s="151"/>
      <c r="O214" s="151"/>
      <c r="P214" s="152"/>
      <c r="Q214" s="153"/>
      <c r="R214" s="154"/>
      <c r="S214" s="38">
        <f t="shared" si="33"/>
        <v>0</v>
      </c>
      <c r="T214" s="39">
        <f t="shared" si="34"/>
        <v>0</v>
      </c>
      <c r="U214" s="40">
        <f t="shared" si="35"/>
        <v>0</v>
      </c>
      <c r="V214" s="40">
        <f t="shared" si="36"/>
        <v>0</v>
      </c>
      <c r="W214" s="40">
        <f t="shared" si="37"/>
        <v>0</v>
      </c>
      <c r="X214" s="40">
        <f t="shared" si="38"/>
        <v>0</v>
      </c>
      <c r="Y214" s="40">
        <f t="shared" si="39"/>
        <v>0</v>
      </c>
      <c r="Z214" s="40">
        <f t="shared" si="40"/>
        <v>0</v>
      </c>
      <c r="AA214" s="40">
        <f t="shared" si="41"/>
        <v>0</v>
      </c>
      <c r="AB214" s="40">
        <f t="shared" si="42"/>
        <v>0</v>
      </c>
      <c r="AC214" s="41">
        <f t="shared" si="43"/>
        <v>0</v>
      </c>
      <c r="AD214" s="49"/>
      <c r="AE214" s="50"/>
      <c r="AF214" s="49"/>
      <c r="AG214" s="50"/>
      <c r="AH214" s="49"/>
      <c r="AI214" s="50"/>
      <c r="AJ214" s="49"/>
      <c r="AK214" s="50"/>
      <c r="AL214" s="49"/>
      <c r="AM214" s="50"/>
      <c r="AN214" s="49"/>
      <c r="AO214" s="50"/>
      <c r="AP214" s="49"/>
      <c r="AQ214" s="50"/>
      <c r="AR214" s="49"/>
      <c r="AS214" s="50"/>
      <c r="AT214" s="49"/>
      <c r="AU214" s="50"/>
      <c r="AV214" s="49"/>
      <c r="AW214" s="50"/>
      <c r="AX214" s="49"/>
      <c r="AY214" s="50"/>
      <c r="AZ214" s="49"/>
      <c r="BA214" s="50"/>
      <c r="BB214" s="49"/>
      <c r="BC214" s="50"/>
      <c r="BD214" s="49"/>
      <c r="BE214" s="50"/>
      <c r="BF214" s="49"/>
      <c r="BG214" s="50"/>
      <c r="BH214" s="49"/>
      <c r="BI214" s="50"/>
      <c r="BJ214" s="49"/>
      <c r="BK214" s="50"/>
      <c r="BL214" s="49"/>
      <c r="BM214" s="50"/>
      <c r="BN214" s="49"/>
      <c r="BO214" s="50"/>
      <c r="BP214" s="49"/>
      <c r="BQ214" s="50"/>
      <c r="BR214" s="49"/>
      <c r="BS214" s="50"/>
      <c r="BT214" s="49"/>
      <c r="BU214" s="50"/>
      <c r="BV214" s="49"/>
      <c r="BW214" s="50"/>
      <c r="BX214" s="49"/>
      <c r="BY214" s="50"/>
      <c r="BZ214" s="49"/>
      <c r="CA214" s="50"/>
    </row>
    <row r="215" spans="1:79" x14ac:dyDescent="0.25">
      <c r="A215" s="76"/>
      <c r="B215" s="77"/>
      <c r="C215" s="78"/>
      <c r="D215" s="76"/>
      <c r="E215" s="79"/>
      <c r="F215" s="79"/>
      <c r="G215" s="79"/>
      <c r="H215" s="79"/>
      <c r="I215" s="78"/>
      <c r="J215" s="79"/>
      <c r="K215" s="142"/>
      <c r="L215" s="149"/>
      <c r="M215" s="150"/>
      <c r="N215" s="151"/>
      <c r="O215" s="151"/>
      <c r="P215" s="152"/>
      <c r="Q215" s="153"/>
      <c r="R215" s="154"/>
      <c r="S215" s="38"/>
      <c r="T215" s="39"/>
      <c r="U215" s="40"/>
      <c r="V215" s="40"/>
      <c r="W215" s="40"/>
      <c r="X215" s="40"/>
      <c r="Y215" s="40"/>
      <c r="Z215" s="40"/>
      <c r="AA215" s="40"/>
      <c r="AB215" s="40"/>
      <c r="AC215" s="41"/>
      <c r="AD215" s="49"/>
      <c r="AE215" s="50"/>
      <c r="AF215" s="49"/>
      <c r="AG215" s="50"/>
      <c r="AH215" s="49"/>
      <c r="AI215" s="50"/>
      <c r="AJ215" s="49"/>
      <c r="AK215" s="50"/>
      <c r="AL215" s="49"/>
      <c r="AM215" s="50"/>
      <c r="AN215" s="49"/>
      <c r="AO215" s="50"/>
      <c r="AP215" s="49"/>
      <c r="AQ215" s="50"/>
      <c r="AR215" s="49"/>
      <c r="AS215" s="50"/>
      <c r="AT215" s="49"/>
      <c r="AU215" s="50"/>
      <c r="AV215" s="49"/>
      <c r="AW215" s="50"/>
      <c r="AX215" s="49"/>
      <c r="AY215" s="50"/>
      <c r="AZ215" s="49"/>
      <c r="BA215" s="50"/>
      <c r="BB215" s="49"/>
      <c r="BC215" s="50"/>
      <c r="BD215" s="49"/>
      <c r="BE215" s="50"/>
      <c r="BF215" s="49"/>
      <c r="BG215" s="50"/>
      <c r="BH215" s="49"/>
      <c r="BI215" s="50"/>
      <c r="BJ215" s="49"/>
      <c r="BK215" s="50"/>
      <c r="BL215" s="49"/>
      <c r="BM215" s="50"/>
      <c r="BN215" s="49"/>
      <c r="BO215" s="50"/>
      <c r="BP215" s="49"/>
      <c r="BQ215" s="50"/>
      <c r="BR215" s="49"/>
      <c r="BS215" s="50"/>
      <c r="BT215" s="49"/>
      <c r="BU215" s="50"/>
      <c r="BV215" s="49"/>
      <c r="BW215" s="50"/>
      <c r="BX215" s="49"/>
      <c r="BY215" s="50"/>
      <c r="BZ215" s="49"/>
      <c r="CA215" s="50"/>
    </row>
    <row r="216" spans="1:79" x14ac:dyDescent="0.25">
      <c r="A216" s="76"/>
      <c r="B216" s="77"/>
      <c r="C216" s="78"/>
      <c r="D216" s="76"/>
      <c r="E216" s="79"/>
      <c r="F216" s="79"/>
      <c r="G216" s="79"/>
      <c r="H216" s="79"/>
      <c r="I216" s="78"/>
      <c r="J216" s="79"/>
      <c r="K216" s="142"/>
      <c r="L216" s="149"/>
      <c r="M216" s="150"/>
      <c r="N216" s="151"/>
      <c r="O216" s="151"/>
      <c r="P216" s="152"/>
      <c r="Q216" s="153"/>
      <c r="R216" s="154"/>
      <c r="S216" s="38"/>
      <c r="T216" s="39"/>
      <c r="U216" s="40"/>
      <c r="V216" s="40"/>
      <c r="W216" s="40"/>
      <c r="X216" s="40"/>
      <c r="Y216" s="40"/>
      <c r="Z216" s="40"/>
      <c r="AA216" s="40"/>
      <c r="AB216" s="40"/>
      <c r="AC216" s="41"/>
    </row>
    <row r="217" spans="1:79" x14ac:dyDescent="0.25">
      <c r="A217" s="157"/>
      <c r="B217" s="158"/>
      <c r="C217" s="159"/>
      <c r="D217" s="157"/>
      <c r="E217" s="160"/>
      <c r="F217" s="160"/>
      <c r="G217" s="160"/>
      <c r="H217" s="160"/>
      <c r="I217" s="159"/>
      <c r="J217" s="160"/>
      <c r="K217" s="142"/>
      <c r="L217" s="149"/>
      <c r="M217" s="150"/>
      <c r="N217" s="151"/>
      <c r="O217" s="151"/>
      <c r="P217" s="152"/>
      <c r="Q217" s="153"/>
      <c r="R217" s="154"/>
      <c r="S217" s="38"/>
      <c r="T217" s="39"/>
      <c r="U217" s="40"/>
      <c r="V217" s="40"/>
      <c r="W217" s="40"/>
      <c r="X217" s="40"/>
      <c r="Y217" s="40"/>
      <c r="Z217" s="40"/>
      <c r="AA217" s="40"/>
      <c r="AB217" s="40"/>
      <c r="AC217" s="41"/>
    </row>
    <row r="218" spans="1:79" x14ac:dyDescent="0.25">
      <c r="A218" s="157"/>
      <c r="B218" s="158"/>
      <c r="C218" s="159"/>
      <c r="D218" s="157"/>
      <c r="E218" s="160"/>
      <c r="F218" s="160"/>
      <c r="G218" s="160"/>
      <c r="H218" s="160"/>
      <c r="I218" s="159"/>
      <c r="J218" s="160"/>
      <c r="K218" s="142"/>
      <c r="L218" s="149"/>
      <c r="M218" s="150"/>
      <c r="N218" s="151"/>
      <c r="O218" s="151"/>
      <c r="P218" s="152"/>
      <c r="Q218" s="153"/>
      <c r="R218" s="154"/>
      <c r="S218" s="38"/>
      <c r="T218" s="39"/>
      <c r="U218" s="40"/>
      <c r="V218" s="40"/>
      <c r="W218" s="40"/>
      <c r="X218" s="40"/>
      <c r="Y218" s="40"/>
      <c r="Z218" s="40"/>
      <c r="AA218" s="40"/>
      <c r="AB218" s="40"/>
      <c r="AC218" s="41"/>
    </row>
    <row r="219" spans="1:79" x14ac:dyDescent="0.25">
      <c r="A219" s="157"/>
      <c r="B219" s="158"/>
      <c r="C219" s="159"/>
      <c r="D219" s="157"/>
      <c r="E219" s="160"/>
      <c r="F219" s="160"/>
      <c r="G219" s="160"/>
      <c r="H219" s="160"/>
      <c r="I219" s="159"/>
      <c r="J219" s="160"/>
      <c r="K219" s="142"/>
      <c r="L219" s="149"/>
      <c r="M219" s="150"/>
      <c r="N219" s="151"/>
      <c r="O219" s="151"/>
      <c r="P219" s="152"/>
      <c r="Q219" s="153"/>
      <c r="R219" s="154"/>
      <c r="S219" s="38"/>
      <c r="T219" s="39"/>
      <c r="U219" s="40"/>
      <c r="V219" s="40"/>
      <c r="W219" s="40"/>
      <c r="X219" s="40"/>
      <c r="Y219" s="40"/>
      <c r="Z219" s="40"/>
      <c r="AA219" s="40"/>
      <c r="AB219" s="40"/>
      <c r="AC219" s="41"/>
    </row>
    <row r="220" spans="1:79" x14ac:dyDescent="0.25">
      <c r="A220" s="157"/>
      <c r="B220" s="158"/>
      <c r="C220" s="159"/>
      <c r="D220" s="157"/>
      <c r="E220" s="160"/>
      <c r="F220" s="160"/>
      <c r="G220" s="160"/>
      <c r="H220" s="160"/>
      <c r="I220" s="159"/>
      <c r="J220" s="160"/>
      <c r="K220" s="142"/>
      <c r="L220" s="149"/>
      <c r="M220" s="150"/>
      <c r="N220" s="151"/>
      <c r="O220" s="151"/>
      <c r="P220" s="152"/>
      <c r="Q220" s="153"/>
      <c r="R220" s="154"/>
      <c r="S220" s="38"/>
      <c r="T220" s="39"/>
      <c r="U220" s="40"/>
      <c r="V220" s="40"/>
      <c r="W220" s="40"/>
      <c r="X220" s="40"/>
      <c r="Y220" s="40"/>
      <c r="Z220" s="40"/>
      <c r="AA220" s="40"/>
      <c r="AB220" s="40"/>
      <c r="AC220" s="41"/>
    </row>
    <row r="221" spans="1:79" x14ac:dyDescent="0.25">
      <c r="A221" s="157"/>
      <c r="B221" s="158"/>
      <c r="C221" s="159"/>
      <c r="D221" s="157"/>
      <c r="E221" s="160"/>
      <c r="F221" s="160"/>
      <c r="G221" s="160"/>
      <c r="H221" s="160"/>
      <c r="I221" s="159"/>
      <c r="J221" s="160"/>
      <c r="K221" s="142"/>
      <c r="L221" s="149"/>
      <c r="M221" s="150"/>
      <c r="N221" s="151"/>
      <c r="O221" s="151"/>
      <c r="P221" s="152"/>
      <c r="Q221" s="153"/>
      <c r="R221" s="154"/>
      <c r="S221" s="38"/>
      <c r="T221" s="39"/>
      <c r="U221" s="40"/>
      <c r="V221" s="40"/>
      <c r="W221" s="40"/>
      <c r="X221" s="40"/>
      <c r="Y221" s="40"/>
      <c r="Z221" s="40"/>
      <c r="AA221" s="40"/>
      <c r="AB221" s="40"/>
      <c r="AC221" s="41"/>
    </row>
    <row r="222" spans="1:79" x14ac:dyDescent="0.25">
      <c r="A222" s="157"/>
      <c r="B222" s="158"/>
      <c r="C222" s="159"/>
      <c r="D222" s="157"/>
      <c r="E222" s="160"/>
      <c r="F222" s="160"/>
      <c r="G222" s="160"/>
      <c r="H222" s="160"/>
      <c r="I222" s="159"/>
      <c r="J222" s="160"/>
      <c r="K222" s="142"/>
      <c r="L222" s="149"/>
      <c r="M222" s="150"/>
      <c r="N222" s="151"/>
      <c r="O222" s="151"/>
      <c r="P222" s="152"/>
      <c r="Q222" s="153"/>
      <c r="R222" s="154"/>
      <c r="S222" s="38"/>
      <c r="T222" s="39"/>
      <c r="U222" s="40"/>
      <c r="V222" s="40"/>
      <c r="W222" s="40"/>
      <c r="X222" s="40"/>
      <c r="Y222" s="40"/>
      <c r="Z222" s="40"/>
      <c r="AA222" s="40"/>
      <c r="AB222" s="40"/>
      <c r="AC222" s="41"/>
    </row>
    <row r="223" spans="1:79" x14ac:dyDescent="0.25">
      <c r="A223" s="157"/>
      <c r="B223" s="158"/>
      <c r="C223" s="159"/>
      <c r="D223" s="157"/>
      <c r="E223" s="160"/>
      <c r="F223" s="160"/>
      <c r="G223" s="160"/>
      <c r="H223" s="160"/>
      <c r="I223" s="159"/>
      <c r="J223" s="160"/>
      <c r="K223" s="142"/>
      <c r="L223" s="149"/>
      <c r="M223" s="150"/>
      <c r="N223" s="151"/>
      <c r="O223" s="151"/>
      <c r="P223" s="152"/>
      <c r="Q223" s="153"/>
      <c r="R223" s="154"/>
      <c r="S223" s="38"/>
      <c r="T223" s="39"/>
      <c r="U223" s="40"/>
      <c r="V223" s="40"/>
      <c r="W223" s="40"/>
      <c r="X223" s="40"/>
      <c r="Y223" s="40"/>
      <c r="Z223" s="40"/>
      <c r="AA223" s="40"/>
      <c r="AB223" s="40"/>
      <c r="AC223" s="41"/>
    </row>
    <row r="224" spans="1:79" x14ac:dyDescent="0.25">
      <c r="A224" s="157"/>
      <c r="B224" s="158"/>
      <c r="C224" s="159"/>
      <c r="D224" s="157"/>
      <c r="E224" s="160"/>
      <c r="F224" s="160"/>
      <c r="G224" s="160"/>
      <c r="H224" s="160"/>
      <c r="I224" s="159"/>
      <c r="J224" s="160"/>
      <c r="K224" s="142"/>
      <c r="L224" s="149"/>
      <c r="M224" s="150"/>
      <c r="N224" s="151"/>
      <c r="O224" s="151"/>
      <c r="P224" s="152"/>
      <c r="Q224" s="153"/>
      <c r="R224" s="154"/>
      <c r="S224" s="38"/>
      <c r="T224" s="39"/>
      <c r="U224" s="40"/>
      <c r="V224" s="40"/>
      <c r="W224" s="40"/>
      <c r="X224" s="40"/>
      <c r="Y224" s="40"/>
      <c r="Z224" s="40"/>
      <c r="AA224" s="40"/>
      <c r="AB224" s="40"/>
      <c r="AC224" s="41"/>
    </row>
    <row r="225" spans="1:29" x14ac:dyDescent="0.25">
      <c r="A225" s="157"/>
      <c r="B225" s="158"/>
      <c r="C225" s="159"/>
      <c r="D225" s="157"/>
      <c r="E225" s="160"/>
      <c r="F225" s="160"/>
      <c r="G225" s="160"/>
      <c r="H225" s="160"/>
      <c r="I225" s="159"/>
      <c r="J225" s="160"/>
      <c r="K225" s="142"/>
      <c r="L225" s="149"/>
      <c r="M225" s="150"/>
      <c r="N225" s="151"/>
      <c r="O225" s="151"/>
      <c r="P225" s="152"/>
      <c r="Q225" s="153"/>
      <c r="R225" s="154"/>
      <c r="S225" s="38"/>
      <c r="T225" s="39"/>
      <c r="U225" s="40"/>
      <c r="V225" s="40"/>
      <c r="W225" s="40"/>
      <c r="X225" s="40"/>
      <c r="Y225" s="40"/>
      <c r="Z225" s="40"/>
      <c r="AA225" s="40"/>
      <c r="AB225" s="40"/>
      <c r="AC225" s="41"/>
    </row>
    <row r="226" spans="1:29" x14ac:dyDescent="0.25">
      <c r="A226" s="157"/>
      <c r="B226" s="158"/>
      <c r="C226" s="159"/>
      <c r="D226" s="157"/>
      <c r="E226" s="160"/>
      <c r="F226" s="160"/>
      <c r="G226" s="160"/>
      <c r="H226" s="160"/>
      <c r="I226" s="159"/>
      <c r="J226" s="160"/>
      <c r="K226" s="142"/>
      <c r="L226" s="149"/>
      <c r="M226" s="150"/>
      <c r="N226" s="151"/>
      <c r="O226" s="151"/>
      <c r="P226" s="152"/>
      <c r="Q226" s="153"/>
      <c r="R226" s="154"/>
      <c r="S226" s="38"/>
      <c r="T226" s="39"/>
      <c r="U226" s="40"/>
      <c r="V226" s="40"/>
      <c r="W226" s="40"/>
      <c r="X226" s="40"/>
      <c r="Y226" s="40"/>
      <c r="Z226" s="40"/>
      <c r="AA226" s="40"/>
      <c r="AB226" s="40"/>
      <c r="AC226" s="41"/>
    </row>
    <row r="227" spans="1:29" x14ac:dyDescent="0.25">
      <c r="A227" s="157"/>
      <c r="B227" s="158"/>
      <c r="C227" s="159"/>
      <c r="D227" s="157"/>
      <c r="E227" s="160"/>
      <c r="F227" s="160"/>
      <c r="G227" s="160"/>
      <c r="H227" s="160"/>
      <c r="I227" s="159"/>
      <c r="J227" s="160"/>
      <c r="K227" s="142"/>
      <c r="L227" s="149"/>
      <c r="M227" s="150"/>
      <c r="N227" s="151"/>
      <c r="O227" s="151"/>
      <c r="P227" s="152"/>
      <c r="Q227" s="153"/>
      <c r="R227" s="154"/>
      <c r="S227" s="38"/>
      <c r="T227" s="39"/>
      <c r="U227" s="40"/>
      <c r="V227" s="40"/>
      <c r="W227" s="40"/>
      <c r="X227" s="40"/>
      <c r="Y227" s="40"/>
      <c r="Z227" s="40"/>
      <c r="AA227" s="40"/>
      <c r="AB227" s="40"/>
      <c r="AC227" s="41"/>
    </row>
    <row r="228" spans="1:29" x14ac:dyDescent="0.25">
      <c r="A228" s="157"/>
      <c r="B228" s="158"/>
      <c r="C228" s="159"/>
      <c r="D228" s="157"/>
      <c r="E228" s="160"/>
      <c r="F228" s="160"/>
      <c r="G228" s="160"/>
      <c r="H228" s="160"/>
      <c r="I228" s="159"/>
      <c r="J228" s="160"/>
      <c r="K228" s="142"/>
      <c r="L228" s="149"/>
      <c r="M228" s="150"/>
      <c r="N228" s="151"/>
      <c r="O228" s="151"/>
      <c r="P228" s="152"/>
      <c r="Q228" s="153"/>
      <c r="R228" s="154"/>
      <c r="S228" s="38"/>
      <c r="T228" s="39"/>
      <c r="U228" s="40"/>
      <c r="V228" s="40"/>
      <c r="W228" s="40"/>
      <c r="X228" s="40"/>
      <c r="Y228" s="40"/>
      <c r="Z228" s="40"/>
      <c r="AA228" s="40"/>
      <c r="AB228" s="40"/>
      <c r="AC228" s="41"/>
    </row>
    <row r="229" spans="1:29" x14ac:dyDescent="0.25">
      <c r="A229" s="157"/>
      <c r="B229" s="158"/>
      <c r="C229" s="159"/>
      <c r="D229" s="157"/>
      <c r="E229" s="160"/>
      <c r="F229" s="160"/>
      <c r="G229" s="160"/>
      <c r="H229" s="160"/>
      <c r="I229" s="159"/>
      <c r="J229" s="160"/>
      <c r="K229" s="142"/>
      <c r="L229" s="149"/>
      <c r="M229" s="150"/>
      <c r="N229" s="151"/>
      <c r="O229" s="151"/>
      <c r="P229" s="152"/>
      <c r="Q229" s="153"/>
      <c r="R229" s="154"/>
      <c r="S229" s="38"/>
      <c r="T229" s="39"/>
      <c r="U229" s="40"/>
      <c r="V229" s="40"/>
      <c r="W229" s="40"/>
      <c r="X229" s="40"/>
      <c r="Y229" s="40"/>
      <c r="Z229" s="40"/>
      <c r="AA229" s="40"/>
      <c r="AB229" s="40"/>
      <c r="AC229" s="41"/>
    </row>
    <row r="230" spans="1:29" x14ac:dyDescent="0.25">
      <c r="A230" s="157"/>
      <c r="B230" s="158"/>
      <c r="C230" s="159"/>
      <c r="D230" s="157"/>
      <c r="E230" s="160"/>
      <c r="F230" s="160"/>
      <c r="G230" s="160"/>
      <c r="H230" s="160"/>
      <c r="I230" s="159"/>
      <c r="J230" s="160"/>
      <c r="K230" s="142"/>
      <c r="L230" s="149"/>
      <c r="M230" s="150"/>
      <c r="N230" s="151"/>
      <c r="O230" s="151"/>
      <c r="P230" s="152"/>
      <c r="Q230" s="153"/>
      <c r="R230" s="154"/>
      <c r="S230" s="38"/>
      <c r="T230" s="39"/>
      <c r="U230" s="40"/>
      <c r="V230" s="40"/>
      <c r="W230" s="40"/>
      <c r="X230" s="40"/>
      <c r="Y230" s="40"/>
      <c r="Z230" s="40"/>
      <c r="AA230" s="40"/>
      <c r="AB230" s="40"/>
      <c r="AC230" s="41"/>
    </row>
    <row r="231" spans="1:29" x14ac:dyDescent="0.25">
      <c r="A231" s="157"/>
      <c r="B231" s="158"/>
      <c r="C231" s="159"/>
      <c r="D231" s="157"/>
      <c r="E231" s="160"/>
      <c r="F231" s="160"/>
      <c r="G231" s="160"/>
      <c r="H231" s="160"/>
      <c r="I231" s="159"/>
      <c r="J231" s="160"/>
      <c r="K231" s="142"/>
      <c r="L231" s="149"/>
      <c r="M231" s="150"/>
      <c r="N231" s="151"/>
      <c r="O231" s="151"/>
      <c r="P231" s="152"/>
      <c r="Q231" s="153"/>
      <c r="R231" s="154"/>
      <c r="S231" s="38"/>
      <c r="T231" s="39"/>
      <c r="U231" s="40"/>
      <c r="V231" s="40"/>
      <c r="W231" s="40"/>
      <c r="X231" s="40"/>
      <c r="Y231" s="40"/>
      <c r="Z231" s="40"/>
      <c r="AA231" s="40"/>
      <c r="AB231" s="40"/>
      <c r="AC231" s="41"/>
    </row>
  </sheetData>
  <sheetProtection sort="0" autoFilter="0"/>
  <autoFilter ref="A1:CA214" xr:uid="{00000000-0009-0000-0000-000002000000}"/>
  <conditionalFormatting sqref="O2:O212">
    <cfRule type="top10" dxfId="195" priority="49" stopIfTrue="1" percent="1" rank="10"/>
  </conditionalFormatting>
  <conditionalFormatting sqref="P2:P212">
    <cfRule type="top10" dxfId="194" priority="48" stopIfTrue="1" percent="1" rank="10"/>
  </conditionalFormatting>
  <conditionalFormatting sqref="N1:N212 N232:N1048576">
    <cfRule type="top10" dxfId="193" priority="47" percent="1" rank="10"/>
  </conditionalFormatting>
  <conditionalFormatting sqref="L2:L212">
    <cfRule type="cellIs" dxfId="192" priority="43" stopIfTrue="1" operator="equal">
      <formula>"B"</formula>
    </cfRule>
    <cfRule type="cellIs" dxfId="191" priority="44" stopIfTrue="1" operator="equal">
      <formula>"S"</formula>
    </cfRule>
    <cfRule type="cellIs" dxfId="190" priority="45" stopIfTrue="1" operator="equal">
      <formula>"G"</formula>
    </cfRule>
    <cfRule type="cellIs" dxfId="189" priority="46" stopIfTrue="1" operator="equal">
      <formula>"M"</formula>
    </cfRule>
  </conditionalFormatting>
  <conditionalFormatting sqref="Q1:Q212 Q232:Q104857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1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52">
    <cfRule type="top10" dxfId="188" priority="40" percent="1" rank="10"/>
  </conditionalFormatting>
  <conditionalFormatting sqref="U2:U252">
    <cfRule type="top10" dxfId="187" priority="39" rank="10"/>
  </conditionalFormatting>
  <conditionalFormatting sqref="O213:O231">
    <cfRule type="top10" dxfId="186" priority="38" stopIfTrue="1" percent="1" rank="10"/>
  </conditionalFormatting>
  <conditionalFormatting sqref="P213:P231">
    <cfRule type="top10" dxfId="185" priority="37" stopIfTrue="1" percent="1" rank="10"/>
  </conditionalFormatting>
  <conditionalFormatting sqref="N213:N231">
    <cfRule type="top10" dxfId="184" priority="36" percent="1" rank="10"/>
  </conditionalFormatting>
  <conditionalFormatting sqref="L213:L231">
    <cfRule type="cellIs" dxfId="183" priority="32" stopIfTrue="1" operator="equal">
      <formula>"B"</formula>
    </cfRule>
    <cfRule type="cellIs" dxfId="182" priority="33" stopIfTrue="1" operator="equal">
      <formula>"S"</formula>
    </cfRule>
    <cfRule type="cellIs" dxfId="181" priority="34" stopIfTrue="1" operator="equal">
      <formula>"G"</formula>
    </cfRule>
    <cfRule type="cellIs" dxfId="180" priority="35" stopIfTrue="1" operator="equal">
      <formula>"M"</formula>
    </cfRule>
  </conditionalFormatting>
  <conditionalFormatting sqref="Q213:Q23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3:R23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2:AC252 V2:W231 Y2:AA231">
    <cfRule type="top10" dxfId="179" priority="50" rank="10"/>
  </conditionalFormatting>
  <conditionalFormatting sqref="X2:X231">
    <cfRule type="top10" dxfId="178" priority="29" rank="10"/>
  </conditionalFormatting>
  <conditionalFormatting sqref="AB215:AC231 AB2:AB214">
    <cfRule type="top10" dxfId="177" priority="28" rank="10"/>
  </conditionalFormatting>
  <conditionalFormatting sqref="A215:AC1048576 CB1:XFD1048576 A1:AB214">
    <cfRule type="containsText" dxfId="174" priority="10" operator="containsText" text="Serious Concern still">
      <formula>NOT(ISERROR(SEARCH("Serious Concern still",A1)))</formula>
    </cfRule>
    <cfRule type="containsText" dxfId="173" priority="11" operator="containsText" text="N2Improve still">
      <formula>NOT(ISERROR(SEARCH("N2Improve still",A1)))</formula>
    </cfRule>
  </conditionalFormatting>
  <conditionalFormatting sqref="AD2:AD1048576 AF2:AF1048576 AH2:AH1048576 AJ2:AJ1048576 AL2:AL1048576 AN2:AN1048576 AP2:AP1048576 AR2:AR1048576 AT2:AT1048576 AV2:AV1048576 AX2:AX1048576 AZ2:AZ1048576 BB2:BB1048576 BD2:BD1048576 BF2:BF1048576 BH2:BH1048576 BJ2:BJ1048576 BL2:BL1048576 BN2:BN1048576 BP2:BP1048576 BR2:BR1048576 BT2:BT1048576 BV2:BV1048576 BX2:BX1048576 BZ2:BZ1048576">
    <cfRule type="containsText" dxfId="79" priority="8" operator="containsText" text="Serious">
      <formula>NOT(ISERROR(SEARCH("Serious",AD2)))</formula>
    </cfRule>
    <cfRule type="containsText" dxfId="78" priority="9" operator="containsText" text="2">
      <formula>NOT(ISERROR(SEARCH("2",AD2)))</formula>
    </cfRule>
  </conditionalFormatting>
  <conditionalFormatting sqref="AD1:CA1048576">
    <cfRule type="containsText" dxfId="77" priority="3" operator="containsText" text="fixed">
      <formula>NOT(ISERROR(SEARCH("fixed",AD1)))</formula>
    </cfRule>
    <cfRule type="cellIs" dxfId="76" priority="6" operator="equal">
      <formula>"Serious Concern still"</formula>
    </cfRule>
    <cfRule type="cellIs" dxfId="75" priority="7" operator="equal">
      <formula>"N2Improve still"</formula>
    </cfRule>
  </conditionalFormatting>
  <conditionalFormatting sqref="AD1:CA1048576">
    <cfRule type="containsText" dxfId="74" priority="4" operator="containsText" text="Serious Concern still">
      <formula>NOT(ISERROR(SEARCH("Serious Concern still",AD1)))</formula>
    </cfRule>
    <cfRule type="containsText" dxfId="73" priority="5" operator="containsText" text="N2Improve still">
      <formula>NOT(ISERROR(SEARCH("N2Improve still",AD1)))</formula>
    </cfRule>
  </conditionalFormatting>
  <conditionalFormatting sqref="AC1">
    <cfRule type="cellIs" dxfId="47" priority="1" operator="equal">
      <formula>"Serious Concern still"</formula>
    </cfRule>
    <cfRule type="cellIs" dxfId="46" priority="2" operator="equal">
      <formula>"N2Improve still"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377DB2-A840-4236-8903-216C2D1BF76A}">
          <x14:formula1>
            <xm:f>Lookups!$A$1:$A$8</xm:f>
          </x14:formula1>
          <xm:sqref>AD1:AD1048576 AF1:AF1048576 AH1:AH1048576 AJ1:AJ1048576 AL1:AL1048576 AN1:AN1048576 AP1:AP1048576 AR1:AR1048576 AT1:AT1048576 AV1:AV1048576 AX1:AX1048576 AZ1:AZ1048576 BB1:BB1048576 BD1:BD1048576 BF1:BF1048576 BH1:BH1048576 BJ1:BJ1048576 BL1:BL1048576 BN1:BN1048576 BP1:BP1048576 BR1:BR1048576 BT1:BT1048576 BV1:BV1048576 BX1:BX1048576 BZ1:BZ1048576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84253-EF27-4870-BC2B-AE43C0CC2E30}">
  <sheetPr codeName="Sheet3"/>
  <dimension ref="A1:CA231"/>
  <sheetViews>
    <sheetView showGridLines="0" zoomScale="70" zoomScaleNormal="70" workbookViewId="0">
      <pane xSplit="29" ySplit="1" topLeftCell="AU2" activePane="bottomRight" state="frozen"/>
      <selection activeCell="B27" sqref="B27"/>
      <selection pane="topRight" activeCell="B27" sqref="B27"/>
      <selection pane="bottomLeft" activeCell="B27" sqref="B27"/>
      <selection pane="bottomRight" activeCell="AC2" sqref="AC2"/>
    </sheetView>
  </sheetViews>
  <sheetFormatPr defaultRowHeight="15" x14ac:dyDescent="0.25"/>
  <cols>
    <col min="1" max="1" width="10.7109375" style="100" customWidth="1"/>
    <col min="2" max="2" width="25.42578125" customWidth="1"/>
    <col min="3" max="3" width="7" bestFit="1" customWidth="1"/>
    <col min="4" max="4" width="5.28515625" style="55" hidden="1" customWidth="1"/>
    <col min="5" max="5" width="5.42578125" style="55" hidden="1" customWidth="1"/>
    <col min="6" max="6" width="26" hidden="1" customWidth="1"/>
    <col min="7" max="8" width="5.42578125" style="95" hidden="1" customWidth="1"/>
    <col min="9" max="9" width="5.140625" style="95" hidden="1" customWidth="1"/>
    <col min="10" max="10" width="5.7109375" style="55" hidden="1" customWidth="1"/>
    <col min="11" max="11" width="5.140625" style="161" hidden="1" customWidth="1"/>
    <col min="12" max="12" width="9.140625" hidden="1" customWidth="1"/>
    <col min="13" max="13" width="7" style="57" hidden="1" customWidth="1"/>
    <col min="14" max="16" width="7" hidden="1" customWidth="1"/>
    <col min="17" max="17" width="8" style="55" hidden="1" customWidth="1"/>
    <col min="18" max="18" width="5" style="55" hidden="1" customWidth="1"/>
    <col min="19" max="28" width="7" hidden="1" customWidth="1"/>
    <col min="29" max="29" width="7" customWidth="1"/>
    <col min="30" max="30" width="13.28515625" style="59" customWidth="1"/>
    <col min="31" max="31" width="6.42578125" style="58" customWidth="1"/>
    <col min="32" max="32" width="13.28515625" style="59" customWidth="1"/>
    <col min="33" max="33" width="6.42578125" style="58" customWidth="1"/>
    <col min="34" max="34" width="13.28515625" style="59" customWidth="1"/>
    <col min="35" max="35" width="6.42578125" style="58" customWidth="1"/>
    <col min="36" max="36" width="13.28515625" style="59" customWidth="1"/>
    <col min="37" max="37" width="6.42578125" style="58" customWidth="1"/>
    <col min="38" max="38" width="13.28515625" style="59" customWidth="1"/>
    <col min="39" max="39" width="6.42578125" style="58" customWidth="1"/>
    <col min="40" max="40" width="13.28515625" style="59" customWidth="1"/>
    <col min="41" max="41" width="6.42578125" style="58" customWidth="1"/>
    <col min="42" max="42" width="13.28515625" style="59" customWidth="1"/>
    <col min="43" max="43" width="6.42578125" style="58" customWidth="1"/>
    <col min="44" max="44" width="13.28515625" style="59" customWidth="1"/>
    <col min="45" max="45" width="6.42578125" style="58" customWidth="1"/>
    <col min="46" max="46" width="13.28515625" style="59" customWidth="1"/>
    <col min="47" max="47" width="6.42578125" style="58" customWidth="1"/>
    <col min="48" max="48" width="13.28515625" style="59" customWidth="1"/>
    <col min="49" max="49" width="6.42578125" style="58" customWidth="1"/>
    <col min="50" max="50" width="13.28515625" style="59" customWidth="1"/>
    <col min="51" max="51" width="6.42578125" style="58" customWidth="1"/>
    <col min="52" max="52" width="13.28515625" style="59" customWidth="1"/>
    <col min="53" max="53" width="6.42578125" style="58" customWidth="1"/>
    <col min="54" max="54" width="13.28515625" style="59" customWidth="1"/>
    <col min="55" max="55" width="6.42578125" style="58" customWidth="1"/>
    <col min="56" max="56" width="13.28515625" style="59" customWidth="1"/>
    <col min="57" max="57" width="6.42578125" style="58" customWidth="1"/>
    <col min="58" max="58" width="13.28515625" style="59" customWidth="1"/>
    <col min="59" max="59" width="6.42578125" style="58" customWidth="1"/>
    <col min="60" max="60" width="13.28515625" style="59" customWidth="1"/>
    <col min="61" max="61" width="6.42578125" style="58" customWidth="1"/>
    <col min="62" max="62" width="13.28515625" style="59" customWidth="1"/>
    <col min="63" max="63" width="6.42578125" style="58" customWidth="1"/>
    <col min="64" max="64" width="13.28515625" style="59" customWidth="1"/>
    <col min="65" max="65" width="6.42578125" style="58" customWidth="1"/>
    <col min="66" max="66" width="13.28515625" style="59" customWidth="1"/>
    <col min="67" max="67" width="6.42578125" style="58" customWidth="1"/>
    <col min="68" max="68" width="13.28515625" style="59" customWidth="1"/>
    <col min="69" max="69" width="6.42578125" style="58" customWidth="1"/>
    <col min="70" max="70" width="13.28515625" style="59" customWidth="1"/>
    <col min="71" max="71" width="6.42578125" style="58" customWidth="1"/>
    <col min="72" max="72" width="13.28515625" style="59" customWidth="1"/>
    <col min="73" max="73" width="6.42578125" style="58" customWidth="1"/>
    <col min="74" max="74" width="13.28515625" style="59" customWidth="1"/>
    <col min="75" max="75" width="6.42578125" style="58" customWidth="1"/>
    <col min="76" max="76" width="13.28515625" style="59" customWidth="1"/>
    <col min="77" max="77" width="6.42578125" style="58" customWidth="1"/>
    <col min="78" max="78" width="13.28515625" style="59" customWidth="1"/>
    <col min="79" max="79" width="6.42578125" style="58" customWidth="1"/>
    <col min="80" max="80" width="6.42578125" bestFit="1" customWidth="1"/>
    <col min="81" max="81" width="6.28515625" bestFit="1" customWidth="1"/>
    <col min="82" max="82" width="5.5703125" bestFit="1" customWidth="1"/>
    <col min="83" max="83" width="4.5703125" bestFit="1" customWidth="1"/>
    <col min="84" max="84" width="10.42578125" bestFit="1" customWidth="1"/>
    <col min="85" max="85" width="6.5703125" bestFit="1" customWidth="1"/>
    <col min="86" max="86" width="12.42578125" bestFit="1" customWidth="1"/>
  </cols>
  <sheetData>
    <row r="1" spans="1:79" s="141" customFormat="1" ht="145.5" customHeight="1" thickBot="1" x14ac:dyDescent="0.3">
      <c r="A1" s="127" t="s">
        <v>2</v>
      </c>
      <c r="B1" s="128" t="s">
        <v>3</v>
      </c>
      <c r="C1" s="129" t="s">
        <v>15</v>
      </c>
      <c r="D1" s="130" t="s">
        <v>16</v>
      </c>
      <c r="E1" s="128" t="s">
        <v>690</v>
      </c>
      <c r="F1" s="131" t="s">
        <v>18</v>
      </c>
      <c r="G1" s="131" t="s">
        <v>19</v>
      </c>
      <c r="H1" s="131" t="s">
        <v>20</v>
      </c>
      <c r="I1" s="132" t="s">
        <v>21</v>
      </c>
      <c r="J1" s="131" t="s">
        <v>0</v>
      </c>
      <c r="K1" s="133" t="s">
        <v>691</v>
      </c>
      <c r="L1" s="134" t="s">
        <v>23</v>
      </c>
      <c r="M1" s="135" t="s">
        <v>24</v>
      </c>
      <c r="N1" s="136" t="s">
        <v>25</v>
      </c>
      <c r="O1" s="137" t="s">
        <v>26</v>
      </c>
      <c r="P1" s="138" t="s">
        <v>27</v>
      </c>
      <c r="Q1" s="139" t="s">
        <v>692</v>
      </c>
      <c r="R1" s="140" t="s">
        <v>29</v>
      </c>
      <c r="S1" s="70" t="s">
        <v>1</v>
      </c>
      <c r="T1" s="71" t="s">
        <v>5</v>
      </c>
      <c r="U1" s="72" t="s">
        <v>30</v>
      </c>
      <c r="V1" s="72" t="s">
        <v>31</v>
      </c>
      <c r="W1" s="72" t="s">
        <v>32</v>
      </c>
      <c r="X1" s="73" t="s">
        <v>33</v>
      </c>
      <c r="Y1" s="74" t="s">
        <v>34</v>
      </c>
      <c r="Z1" s="75" t="s">
        <v>35</v>
      </c>
      <c r="AA1" s="75" t="s">
        <v>36</v>
      </c>
      <c r="AB1" s="75" t="s">
        <v>37</v>
      </c>
      <c r="AC1" s="162" t="s">
        <v>1854</v>
      </c>
      <c r="AD1" s="20" t="s">
        <v>38</v>
      </c>
      <c r="AE1" s="21" t="s">
        <v>39</v>
      </c>
      <c r="AF1" s="20" t="s">
        <v>384</v>
      </c>
      <c r="AG1" s="21" t="s">
        <v>385</v>
      </c>
      <c r="AH1" s="20" t="s">
        <v>386</v>
      </c>
      <c r="AI1" s="21" t="s">
        <v>387</v>
      </c>
      <c r="AJ1" s="20" t="s">
        <v>388</v>
      </c>
      <c r="AK1" s="21" t="s">
        <v>389</v>
      </c>
      <c r="AL1" s="20" t="s">
        <v>693</v>
      </c>
      <c r="AM1" s="21" t="s">
        <v>694</v>
      </c>
      <c r="AN1" s="20" t="s">
        <v>695</v>
      </c>
      <c r="AO1" s="21" t="s">
        <v>696</v>
      </c>
      <c r="AP1" s="20" t="s">
        <v>42</v>
      </c>
      <c r="AQ1" s="21" t="s">
        <v>43</v>
      </c>
      <c r="AR1" s="20" t="s">
        <v>44</v>
      </c>
      <c r="AS1" s="21" t="s">
        <v>45</v>
      </c>
      <c r="AT1" s="20" t="s">
        <v>697</v>
      </c>
      <c r="AU1" s="21" t="s">
        <v>698</v>
      </c>
      <c r="AV1" s="20" t="s">
        <v>699</v>
      </c>
      <c r="AW1" s="21" t="s">
        <v>700</v>
      </c>
      <c r="AX1" s="20" t="s">
        <v>46</v>
      </c>
      <c r="AY1" s="21" t="s">
        <v>47</v>
      </c>
      <c r="AZ1" s="20" t="s">
        <v>48</v>
      </c>
      <c r="BA1" s="21" t="s">
        <v>49</v>
      </c>
      <c r="BB1" s="20" t="s">
        <v>50</v>
      </c>
      <c r="BC1" s="21" t="s">
        <v>51</v>
      </c>
      <c r="BD1" s="20" t="s">
        <v>701</v>
      </c>
      <c r="BE1" s="21" t="s">
        <v>702</v>
      </c>
      <c r="BF1" s="20" t="s">
        <v>52</v>
      </c>
      <c r="BG1" s="21" t="s">
        <v>53</v>
      </c>
      <c r="BH1" s="20" t="s">
        <v>56</v>
      </c>
      <c r="BI1" s="21" t="s">
        <v>57</v>
      </c>
      <c r="BJ1" s="20" t="s">
        <v>58</v>
      </c>
      <c r="BK1" s="21" t="s">
        <v>59</v>
      </c>
      <c r="BL1" s="20" t="s">
        <v>703</v>
      </c>
      <c r="BM1" s="21" t="s">
        <v>704</v>
      </c>
      <c r="BN1" s="20" t="s">
        <v>60</v>
      </c>
      <c r="BO1" s="21" t="s">
        <v>61</v>
      </c>
      <c r="BP1" s="20" t="s">
        <v>705</v>
      </c>
      <c r="BQ1" s="21" t="s">
        <v>706</v>
      </c>
      <c r="BR1" s="20" t="s">
        <v>409</v>
      </c>
      <c r="BS1" s="21" t="s">
        <v>410</v>
      </c>
      <c r="BT1" s="20" t="s">
        <v>707</v>
      </c>
      <c r="BU1" s="21" t="s">
        <v>708</v>
      </c>
      <c r="BV1" s="20" t="s">
        <v>62</v>
      </c>
      <c r="BW1" s="21" t="s">
        <v>63</v>
      </c>
      <c r="BX1" s="20" t="s">
        <v>64</v>
      </c>
      <c r="BY1" s="21" t="s">
        <v>65</v>
      </c>
      <c r="BZ1" s="20" t="s">
        <v>66</v>
      </c>
      <c r="CA1" s="21" t="s">
        <v>67</v>
      </c>
    </row>
    <row r="2" spans="1:79" ht="30" x14ac:dyDescent="0.25">
      <c r="A2" s="76">
        <v>152713</v>
      </c>
      <c r="B2" s="77" t="s">
        <v>709</v>
      </c>
      <c r="C2" s="78" t="s">
        <v>710</v>
      </c>
      <c r="D2" s="76" t="s">
        <v>70</v>
      </c>
      <c r="E2" s="79" t="s">
        <v>14</v>
      </c>
      <c r="F2" s="79" t="s">
        <v>503</v>
      </c>
      <c r="G2" s="79" t="s">
        <v>14</v>
      </c>
      <c r="H2" s="79" t="s">
        <v>14</v>
      </c>
      <c r="I2" s="78" t="s">
        <v>14</v>
      </c>
      <c r="J2" s="79" t="s">
        <v>14</v>
      </c>
      <c r="K2" s="142" t="s">
        <v>1850</v>
      </c>
      <c r="L2" s="143" t="s">
        <v>1842</v>
      </c>
      <c r="M2" s="144" t="s">
        <v>12</v>
      </c>
      <c r="N2" s="145">
        <v>13</v>
      </c>
      <c r="O2" s="145">
        <v>0</v>
      </c>
      <c r="P2" s="146">
        <v>0</v>
      </c>
      <c r="Q2" s="147">
        <v>100</v>
      </c>
      <c r="R2" s="148">
        <v>0</v>
      </c>
      <c r="S2" s="38">
        <f t="shared" ref="S2:S65" si="0">COUNTIF($AD2:$BY2,"Outstanding")</f>
        <v>2</v>
      </c>
      <c r="T2" s="39">
        <f t="shared" ref="T2:T65" si="1">COUNTIF($AD2:$BY2,"Good")</f>
        <v>6</v>
      </c>
      <c r="U2" s="40">
        <f t="shared" ref="U2:U65" si="2">COUNTIF($AD2:$BY2,"N2Improve - Engagement")</f>
        <v>0</v>
      </c>
      <c r="V2" s="40">
        <f t="shared" ref="V2:V65" si="3">COUNTIF($AD2:$BY2,"N2Improve - Community Conduct")</f>
        <v>1</v>
      </c>
      <c r="W2" s="40">
        <f t="shared" ref="W2:W65" si="4">COUNTIF($AD2:$BY2,"N2Improve - Personal Org.")</f>
        <v>0</v>
      </c>
      <c r="X2" s="40">
        <f t="shared" ref="X2:X65" si="5">SUM(U2:W2)</f>
        <v>1</v>
      </c>
      <c r="Y2" s="40">
        <f t="shared" ref="Y2:Y65" si="6">COUNTIF($AD2:$BY2,"Serious Conc - Engagement")</f>
        <v>0</v>
      </c>
      <c r="Z2" s="40">
        <f t="shared" ref="Z2:Z65" si="7">COUNTIF($AD2:$BY2,"Serious Conc - Comm. Concern")</f>
        <v>0</v>
      </c>
      <c r="AA2" s="40">
        <f t="shared" ref="AA2:AA65" si="8">COUNTIF($AD2:$BY2,"Serious Conc - Personal Org.")</f>
        <v>0</v>
      </c>
      <c r="AB2" s="40">
        <f t="shared" ref="AB2" si="9">SUM(Y2:AA2)</f>
        <v>0</v>
      </c>
      <c r="AC2" s="41">
        <f>COUNTIF(AD2:CA2,"*still*")</f>
        <v>0</v>
      </c>
      <c r="AD2" s="42"/>
      <c r="AE2" s="43"/>
      <c r="AF2" s="42" t="s">
        <v>5</v>
      </c>
      <c r="AG2" s="43" t="s">
        <v>438</v>
      </c>
      <c r="AH2" s="42"/>
      <c r="AI2" s="43"/>
      <c r="AJ2" s="42" t="s">
        <v>31</v>
      </c>
      <c r="AK2" s="43" t="s">
        <v>83</v>
      </c>
      <c r="AL2" s="42"/>
      <c r="AM2" s="43"/>
      <c r="AN2" s="42"/>
      <c r="AO2" s="43"/>
      <c r="AP2" s="42"/>
      <c r="AQ2" s="43"/>
      <c r="AR2" s="42" t="s">
        <v>5</v>
      </c>
      <c r="AS2" s="43" t="s">
        <v>478</v>
      </c>
      <c r="AT2" s="42"/>
      <c r="AU2" s="43"/>
      <c r="AV2" s="42"/>
      <c r="AW2" s="43"/>
      <c r="AX2" s="42" t="s">
        <v>5</v>
      </c>
      <c r="AY2" s="43" t="s">
        <v>711</v>
      </c>
      <c r="AZ2" s="42"/>
      <c r="BA2" s="43"/>
      <c r="BB2" s="42"/>
      <c r="BC2" s="43"/>
      <c r="BD2" s="42"/>
      <c r="BE2" s="43"/>
      <c r="BF2" s="42"/>
      <c r="BG2" s="43"/>
      <c r="BH2" s="42" t="s">
        <v>5</v>
      </c>
      <c r="BI2" s="43" t="s">
        <v>139</v>
      </c>
      <c r="BJ2" s="42"/>
      <c r="BK2" s="43"/>
      <c r="BL2" s="42"/>
      <c r="BM2" s="43"/>
      <c r="BN2" s="42" t="s">
        <v>1</v>
      </c>
      <c r="BO2" s="43" t="s">
        <v>81</v>
      </c>
      <c r="BP2" s="42"/>
      <c r="BQ2" s="43"/>
      <c r="BR2" s="42" t="s">
        <v>5</v>
      </c>
      <c r="BS2" s="43" t="s">
        <v>123</v>
      </c>
      <c r="BT2" s="42" t="s">
        <v>5</v>
      </c>
      <c r="BU2" s="43" t="s">
        <v>117</v>
      </c>
      <c r="BV2" s="42" t="s">
        <v>1</v>
      </c>
      <c r="BW2" s="43" t="s">
        <v>495</v>
      </c>
      <c r="BX2" s="42"/>
      <c r="BY2" s="43"/>
      <c r="BZ2" s="42" t="s">
        <v>5</v>
      </c>
      <c r="CA2" s="43" t="s">
        <v>75</v>
      </c>
    </row>
    <row r="3" spans="1:79" x14ac:dyDescent="0.25">
      <c r="A3" s="76">
        <v>151734</v>
      </c>
      <c r="B3" s="77" t="s">
        <v>712</v>
      </c>
      <c r="C3" s="78" t="s">
        <v>713</v>
      </c>
      <c r="D3" s="76" t="s">
        <v>12</v>
      </c>
      <c r="E3" s="79" t="s">
        <v>14</v>
      </c>
      <c r="F3" s="79" t="s">
        <v>88</v>
      </c>
      <c r="G3" s="79" t="s">
        <v>14</v>
      </c>
      <c r="H3" s="79" t="s">
        <v>14</v>
      </c>
      <c r="I3" s="78" t="s">
        <v>14</v>
      </c>
      <c r="J3" s="79" t="s">
        <v>14</v>
      </c>
      <c r="K3" s="142" t="s">
        <v>1850</v>
      </c>
      <c r="L3" s="149" t="s">
        <v>1848</v>
      </c>
      <c r="M3" s="150" t="s">
        <v>1852</v>
      </c>
      <c r="N3" s="151">
        <v>18</v>
      </c>
      <c r="O3" s="151">
        <v>2</v>
      </c>
      <c r="P3" s="152">
        <v>4</v>
      </c>
      <c r="Q3" s="153">
        <v>100</v>
      </c>
      <c r="R3" s="154">
        <v>7</v>
      </c>
      <c r="S3" s="38">
        <f t="shared" si="0"/>
        <v>2</v>
      </c>
      <c r="T3" s="39">
        <f t="shared" si="1"/>
        <v>7</v>
      </c>
      <c r="U3" s="40">
        <f t="shared" si="2"/>
        <v>0</v>
      </c>
      <c r="V3" s="40">
        <f t="shared" si="3"/>
        <v>0</v>
      </c>
      <c r="W3" s="40">
        <f t="shared" si="4"/>
        <v>0</v>
      </c>
      <c r="X3" s="40">
        <f t="shared" si="5"/>
        <v>0</v>
      </c>
      <c r="Y3" s="40">
        <f t="shared" si="6"/>
        <v>0</v>
      </c>
      <c r="Z3" s="40">
        <f t="shared" si="7"/>
        <v>0</v>
      </c>
      <c r="AA3" s="40">
        <f t="shared" si="8"/>
        <v>0</v>
      </c>
      <c r="AB3" s="40">
        <f t="shared" ref="AB3:AB66" si="10">SUM(Y3:AA3)</f>
        <v>0</v>
      </c>
      <c r="AC3" s="41">
        <f t="shared" ref="AC3:AC66" si="11">COUNTIF(AD3:CA3,"*still*")</f>
        <v>0</v>
      </c>
      <c r="AD3" s="49"/>
      <c r="AE3" s="50"/>
      <c r="AF3" s="49" t="s">
        <v>5</v>
      </c>
      <c r="AG3" s="50" t="s">
        <v>433</v>
      </c>
      <c r="AH3" s="49"/>
      <c r="AI3" s="50"/>
      <c r="AJ3" s="49" t="s">
        <v>5</v>
      </c>
      <c r="AK3" s="50" t="s">
        <v>714</v>
      </c>
      <c r="AL3" s="49"/>
      <c r="AM3" s="50"/>
      <c r="AN3" s="49" t="s">
        <v>5</v>
      </c>
      <c r="AO3" s="50" t="s">
        <v>163</v>
      </c>
      <c r="AP3" s="49"/>
      <c r="AQ3" s="50"/>
      <c r="AR3" s="49" t="s">
        <v>5</v>
      </c>
      <c r="AS3" s="50" t="s">
        <v>118</v>
      </c>
      <c r="AT3" s="49"/>
      <c r="AU3" s="50"/>
      <c r="AV3" s="49"/>
      <c r="AW3" s="50"/>
      <c r="AX3" s="49" t="s">
        <v>5</v>
      </c>
      <c r="AY3" s="50" t="s">
        <v>103</v>
      </c>
      <c r="AZ3" s="49"/>
      <c r="BA3" s="50"/>
      <c r="BB3" s="49"/>
      <c r="BC3" s="50"/>
      <c r="BD3" s="49"/>
      <c r="BE3" s="50"/>
      <c r="BF3" s="49"/>
      <c r="BG3" s="50"/>
      <c r="BH3" s="49" t="s">
        <v>5</v>
      </c>
      <c r="BI3" s="50" t="s">
        <v>430</v>
      </c>
      <c r="BJ3" s="49"/>
      <c r="BK3" s="50"/>
      <c r="BL3" s="49"/>
      <c r="BM3" s="50"/>
      <c r="BN3" s="49" t="s">
        <v>1</v>
      </c>
      <c r="BO3" s="50" t="s">
        <v>96</v>
      </c>
      <c r="BP3" s="49"/>
      <c r="BQ3" s="50"/>
      <c r="BR3" s="49" t="s">
        <v>5</v>
      </c>
      <c r="BS3" s="50" t="s">
        <v>123</v>
      </c>
      <c r="BT3" s="49"/>
      <c r="BU3" s="50"/>
      <c r="BV3" s="49" t="s">
        <v>1</v>
      </c>
      <c r="BW3" s="50" t="s">
        <v>715</v>
      </c>
      <c r="BX3" s="49"/>
      <c r="BY3" s="50"/>
      <c r="BZ3" s="49" t="s">
        <v>5</v>
      </c>
      <c r="CA3" s="50" t="s">
        <v>75</v>
      </c>
    </row>
    <row r="4" spans="1:79" x14ac:dyDescent="0.25">
      <c r="A4" s="76">
        <v>151735</v>
      </c>
      <c r="B4" s="77" t="s">
        <v>716</v>
      </c>
      <c r="C4" s="78" t="s">
        <v>713</v>
      </c>
      <c r="D4" s="76" t="s">
        <v>12</v>
      </c>
      <c r="E4" s="79" t="s">
        <v>14</v>
      </c>
      <c r="F4" s="79" t="s">
        <v>88</v>
      </c>
      <c r="G4" s="79" t="s">
        <v>14</v>
      </c>
      <c r="H4" s="79" t="s">
        <v>14</v>
      </c>
      <c r="I4" s="78" t="s">
        <v>14</v>
      </c>
      <c r="J4" s="79" t="s">
        <v>14</v>
      </c>
      <c r="K4" s="142" t="s">
        <v>1850</v>
      </c>
      <c r="L4" s="149" t="s">
        <v>1844</v>
      </c>
      <c r="M4" s="150" t="s">
        <v>12</v>
      </c>
      <c r="N4" s="151">
        <v>9</v>
      </c>
      <c r="O4" s="151">
        <v>1</v>
      </c>
      <c r="P4" s="152">
        <v>2</v>
      </c>
      <c r="Q4" s="153">
        <v>100</v>
      </c>
      <c r="R4" s="154">
        <v>6</v>
      </c>
      <c r="S4" s="38">
        <f t="shared" si="0"/>
        <v>1</v>
      </c>
      <c r="T4" s="39">
        <f t="shared" si="1"/>
        <v>8</v>
      </c>
      <c r="U4" s="40">
        <f t="shared" si="2"/>
        <v>0</v>
      </c>
      <c r="V4" s="40">
        <f t="shared" si="3"/>
        <v>0</v>
      </c>
      <c r="W4" s="40">
        <f t="shared" si="4"/>
        <v>0</v>
      </c>
      <c r="X4" s="40">
        <f t="shared" si="5"/>
        <v>0</v>
      </c>
      <c r="Y4" s="40">
        <f t="shared" si="6"/>
        <v>0</v>
      </c>
      <c r="Z4" s="40">
        <f t="shared" si="7"/>
        <v>0</v>
      </c>
      <c r="AA4" s="40">
        <f t="shared" si="8"/>
        <v>0</v>
      </c>
      <c r="AB4" s="40">
        <f t="shared" si="10"/>
        <v>0</v>
      </c>
      <c r="AC4" s="41">
        <f t="shared" si="11"/>
        <v>0</v>
      </c>
      <c r="AD4" s="49"/>
      <c r="AE4" s="50"/>
      <c r="AF4" s="49" t="s">
        <v>5</v>
      </c>
      <c r="AG4" s="50" t="s">
        <v>438</v>
      </c>
      <c r="AH4" s="49"/>
      <c r="AI4" s="50"/>
      <c r="AJ4" s="49" t="s">
        <v>5</v>
      </c>
      <c r="AK4" s="50" t="s">
        <v>83</v>
      </c>
      <c r="AL4" s="49"/>
      <c r="AM4" s="50"/>
      <c r="AN4" s="49" t="s">
        <v>5</v>
      </c>
      <c r="AO4" s="50" t="s">
        <v>163</v>
      </c>
      <c r="AP4" s="49"/>
      <c r="AQ4" s="50"/>
      <c r="AR4" s="49" t="s">
        <v>5</v>
      </c>
      <c r="AS4" s="50" t="s">
        <v>74</v>
      </c>
      <c r="AT4" s="49"/>
      <c r="AU4" s="50"/>
      <c r="AV4" s="49"/>
      <c r="AW4" s="50"/>
      <c r="AX4" s="49" t="s">
        <v>5</v>
      </c>
      <c r="AY4" s="50" t="s">
        <v>103</v>
      </c>
      <c r="AZ4" s="49"/>
      <c r="BA4" s="50"/>
      <c r="BB4" s="49"/>
      <c r="BC4" s="50"/>
      <c r="BD4" s="49"/>
      <c r="BE4" s="50"/>
      <c r="BF4" s="49"/>
      <c r="BG4" s="50"/>
      <c r="BH4" s="49" t="s">
        <v>5</v>
      </c>
      <c r="BI4" s="50" t="s">
        <v>136</v>
      </c>
      <c r="BJ4" s="49"/>
      <c r="BK4" s="50"/>
      <c r="BL4" s="49"/>
      <c r="BM4" s="50"/>
      <c r="BN4" s="49" t="s">
        <v>1</v>
      </c>
      <c r="BO4" s="50" t="s">
        <v>96</v>
      </c>
      <c r="BP4" s="49"/>
      <c r="BQ4" s="50"/>
      <c r="BR4" s="49" t="s">
        <v>5</v>
      </c>
      <c r="BS4" s="50" t="s">
        <v>123</v>
      </c>
      <c r="BT4" s="49"/>
      <c r="BU4" s="50"/>
      <c r="BV4" s="49" t="s">
        <v>5</v>
      </c>
      <c r="BW4" s="50" t="s">
        <v>97</v>
      </c>
      <c r="BX4" s="49"/>
      <c r="BY4" s="50"/>
      <c r="BZ4" s="49" t="s">
        <v>5</v>
      </c>
      <c r="CA4" s="50" t="s">
        <v>75</v>
      </c>
    </row>
    <row r="5" spans="1:79" x14ac:dyDescent="0.25">
      <c r="A5" s="76">
        <v>160122</v>
      </c>
      <c r="B5" s="77" t="s">
        <v>717</v>
      </c>
      <c r="C5" s="78" t="s">
        <v>718</v>
      </c>
      <c r="D5" s="76" t="s">
        <v>70</v>
      </c>
      <c r="E5" s="79" t="s">
        <v>87</v>
      </c>
      <c r="F5" s="79" t="s">
        <v>312</v>
      </c>
      <c r="G5" s="79" t="s">
        <v>14</v>
      </c>
      <c r="H5" s="79" t="s">
        <v>87</v>
      </c>
      <c r="I5" s="78" t="s">
        <v>14</v>
      </c>
      <c r="J5" s="79" t="s">
        <v>14</v>
      </c>
      <c r="K5" s="142" t="s">
        <v>1850</v>
      </c>
      <c r="L5" s="149" t="s">
        <v>1406</v>
      </c>
      <c r="M5" s="150" t="s">
        <v>1406</v>
      </c>
      <c r="N5" s="151">
        <v>12</v>
      </c>
      <c r="O5" s="151">
        <v>0</v>
      </c>
      <c r="P5" s="152">
        <v>0</v>
      </c>
      <c r="Q5" s="153">
        <v>100</v>
      </c>
      <c r="R5" s="154">
        <v>1</v>
      </c>
      <c r="S5" s="38">
        <f t="shared" si="0"/>
        <v>3</v>
      </c>
      <c r="T5" s="39">
        <f t="shared" si="1"/>
        <v>6</v>
      </c>
      <c r="U5" s="40">
        <f t="shared" si="2"/>
        <v>0</v>
      </c>
      <c r="V5" s="40">
        <f t="shared" si="3"/>
        <v>0</v>
      </c>
      <c r="W5" s="40">
        <f t="shared" si="4"/>
        <v>0</v>
      </c>
      <c r="X5" s="40">
        <f t="shared" si="5"/>
        <v>0</v>
      </c>
      <c r="Y5" s="40">
        <f t="shared" si="6"/>
        <v>0</v>
      </c>
      <c r="Z5" s="40">
        <f t="shared" si="7"/>
        <v>0</v>
      </c>
      <c r="AA5" s="40">
        <f t="shared" si="8"/>
        <v>0</v>
      </c>
      <c r="AB5" s="40">
        <f t="shared" si="10"/>
        <v>0</v>
      </c>
      <c r="AC5" s="41">
        <f t="shared" si="11"/>
        <v>0</v>
      </c>
      <c r="AD5" s="49"/>
      <c r="AE5" s="50"/>
      <c r="AF5" s="49"/>
      <c r="AG5" s="50"/>
      <c r="AH5" s="49"/>
      <c r="AI5" s="50"/>
      <c r="AJ5" s="49"/>
      <c r="AK5" s="50"/>
      <c r="AL5" s="49"/>
      <c r="AM5" s="50"/>
      <c r="AN5" s="49"/>
      <c r="AO5" s="50"/>
      <c r="AP5" s="49"/>
      <c r="AQ5" s="50"/>
      <c r="AR5" s="49" t="s">
        <v>1</v>
      </c>
      <c r="AS5" s="50" t="s">
        <v>169</v>
      </c>
      <c r="AT5" s="49"/>
      <c r="AU5" s="50"/>
      <c r="AV5" s="49" t="s">
        <v>1</v>
      </c>
      <c r="AW5" s="50" t="s">
        <v>73</v>
      </c>
      <c r="AX5" s="49" t="s">
        <v>5</v>
      </c>
      <c r="AY5" s="50" t="s">
        <v>169</v>
      </c>
      <c r="AZ5" s="49" t="s">
        <v>5</v>
      </c>
      <c r="BA5" s="50" t="s">
        <v>143</v>
      </c>
      <c r="BB5" s="49"/>
      <c r="BC5" s="50"/>
      <c r="BD5" s="49"/>
      <c r="BE5" s="50"/>
      <c r="BF5" s="49"/>
      <c r="BG5" s="50"/>
      <c r="BH5" s="49" t="s">
        <v>5</v>
      </c>
      <c r="BI5" s="50" t="s">
        <v>430</v>
      </c>
      <c r="BJ5" s="49" t="s">
        <v>1</v>
      </c>
      <c r="BK5" s="50" t="s">
        <v>95</v>
      </c>
      <c r="BL5" s="49"/>
      <c r="BM5" s="50"/>
      <c r="BN5" s="49" t="s">
        <v>5</v>
      </c>
      <c r="BO5" s="50" t="s">
        <v>121</v>
      </c>
      <c r="BP5" s="49"/>
      <c r="BQ5" s="50"/>
      <c r="BR5" s="49"/>
      <c r="BS5" s="50"/>
      <c r="BT5" s="49"/>
      <c r="BU5" s="50"/>
      <c r="BV5" s="49" t="s">
        <v>5</v>
      </c>
      <c r="BW5" s="50" t="s">
        <v>457</v>
      </c>
      <c r="BX5" s="49" t="s">
        <v>5</v>
      </c>
      <c r="BY5" s="50" t="s">
        <v>206</v>
      </c>
      <c r="BZ5" s="49"/>
      <c r="CA5" s="50"/>
    </row>
    <row r="6" spans="1:79" x14ac:dyDescent="0.25">
      <c r="A6" s="76">
        <v>160012</v>
      </c>
      <c r="B6" s="77" t="s">
        <v>719</v>
      </c>
      <c r="C6" s="78" t="s">
        <v>718</v>
      </c>
      <c r="D6" s="76" t="s">
        <v>70</v>
      </c>
      <c r="E6" s="79" t="s">
        <v>14</v>
      </c>
      <c r="F6" s="79" t="s">
        <v>223</v>
      </c>
      <c r="G6" s="79" t="s">
        <v>14</v>
      </c>
      <c r="H6" s="79" t="s">
        <v>14</v>
      </c>
      <c r="I6" s="78" t="s">
        <v>14</v>
      </c>
      <c r="J6" s="79" t="s">
        <v>14</v>
      </c>
      <c r="K6" s="142" t="s">
        <v>1850</v>
      </c>
      <c r="L6" s="149" t="s">
        <v>1844</v>
      </c>
      <c r="M6" s="150" t="s">
        <v>12</v>
      </c>
      <c r="N6" s="151">
        <v>15</v>
      </c>
      <c r="O6" s="151">
        <v>1</v>
      </c>
      <c r="P6" s="152">
        <v>2</v>
      </c>
      <c r="Q6" s="153">
        <v>100</v>
      </c>
      <c r="R6" s="154">
        <v>5</v>
      </c>
      <c r="S6" s="38">
        <f t="shared" si="0"/>
        <v>0</v>
      </c>
      <c r="T6" s="39">
        <f t="shared" si="1"/>
        <v>10</v>
      </c>
      <c r="U6" s="40">
        <f t="shared" si="2"/>
        <v>0</v>
      </c>
      <c r="V6" s="40">
        <f t="shared" si="3"/>
        <v>0</v>
      </c>
      <c r="W6" s="40">
        <f t="shared" si="4"/>
        <v>0</v>
      </c>
      <c r="X6" s="40">
        <f t="shared" si="5"/>
        <v>0</v>
      </c>
      <c r="Y6" s="40">
        <f t="shared" si="6"/>
        <v>0</v>
      </c>
      <c r="Z6" s="40">
        <f t="shared" si="7"/>
        <v>0</v>
      </c>
      <c r="AA6" s="40">
        <f t="shared" si="8"/>
        <v>0</v>
      </c>
      <c r="AB6" s="40">
        <f t="shared" si="10"/>
        <v>0</v>
      </c>
      <c r="AC6" s="41">
        <f t="shared" si="11"/>
        <v>0</v>
      </c>
      <c r="AD6" s="49"/>
      <c r="AE6" s="50"/>
      <c r="AF6" s="49" t="s">
        <v>5</v>
      </c>
      <c r="AG6" s="50" t="s">
        <v>438</v>
      </c>
      <c r="AH6" s="49"/>
      <c r="AI6" s="50"/>
      <c r="AJ6" s="49" t="s">
        <v>5</v>
      </c>
      <c r="AK6" s="50" t="s">
        <v>83</v>
      </c>
      <c r="AL6" s="49"/>
      <c r="AM6" s="50"/>
      <c r="AN6" s="49"/>
      <c r="AO6" s="50"/>
      <c r="AP6" s="49"/>
      <c r="AQ6" s="50"/>
      <c r="AR6" s="49" t="s">
        <v>5</v>
      </c>
      <c r="AS6" s="50" t="s">
        <v>459</v>
      </c>
      <c r="AT6" s="49"/>
      <c r="AU6" s="50"/>
      <c r="AV6" s="49"/>
      <c r="AW6" s="50"/>
      <c r="AX6" s="49" t="s">
        <v>5</v>
      </c>
      <c r="AY6" s="50" t="s">
        <v>169</v>
      </c>
      <c r="AZ6" s="49" t="s">
        <v>5</v>
      </c>
      <c r="BA6" s="50" t="s">
        <v>84</v>
      </c>
      <c r="BB6" s="49" t="s">
        <v>5</v>
      </c>
      <c r="BC6" s="50" t="s">
        <v>92</v>
      </c>
      <c r="BD6" s="49"/>
      <c r="BE6" s="50"/>
      <c r="BF6" s="49"/>
      <c r="BG6" s="50"/>
      <c r="BH6" s="49" t="s">
        <v>5</v>
      </c>
      <c r="BI6" s="50" t="s">
        <v>139</v>
      </c>
      <c r="BJ6" s="49"/>
      <c r="BK6" s="50"/>
      <c r="BL6" s="49"/>
      <c r="BM6" s="50"/>
      <c r="BN6" s="49" t="s">
        <v>5</v>
      </c>
      <c r="BO6" s="50" t="s">
        <v>152</v>
      </c>
      <c r="BP6" s="49"/>
      <c r="BQ6" s="50"/>
      <c r="BR6" s="49" t="s">
        <v>5</v>
      </c>
      <c r="BS6" s="50" t="s">
        <v>123</v>
      </c>
      <c r="BT6" s="49"/>
      <c r="BU6" s="50"/>
      <c r="BV6" s="49" t="s">
        <v>5</v>
      </c>
      <c r="BW6" s="50" t="s">
        <v>495</v>
      </c>
      <c r="BX6" s="49"/>
      <c r="BY6" s="50"/>
      <c r="BZ6" s="49"/>
      <c r="CA6" s="50"/>
    </row>
    <row r="7" spans="1:79" x14ac:dyDescent="0.25">
      <c r="A7" s="76">
        <v>151529</v>
      </c>
      <c r="B7" s="77" t="s">
        <v>720</v>
      </c>
      <c r="C7" s="78" t="s">
        <v>721</v>
      </c>
      <c r="D7" s="76" t="s">
        <v>70</v>
      </c>
      <c r="E7" s="79" t="s">
        <v>87</v>
      </c>
      <c r="F7" s="79" t="s">
        <v>503</v>
      </c>
      <c r="G7" s="79" t="s">
        <v>14</v>
      </c>
      <c r="H7" s="79" t="s">
        <v>87</v>
      </c>
      <c r="I7" s="78" t="s">
        <v>14</v>
      </c>
      <c r="J7" s="79" t="s">
        <v>14</v>
      </c>
      <c r="K7" s="142" t="s">
        <v>1850</v>
      </c>
      <c r="L7" s="149" t="s">
        <v>1842</v>
      </c>
      <c r="M7" s="150" t="s">
        <v>12</v>
      </c>
      <c r="N7" s="151">
        <v>15</v>
      </c>
      <c r="O7" s="151">
        <v>0</v>
      </c>
      <c r="P7" s="152">
        <v>0</v>
      </c>
      <c r="Q7" s="153">
        <v>93.48</v>
      </c>
      <c r="R7" s="154">
        <v>2</v>
      </c>
      <c r="S7" s="38">
        <f t="shared" si="0"/>
        <v>2</v>
      </c>
      <c r="T7" s="39">
        <f t="shared" si="1"/>
        <v>8</v>
      </c>
      <c r="U7" s="40">
        <f t="shared" si="2"/>
        <v>0</v>
      </c>
      <c r="V7" s="40">
        <f t="shared" si="3"/>
        <v>0</v>
      </c>
      <c r="W7" s="40">
        <f t="shared" si="4"/>
        <v>0</v>
      </c>
      <c r="X7" s="40">
        <f t="shared" si="5"/>
        <v>0</v>
      </c>
      <c r="Y7" s="40">
        <f t="shared" si="6"/>
        <v>0</v>
      </c>
      <c r="Z7" s="40">
        <f t="shared" si="7"/>
        <v>0</v>
      </c>
      <c r="AA7" s="40">
        <f t="shared" si="8"/>
        <v>0</v>
      </c>
      <c r="AB7" s="40">
        <f t="shared" si="10"/>
        <v>0</v>
      </c>
      <c r="AC7" s="41">
        <f t="shared" si="11"/>
        <v>0</v>
      </c>
      <c r="AD7" s="49"/>
      <c r="AE7" s="50"/>
      <c r="AF7" s="49" t="s">
        <v>5</v>
      </c>
      <c r="AG7" s="50" t="s">
        <v>433</v>
      </c>
      <c r="AH7" s="49"/>
      <c r="AI7" s="50"/>
      <c r="AJ7" s="49" t="s">
        <v>5</v>
      </c>
      <c r="AK7" s="50" t="s">
        <v>714</v>
      </c>
      <c r="AL7" s="49"/>
      <c r="AM7" s="50"/>
      <c r="AN7" s="49"/>
      <c r="AO7" s="50"/>
      <c r="AP7" s="49"/>
      <c r="AQ7" s="50"/>
      <c r="AR7" s="49" t="s">
        <v>5</v>
      </c>
      <c r="AS7" s="50" t="s">
        <v>722</v>
      </c>
      <c r="AT7" s="49"/>
      <c r="AU7" s="50"/>
      <c r="AV7" s="49"/>
      <c r="AW7" s="50"/>
      <c r="AX7" s="49" t="s">
        <v>5</v>
      </c>
      <c r="AY7" s="50" t="s">
        <v>101</v>
      </c>
      <c r="AZ7" s="49" t="s">
        <v>5</v>
      </c>
      <c r="BA7" s="50" t="s">
        <v>84</v>
      </c>
      <c r="BB7" s="49"/>
      <c r="BC7" s="50"/>
      <c r="BD7" s="49" t="s">
        <v>5</v>
      </c>
      <c r="BE7" s="50" t="s">
        <v>436</v>
      </c>
      <c r="BF7" s="49"/>
      <c r="BG7" s="50"/>
      <c r="BH7" s="49" t="s">
        <v>5</v>
      </c>
      <c r="BI7" s="50" t="s">
        <v>430</v>
      </c>
      <c r="BJ7" s="49"/>
      <c r="BK7" s="50"/>
      <c r="BL7" s="49"/>
      <c r="BM7" s="50"/>
      <c r="BN7" s="49" t="s">
        <v>1</v>
      </c>
      <c r="BO7" s="50" t="s">
        <v>81</v>
      </c>
      <c r="BP7" s="49"/>
      <c r="BQ7" s="50"/>
      <c r="BR7" s="49" t="s">
        <v>5</v>
      </c>
      <c r="BS7" s="50" t="s">
        <v>123</v>
      </c>
      <c r="BT7" s="49"/>
      <c r="BU7" s="50"/>
      <c r="BV7" s="49" t="s">
        <v>1</v>
      </c>
      <c r="BW7" s="50" t="s">
        <v>495</v>
      </c>
      <c r="BX7" s="49"/>
      <c r="BY7" s="50"/>
      <c r="BZ7" s="49"/>
      <c r="CA7" s="50"/>
    </row>
    <row r="8" spans="1:79" x14ac:dyDescent="0.25">
      <c r="A8" s="76">
        <v>152719</v>
      </c>
      <c r="B8" s="77" t="s">
        <v>723</v>
      </c>
      <c r="C8" s="78" t="s">
        <v>713</v>
      </c>
      <c r="D8" s="76" t="s">
        <v>70</v>
      </c>
      <c r="E8" s="79" t="s">
        <v>87</v>
      </c>
      <c r="F8" s="79" t="s">
        <v>115</v>
      </c>
      <c r="G8" s="79" t="s">
        <v>87</v>
      </c>
      <c r="H8" s="79" t="s">
        <v>87</v>
      </c>
      <c r="I8" s="78" t="s">
        <v>14</v>
      </c>
      <c r="J8" s="79" t="s">
        <v>14</v>
      </c>
      <c r="K8" s="142" t="s">
        <v>1850</v>
      </c>
      <c r="L8" s="149" t="s">
        <v>1842</v>
      </c>
      <c r="M8" s="150" t="s">
        <v>12</v>
      </c>
      <c r="N8" s="151">
        <v>13</v>
      </c>
      <c r="O8" s="151">
        <v>0</v>
      </c>
      <c r="P8" s="152">
        <v>2</v>
      </c>
      <c r="Q8" s="153">
        <v>95.65</v>
      </c>
      <c r="R8" s="154">
        <v>0</v>
      </c>
      <c r="S8" s="38">
        <f t="shared" si="0"/>
        <v>2</v>
      </c>
      <c r="T8" s="39">
        <f t="shared" si="1"/>
        <v>6</v>
      </c>
      <c r="U8" s="40">
        <f t="shared" si="2"/>
        <v>0</v>
      </c>
      <c r="V8" s="40">
        <f t="shared" si="3"/>
        <v>0</v>
      </c>
      <c r="W8" s="40">
        <f t="shared" si="4"/>
        <v>0</v>
      </c>
      <c r="X8" s="40">
        <f t="shared" si="5"/>
        <v>0</v>
      </c>
      <c r="Y8" s="40">
        <f t="shared" si="6"/>
        <v>0</v>
      </c>
      <c r="Z8" s="40">
        <f t="shared" si="7"/>
        <v>0</v>
      </c>
      <c r="AA8" s="40">
        <f t="shared" si="8"/>
        <v>0</v>
      </c>
      <c r="AB8" s="40">
        <f t="shared" si="10"/>
        <v>0</v>
      </c>
      <c r="AC8" s="41">
        <f t="shared" si="11"/>
        <v>0</v>
      </c>
      <c r="AD8" s="49" t="s">
        <v>5</v>
      </c>
      <c r="AE8" s="50" t="s">
        <v>116</v>
      </c>
      <c r="AF8" s="49"/>
      <c r="AG8" s="50"/>
      <c r="AH8" s="49"/>
      <c r="AI8" s="50"/>
      <c r="AJ8" s="49"/>
      <c r="AK8" s="50"/>
      <c r="AL8" s="49"/>
      <c r="AM8" s="50"/>
      <c r="AN8" s="49"/>
      <c r="AO8" s="50"/>
      <c r="AP8" s="49"/>
      <c r="AQ8" s="50"/>
      <c r="AR8" s="49" t="s">
        <v>5</v>
      </c>
      <c r="AS8" s="50" t="s">
        <v>169</v>
      </c>
      <c r="AT8" s="49"/>
      <c r="AU8" s="50"/>
      <c r="AV8" s="49"/>
      <c r="AW8" s="50"/>
      <c r="AX8" s="49" t="s">
        <v>5</v>
      </c>
      <c r="AY8" s="50" t="s">
        <v>103</v>
      </c>
      <c r="AZ8" s="49"/>
      <c r="BA8" s="50"/>
      <c r="BB8" s="49"/>
      <c r="BC8" s="50"/>
      <c r="BD8" s="49"/>
      <c r="BE8" s="50"/>
      <c r="BF8" s="49" t="s">
        <v>5</v>
      </c>
      <c r="BG8" s="50" t="s">
        <v>93</v>
      </c>
      <c r="BH8" s="49" t="s">
        <v>5</v>
      </c>
      <c r="BI8" s="50" t="s">
        <v>505</v>
      </c>
      <c r="BJ8" s="49"/>
      <c r="BK8" s="50"/>
      <c r="BL8" s="49"/>
      <c r="BM8" s="50"/>
      <c r="BN8" s="49" t="s">
        <v>1</v>
      </c>
      <c r="BO8" s="50" t="s">
        <v>81</v>
      </c>
      <c r="BP8" s="49"/>
      <c r="BQ8" s="50"/>
      <c r="BR8" s="49"/>
      <c r="BS8" s="50"/>
      <c r="BT8" s="49"/>
      <c r="BU8" s="50"/>
      <c r="BV8" s="49" t="s">
        <v>5</v>
      </c>
      <c r="BW8" s="50" t="s">
        <v>82</v>
      </c>
      <c r="BX8" s="49" t="s">
        <v>1</v>
      </c>
      <c r="BY8" s="50" t="s">
        <v>206</v>
      </c>
      <c r="BZ8" s="49" t="s">
        <v>5</v>
      </c>
      <c r="CA8" s="50" t="s">
        <v>75</v>
      </c>
    </row>
    <row r="9" spans="1:79" x14ac:dyDescent="0.25">
      <c r="A9" s="76">
        <v>160364</v>
      </c>
      <c r="B9" s="77" t="s">
        <v>724</v>
      </c>
      <c r="C9" s="78" t="s">
        <v>725</v>
      </c>
      <c r="D9" s="76" t="s">
        <v>12</v>
      </c>
      <c r="E9" s="79" t="s">
        <v>14</v>
      </c>
      <c r="F9" s="79" t="s">
        <v>647</v>
      </c>
      <c r="G9" s="79" t="s">
        <v>87</v>
      </c>
      <c r="H9" s="79" t="s">
        <v>14</v>
      </c>
      <c r="I9" s="78" t="s">
        <v>14</v>
      </c>
      <c r="J9" s="79" t="s">
        <v>14</v>
      </c>
      <c r="K9" s="142" t="s">
        <v>1406</v>
      </c>
      <c r="L9" s="149" t="s">
        <v>1406</v>
      </c>
      <c r="M9" s="150" t="s">
        <v>1406</v>
      </c>
      <c r="N9" s="151">
        <v>0</v>
      </c>
      <c r="O9" s="151">
        <v>0</v>
      </c>
      <c r="P9" s="152">
        <v>0</v>
      </c>
      <c r="Q9" s="153">
        <v>100</v>
      </c>
      <c r="R9" s="154">
        <v>0</v>
      </c>
      <c r="S9" s="38">
        <f t="shared" si="0"/>
        <v>1</v>
      </c>
      <c r="T9" s="39">
        <f t="shared" si="1"/>
        <v>6</v>
      </c>
      <c r="U9" s="40">
        <f t="shared" si="2"/>
        <v>0</v>
      </c>
      <c r="V9" s="40">
        <f t="shared" si="3"/>
        <v>0</v>
      </c>
      <c r="W9" s="40">
        <f t="shared" si="4"/>
        <v>0</v>
      </c>
      <c r="X9" s="40">
        <f t="shared" si="5"/>
        <v>0</v>
      </c>
      <c r="Y9" s="40">
        <f t="shared" si="6"/>
        <v>0</v>
      </c>
      <c r="Z9" s="40">
        <f t="shared" si="7"/>
        <v>0</v>
      </c>
      <c r="AA9" s="40">
        <f t="shared" si="8"/>
        <v>0</v>
      </c>
      <c r="AB9" s="40">
        <f t="shared" si="10"/>
        <v>0</v>
      </c>
      <c r="AC9" s="41">
        <f t="shared" si="11"/>
        <v>0</v>
      </c>
      <c r="AD9" s="49"/>
      <c r="AE9" s="50"/>
      <c r="AF9" s="49" t="s">
        <v>5</v>
      </c>
      <c r="AG9" s="50"/>
      <c r="AH9" s="49"/>
      <c r="AI9" s="50"/>
      <c r="AJ9" s="49" t="s">
        <v>5</v>
      </c>
      <c r="AK9" s="50" t="s">
        <v>164</v>
      </c>
      <c r="AL9" s="49"/>
      <c r="AM9" s="50"/>
      <c r="AN9" s="49"/>
      <c r="AO9" s="50"/>
      <c r="AP9" s="49"/>
      <c r="AQ9" s="50"/>
      <c r="AR9" s="49" t="s">
        <v>5</v>
      </c>
      <c r="AS9" s="50"/>
      <c r="AT9" s="49"/>
      <c r="AU9" s="50"/>
      <c r="AV9" s="49"/>
      <c r="AW9" s="50"/>
      <c r="AX9" s="49"/>
      <c r="AY9" s="50" t="s">
        <v>109</v>
      </c>
      <c r="AZ9" s="49"/>
      <c r="BA9" s="50"/>
      <c r="BB9" s="49"/>
      <c r="BC9" s="50"/>
      <c r="BD9" s="49"/>
      <c r="BE9" s="50"/>
      <c r="BF9" s="49"/>
      <c r="BG9" s="50"/>
      <c r="BH9" s="49" t="s">
        <v>1</v>
      </c>
      <c r="BI9" s="50" t="s">
        <v>136</v>
      </c>
      <c r="BJ9" s="49"/>
      <c r="BK9" s="50"/>
      <c r="BL9" s="49"/>
      <c r="BM9" s="50"/>
      <c r="BN9" s="49" t="s">
        <v>5</v>
      </c>
      <c r="BO9" s="50"/>
      <c r="BP9" s="49"/>
      <c r="BQ9" s="50"/>
      <c r="BR9" s="49" t="s">
        <v>5</v>
      </c>
      <c r="BS9" s="50"/>
      <c r="BT9" s="49"/>
      <c r="BU9" s="50"/>
      <c r="BV9" s="49" t="s">
        <v>5</v>
      </c>
      <c r="BW9" s="50"/>
      <c r="BX9" s="49"/>
      <c r="BY9" s="50"/>
      <c r="BZ9" s="49"/>
      <c r="CA9" s="50"/>
    </row>
    <row r="10" spans="1:79" x14ac:dyDescent="0.25">
      <c r="A10" s="76">
        <v>151642</v>
      </c>
      <c r="B10" s="77" t="s">
        <v>726</v>
      </c>
      <c r="C10" s="78" t="s">
        <v>725</v>
      </c>
      <c r="D10" s="76" t="s">
        <v>70</v>
      </c>
      <c r="E10" s="79" t="s">
        <v>14</v>
      </c>
      <c r="F10" s="79" t="s">
        <v>71</v>
      </c>
      <c r="G10" s="79" t="s">
        <v>14</v>
      </c>
      <c r="H10" s="79" t="s">
        <v>14</v>
      </c>
      <c r="I10" s="78" t="s">
        <v>14</v>
      </c>
      <c r="J10" s="79" t="s">
        <v>14</v>
      </c>
      <c r="K10" s="142" t="s">
        <v>1850</v>
      </c>
      <c r="L10" s="149" t="s">
        <v>1842</v>
      </c>
      <c r="M10" s="150" t="s">
        <v>12</v>
      </c>
      <c r="N10" s="151">
        <v>13</v>
      </c>
      <c r="O10" s="151">
        <v>0</v>
      </c>
      <c r="P10" s="152">
        <v>0</v>
      </c>
      <c r="Q10" s="153">
        <v>91.3</v>
      </c>
      <c r="R10" s="154">
        <v>0</v>
      </c>
      <c r="S10" s="38">
        <f t="shared" si="0"/>
        <v>0</v>
      </c>
      <c r="T10" s="39">
        <f t="shared" si="1"/>
        <v>9</v>
      </c>
      <c r="U10" s="40">
        <f t="shared" si="2"/>
        <v>0</v>
      </c>
      <c r="V10" s="40">
        <f t="shared" si="3"/>
        <v>0</v>
      </c>
      <c r="W10" s="40">
        <f t="shared" si="4"/>
        <v>0</v>
      </c>
      <c r="X10" s="40">
        <f t="shared" si="5"/>
        <v>0</v>
      </c>
      <c r="Y10" s="40">
        <f t="shared" si="6"/>
        <v>0</v>
      </c>
      <c r="Z10" s="40">
        <f t="shared" si="7"/>
        <v>0</v>
      </c>
      <c r="AA10" s="40">
        <f t="shared" si="8"/>
        <v>0</v>
      </c>
      <c r="AB10" s="40">
        <f t="shared" si="10"/>
        <v>0</v>
      </c>
      <c r="AC10" s="41">
        <f t="shared" si="11"/>
        <v>0</v>
      </c>
      <c r="AD10" s="49"/>
      <c r="AE10" s="50"/>
      <c r="AF10" s="49"/>
      <c r="AG10" s="50"/>
      <c r="AH10" s="49"/>
      <c r="AI10" s="50"/>
      <c r="AJ10" s="49"/>
      <c r="AK10" s="50"/>
      <c r="AL10" s="49"/>
      <c r="AM10" s="50"/>
      <c r="AN10" s="49"/>
      <c r="AO10" s="50"/>
      <c r="AP10" s="49"/>
      <c r="AQ10" s="50"/>
      <c r="AR10" s="49" t="s">
        <v>5</v>
      </c>
      <c r="AS10" s="50" t="s">
        <v>194</v>
      </c>
      <c r="AT10" s="49"/>
      <c r="AU10" s="50"/>
      <c r="AV10" s="49"/>
      <c r="AW10" s="50"/>
      <c r="AX10" s="49" t="s">
        <v>5</v>
      </c>
      <c r="AY10" s="50" t="s">
        <v>109</v>
      </c>
      <c r="AZ10" s="49" t="s">
        <v>5</v>
      </c>
      <c r="BA10" s="50" t="s">
        <v>84</v>
      </c>
      <c r="BB10" s="49" t="s">
        <v>5</v>
      </c>
      <c r="BC10" s="50" t="s">
        <v>92</v>
      </c>
      <c r="BD10" s="49"/>
      <c r="BE10" s="50"/>
      <c r="BF10" s="49"/>
      <c r="BG10" s="50"/>
      <c r="BH10" s="49" t="s">
        <v>5</v>
      </c>
      <c r="BI10" s="50" t="s">
        <v>430</v>
      </c>
      <c r="BJ10" s="49"/>
      <c r="BK10" s="50"/>
      <c r="BL10" s="49"/>
      <c r="BM10" s="50"/>
      <c r="BN10" s="49" t="s">
        <v>5</v>
      </c>
      <c r="BO10" s="50" t="s">
        <v>121</v>
      </c>
      <c r="BP10" s="49"/>
      <c r="BQ10" s="50"/>
      <c r="BR10" s="49"/>
      <c r="BS10" s="50"/>
      <c r="BT10" s="49" t="s">
        <v>5</v>
      </c>
      <c r="BU10" s="50" t="s">
        <v>90</v>
      </c>
      <c r="BV10" s="49" t="s">
        <v>5</v>
      </c>
      <c r="BW10" s="50" t="s">
        <v>122</v>
      </c>
      <c r="BX10" s="49" t="s">
        <v>5</v>
      </c>
      <c r="BY10" s="50" t="s">
        <v>206</v>
      </c>
      <c r="BZ10" s="49"/>
      <c r="CA10" s="50"/>
    </row>
    <row r="11" spans="1:79" x14ac:dyDescent="0.25">
      <c r="A11" s="76">
        <v>151537</v>
      </c>
      <c r="B11" s="77" t="s">
        <v>727</v>
      </c>
      <c r="C11" s="78" t="s">
        <v>718</v>
      </c>
      <c r="D11" s="76" t="s">
        <v>12</v>
      </c>
      <c r="E11" s="79" t="s">
        <v>14</v>
      </c>
      <c r="F11" s="79" t="s">
        <v>126</v>
      </c>
      <c r="G11" s="79" t="s">
        <v>14</v>
      </c>
      <c r="H11" s="79" t="s">
        <v>14</v>
      </c>
      <c r="I11" s="78" t="s">
        <v>14</v>
      </c>
      <c r="J11" s="79" t="s">
        <v>14</v>
      </c>
      <c r="K11" s="142" t="s">
        <v>1850</v>
      </c>
      <c r="L11" s="149" t="s">
        <v>1842</v>
      </c>
      <c r="M11" s="150" t="s">
        <v>12</v>
      </c>
      <c r="N11" s="151">
        <v>15</v>
      </c>
      <c r="O11" s="151">
        <v>2</v>
      </c>
      <c r="P11" s="152">
        <v>6</v>
      </c>
      <c r="Q11" s="153">
        <v>100</v>
      </c>
      <c r="R11" s="154">
        <v>9</v>
      </c>
      <c r="S11" s="38">
        <f t="shared" si="0"/>
        <v>0</v>
      </c>
      <c r="T11" s="39">
        <f t="shared" si="1"/>
        <v>8</v>
      </c>
      <c r="U11" s="40">
        <f t="shared" si="2"/>
        <v>2</v>
      </c>
      <c r="V11" s="40">
        <f t="shared" si="3"/>
        <v>0</v>
      </c>
      <c r="W11" s="40">
        <f t="shared" si="4"/>
        <v>0</v>
      </c>
      <c r="X11" s="40">
        <f t="shared" si="5"/>
        <v>2</v>
      </c>
      <c r="Y11" s="40">
        <f t="shared" si="6"/>
        <v>0</v>
      </c>
      <c r="Z11" s="40">
        <f t="shared" si="7"/>
        <v>0</v>
      </c>
      <c r="AA11" s="40">
        <f t="shared" si="8"/>
        <v>0</v>
      </c>
      <c r="AB11" s="40">
        <f t="shared" si="10"/>
        <v>0</v>
      </c>
      <c r="AC11" s="41">
        <f t="shared" si="11"/>
        <v>0</v>
      </c>
      <c r="AD11" s="49"/>
      <c r="AE11" s="50"/>
      <c r="AF11" s="49" t="s">
        <v>5</v>
      </c>
      <c r="AG11" s="50" t="s">
        <v>438</v>
      </c>
      <c r="AH11" s="49"/>
      <c r="AI11" s="50"/>
      <c r="AJ11" s="49" t="s">
        <v>30</v>
      </c>
      <c r="AK11" s="50" t="s">
        <v>83</v>
      </c>
      <c r="AL11" s="49"/>
      <c r="AM11" s="50"/>
      <c r="AN11" s="49"/>
      <c r="AO11" s="50"/>
      <c r="AP11" s="49"/>
      <c r="AQ11" s="50"/>
      <c r="AR11" s="49" t="s">
        <v>5</v>
      </c>
      <c r="AS11" s="50" t="s">
        <v>722</v>
      </c>
      <c r="AT11" s="49"/>
      <c r="AU11" s="50"/>
      <c r="AV11" s="49"/>
      <c r="AW11" s="50"/>
      <c r="AX11" s="49" t="s">
        <v>5</v>
      </c>
      <c r="AY11" s="50" t="s">
        <v>169</v>
      </c>
      <c r="AZ11" s="49" t="s">
        <v>5</v>
      </c>
      <c r="BA11" s="50" t="s">
        <v>143</v>
      </c>
      <c r="BB11" s="49"/>
      <c r="BC11" s="50"/>
      <c r="BD11" s="49"/>
      <c r="BE11" s="50"/>
      <c r="BF11" s="49"/>
      <c r="BG11" s="50"/>
      <c r="BH11" s="49" t="s">
        <v>5</v>
      </c>
      <c r="BI11" s="50" t="s">
        <v>136</v>
      </c>
      <c r="BJ11" s="49"/>
      <c r="BK11" s="50"/>
      <c r="BL11" s="49"/>
      <c r="BM11" s="50"/>
      <c r="BN11" s="49" t="s">
        <v>5</v>
      </c>
      <c r="BO11" s="50" t="s">
        <v>96</v>
      </c>
      <c r="BP11" s="49"/>
      <c r="BQ11" s="50"/>
      <c r="BR11" s="49" t="s">
        <v>30</v>
      </c>
      <c r="BS11" s="50" t="s">
        <v>123</v>
      </c>
      <c r="BT11" s="49" t="s">
        <v>5</v>
      </c>
      <c r="BU11" s="50" t="s">
        <v>117</v>
      </c>
      <c r="BV11" s="49" t="s">
        <v>5</v>
      </c>
      <c r="BW11" s="50" t="s">
        <v>82</v>
      </c>
      <c r="BX11" s="49"/>
      <c r="BY11" s="50"/>
      <c r="BZ11" s="49"/>
      <c r="CA11" s="50"/>
    </row>
    <row r="12" spans="1:79" x14ac:dyDescent="0.25">
      <c r="A12" s="76">
        <v>151591</v>
      </c>
      <c r="B12" s="77" t="s">
        <v>728</v>
      </c>
      <c r="C12" s="78" t="s">
        <v>710</v>
      </c>
      <c r="D12" s="76" t="s">
        <v>12</v>
      </c>
      <c r="E12" s="79" t="s">
        <v>14</v>
      </c>
      <c r="F12" s="79" t="s">
        <v>88</v>
      </c>
      <c r="G12" s="79" t="s">
        <v>14</v>
      </c>
      <c r="H12" s="79" t="s">
        <v>14</v>
      </c>
      <c r="I12" s="78" t="s">
        <v>14</v>
      </c>
      <c r="J12" s="79" t="s">
        <v>14</v>
      </c>
      <c r="K12" s="142" t="s">
        <v>1850</v>
      </c>
      <c r="L12" s="149" t="s">
        <v>1845</v>
      </c>
      <c r="M12" s="150" t="s">
        <v>12</v>
      </c>
      <c r="N12" s="151">
        <v>18</v>
      </c>
      <c r="O12" s="151">
        <v>1</v>
      </c>
      <c r="P12" s="152">
        <v>0</v>
      </c>
      <c r="Q12" s="153">
        <v>100</v>
      </c>
      <c r="R12" s="154">
        <v>4</v>
      </c>
      <c r="S12" s="38">
        <f t="shared" si="0"/>
        <v>1</v>
      </c>
      <c r="T12" s="39">
        <f t="shared" si="1"/>
        <v>8</v>
      </c>
      <c r="U12" s="40">
        <f t="shared" si="2"/>
        <v>0</v>
      </c>
      <c r="V12" s="40">
        <f t="shared" si="3"/>
        <v>0</v>
      </c>
      <c r="W12" s="40">
        <f t="shared" si="4"/>
        <v>0</v>
      </c>
      <c r="X12" s="40">
        <f t="shared" si="5"/>
        <v>0</v>
      </c>
      <c r="Y12" s="40">
        <f t="shared" si="6"/>
        <v>0</v>
      </c>
      <c r="Z12" s="40">
        <f t="shared" si="7"/>
        <v>0</v>
      </c>
      <c r="AA12" s="40">
        <f t="shared" si="8"/>
        <v>0</v>
      </c>
      <c r="AB12" s="40">
        <f t="shared" si="10"/>
        <v>0</v>
      </c>
      <c r="AC12" s="41">
        <f t="shared" si="11"/>
        <v>0</v>
      </c>
      <c r="AD12" s="49"/>
      <c r="AE12" s="50"/>
      <c r="AF12" s="49" t="s">
        <v>5</v>
      </c>
      <c r="AG12" s="50" t="s">
        <v>433</v>
      </c>
      <c r="AH12" s="49"/>
      <c r="AI12" s="50"/>
      <c r="AJ12" s="49" t="s">
        <v>5</v>
      </c>
      <c r="AK12" s="50" t="s">
        <v>714</v>
      </c>
      <c r="AL12" s="49"/>
      <c r="AM12" s="50"/>
      <c r="AN12" s="49"/>
      <c r="AO12" s="50"/>
      <c r="AP12" s="49"/>
      <c r="AQ12" s="50"/>
      <c r="AR12" s="49" t="s">
        <v>5</v>
      </c>
      <c r="AS12" s="50" t="s">
        <v>102</v>
      </c>
      <c r="AT12" s="49"/>
      <c r="AU12" s="50"/>
      <c r="AV12" s="49"/>
      <c r="AW12" s="50"/>
      <c r="AX12" s="49" t="s">
        <v>5</v>
      </c>
      <c r="AY12" s="50" t="s">
        <v>711</v>
      </c>
      <c r="AZ12" s="49"/>
      <c r="BA12" s="50"/>
      <c r="BB12" s="49" t="s">
        <v>5</v>
      </c>
      <c r="BC12" s="50" t="s">
        <v>92</v>
      </c>
      <c r="BD12" s="49"/>
      <c r="BE12" s="50"/>
      <c r="BF12" s="49"/>
      <c r="BG12" s="50"/>
      <c r="BH12" s="49" t="s">
        <v>5</v>
      </c>
      <c r="BI12" s="50" t="s">
        <v>430</v>
      </c>
      <c r="BJ12" s="49"/>
      <c r="BK12" s="50"/>
      <c r="BL12" s="49"/>
      <c r="BM12" s="50"/>
      <c r="BN12" s="49" t="s">
        <v>5</v>
      </c>
      <c r="BO12" s="50" t="s">
        <v>107</v>
      </c>
      <c r="BP12" s="49"/>
      <c r="BQ12" s="50"/>
      <c r="BR12" s="49" t="s">
        <v>5</v>
      </c>
      <c r="BS12" s="50" t="s">
        <v>123</v>
      </c>
      <c r="BT12" s="49"/>
      <c r="BU12" s="50"/>
      <c r="BV12" s="49" t="s">
        <v>1</v>
      </c>
      <c r="BW12" s="50" t="s">
        <v>715</v>
      </c>
      <c r="BX12" s="49"/>
      <c r="BY12" s="50"/>
      <c r="BZ12" s="49" t="s">
        <v>5</v>
      </c>
      <c r="CA12" s="50" t="s">
        <v>75</v>
      </c>
    </row>
    <row r="13" spans="1:79" x14ac:dyDescent="0.25">
      <c r="A13" s="76">
        <v>151630</v>
      </c>
      <c r="B13" s="77" t="s">
        <v>729</v>
      </c>
      <c r="C13" s="78" t="s">
        <v>730</v>
      </c>
      <c r="D13" s="76" t="s">
        <v>12</v>
      </c>
      <c r="E13" s="79" t="s">
        <v>14</v>
      </c>
      <c r="F13" s="79" t="s">
        <v>115</v>
      </c>
      <c r="G13" s="79" t="s">
        <v>87</v>
      </c>
      <c r="H13" s="79" t="s">
        <v>14</v>
      </c>
      <c r="I13" s="78" t="s">
        <v>14</v>
      </c>
      <c r="J13" s="79" t="s">
        <v>14</v>
      </c>
      <c r="K13" s="142" t="s">
        <v>1850</v>
      </c>
      <c r="L13" s="149" t="s">
        <v>1844</v>
      </c>
      <c r="M13" s="150" t="s">
        <v>12</v>
      </c>
      <c r="N13" s="151">
        <v>1</v>
      </c>
      <c r="O13" s="151">
        <v>0</v>
      </c>
      <c r="P13" s="152">
        <v>1</v>
      </c>
      <c r="Q13" s="153">
        <v>23.91</v>
      </c>
      <c r="R13" s="154">
        <v>0</v>
      </c>
      <c r="S13" s="38">
        <f t="shared" si="0"/>
        <v>0</v>
      </c>
      <c r="T13" s="39">
        <f t="shared" si="1"/>
        <v>3</v>
      </c>
      <c r="U13" s="40">
        <f t="shared" si="2"/>
        <v>0</v>
      </c>
      <c r="V13" s="40">
        <f t="shared" si="3"/>
        <v>0</v>
      </c>
      <c r="W13" s="40">
        <f t="shared" si="4"/>
        <v>0</v>
      </c>
      <c r="X13" s="40">
        <f t="shared" si="5"/>
        <v>0</v>
      </c>
      <c r="Y13" s="40">
        <f t="shared" si="6"/>
        <v>0</v>
      </c>
      <c r="Z13" s="40">
        <f t="shared" si="7"/>
        <v>0</v>
      </c>
      <c r="AA13" s="40">
        <f t="shared" si="8"/>
        <v>0</v>
      </c>
      <c r="AB13" s="40">
        <f t="shared" si="10"/>
        <v>0</v>
      </c>
      <c r="AC13" s="41">
        <f t="shared" si="11"/>
        <v>0</v>
      </c>
      <c r="AD13" s="49"/>
      <c r="AE13" s="50"/>
      <c r="AF13" s="49" t="s">
        <v>189</v>
      </c>
      <c r="AG13" s="50" t="s">
        <v>154</v>
      </c>
      <c r="AH13" s="49"/>
      <c r="AI13" s="50"/>
      <c r="AJ13" s="49"/>
      <c r="AK13" s="50" t="s">
        <v>83</v>
      </c>
      <c r="AL13" s="49"/>
      <c r="AM13" s="50"/>
      <c r="AN13" s="49" t="s">
        <v>5</v>
      </c>
      <c r="AO13" s="50" t="s">
        <v>163</v>
      </c>
      <c r="AP13" s="49"/>
      <c r="AQ13" s="50"/>
      <c r="AR13" s="49"/>
      <c r="AS13" s="50" t="s">
        <v>74</v>
      </c>
      <c r="AT13" s="49"/>
      <c r="AU13" s="50"/>
      <c r="AV13" s="49"/>
      <c r="AW13" s="50"/>
      <c r="AX13" s="49" t="s">
        <v>5</v>
      </c>
      <c r="AY13" s="50" t="s">
        <v>133</v>
      </c>
      <c r="AZ13" s="49" t="s">
        <v>189</v>
      </c>
      <c r="BA13" s="50" t="s">
        <v>103</v>
      </c>
      <c r="BB13" s="49"/>
      <c r="BC13" s="50"/>
      <c r="BD13" s="49"/>
      <c r="BE13" s="50"/>
      <c r="BF13" s="49"/>
      <c r="BG13" s="50"/>
      <c r="BH13" s="49" t="s">
        <v>5</v>
      </c>
      <c r="BI13" s="50" t="s">
        <v>505</v>
      </c>
      <c r="BJ13" s="49"/>
      <c r="BK13" s="50"/>
      <c r="BL13" s="49"/>
      <c r="BM13" s="50"/>
      <c r="BN13" s="49"/>
      <c r="BO13" s="50" t="s">
        <v>107</v>
      </c>
      <c r="BP13" s="49"/>
      <c r="BQ13" s="50"/>
      <c r="BR13" s="49" t="s">
        <v>189</v>
      </c>
      <c r="BS13" s="50" t="s">
        <v>170</v>
      </c>
      <c r="BT13" s="49"/>
      <c r="BU13" s="50"/>
      <c r="BV13" s="49" t="s">
        <v>189</v>
      </c>
      <c r="BW13" s="50" t="s">
        <v>97</v>
      </c>
      <c r="BX13" s="49"/>
      <c r="BY13" s="50"/>
      <c r="BZ13" s="49"/>
      <c r="CA13" s="50"/>
    </row>
    <row r="14" spans="1:79" x14ac:dyDescent="0.25">
      <c r="A14" s="76">
        <v>151629</v>
      </c>
      <c r="B14" s="77" t="s">
        <v>731</v>
      </c>
      <c r="C14" s="78" t="s">
        <v>732</v>
      </c>
      <c r="D14" s="76" t="s">
        <v>12</v>
      </c>
      <c r="E14" s="79" t="s">
        <v>14</v>
      </c>
      <c r="F14" s="79" t="s">
        <v>71</v>
      </c>
      <c r="G14" s="79" t="s">
        <v>14</v>
      </c>
      <c r="H14" s="79" t="s">
        <v>14</v>
      </c>
      <c r="I14" s="78" t="s">
        <v>14</v>
      </c>
      <c r="J14" s="79" t="s">
        <v>14</v>
      </c>
      <c r="K14" s="142" t="s">
        <v>1851</v>
      </c>
      <c r="L14" s="149" t="s">
        <v>1842</v>
      </c>
      <c r="M14" s="150" t="s">
        <v>1853</v>
      </c>
      <c r="N14" s="151">
        <v>13</v>
      </c>
      <c r="O14" s="151">
        <v>1</v>
      </c>
      <c r="P14" s="152">
        <v>3</v>
      </c>
      <c r="Q14" s="153">
        <v>97.83</v>
      </c>
      <c r="R14" s="154">
        <v>4</v>
      </c>
      <c r="S14" s="38">
        <f t="shared" si="0"/>
        <v>0</v>
      </c>
      <c r="T14" s="39">
        <f t="shared" si="1"/>
        <v>8</v>
      </c>
      <c r="U14" s="40">
        <f t="shared" si="2"/>
        <v>0</v>
      </c>
      <c r="V14" s="40">
        <f t="shared" si="3"/>
        <v>0</v>
      </c>
      <c r="W14" s="40">
        <f t="shared" si="4"/>
        <v>1</v>
      </c>
      <c r="X14" s="40">
        <f t="shared" si="5"/>
        <v>1</v>
      </c>
      <c r="Y14" s="40">
        <f t="shared" si="6"/>
        <v>0</v>
      </c>
      <c r="Z14" s="40">
        <f t="shared" si="7"/>
        <v>0</v>
      </c>
      <c r="AA14" s="40">
        <f t="shared" si="8"/>
        <v>0</v>
      </c>
      <c r="AB14" s="40">
        <f t="shared" si="10"/>
        <v>0</v>
      </c>
      <c r="AC14" s="41">
        <f t="shared" si="11"/>
        <v>0</v>
      </c>
      <c r="AD14" s="49"/>
      <c r="AE14" s="50"/>
      <c r="AF14" s="49" t="s">
        <v>5</v>
      </c>
      <c r="AG14" s="50" t="s">
        <v>438</v>
      </c>
      <c r="AH14" s="49"/>
      <c r="AI14" s="50"/>
      <c r="AJ14" s="49" t="s">
        <v>5</v>
      </c>
      <c r="AK14" s="50" t="s">
        <v>83</v>
      </c>
      <c r="AL14" s="49"/>
      <c r="AM14" s="50"/>
      <c r="AN14" s="49"/>
      <c r="AO14" s="50"/>
      <c r="AP14" s="49"/>
      <c r="AQ14" s="50"/>
      <c r="AR14" s="49" t="s">
        <v>5</v>
      </c>
      <c r="AS14" s="50" t="s">
        <v>478</v>
      </c>
      <c r="AT14" s="49"/>
      <c r="AU14" s="50"/>
      <c r="AV14" s="49"/>
      <c r="AW14" s="50"/>
      <c r="AX14" s="49" t="s">
        <v>5</v>
      </c>
      <c r="AY14" s="50" t="s">
        <v>124</v>
      </c>
      <c r="AZ14" s="49"/>
      <c r="BA14" s="50"/>
      <c r="BB14" s="49"/>
      <c r="BC14" s="50"/>
      <c r="BD14" s="49"/>
      <c r="BE14" s="50"/>
      <c r="BF14" s="49" t="s">
        <v>5</v>
      </c>
      <c r="BG14" s="50" t="s">
        <v>93</v>
      </c>
      <c r="BH14" s="49" t="s">
        <v>5</v>
      </c>
      <c r="BI14" s="50" t="s">
        <v>139</v>
      </c>
      <c r="BJ14" s="49"/>
      <c r="BK14" s="50"/>
      <c r="BL14" s="49"/>
      <c r="BM14" s="50"/>
      <c r="BN14" s="49" t="s">
        <v>5</v>
      </c>
      <c r="BO14" s="50" t="s">
        <v>107</v>
      </c>
      <c r="BP14" s="49"/>
      <c r="BQ14" s="50"/>
      <c r="BR14" s="49" t="s">
        <v>5</v>
      </c>
      <c r="BS14" s="50" t="s">
        <v>123</v>
      </c>
      <c r="BT14" s="49"/>
      <c r="BU14" s="50"/>
      <c r="BV14" s="49" t="s">
        <v>32</v>
      </c>
      <c r="BW14" s="50" t="s">
        <v>495</v>
      </c>
      <c r="BX14" s="49"/>
      <c r="BY14" s="50"/>
      <c r="BZ14" s="49" t="s">
        <v>30</v>
      </c>
      <c r="CA14" s="50" t="s">
        <v>75</v>
      </c>
    </row>
    <row r="15" spans="1:79" x14ac:dyDescent="0.25">
      <c r="A15" s="76">
        <v>151527</v>
      </c>
      <c r="B15" s="77" t="s">
        <v>733</v>
      </c>
      <c r="C15" s="78" t="s">
        <v>713</v>
      </c>
      <c r="D15" s="76" t="s">
        <v>70</v>
      </c>
      <c r="E15" s="79" t="s">
        <v>14</v>
      </c>
      <c r="F15" s="77" t="s">
        <v>115</v>
      </c>
      <c r="G15" s="79" t="s">
        <v>14</v>
      </c>
      <c r="H15" s="79" t="s">
        <v>14</v>
      </c>
      <c r="I15" s="78" t="s">
        <v>14</v>
      </c>
      <c r="J15" s="79" t="s">
        <v>14</v>
      </c>
      <c r="K15" s="142" t="s">
        <v>1850</v>
      </c>
      <c r="L15" s="149" t="s">
        <v>1845</v>
      </c>
      <c r="M15" s="150" t="s">
        <v>12</v>
      </c>
      <c r="N15" s="151">
        <v>11</v>
      </c>
      <c r="O15" s="151">
        <v>8</v>
      </c>
      <c r="P15" s="152">
        <v>3</v>
      </c>
      <c r="Q15" s="153">
        <v>82.61</v>
      </c>
      <c r="R15" s="154">
        <v>8</v>
      </c>
      <c r="S15" s="38">
        <f t="shared" si="0"/>
        <v>0</v>
      </c>
      <c r="T15" s="39">
        <f t="shared" si="1"/>
        <v>4</v>
      </c>
      <c r="U15" s="40">
        <f t="shared" si="2"/>
        <v>2</v>
      </c>
      <c r="V15" s="40">
        <f t="shared" si="3"/>
        <v>1</v>
      </c>
      <c r="W15" s="40">
        <f t="shared" si="4"/>
        <v>2</v>
      </c>
      <c r="X15" s="40">
        <f t="shared" si="5"/>
        <v>5</v>
      </c>
      <c r="Y15" s="40">
        <f t="shared" si="6"/>
        <v>0</v>
      </c>
      <c r="Z15" s="40">
        <f t="shared" si="7"/>
        <v>0</v>
      </c>
      <c r="AA15" s="40">
        <f t="shared" si="8"/>
        <v>0</v>
      </c>
      <c r="AB15" s="40">
        <f t="shared" si="10"/>
        <v>0</v>
      </c>
      <c r="AC15" s="41">
        <f t="shared" si="11"/>
        <v>0</v>
      </c>
      <c r="AD15" s="49"/>
      <c r="AE15" s="50"/>
      <c r="AF15" s="49" t="s">
        <v>30</v>
      </c>
      <c r="AG15" s="50" t="s">
        <v>433</v>
      </c>
      <c r="AH15" s="49"/>
      <c r="AI15" s="50"/>
      <c r="AJ15" s="49" t="s">
        <v>31</v>
      </c>
      <c r="AK15" s="50" t="s">
        <v>714</v>
      </c>
      <c r="AL15" s="49"/>
      <c r="AM15" s="50"/>
      <c r="AN15" s="49"/>
      <c r="AO15" s="50"/>
      <c r="AP15" s="49"/>
      <c r="AQ15" s="50"/>
      <c r="AR15" s="49" t="s">
        <v>5</v>
      </c>
      <c r="AS15" s="50" t="s">
        <v>74</v>
      </c>
      <c r="AT15" s="49"/>
      <c r="AU15" s="50"/>
      <c r="AV15" s="49" t="s">
        <v>5</v>
      </c>
      <c r="AW15" s="50" t="s">
        <v>73</v>
      </c>
      <c r="AX15" s="49" t="s">
        <v>5</v>
      </c>
      <c r="AY15" s="50" t="s">
        <v>103</v>
      </c>
      <c r="AZ15" s="49"/>
      <c r="BA15" s="50"/>
      <c r="BB15" s="49"/>
      <c r="BC15" s="50"/>
      <c r="BD15" s="49"/>
      <c r="BE15" s="50"/>
      <c r="BF15" s="49"/>
      <c r="BG15" s="50"/>
      <c r="BH15" s="49" t="s">
        <v>5</v>
      </c>
      <c r="BI15" s="50" t="s">
        <v>430</v>
      </c>
      <c r="BJ15" s="49"/>
      <c r="BK15" s="50"/>
      <c r="BL15" s="49"/>
      <c r="BM15" s="50"/>
      <c r="BN15" s="49" t="s">
        <v>32</v>
      </c>
      <c r="BO15" s="50" t="s">
        <v>81</v>
      </c>
      <c r="BP15" s="49"/>
      <c r="BQ15" s="50"/>
      <c r="BR15" s="49" t="s">
        <v>32</v>
      </c>
      <c r="BS15" s="50" t="s">
        <v>123</v>
      </c>
      <c r="BT15" s="49"/>
      <c r="BU15" s="50"/>
      <c r="BV15" s="49" t="s">
        <v>30</v>
      </c>
      <c r="BW15" s="50" t="s">
        <v>715</v>
      </c>
      <c r="BX15" s="49"/>
      <c r="BY15" s="50"/>
      <c r="BZ15" s="49" t="s">
        <v>5</v>
      </c>
      <c r="CA15" s="50" t="s">
        <v>75</v>
      </c>
    </row>
    <row r="16" spans="1:79" x14ac:dyDescent="0.25">
      <c r="A16" s="76">
        <v>151638</v>
      </c>
      <c r="B16" s="77" t="s">
        <v>734</v>
      </c>
      <c r="C16" s="78" t="s">
        <v>718</v>
      </c>
      <c r="D16" s="76" t="s">
        <v>70</v>
      </c>
      <c r="E16" s="79" t="s">
        <v>14</v>
      </c>
      <c r="F16" s="79" t="s">
        <v>115</v>
      </c>
      <c r="G16" s="79" t="s">
        <v>14</v>
      </c>
      <c r="H16" s="79" t="s">
        <v>14</v>
      </c>
      <c r="I16" s="78" t="s">
        <v>14</v>
      </c>
      <c r="J16" s="79" t="s">
        <v>14</v>
      </c>
      <c r="K16" s="142" t="s">
        <v>1850</v>
      </c>
      <c r="L16" s="149" t="s">
        <v>1844</v>
      </c>
      <c r="M16" s="150" t="s">
        <v>12</v>
      </c>
      <c r="N16" s="151">
        <v>15</v>
      </c>
      <c r="O16" s="151">
        <v>0</v>
      </c>
      <c r="P16" s="152">
        <v>0</v>
      </c>
      <c r="Q16" s="153">
        <v>100</v>
      </c>
      <c r="R16" s="154">
        <v>1</v>
      </c>
      <c r="S16" s="38">
        <f t="shared" si="0"/>
        <v>3</v>
      </c>
      <c r="T16" s="39">
        <f t="shared" si="1"/>
        <v>6</v>
      </c>
      <c r="U16" s="40">
        <f t="shared" si="2"/>
        <v>0</v>
      </c>
      <c r="V16" s="40">
        <f t="shared" si="3"/>
        <v>0</v>
      </c>
      <c r="W16" s="40">
        <f t="shared" si="4"/>
        <v>0</v>
      </c>
      <c r="X16" s="40">
        <f t="shared" si="5"/>
        <v>0</v>
      </c>
      <c r="Y16" s="40">
        <f t="shared" si="6"/>
        <v>0</v>
      </c>
      <c r="Z16" s="40">
        <f t="shared" si="7"/>
        <v>0</v>
      </c>
      <c r="AA16" s="40">
        <f t="shared" si="8"/>
        <v>0</v>
      </c>
      <c r="AB16" s="40">
        <f t="shared" si="10"/>
        <v>0</v>
      </c>
      <c r="AC16" s="41">
        <f t="shared" si="11"/>
        <v>0</v>
      </c>
      <c r="AD16" s="49"/>
      <c r="AE16" s="50"/>
      <c r="AF16" s="49"/>
      <c r="AG16" s="50"/>
      <c r="AH16" s="49"/>
      <c r="AI16" s="50"/>
      <c r="AJ16" s="49"/>
      <c r="AK16" s="50"/>
      <c r="AL16" s="49"/>
      <c r="AM16" s="50"/>
      <c r="AN16" s="49"/>
      <c r="AO16" s="50"/>
      <c r="AP16" s="49"/>
      <c r="AQ16" s="50"/>
      <c r="AR16" s="49" t="s">
        <v>5</v>
      </c>
      <c r="AS16" s="50" t="s">
        <v>194</v>
      </c>
      <c r="AT16" s="49"/>
      <c r="AU16" s="50"/>
      <c r="AV16" s="49"/>
      <c r="AW16" s="50"/>
      <c r="AX16" s="49" t="s">
        <v>5</v>
      </c>
      <c r="AY16" s="50" t="s">
        <v>169</v>
      </c>
      <c r="AZ16" s="49" t="s">
        <v>5</v>
      </c>
      <c r="BA16" s="50" t="s">
        <v>84</v>
      </c>
      <c r="BB16" s="49"/>
      <c r="BC16" s="50"/>
      <c r="BD16" s="49" t="s">
        <v>5</v>
      </c>
      <c r="BE16" s="50" t="s">
        <v>436</v>
      </c>
      <c r="BF16" s="49"/>
      <c r="BG16" s="50"/>
      <c r="BH16" s="49" t="s">
        <v>5</v>
      </c>
      <c r="BI16" s="50" t="s">
        <v>430</v>
      </c>
      <c r="BJ16" s="49"/>
      <c r="BK16" s="50"/>
      <c r="BL16" s="49" t="s">
        <v>1</v>
      </c>
      <c r="BM16" s="50" t="s">
        <v>89</v>
      </c>
      <c r="BN16" s="49" t="s">
        <v>1</v>
      </c>
      <c r="BO16" s="50" t="s">
        <v>152</v>
      </c>
      <c r="BP16" s="49"/>
      <c r="BQ16" s="50"/>
      <c r="BR16" s="49"/>
      <c r="BS16" s="50"/>
      <c r="BT16" s="49"/>
      <c r="BU16" s="50"/>
      <c r="BV16" s="49" t="s">
        <v>1</v>
      </c>
      <c r="BW16" s="50" t="s">
        <v>457</v>
      </c>
      <c r="BX16" s="49" t="s">
        <v>5</v>
      </c>
      <c r="BY16" s="50" t="s">
        <v>206</v>
      </c>
      <c r="BZ16" s="49"/>
      <c r="CA16" s="50"/>
    </row>
    <row r="17" spans="1:79" x14ac:dyDescent="0.25">
      <c r="A17" s="76">
        <v>151669</v>
      </c>
      <c r="B17" s="77" t="s">
        <v>735</v>
      </c>
      <c r="C17" s="78" t="s">
        <v>736</v>
      </c>
      <c r="D17" s="76" t="s">
        <v>12</v>
      </c>
      <c r="E17" s="79" t="s">
        <v>87</v>
      </c>
      <c r="F17" s="79" t="s">
        <v>71</v>
      </c>
      <c r="G17" s="79" t="s">
        <v>14</v>
      </c>
      <c r="H17" s="79" t="s">
        <v>87</v>
      </c>
      <c r="I17" s="78" t="s">
        <v>14</v>
      </c>
      <c r="J17" s="79" t="s">
        <v>6</v>
      </c>
      <c r="K17" s="142" t="s">
        <v>1850</v>
      </c>
      <c r="L17" s="149" t="s">
        <v>1846</v>
      </c>
      <c r="M17" s="150" t="s">
        <v>1853</v>
      </c>
      <c r="N17" s="151">
        <v>5</v>
      </c>
      <c r="O17" s="151">
        <v>4</v>
      </c>
      <c r="P17" s="152">
        <v>4</v>
      </c>
      <c r="Q17" s="153">
        <v>89.13</v>
      </c>
      <c r="R17" s="154">
        <v>10</v>
      </c>
      <c r="S17" s="38">
        <f t="shared" si="0"/>
        <v>0</v>
      </c>
      <c r="T17" s="39">
        <f t="shared" si="1"/>
        <v>7</v>
      </c>
      <c r="U17" s="40">
        <f t="shared" si="2"/>
        <v>0</v>
      </c>
      <c r="V17" s="40">
        <f t="shared" si="3"/>
        <v>0</v>
      </c>
      <c r="W17" s="40">
        <f t="shared" si="4"/>
        <v>0</v>
      </c>
      <c r="X17" s="40">
        <f t="shared" si="5"/>
        <v>0</v>
      </c>
      <c r="Y17" s="40">
        <f t="shared" si="6"/>
        <v>0</v>
      </c>
      <c r="Z17" s="40">
        <f t="shared" si="7"/>
        <v>0</v>
      </c>
      <c r="AA17" s="40">
        <f t="shared" si="8"/>
        <v>0</v>
      </c>
      <c r="AB17" s="40">
        <f t="shared" si="10"/>
        <v>0</v>
      </c>
      <c r="AC17" s="41">
        <f t="shared" si="11"/>
        <v>0</v>
      </c>
      <c r="AD17" s="49"/>
      <c r="AE17" s="50"/>
      <c r="AF17" s="49"/>
      <c r="AG17" s="50"/>
      <c r="AH17" s="49"/>
      <c r="AI17" s="50"/>
      <c r="AJ17" s="49"/>
      <c r="AK17" s="50"/>
      <c r="AL17" s="49"/>
      <c r="AM17" s="50"/>
      <c r="AN17" s="49"/>
      <c r="AO17" s="50"/>
      <c r="AP17" s="49"/>
      <c r="AQ17" s="50"/>
      <c r="AR17" s="49" t="s">
        <v>5</v>
      </c>
      <c r="AS17" s="50" t="s">
        <v>102</v>
      </c>
      <c r="AT17" s="49"/>
      <c r="AU17" s="50"/>
      <c r="AV17" s="49"/>
      <c r="AW17" s="50"/>
      <c r="AX17" s="49" t="s">
        <v>5</v>
      </c>
      <c r="AY17" s="50" t="s">
        <v>91</v>
      </c>
      <c r="AZ17" s="49"/>
      <c r="BA17" s="50"/>
      <c r="BB17" s="49"/>
      <c r="BC17" s="50"/>
      <c r="BD17" s="49"/>
      <c r="BE17" s="50"/>
      <c r="BF17" s="49" t="s">
        <v>189</v>
      </c>
      <c r="BG17" s="50" t="s">
        <v>93</v>
      </c>
      <c r="BH17" s="49" t="s">
        <v>5</v>
      </c>
      <c r="BI17" s="50" t="s">
        <v>505</v>
      </c>
      <c r="BJ17" s="49"/>
      <c r="BK17" s="50"/>
      <c r="BL17" s="49"/>
      <c r="BM17" s="50"/>
      <c r="BN17" s="49" t="s">
        <v>5</v>
      </c>
      <c r="BO17" s="50" t="s">
        <v>107</v>
      </c>
      <c r="BP17" s="49"/>
      <c r="BQ17" s="50"/>
      <c r="BR17" s="49"/>
      <c r="BS17" s="50"/>
      <c r="BT17" s="49" t="s">
        <v>5</v>
      </c>
      <c r="BU17" s="50" t="s">
        <v>90</v>
      </c>
      <c r="BV17" s="49" t="s">
        <v>5</v>
      </c>
      <c r="BW17" s="50" t="s">
        <v>602</v>
      </c>
      <c r="BX17" s="49" t="s">
        <v>5</v>
      </c>
      <c r="BY17" s="50" t="s">
        <v>206</v>
      </c>
      <c r="BZ17" s="49"/>
      <c r="CA17" s="50" t="s">
        <v>124</v>
      </c>
    </row>
    <row r="18" spans="1:79" x14ac:dyDescent="0.25">
      <c r="A18" s="76">
        <v>151742</v>
      </c>
      <c r="B18" s="77" t="s">
        <v>737</v>
      </c>
      <c r="C18" s="78" t="s">
        <v>721</v>
      </c>
      <c r="D18" s="76" t="s">
        <v>70</v>
      </c>
      <c r="E18" s="79" t="s">
        <v>14</v>
      </c>
      <c r="F18" s="79" t="s">
        <v>503</v>
      </c>
      <c r="G18" s="79" t="s">
        <v>14</v>
      </c>
      <c r="H18" s="79" t="s">
        <v>14</v>
      </c>
      <c r="I18" s="78" t="s">
        <v>14</v>
      </c>
      <c r="J18" s="79" t="s">
        <v>14</v>
      </c>
      <c r="K18" s="142" t="s">
        <v>1851</v>
      </c>
      <c r="L18" s="149" t="s">
        <v>1842</v>
      </c>
      <c r="M18" s="150" t="s">
        <v>12</v>
      </c>
      <c r="N18" s="151">
        <v>18</v>
      </c>
      <c r="O18" s="151">
        <v>2</v>
      </c>
      <c r="P18" s="152">
        <v>4</v>
      </c>
      <c r="Q18" s="153">
        <v>93.48</v>
      </c>
      <c r="R18" s="154">
        <v>9</v>
      </c>
      <c r="S18" s="38">
        <f t="shared" si="0"/>
        <v>0</v>
      </c>
      <c r="T18" s="39">
        <f t="shared" si="1"/>
        <v>8</v>
      </c>
      <c r="U18" s="40">
        <f t="shared" si="2"/>
        <v>0</v>
      </c>
      <c r="V18" s="40">
        <f t="shared" si="3"/>
        <v>1</v>
      </c>
      <c r="W18" s="40">
        <f t="shared" si="4"/>
        <v>1</v>
      </c>
      <c r="X18" s="40">
        <f t="shared" si="5"/>
        <v>2</v>
      </c>
      <c r="Y18" s="40">
        <f t="shared" si="6"/>
        <v>0</v>
      </c>
      <c r="Z18" s="40">
        <f t="shared" si="7"/>
        <v>0</v>
      </c>
      <c r="AA18" s="40">
        <f t="shared" si="8"/>
        <v>0</v>
      </c>
      <c r="AB18" s="40">
        <f t="shared" si="10"/>
        <v>0</v>
      </c>
      <c r="AC18" s="41">
        <f t="shared" si="11"/>
        <v>0</v>
      </c>
      <c r="AD18" s="49"/>
      <c r="AE18" s="50"/>
      <c r="AF18" s="49" t="s">
        <v>32</v>
      </c>
      <c r="AG18" s="50" t="s">
        <v>433</v>
      </c>
      <c r="AH18" s="49"/>
      <c r="AI18" s="50"/>
      <c r="AJ18" s="49" t="s">
        <v>31</v>
      </c>
      <c r="AK18" s="50" t="s">
        <v>714</v>
      </c>
      <c r="AL18" s="49"/>
      <c r="AM18" s="50"/>
      <c r="AN18" s="49"/>
      <c r="AO18" s="50"/>
      <c r="AP18" s="49"/>
      <c r="AQ18" s="50"/>
      <c r="AR18" s="49" t="s">
        <v>5</v>
      </c>
      <c r="AS18" s="50" t="s">
        <v>459</v>
      </c>
      <c r="AT18" s="49"/>
      <c r="AU18" s="50"/>
      <c r="AV18" s="49" t="s">
        <v>5</v>
      </c>
      <c r="AW18" s="50" t="s">
        <v>73</v>
      </c>
      <c r="AX18" s="49" t="s">
        <v>5</v>
      </c>
      <c r="AY18" s="50" t="s">
        <v>101</v>
      </c>
      <c r="AZ18" s="49" t="s">
        <v>5</v>
      </c>
      <c r="BA18" s="50" t="s">
        <v>143</v>
      </c>
      <c r="BB18" s="49"/>
      <c r="BC18" s="50"/>
      <c r="BD18" s="49"/>
      <c r="BE18" s="50"/>
      <c r="BF18" s="49"/>
      <c r="BG18" s="50"/>
      <c r="BH18" s="49" t="s">
        <v>5</v>
      </c>
      <c r="BI18" s="50" t="s">
        <v>139</v>
      </c>
      <c r="BJ18" s="49"/>
      <c r="BK18" s="50"/>
      <c r="BL18" s="49"/>
      <c r="BM18" s="50"/>
      <c r="BN18" s="49" t="s">
        <v>5</v>
      </c>
      <c r="BO18" s="50" t="s">
        <v>121</v>
      </c>
      <c r="BP18" s="49"/>
      <c r="BQ18" s="50"/>
      <c r="BR18" s="49" t="s">
        <v>5</v>
      </c>
      <c r="BS18" s="50" t="s">
        <v>123</v>
      </c>
      <c r="BT18" s="49"/>
      <c r="BU18" s="50"/>
      <c r="BV18" s="49" t="s">
        <v>5</v>
      </c>
      <c r="BW18" s="50" t="s">
        <v>495</v>
      </c>
      <c r="BX18" s="49"/>
      <c r="BY18" s="50"/>
      <c r="BZ18" s="49"/>
      <c r="CA18" s="50"/>
    </row>
    <row r="19" spans="1:79" x14ac:dyDescent="0.25">
      <c r="A19" s="76">
        <v>151633</v>
      </c>
      <c r="B19" s="77" t="s">
        <v>738</v>
      </c>
      <c r="C19" s="78" t="s">
        <v>718</v>
      </c>
      <c r="D19" s="76" t="s">
        <v>70</v>
      </c>
      <c r="E19" s="79" t="s">
        <v>14</v>
      </c>
      <c r="F19" s="77" t="s">
        <v>275</v>
      </c>
      <c r="G19" s="79" t="s">
        <v>14</v>
      </c>
      <c r="H19" s="79" t="s">
        <v>14</v>
      </c>
      <c r="I19" s="78" t="s">
        <v>14</v>
      </c>
      <c r="J19" s="79" t="s">
        <v>14</v>
      </c>
      <c r="K19" s="142" t="s">
        <v>1850</v>
      </c>
      <c r="L19" s="149" t="s">
        <v>1842</v>
      </c>
      <c r="M19" s="150" t="s">
        <v>1853</v>
      </c>
      <c r="N19" s="151">
        <v>18</v>
      </c>
      <c r="O19" s="151">
        <v>0</v>
      </c>
      <c r="P19" s="152">
        <v>0</v>
      </c>
      <c r="Q19" s="153">
        <v>97.83</v>
      </c>
      <c r="R19" s="154">
        <v>4</v>
      </c>
      <c r="S19" s="38">
        <f t="shared" si="0"/>
        <v>2</v>
      </c>
      <c r="T19" s="39">
        <f t="shared" si="1"/>
        <v>8</v>
      </c>
      <c r="U19" s="40">
        <f t="shared" si="2"/>
        <v>0</v>
      </c>
      <c r="V19" s="40">
        <f t="shared" si="3"/>
        <v>0</v>
      </c>
      <c r="W19" s="40">
        <f t="shared" si="4"/>
        <v>0</v>
      </c>
      <c r="X19" s="40">
        <f t="shared" si="5"/>
        <v>0</v>
      </c>
      <c r="Y19" s="40">
        <f t="shared" si="6"/>
        <v>0</v>
      </c>
      <c r="Z19" s="40">
        <f t="shared" si="7"/>
        <v>0</v>
      </c>
      <c r="AA19" s="40">
        <f t="shared" si="8"/>
        <v>0</v>
      </c>
      <c r="AB19" s="40">
        <f t="shared" si="10"/>
        <v>0</v>
      </c>
      <c r="AC19" s="41">
        <f t="shared" si="11"/>
        <v>0</v>
      </c>
      <c r="AD19" s="49"/>
      <c r="AE19" s="50"/>
      <c r="AF19" s="49" t="s">
        <v>1</v>
      </c>
      <c r="AG19" s="50" t="s">
        <v>133</v>
      </c>
      <c r="AH19" s="49"/>
      <c r="AI19" s="50"/>
      <c r="AJ19" s="49" t="s">
        <v>5</v>
      </c>
      <c r="AK19" s="50" t="s">
        <v>137</v>
      </c>
      <c r="AL19" s="49"/>
      <c r="AM19" s="50"/>
      <c r="AN19" s="49"/>
      <c r="AO19" s="50"/>
      <c r="AP19" s="49"/>
      <c r="AQ19" s="50"/>
      <c r="AR19" s="49" t="s">
        <v>5</v>
      </c>
      <c r="AS19" s="50" t="s">
        <v>722</v>
      </c>
      <c r="AT19" s="49"/>
      <c r="AU19" s="50"/>
      <c r="AV19" s="49"/>
      <c r="AW19" s="50"/>
      <c r="AX19" s="49" t="s">
        <v>5</v>
      </c>
      <c r="AY19" s="50" t="s">
        <v>169</v>
      </c>
      <c r="AZ19" s="49" t="s">
        <v>5</v>
      </c>
      <c r="BA19" s="50" t="s">
        <v>84</v>
      </c>
      <c r="BB19" s="49" t="s">
        <v>5</v>
      </c>
      <c r="BC19" s="50" t="s">
        <v>92</v>
      </c>
      <c r="BD19" s="49"/>
      <c r="BE19" s="50"/>
      <c r="BF19" s="49"/>
      <c r="BG19" s="50"/>
      <c r="BH19" s="49" t="s">
        <v>5</v>
      </c>
      <c r="BI19" s="50" t="s">
        <v>139</v>
      </c>
      <c r="BJ19" s="49"/>
      <c r="BK19" s="50"/>
      <c r="BL19" s="49"/>
      <c r="BM19" s="50"/>
      <c r="BN19" s="49" t="s">
        <v>5</v>
      </c>
      <c r="BO19" s="50" t="s">
        <v>152</v>
      </c>
      <c r="BP19" s="49"/>
      <c r="BQ19" s="50"/>
      <c r="BR19" s="49" t="s">
        <v>5</v>
      </c>
      <c r="BS19" s="50" t="s">
        <v>98</v>
      </c>
      <c r="BT19" s="49"/>
      <c r="BU19" s="50"/>
      <c r="BV19" s="49" t="s">
        <v>1</v>
      </c>
      <c r="BW19" s="50" t="s">
        <v>495</v>
      </c>
      <c r="BX19" s="49"/>
      <c r="BY19" s="50"/>
      <c r="BZ19" s="49"/>
      <c r="CA19" s="50"/>
    </row>
    <row r="20" spans="1:79" x14ac:dyDescent="0.25">
      <c r="A20" s="76">
        <v>151607</v>
      </c>
      <c r="B20" s="77" t="s">
        <v>739</v>
      </c>
      <c r="C20" s="78" t="s">
        <v>730</v>
      </c>
      <c r="D20" s="76" t="s">
        <v>12</v>
      </c>
      <c r="E20" s="79" t="s">
        <v>14</v>
      </c>
      <c r="F20" s="79" t="s">
        <v>146</v>
      </c>
      <c r="G20" s="79" t="s">
        <v>14</v>
      </c>
      <c r="H20" s="79" t="s">
        <v>14</v>
      </c>
      <c r="I20" s="78" t="s">
        <v>14</v>
      </c>
      <c r="J20" s="79" t="s">
        <v>14</v>
      </c>
      <c r="K20" s="142" t="s">
        <v>1850</v>
      </c>
      <c r="L20" s="149" t="s">
        <v>1845</v>
      </c>
      <c r="M20" s="150" t="s">
        <v>12</v>
      </c>
      <c r="N20" s="151">
        <v>19</v>
      </c>
      <c r="O20" s="151">
        <v>0</v>
      </c>
      <c r="P20" s="152">
        <v>0</v>
      </c>
      <c r="Q20" s="153">
        <v>95.65</v>
      </c>
      <c r="R20" s="154">
        <v>0</v>
      </c>
      <c r="S20" s="38">
        <f t="shared" si="0"/>
        <v>3</v>
      </c>
      <c r="T20" s="39">
        <f t="shared" si="1"/>
        <v>7</v>
      </c>
      <c r="U20" s="40">
        <f t="shared" si="2"/>
        <v>0</v>
      </c>
      <c r="V20" s="40">
        <f t="shared" si="3"/>
        <v>0</v>
      </c>
      <c r="W20" s="40">
        <f t="shared" si="4"/>
        <v>0</v>
      </c>
      <c r="X20" s="40">
        <f t="shared" si="5"/>
        <v>0</v>
      </c>
      <c r="Y20" s="40">
        <f t="shared" si="6"/>
        <v>0</v>
      </c>
      <c r="Z20" s="40">
        <f t="shared" si="7"/>
        <v>0</v>
      </c>
      <c r="AA20" s="40">
        <f t="shared" si="8"/>
        <v>0</v>
      </c>
      <c r="AB20" s="40">
        <f t="shared" si="10"/>
        <v>0</v>
      </c>
      <c r="AC20" s="41">
        <f t="shared" si="11"/>
        <v>0</v>
      </c>
      <c r="AD20" s="49"/>
      <c r="AE20" s="50"/>
      <c r="AF20" s="49" t="s">
        <v>5</v>
      </c>
      <c r="AG20" s="50" t="s">
        <v>133</v>
      </c>
      <c r="AH20" s="49"/>
      <c r="AI20" s="50"/>
      <c r="AJ20" s="49" t="s">
        <v>5</v>
      </c>
      <c r="AK20" s="50" t="s">
        <v>137</v>
      </c>
      <c r="AL20" s="49"/>
      <c r="AM20" s="50"/>
      <c r="AN20" s="49" t="s">
        <v>5</v>
      </c>
      <c r="AO20" s="50" t="s">
        <v>163</v>
      </c>
      <c r="AP20" s="49"/>
      <c r="AQ20" s="50"/>
      <c r="AR20" s="49" t="s">
        <v>5</v>
      </c>
      <c r="AS20" s="50" t="s">
        <v>74</v>
      </c>
      <c r="AT20" s="49"/>
      <c r="AU20" s="50"/>
      <c r="AV20" s="49"/>
      <c r="AW20" s="50"/>
      <c r="AX20" s="49" t="s">
        <v>5</v>
      </c>
      <c r="AY20" s="50" t="s">
        <v>133</v>
      </c>
      <c r="AZ20" s="49" t="s">
        <v>5</v>
      </c>
      <c r="BA20" s="50" t="s">
        <v>84</v>
      </c>
      <c r="BB20" s="49"/>
      <c r="BC20" s="50"/>
      <c r="BD20" s="49"/>
      <c r="BE20" s="50"/>
      <c r="BF20" s="49"/>
      <c r="BG20" s="50"/>
      <c r="BH20" s="49" t="s">
        <v>1</v>
      </c>
      <c r="BI20" s="50" t="s">
        <v>139</v>
      </c>
      <c r="BJ20" s="49"/>
      <c r="BK20" s="50"/>
      <c r="BL20" s="49"/>
      <c r="BM20" s="50"/>
      <c r="BN20" s="49" t="s">
        <v>1</v>
      </c>
      <c r="BO20" s="50" t="s">
        <v>96</v>
      </c>
      <c r="BP20" s="49"/>
      <c r="BQ20" s="50"/>
      <c r="BR20" s="49" t="s">
        <v>5</v>
      </c>
      <c r="BS20" s="50" t="s">
        <v>98</v>
      </c>
      <c r="BT20" s="49"/>
      <c r="BU20" s="50"/>
      <c r="BV20" s="49" t="s">
        <v>1</v>
      </c>
      <c r="BW20" s="50" t="s">
        <v>715</v>
      </c>
      <c r="BX20" s="49"/>
      <c r="BY20" s="50"/>
      <c r="BZ20" s="49"/>
      <c r="CA20" s="50"/>
    </row>
    <row r="21" spans="1:79" x14ac:dyDescent="0.25">
      <c r="A21" s="76">
        <v>151703</v>
      </c>
      <c r="B21" s="77" t="s">
        <v>740</v>
      </c>
      <c r="C21" s="78" t="s">
        <v>710</v>
      </c>
      <c r="D21" s="76" t="s">
        <v>70</v>
      </c>
      <c r="E21" s="79" t="s">
        <v>14</v>
      </c>
      <c r="F21" s="79" t="s">
        <v>71</v>
      </c>
      <c r="G21" s="79" t="s">
        <v>14</v>
      </c>
      <c r="H21" s="79" t="s">
        <v>14</v>
      </c>
      <c r="I21" s="78" t="s">
        <v>14</v>
      </c>
      <c r="J21" s="79" t="s">
        <v>14</v>
      </c>
      <c r="K21" s="142" t="s">
        <v>1850</v>
      </c>
      <c r="L21" s="149" t="s">
        <v>1842</v>
      </c>
      <c r="M21" s="150" t="s">
        <v>12</v>
      </c>
      <c r="N21" s="151">
        <v>21</v>
      </c>
      <c r="O21" s="151">
        <v>0</v>
      </c>
      <c r="P21" s="152">
        <v>0</v>
      </c>
      <c r="Q21" s="153">
        <v>100</v>
      </c>
      <c r="R21" s="154">
        <v>0</v>
      </c>
      <c r="S21" s="38">
        <f t="shared" si="0"/>
        <v>5</v>
      </c>
      <c r="T21" s="39">
        <f t="shared" si="1"/>
        <v>4</v>
      </c>
      <c r="U21" s="40">
        <f t="shared" si="2"/>
        <v>0</v>
      </c>
      <c r="V21" s="40">
        <f t="shared" si="3"/>
        <v>0</v>
      </c>
      <c r="W21" s="40">
        <f t="shared" si="4"/>
        <v>0</v>
      </c>
      <c r="X21" s="40">
        <f t="shared" si="5"/>
        <v>0</v>
      </c>
      <c r="Y21" s="40">
        <f t="shared" si="6"/>
        <v>0</v>
      </c>
      <c r="Z21" s="40">
        <f t="shared" si="7"/>
        <v>0</v>
      </c>
      <c r="AA21" s="40">
        <f t="shared" si="8"/>
        <v>0</v>
      </c>
      <c r="AB21" s="40">
        <f t="shared" si="10"/>
        <v>0</v>
      </c>
      <c r="AC21" s="41">
        <f t="shared" si="11"/>
        <v>0</v>
      </c>
      <c r="AD21" s="49"/>
      <c r="AE21" s="50"/>
      <c r="AF21" s="49" t="s">
        <v>1</v>
      </c>
      <c r="AG21" s="50" t="s">
        <v>133</v>
      </c>
      <c r="AH21" s="49" t="s">
        <v>1</v>
      </c>
      <c r="AI21" s="50" t="s">
        <v>427</v>
      </c>
      <c r="AJ21" s="49" t="s">
        <v>5</v>
      </c>
      <c r="AK21" s="50" t="s">
        <v>137</v>
      </c>
      <c r="AL21" s="49"/>
      <c r="AM21" s="50"/>
      <c r="AN21" s="49"/>
      <c r="AO21" s="50"/>
      <c r="AP21" s="49"/>
      <c r="AQ21" s="50"/>
      <c r="AR21" s="49" t="s">
        <v>1</v>
      </c>
      <c r="AS21" s="50" t="s">
        <v>459</v>
      </c>
      <c r="AT21" s="49"/>
      <c r="AU21" s="50"/>
      <c r="AV21" s="49"/>
      <c r="AW21" s="50"/>
      <c r="AX21" s="49" t="s">
        <v>5</v>
      </c>
      <c r="AY21" s="50" t="s">
        <v>711</v>
      </c>
      <c r="AZ21" s="49"/>
      <c r="BA21" s="50"/>
      <c r="BB21" s="49"/>
      <c r="BC21" s="50"/>
      <c r="BD21" s="49"/>
      <c r="BE21" s="50"/>
      <c r="BF21" s="49"/>
      <c r="BG21" s="50"/>
      <c r="BH21" s="49" t="s">
        <v>5</v>
      </c>
      <c r="BI21" s="50" t="s">
        <v>139</v>
      </c>
      <c r="BJ21" s="49"/>
      <c r="BK21" s="50"/>
      <c r="BL21" s="49"/>
      <c r="BM21" s="50"/>
      <c r="BN21" s="49" t="s">
        <v>5</v>
      </c>
      <c r="BO21" s="50" t="s">
        <v>741</v>
      </c>
      <c r="BP21" s="49"/>
      <c r="BQ21" s="50"/>
      <c r="BR21" s="49" t="s">
        <v>1</v>
      </c>
      <c r="BS21" s="50" t="s">
        <v>98</v>
      </c>
      <c r="BT21" s="49"/>
      <c r="BU21" s="50"/>
      <c r="BV21" s="49" t="s">
        <v>1</v>
      </c>
      <c r="BW21" s="50" t="s">
        <v>122</v>
      </c>
      <c r="BX21" s="49"/>
      <c r="BY21" s="50"/>
      <c r="BZ21" s="49" t="s">
        <v>1</v>
      </c>
      <c r="CA21" s="50" t="s">
        <v>124</v>
      </c>
    </row>
    <row r="22" spans="1:79" x14ac:dyDescent="0.25">
      <c r="A22" s="76">
        <v>151621</v>
      </c>
      <c r="B22" s="77" t="s">
        <v>742</v>
      </c>
      <c r="C22" s="78" t="s">
        <v>725</v>
      </c>
      <c r="D22" s="76" t="s">
        <v>12</v>
      </c>
      <c r="E22" s="79" t="s">
        <v>14</v>
      </c>
      <c r="F22" s="79" t="s">
        <v>71</v>
      </c>
      <c r="G22" s="79" t="s">
        <v>14</v>
      </c>
      <c r="H22" s="79" t="s">
        <v>14</v>
      </c>
      <c r="I22" s="78" t="s">
        <v>14</v>
      </c>
      <c r="J22" s="79" t="s">
        <v>6</v>
      </c>
      <c r="K22" s="142" t="s">
        <v>1850</v>
      </c>
      <c r="L22" s="149" t="s">
        <v>1847</v>
      </c>
      <c r="M22" s="150" t="s">
        <v>1852</v>
      </c>
      <c r="N22" s="151">
        <v>14</v>
      </c>
      <c r="O22" s="151">
        <v>0</v>
      </c>
      <c r="P22" s="152">
        <v>2</v>
      </c>
      <c r="Q22" s="153">
        <v>100</v>
      </c>
      <c r="R22" s="154">
        <v>0</v>
      </c>
      <c r="S22" s="38">
        <f t="shared" si="0"/>
        <v>1</v>
      </c>
      <c r="T22" s="39">
        <f t="shared" si="1"/>
        <v>7</v>
      </c>
      <c r="U22" s="40">
        <f t="shared" si="2"/>
        <v>0</v>
      </c>
      <c r="V22" s="40">
        <f t="shared" si="3"/>
        <v>0</v>
      </c>
      <c r="W22" s="40">
        <f t="shared" si="4"/>
        <v>0</v>
      </c>
      <c r="X22" s="40">
        <f t="shared" si="5"/>
        <v>0</v>
      </c>
      <c r="Y22" s="40">
        <f t="shared" si="6"/>
        <v>0</v>
      </c>
      <c r="Z22" s="40">
        <f t="shared" si="7"/>
        <v>0</v>
      </c>
      <c r="AA22" s="40">
        <f t="shared" si="8"/>
        <v>0</v>
      </c>
      <c r="AB22" s="40">
        <f t="shared" si="10"/>
        <v>0</v>
      </c>
      <c r="AC22" s="41">
        <f t="shared" si="11"/>
        <v>0</v>
      </c>
      <c r="AD22" s="49"/>
      <c r="AE22" s="50"/>
      <c r="AF22" s="49"/>
      <c r="AG22" s="50"/>
      <c r="AH22" s="49"/>
      <c r="AI22" s="50"/>
      <c r="AJ22" s="49"/>
      <c r="AK22" s="50"/>
      <c r="AL22" s="49"/>
      <c r="AM22" s="50"/>
      <c r="AN22" s="49"/>
      <c r="AO22" s="50"/>
      <c r="AP22" s="49"/>
      <c r="AQ22" s="50"/>
      <c r="AR22" s="49" t="s">
        <v>5</v>
      </c>
      <c r="AS22" s="50" t="s">
        <v>118</v>
      </c>
      <c r="AT22" s="49"/>
      <c r="AU22" s="50"/>
      <c r="AV22" s="49"/>
      <c r="AW22" s="50"/>
      <c r="AX22" s="49" t="s">
        <v>5</v>
      </c>
      <c r="AY22" s="50" t="s">
        <v>117</v>
      </c>
      <c r="AZ22" s="49" t="s">
        <v>5</v>
      </c>
      <c r="BA22" s="50" t="s">
        <v>103</v>
      </c>
      <c r="BB22" s="49"/>
      <c r="BC22" s="50"/>
      <c r="BD22" s="49"/>
      <c r="BE22" s="50"/>
      <c r="BF22" s="49"/>
      <c r="BG22" s="50"/>
      <c r="BH22" s="49" t="s">
        <v>1</v>
      </c>
      <c r="BI22" s="50" t="s">
        <v>505</v>
      </c>
      <c r="BJ22" s="49"/>
      <c r="BK22" s="50"/>
      <c r="BL22" s="49"/>
      <c r="BM22" s="50"/>
      <c r="BN22" s="49" t="s">
        <v>5</v>
      </c>
      <c r="BO22" s="50" t="s">
        <v>107</v>
      </c>
      <c r="BP22" s="49"/>
      <c r="BQ22" s="50"/>
      <c r="BR22" s="49"/>
      <c r="BS22" s="50"/>
      <c r="BT22" s="49" t="s">
        <v>5</v>
      </c>
      <c r="BU22" s="50" t="s">
        <v>117</v>
      </c>
      <c r="BV22" s="49" t="s">
        <v>5</v>
      </c>
      <c r="BW22" s="50" t="s">
        <v>602</v>
      </c>
      <c r="BX22" s="49" t="s">
        <v>5</v>
      </c>
      <c r="BY22" s="50" t="s">
        <v>419</v>
      </c>
      <c r="BZ22" s="49"/>
      <c r="CA22" s="50"/>
    </row>
    <row r="23" spans="1:79" x14ac:dyDescent="0.25">
      <c r="A23" s="76">
        <v>151576</v>
      </c>
      <c r="B23" s="77" t="s">
        <v>743</v>
      </c>
      <c r="C23" s="78" t="s">
        <v>713</v>
      </c>
      <c r="D23" s="76" t="s">
        <v>70</v>
      </c>
      <c r="E23" s="79" t="s">
        <v>14</v>
      </c>
      <c r="F23" s="77" t="s">
        <v>71</v>
      </c>
      <c r="G23" s="79" t="s">
        <v>14</v>
      </c>
      <c r="H23" s="79" t="s">
        <v>14</v>
      </c>
      <c r="I23" s="78" t="s">
        <v>14</v>
      </c>
      <c r="J23" s="79" t="s">
        <v>14</v>
      </c>
      <c r="K23" s="142" t="s">
        <v>1850</v>
      </c>
      <c r="L23" s="149" t="s">
        <v>1842</v>
      </c>
      <c r="M23" s="150" t="s">
        <v>1853</v>
      </c>
      <c r="N23" s="151">
        <v>14</v>
      </c>
      <c r="O23" s="151">
        <v>1</v>
      </c>
      <c r="P23" s="152">
        <v>0</v>
      </c>
      <c r="Q23" s="153">
        <v>100</v>
      </c>
      <c r="R23" s="154">
        <v>0</v>
      </c>
      <c r="S23" s="38">
        <f t="shared" si="0"/>
        <v>3</v>
      </c>
      <c r="T23" s="39">
        <f t="shared" si="1"/>
        <v>6</v>
      </c>
      <c r="U23" s="40">
        <f t="shared" si="2"/>
        <v>0</v>
      </c>
      <c r="V23" s="40">
        <f t="shared" si="3"/>
        <v>0</v>
      </c>
      <c r="W23" s="40">
        <f t="shared" si="4"/>
        <v>0</v>
      </c>
      <c r="X23" s="40">
        <f t="shared" si="5"/>
        <v>0</v>
      </c>
      <c r="Y23" s="40">
        <f t="shared" si="6"/>
        <v>0</v>
      </c>
      <c r="Z23" s="40">
        <f t="shared" si="7"/>
        <v>0</v>
      </c>
      <c r="AA23" s="40">
        <f t="shared" si="8"/>
        <v>0</v>
      </c>
      <c r="AB23" s="40">
        <f t="shared" si="10"/>
        <v>0</v>
      </c>
      <c r="AC23" s="41">
        <f t="shared" si="11"/>
        <v>0</v>
      </c>
      <c r="AD23" s="49"/>
      <c r="AE23" s="50"/>
      <c r="AF23" s="49" t="s">
        <v>5</v>
      </c>
      <c r="AG23" s="50" t="s">
        <v>133</v>
      </c>
      <c r="AH23" s="49"/>
      <c r="AI23" s="50"/>
      <c r="AJ23" s="49" t="s">
        <v>5</v>
      </c>
      <c r="AK23" s="50" t="s">
        <v>137</v>
      </c>
      <c r="AL23" s="49"/>
      <c r="AM23" s="50"/>
      <c r="AN23" s="49"/>
      <c r="AO23" s="50"/>
      <c r="AP23" s="49"/>
      <c r="AQ23" s="50"/>
      <c r="AR23" s="49" t="s">
        <v>1</v>
      </c>
      <c r="AS23" s="50" t="s">
        <v>722</v>
      </c>
      <c r="AT23" s="49"/>
      <c r="AU23" s="50"/>
      <c r="AV23" s="49" t="s">
        <v>5</v>
      </c>
      <c r="AW23" s="50" t="s">
        <v>73</v>
      </c>
      <c r="AX23" s="49" t="s">
        <v>5</v>
      </c>
      <c r="AY23" s="50" t="s">
        <v>103</v>
      </c>
      <c r="AZ23" s="49"/>
      <c r="BA23" s="50"/>
      <c r="BB23" s="49"/>
      <c r="BC23" s="50"/>
      <c r="BD23" s="49"/>
      <c r="BE23" s="50"/>
      <c r="BF23" s="49"/>
      <c r="BG23" s="50"/>
      <c r="BH23" s="49" t="s">
        <v>5</v>
      </c>
      <c r="BI23" s="50" t="s">
        <v>139</v>
      </c>
      <c r="BJ23" s="49"/>
      <c r="BK23" s="50"/>
      <c r="BL23" s="49"/>
      <c r="BM23" s="50"/>
      <c r="BN23" s="49" t="s">
        <v>5</v>
      </c>
      <c r="BO23" s="50" t="s">
        <v>152</v>
      </c>
      <c r="BP23" s="49"/>
      <c r="BQ23" s="50"/>
      <c r="BR23" s="49" t="s">
        <v>1</v>
      </c>
      <c r="BS23" s="50" t="s">
        <v>98</v>
      </c>
      <c r="BT23" s="49"/>
      <c r="BU23" s="50"/>
      <c r="BV23" s="49" t="s">
        <v>1</v>
      </c>
      <c r="BW23" s="50" t="s">
        <v>122</v>
      </c>
      <c r="BX23" s="49"/>
      <c r="BY23" s="50"/>
      <c r="BZ23" s="49" t="s">
        <v>1</v>
      </c>
      <c r="CA23" s="50" t="s">
        <v>75</v>
      </c>
    </row>
    <row r="24" spans="1:79" x14ac:dyDescent="0.25">
      <c r="A24" s="76">
        <v>151673</v>
      </c>
      <c r="B24" s="77" t="s">
        <v>744</v>
      </c>
      <c r="C24" s="78" t="s">
        <v>710</v>
      </c>
      <c r="D24" s="76" t="s">
        <v>70</v>
      </c>
      <c r="E24" s="79" t="s">
        <v>14</v>
      </c>
      <c r="F24" s="79" t="s">
        <v>184</v>
      </c>
      <c r="G24" s="79" t="s">
        <v>14</v>
      </c>
      <c r="H24" s="79" t="s">
        <v>14</v>
      </c>
      <c r="I24" s="78" t="s">
        <v>14</v>
      </c>
      <c r="J24" s="79" t="s">
        <v>14</v>
      </c>
      <c r="K24" s="142" t="s">
        <v>1850</v>
      </c>
      <c r="L24" s="149" t="s">
        <v>1842</v>
      </c>
      <c r="M24" s="150" t="s">
        <v>12</v>
      </c>
      <c r="N24" s="151">
        <v>13</v>
      </c>
      <c r="O24" s="151">
        <v>2</v>
      </c>
      <c r="P24" s="152">
        <v>1</v>
      </c>
      <c r="Q24" s="153">
        <v>97.83</v>
      </c>
      <c r="R24" s="154">
        <v>4</v>
      </c>
      <c r="S24" s="38">
        <f t="shared" si="0"/>
        <v>2</v>
      </c>
      <c r="T24" s="39">
        <f t="shared" si="1"/>
        <v>5</v>
      </c>
      <c r="U24" s="40">
        <f t="shared" si="2"/>
        <v>0</v>
      </c>
      <c r="V24" s="40">
        <f t="shared" si="3"/>
        <v>1</v>
      </c>
      <c r="W24" s="40">
        <f t="shared" si="4"/>
        <v>1</v>
      </c>
      <c r="X24" s="40">
        <f t="shared" si="5"/>
        <v>2</v>
      </c>
      <c r="Y24" s="40">
        <f t="shared" si="6"/>
        <v>0</v>
      </c>
      <c r="Z24" s="40">
        <f t="shared" si="7"/>
        <v>0</v>
      </c>
      <c r="AA24" s="40">
        <f t="shared" si="8"/>
        <v>0</v>
      </c>
      <c r="AB24" s="40">
        <f t="shared" si="10"/>
        <v>0</v>
      </c>
      <c r="AC24" s="41">
        <f t="shared" si="11"/>
        <v>0</v>
      </c>
      <c r="AD24" s="49"/>
      <c r="AE24" s="50"/>
      <c r="AF24" s="49" t="s">
        <v>32</v>
      </c>
      <c r="AG24" s="50" t="s">
        <v>433</v>
      </c>
      <c r="AH24" s="49"/>
      <c r="AI24" s="50"/>
      <c r="AJ24" s="49" t="s">
        <v>31</v>
      </c>
      <c r="AK24" s="50" t="s">
        <v>714</v>
      </c>
      <c r="AL24" s="49"/>
      <c r="AM24" s="50"/>
      <c r="AN24" s="49"/>
      <c r="AO24" s="50"/>
      <c r="AP24" s="49"/>
      <c r="AQ24" s="50"/>
      <c r="AR24" s="49" t="s">
        <v>5</v>
      </c>
      <c r="AS24" s="50" t="s">
        <v>194</v>
      </c>
      <c r="AT24" s="49"/>
      <c r="AU24" s="50"/>
      <c r="AV24" s="49"/>
      <c r="AW24" s="50"/>
      <c r="AX24" s="49" t="s">
        <v>5</v>
      </c>
      <c r="AY24" s="50" t="s">
        <v>711</v>
      </c>
      <c r="AZ24" s="49"/>
      <c r="BA24" s="50"/>
      <c r="BB24" s="49"/>
      <c r="BC24" s="50"/>
      <c r="BD24" s="49" t="s">
        <v>5</v>
      </c>
      <c r="BE24" s="50" t="s">
        <v>436</v>
      </c>
      <c r="BF24" s="49"/>
      <c r="BG24" s="50"/>
      <c r="BH24" s="49" t="s">
        <v>1</v>
      </c>
      <c r="BI24" s="50" t="s">
        <v>94</v>
      </c>
      <c r="BJ24" s="49"/>
      <c r="BK24" s="50"/>
      <c r="BL24" s="49"/>
      <c r="BM24" s="50"/>
      <c r="BN24" s="49" t="s">
        <v>1</v>
      </c>
      <c r="BO24" s="50" t="s">
        <v>81</v>
      </c>
      <c r="BP24" s="49"/>
      <c r="BQ24" s="50"/>
      <c r="BR24" s="49" t="s">
        <v>5</v>
      </c>
      <c r="BS24" s="50" t="s">
        <v>123</v>
      </c>
      <c r="BT24" s="49"/>
      <c r="BU24" s="50"/>
      <c r="BV24" s="49" t="s">
        <v>5</v>
      </c>
      <c r="BW24" s="50" t="s">
        <v>495</v>
      </c>
      <c r="BX24" s="49"/>
      <c r="BY24" s="50"/>
      <c r="BZ24" s="49" t="s">
        <v>5</v>
      </c>
      <c r="CA24" s="50" t="s">
        <v>75</v>
      </c>
    </row>
    <row r="25" spans="1:79" x14ac:dyDescent="0.25">
      <c r="A25" s="76">
        <v>151599</v>
      </c>
      <c r="B25" s="77" t="s">
        <v>745</v>
      </c>
      <c r="C25" s="78" t="s">
        <v>710</v>
      </c>
      <c r="D25" s="76" t="s">
        <v>70</v>
      </c>
      <c r="E25" s="79" t="s">
        <v>14</v>
      </c>
      <c r="F25" s="79" t="s">
        <v>71</v>
      </c>
      <c r="G25" s="79" t="s">
        <v>14</v>
      </c>
      <c r="H25" s="79" t="s">
        <v>14</v>
      </c>
      <c r="I25" s="78" t="s">
        <v>14</v>
      </c>
      <c r="J25" s="79" t="s">
        <v>14</v>
      </c>
      <c r="K25" s="142" t="s">
        <v>1850</v>
      </c>
      <c r="L25" s="149" t="s">
        <v>1841</v>
      </c>
      <c r="M25" s="150" t="s">
        <v>1853</v>
      </c>
      <c r="N25" s="151">
        <v>11</v>
      </c>
      <c r="O25" s="151">
        <v>1</v>
      </c>
      <c r="P25" s="152">
        <v>0</v>
      </c>
      <c r="Q25" s="153">
        <v>100</v>
      </c>
      <c r="R25" s="154">
        <v>0</v>
      </c>
      <c r="S25" s="38">
        <f t="shared" si="0"/>
        <v>1</v>
      </c>
      <c r="T25" s="39">
        <f t="shared" si="1"/>
        <v>7</v>
      </c>
      <c r="U25" s="40">
        <f t="shared" si="2"/>
        <v>0</v>
      </c>
      <c r="V25" s="40">
        <f t="shared" si="3"/>
        <v>0</v>
      </c>
      <c r="W25" s="40">
        <f t="shared" si="4"/>
        <v>0</v>
      </c>
      <c r="X25" s="40">
        <f t="shared" si="5"/>
        <v>0</v>
      </c>
      <c r="Y25" s="40">
        <f t="shared" si="6"/>
        <v>0</v>
      </c>
      <c r="Z25" s="40">
        <f t="shared" si="7"/>
        <v>0</v>
      </c>
      <c r="AA25" s="40">
        <f t="shared" si="8"/>
        <v>0</v>
      </c>
      <c r="AB25" s="40">
        <f t="shared" si="10"/>
        <v>0</v>
      </c>
      <c r="AC25" s="41">
        <f t="shared" si="11"/>
        <v>0</v>
      </c>
      <c r="AD25" s="49"/>
      <c r="AE25" s="50"/>
      <c r="AF25" s="49"/>
      <c r="AG25" s="50"/>
      <c r="AH25" s="49" t="s">
        <v>1</v>
      </c>
      <c r="AI25" s="50" t="s">
        <v>427</v>
      </c>
      <c r="AJ25" s="49"/>
      <c r="AK25" s="50"/>
      <c r="AL25" s="49"/>
      <c r="AM25" s="50"/>
      <c r="AN25" s="49"/>
      <c r="AO25" s="50"/>
      <c r="AP25" s="49"/>
      <c r="AQ25" s="50"/>
      <c r="AR25" s="49" t="s">
        <v>5</v>
      </c>
      <c r="AS25" s="50" t="s">
        <v>459</v>
      </c>
      <c r="AT25" s="49"/>
      <c r="AU25" s="50"/>
      <c r="AV25" s="49"/>
      <c r="AW25" s="50"/>
      <c r="AX25" s="49" t="s">
        <v>5</v>
      </c>
      <c r="AY25" s="50" t="s">
        <v>711</v>
      </c>
      <c r="AZ25" s="49"/>
      <c r="BA25" s="50"/>
      <c r="BB25" s="49"/>
      <c r="BC25" s="50"/>
      <c r="BD25" s="49"/>
      <c r="BE25" s="50"/>
      <c r="BF25" s="49"/>
      <c r="BG25" s="50"/>
      <c r="BH25" s="49" t="s">
        <v>5</v>
      </c>
      <c r="BI25" s="50" t="s">
        <v>106</v>
      </c>
      <c r="BJ25" s="49"/>
      <c r="BK25" s="50"/>
      <c r="BL25" s="49"/>
      <c r="BM25" s="50"/>
      <c r="BN25" s="49" t="s">
        <v>5</v>
      </c>
      <c r="BO25" s="50" t="s">
        <v>152</v>
      </c>
      <c r="BP25" s="49"/>
      <c r="BQ25" s="50"/>
      <c r="BR25" s="49"/>
      <c r="BS25" s="50"/>
      <c r="BT25" s="49" t="s">
        <v>5</v>
      </c>
      <c r="BU25" s="50" t="s">
        <v>90</v>
      </c>
      <c r="BV25" s="49" t="s">
        <v>5</v>
      </c>
      <c r="BW25" s="50" t="s">
        <v>122</v>
      </c>
      <c r="BX25" s="49" t="s">
        <v>5</v>
      </c>
      <c r="BY25" s="50" t="s">
        <v>206</v>
      </c>
      <c r="BZ25" s="49" t="s">
        <v>1</v>
      </c>
      <c r="CA25" s="50" t="s">
        <v>75</v>
      </c>
    </row>
    <row r="26" spans="1:79" x14ac:dyDescent="0.25">
      <c r="A26" s="76">
        <v>151736</v>
      </c>
      <c r="B26" s="77" t="s">
        <v>746</v>
      </c>
      <c r="C26" s="78" t="s">
        <v>710</v>
      </c>
      <c r="D26" s="76" t="s">
        <v>70</v>
      </c>
      <c r="E26" s="79" t="s">
        <v>87</v>
      </c>
      <c r="F26" s="79" t="s">
        <v>88</v>
      </c>
      <c r="G26" s="79" t="s">
        <v>87</v>
      </c>
      <c r="H26" s="79" t="s">
        <v>87</v>
      </c>
      <c r="I26" s="78" t="s">
        <v>14</v>
      </c>
      <c r="J26" s="79" t="s">
        <v>14</v>
      </c>
      <c r="K26" s="142" t="s">
        <v>1850</v>
      </c>
      <c r="L26" s="149" t="s">
        <v>1846</v>
      </c>
      <c r="M26" s="150" t="s">
        <v>1853</v>
      </c>
      <c r="N26" s="151">
        <v>15</v>
      </c>
      <c r="O26" s="151">
        <v>0</v>
      </c>
      <c r="P26" s="152">
        <v>0</v>
      </c>
      <c r="Q26" s="153">
        <v>100</v>
      </c>
      <c r="R26" s="154">
        <v>0</v>
      </c>
      <c r="S26" s="38">
        <f t="shared" si="0"/>
        <v>3</v>
      </c>
      <c r="T26" s="39">
        <f t="shared" si="1"/>
        <v>6</v>
      </c>
      <c r="U26" s="40">
        <f t="shared" si="2"/>
        <v>0</v>
      </c>
      <c r="V26" s="40">
        <f t="shared" si="3"/>
        <v>0</v>
      </c>
      <c r="W26" s="40">
        <f t="shared" si="4"/>
        <v>0</v>
      </c>
      <c r="X26" s="40">
        <f t="shared" si="5"/>
        <v>0</v>
      </c>
      <c r="Y26" s="40">
        <f t="shared" si="6"/>
        <v>0</v>
      </c>
      <c r="Z26" s="40">
        <f t="shared" si="7"/>
        <v>0</v>
      </c>
      <c r="AA26" s="40">
        <f t="shared" si="8"/>
        <v>0</v>
      </c>
      <c r="AB26" s="40">
        <f t="shared" si="10"/>
        <v>0</v>
      </c>
      <c r="AC26" s="41">
        <f t="shared" si="11"/>
        <v>0</v>
      </c>
      <c r="AD26" s="49"/>
      <c r="AE26" s="50"/>
      <c r="AF26" s="49" t="s">
        <v>1</v>
      </c>
      <c r="AG26" s="50" t="s">
        <v>133</v>
      </c>
      <c r="AH26" s="49" t="s">
        <v>5</v>
      </c>
      <c r="AI26" s="50" t="s">
        <v>427</v>
      </c>
      <c r="AJ26" s="49" t="s">
        <v>5</v>
      </c>
      <c r="AK26" s="50" t="s">
        <v>137</v>
      </c>
      <c r="AL26" s="49"/>
      <c r="AM26" s="50"/>
      <c r="AN26" s="49"/>
      <c r="AO26" s="50"/>
      <c r="AP26" s="49"/>
      <c r="AQ26" s="50"/>
      <c r="AR26" s="49" t="s">
        <v>5</v>
      </c>
      <c r="AS26" s="50" t="s">
        <v>722</v>
      </c>
      <c r="AT26" s="49"/>
      <c r="AU26" s="50"/>
      <c r="AV26" s="49"/>
      <c r="AW26" s="50"/>
      <c r="AX26" s="49" t="s">
        <v>5</v>
      </c>
      <c r="AY26" s="50" t="s">
        <v>711</v>
      </c>
      <c r="AZ26" s="49"/>
      <c r="BA26" s="50"/>
      <c r="BB26" s="49"/>
      <c r="BC26" s="50"/>
      <c r="BD26" s="49"/>
      <c r="BE26" s="50"/>
      <c r="BF26" s="49"/>
      <c r="BG26" s="50"/>
      <c r="BH26" s="49" t="s">
        <v>5</v>
      </c>
      <c r="BI26" s="50" t="s">
        <v>106</v>
      </c>
      <c r="BJ26" s="49"/>
      <c r="BK26" s="50"/>
      <c r="BL26" s="49"/>
      <c r="BM26" s="50"/>
      <c r="BN26" s="49" t="s">
        <v>1</v>
      </c>
      <c r="BO26" s="50" t="s">
        <v>81</v>
      </c>
      <c r="BP26" s="49"/>
      <c r="BQ26" s="50"/>
      <c r="BR26" s="49" t="s">
        <v>5</v>
      </c>
      <c r="BS26" s="50" t="s">
        <v>98</v>
      </c>
      <c r="BT26" s="49"/>
      <c r="BU26" s="50"/>
      <c r="BV26" s="49" t="s">
        <v>1</v>
      </c>
      <c r="BW26" s="50" t="s">
        <v>122</v>
      </c>
      <c r="BX26" s="49"/>
      <c r="BY26" s="50"/>
      <c r="BZ26" s="49" t="s">
        <v>1</v>
      </c>
      <c r="CA26" s="50" t="s">
        <v>124</v>
      </c>
    </row>
    <row r="27" spans="1:79" x14ac:dyDescent="0.25">
      <c r="A27" s="76">
        <v>151545</v>
      </c>
      <c r="B27" s="77" t="s">
        <v>747</v>
      </c>
      <c r="C27" s="78" t="s">
        <v>721</v>
      </c>
      <c r="D27" s="76" t="s">
        <v>12</v>
      </c>
      <c r="E27" s="79" t="s">
        <v>87</v>
      </c>
      <c r="F27" s="79" t="s">
        <v>88</v>
      </c>
      <c r="G27" s="79" t="s">
        <v>14</v>
      </c>
      <c r="H27" s="79" t="s">
        <v>87</v>
      </c>
      <c r="I27" s="78" t="s">
        <v>14</v>
      </c>
      <c r="J27" s="79" t="s">
        <v>14</v>
      </c>
      <c r="K27" s="142" t="s">
        <v>1850</v>
      </c>
      <c r="L27" s="149" t="s">
        <v>1844</v>
      </c>
      <c r="M27" s="150" t="s">
        <v>12</v>
      </c>
      <c r="N27" s="151">
        <v>8</v>
      </c>
      <c r="O27" s="151">
        <v>3</v>
      </c>
      <c r="P27" s="152">
        <v>1</v>
      </c>
      <c r="Q27" s="153">
        <v>93.48</v>
      </c>
      <c r="R27" s="154">
        <v>13</v>
      </c>
      <c r="S27" s="38">
        <f t="shared" si="0"/>
        <v>1</v>
      </c>
      <c r="T27" s="39">
        <f t="shared" si="1"/>
        <v>5</v>
      </c>
      <c r="U27" s="40">
        <f t="shared" si="2"/>
        <v>3</v>
      </c>
      <c r="V27" s="40">
        <f t="shared" si="3"/>
        <v>0</v>
      </c>
      <c r="W27" s="40">
        <f t="shared" si="4"/>
        <v>1</v>
      </c>
      <c r="X27" s="40">
        <f t="shared" si="5"/>
        <v>4</v>
      </c>
      <c r="Y27" s="40">
        <f t="shared" si="6"/>
        <v>0</v>
      </c>
      <c r="Z27" s="40">
        <f t="shared" si="7"/>
        <v>0</v>
      </c>
      <c r="AA27" s="40">
        <f t="shared" si="8"/>
        <v>0</v>
      </c>
      <c r="AB27" s="40">
        <f t="shared" si="10"/>
        <v>0</v>
      </c>
      <c r="AC27" s="41">
        <f t="shared" si="11"/>
        <v>0</v>
      </c>
      <c r="AD27" s="49"/>
      <c r="AE27" s="50"/>
      <c r="AF27" s="49" t="s">
        <v>30</v>
      </c>
      <c r="AG27" s="50" t="s">
        <v>154</v>
      </c>
      <c r="AH27" s="49" t="s">
        <v>30</v>
      </c>
      <c r="AI27" s="50" t="s">
        <v>427</v>
      </c>
      <c r="AJ27" s="49" t="s">
        <v>30</v>
      </c>
      <c r="AK27" s="50" t="s">
        <v>83</v>
      </c>
      <c r="AL27" s="49"/>
      <c r="AM27" s="50"/>
      <c r="AN27" s="49"/>
      <c r="AO27" s="50"/>
      <c r="AP27" s="49"/>
      <c r="AQ27" s="50"/>
      <c r="AR27" s="49" t="s">
        <v>32</v>
      </c>
      <c r="AS27" s="50" t="s">
        <v>169</v>
      </c>
      <c r="AT27" s="49"/>
      <c r="AU27" s="50"/>
      <c r="AV27" s="49"/>
      <c r="AW27" s="50"/>
      <c r="AX27" s="49" t="s">
        <v>5</v>
      </c>
      <c r="AY27" s="50" t="s">
        <v>101</v>
      </c>
      <c r="AZ27" s="49" t="s">
        <v>5</v>
      </c>
      <c r="BA27" s="50" t="s">
        <v>103</v>
      </c>
      <c r="BB27" s="49"/>
      <c r="BC27" s="50"/>
      <c r="BD27" s="49"/>
      <c r="BE27" s="50"/>
      <c r="BF27" s="49"/>
      <c r="BG27" s="50"/>
      <c r="BH27" s="49" t="s">
        <v>5</v>
      </c>
      <c r="BI27" s="50" t="s">
        <v>505</v>
      </c>
      <c r="BJ27" s="49"/>
      <c r="BK27" s="50"/>
      <c r="BL27" s="49"/>
      <c r="BM27" s="50"/>
      <c r="BN27" s="49" t="s">
        <v>1</v>
      </c>
      <c r="BO27" s="50" t="s">
        <v>96</v>
      </c>
      <c r="BP27" s="49"/>
      <c r="BQ27" s="50"/>
      <c r="BR27" s="49" t="s">
        <v>5</v>
      </c>
      <c r="BS27" s="50" t="s">
        <v>170</v>
      </c>
      <c r="BT27" s="49"/>
      <c r="BU27" s="50"/>
      <c r="BV27" s="49" t="s">
        <v>5</v>
      </c>
      <c r="BW27" s="50" t="s">
        <v>602</v>
      </c>
      <c r="BX27" s="49"/>
      <c r="BY27" s="50"/>
      <c r="BZ27" s="49"/>
      <c r="CA27" s="50"/>
    </row>
    <row r="28" spans="1:79" x14ac:dyDescent="0.25">
      <c r="A28" s="76">
        <v>151618</v>
      </c>
      <c r="B28" s="77" t="s">
        <v>748</v>
      </c>
      <c r="C28" s="78" t="s">
        <v>725</v>
      </c>
      <c r="D28" s="76" t="s">
        <v>70</v>
      </c>
      <c r="E28" s="79" t="s">
        <v>14</v>
      </c>
      <c r="F28" s="79" t="s">
        <v>158</v>
      </c>
      <c r="G28" s="79" t="s">
        <v>14</v>
      </c>
      <c r="H28" s="79" t="s">
        <v>14</v>
      </c>
      <c r="I28" s="78" t="s">
        <v>14</v>
      </c>
      <c r="J28" s="79" t="s">
        <v>14</v>
      </c>
      <c r="K28" s="142" t="s">
        <v>1850</v>
      </c>
      <c r="L28" s="149" t="s">
        <v>1844</v>
      </c>
      <c r="M28" s="150" t="s">
        <v>12</v>
      </c>
      <c r="N28" s="151">
        <v>12</v>
      </c>
      <c r="O28" s="151">
        <v>0</v>
      </c>
      <c r="P28" s="152">
        <v>0</v>
      </c>
      <c r="Q28" s="153">
        <v>100</v>
      </c>
      <c r="R28" s="154">
        <v>0</v>
      </c>
      <c r="S28" s="38">
        <f t="shared" si="0"/>
        <v>2</v>
      </c>
      <c r="T28" s="39">
        <f t="shared" si="1"/>
        <v>7</v>
      </c>
      <c r="U28" s="40">
        <f t="shared" si="2"/>
        <v>0</v>
      </c>
      <c r="V28" s="40">
        <f t="shared" si="3"/>
        <v>0</v>
      </c>
      <c r="W28" s="40">
        <f t="shared" si="4"/>
        <v>0</v>
      </c>
      <c r="X28" s="40">
        <f t="shared" si="5"/>
        <v>0</v>
      </c>
      <c r="Y28" s="40">
        <f t="shared" si="6"/>
        <v>0</v>
      </c>
      <c r="Z28" s="40">
        <f t="shared" si="7"/>
        <v>0</v>
      </c>
      <c r="AA28" s="40">
        <f t="shared" si="8"/>
        <v>0</v>
      </c>
      <c r="AB28" s="40">
        <f t="shared" si="10"/>
        <v>0</v>
      </c>
      <c r="AC28" s="41">
        <f t="shared" si="11"/>
        <v>0</v>
      </c>
      <c r="AD28" s="49"/>
      <c r="AE28" s="50"/>
      <c r="AF28" s="49"/>
      <c r="AG28" s="50"/>
      <c r="AH28" s="49"/>
      <c r="AI28" s="50"/>
      <c r="AJ28" s="49"/>
      <c r="AK28" s="50"/>
      <c r="AL28" s="49"/>
      <c r="AM28" s="50"/>
      <c r="AN28" s="49"/>
      <c r="AO28" s="50"/>
      <c r="AP28" s="49"/>
      <c r="AQ28" s="50"/>
      <c r="AR28" s="49" t="s">
        <v>5</v>
      </c>
      <c r="AS28" s="50" t="s">
        <v>722</v>
      </c>
      <c r="AT28" s="49"/>
      <c r="AU28" s="50"/>
      <c r="AV28" s="49" t="s">
        <v>1</v>
      </c>
      <c r="AW28" s="50" t="s">
        <v>73</v>
      </c>
      <c r="AX28" s="49" t="s">
        <v>5</v>
      </c>
      <c r="AY28" s="50" t="s">
        <v>109</v>
      </c>
      <c r="AZ28" s="49" t="s">
        <v>5</v>
      </c>
      <c r="BA28" s="50" t="s">
        <v>143</v>
      </c>
      <c r="BB28" s="49"/>
      <c r="BC28" s="50"/>
      <c r="BD28" s="49"/>
      <c r="BE28" s="50"/>
      <c r="BF28" s="49" t="s">
        <v>5</v>
      </c>
      <c r="BG28" s="50" t="s">
        <v>93</v>
      </c>
      <c r="BH28" s="49" t="s">
        <v>5</v>
      </c>
      <c r="BI28" s="50" t="s">
        <v>430</v>
      </c>
      <c r="BJ28" s="49"/>
      <c r="BK28" s="50"/>
      <c r="BL28" s="49"/>
      <c r="BM28" s="50"/>
      <c r="BN28" s="49" t="s">
        <v>1</v>
      </c>
      <c r="BO28" s="50" t="s">
        <v>152</v>
      </c>
      <c r="BP28" s="49"/>
      <c r="BQ28" s="50"/>
      <c r="BR28" s="49"/>
      <c r="BS28" s="50"/>
      <c r="BT28" s="49"/>
      <c r="BU28" s="50"/>
      <c r="BV28" s="49" t="s">
        <v>5</v>
      </c>
      <c r="BW28" s="50" t="s">
        <v>97</v>
      </c>
      <c r="BX28" s="49" t="s">
        <v>5</v>
      </c>
      <c r="BY28" s="50" t="s">
        <v>206</v>
      </c>
      <c r="BZ28" s="49"/>
      <c r="CA28" s="50"/>
    </row>
    <row r="29" spans="1:79" x14ac:dyDescent="0.25">
      <c r="A29" s="76">
        <v>152721</v>
      </c>
      <c r="B29" s="77" t="s">
        <v>749</v>
      </c>
      <c r="C29" s="78" t="s">
        <v>721</v>
      </c>
      <c r="D29" s="76" t="s">
        <v>70</v>
      </c>
      <c r="E29" s="79" t="s">
        <v>87</v>
      </c>
      <c r="F29" s="79" t="s">
        <v>71</v>
      </c>
      <c r="G29" s="79" t="s">
        <v>14</v>
      </c>
      <c r="H29" s="79" t="s">
        <v>87</v>
      </c>
      <c r="I29" s="78" t="s">
        <v>14</v>
      </c>
      <c r="J29" s="79" t="s">
        <v>4</v>
      </c>
      <c r="K29" s="142" t="s">
        <v>1850</v>
      </c>
      <c r="L29" s="149" t="s">
        <v>1406</v>
      </c>
      <c r="M29" s="150" t="s">
        <v>1406</v>
      </c>
      <c r="N29" s="151">
        <v>0</v>
      </c>
      <c r="O29" s="151">
        <v>0</v>
      </c>
      <c r="P29" s="152">
        <v>0</v>
      </c>
      <c r="Q29" s="153">
        <v>0</v>
      </c>
      <c r="R29" s="154">
        <v>0</v>
      </c>
      <c r="S29" s="38">
        <f t="shared" si="0"/>
        <v>0</v>
      </c>
      <c r="T29" s="39">
        <f t="shared" si="1"/>
        <v>0</v>
      </c>
      <c r="U29" s="40">
        <f t="shared" si="2"/>
        <v>0</v>
      </c>
      <c r="V29" s="40">
        <f t="shared" si="3"/>
        <v>0</v>
      </c>
      <c r="W29" s="40">
        <f t="shared" si="4"/>
        <v>0</v>
      </c>
      <c r="X29" s="40">
        <f t="shared" si="5"/>
        <v>0</v>
      </c>
      <c r="Y29" s="40">
        <f t="shared" si="6"/>
        <v>0</v>
      </c>
      <c r="Z29" s="40">
        <f t="shared" si="7"/>
        <v>0</v>
      </c>
      <c r="AA29" s="40">
        <f t="shared" si="8"/>
        <v>0</v>
      </c>
      <c r="AB29" s="40">
        <f t="shared" si="10"/>
        <v>0</v>
      </c>
      <c r="AC29" s="41">
        <f t="shared" si="11"/>
        <v>0</v>
      </c>
      <c r="AD29" s="49"/>
      <c r="AE29" s="50"/>
      <c r="AF29" s="49"/>
      <c r="AG29" s="50"/>
      <c r="AH29" s="49"/>
      <c r="AI29" s="50"/>
      <c r="AJ29" s="49"/>
      <c r="AK29" s="50"/>
      <c r="AL29" s="49"/>
      <c r="AM29" s="50"/>
      <c r="AN29" s="49"/>
      <c r="AO29" s="50"/>
      <c r="AP29" s="49"/>
      <c r="AQ29" s="50"/>
      <c r="AR29" s="49"/>
      <c r="AS29" s="50" t="s">
        <v>111</v>
      </c>
      <c r="AT29" s="49"/>
      <c r="AU29" s="50"/>
      <c r="AV29" s="49"/>
      <c r="AW29" s="50"/>
      <c r="AX29" s="49"/>
      <c r="AY29" s="50" t="s">
        <v>101</v>
      </c>
      <c r="AZ29" s="49"/>
      <c r="BA29" s="50"/>
      <c r="BB29" s="49"/>
      <c r="BC29" s="50"/>
      <c r="BD29" s="49"/>
      <c r="BE29" s="50"/>
      <c r="BF29" s="49"/>
      <c r="BG29" s="50"/>
      <c r="BH29" s="49" t="s">
        <v>189</v>
      </c>
      <c r="BI29" s="50" t="s">
        <v>505</v>
      </c>
      <c r="BJ29" s="49"/>
      <c r="BK29" s="50"/>
      <c r="BL29" s="49"/>
      <c r="BM29" s="50"/>
      <c r="BN29" s="49" t="s">
        <v>189</v>
      </c>
      <c r="BO29" s="50" t="s">
        <v>152</v>
      </c>
      <c r="BP29" s="49"/>
      <c r="BQ29" s="50"/>
      <c r="BR29" s="49"/>
      <c r="BS29" s="50"/>
      <c r="BT29" s="49"/>
      <c r="BU29" s="50"/>
      <c r="BV29" s="49" t="s">
        <v>189</v>
      </c>
      <c r="BW29" s="50" t="s">
        <v>97</v>
      </c>
      <c r="BX29" s="49" t="s">
        <v>189</v>
      </c>
      <c r="BY29" s="50" t="s">
        <v>206</v>
      </c>
      <c r="BZ29" s="49"/>
      <c r="CA29" s="50"/>
    </row>
    <row r="30" spans="1:79" x14ac:dyDescent="0.25">
      <c r="A30" s="76">
        <v>151681</v>
      </c>
      <c r="B30" s="77" t="s">
        <v>750</v>
      </c>
      <c r="C30" s="78" t="s">
        <v>730</v>
      </c>
      <c r="D30" s="76" t="s">
        <v>12</v>
      </c>
      <c r="E30" s="79" t="s">
        <v>14</v>
      </c>
      <c r="F30" s="79" t="s">
        <v>71</v>
      </c>
      <c r="G30" s="79" t="s">
        <v>14</v>
      </c>
      <c r="H30" s="79" t="s">
        <v>14</v>
      </c>
      <c r="I30" s="78" t="s">
        <v>14</v>
      </c>
      <c r="J30" s="79" t="s">
        <v>14</v>
      </c>
      <c r="K30" s="142" t="s">
        <v>1850</v>
      </c>
      <c r="L30" s="149" t="s">
        <v>1845</v>
      </c>
      <c r="M30" s="150" t="s">
        <v>12</v>
      </c>
      <c r="N30" s="151">
        <v>23</v>
      </c>
      <c r="O30" s="151">
        <v>0</v>
      </c>
      <c r="P30" s="152">
        <v>0</v>
      </c>
      <c r="Q30" s="153">
        <v>100</v>
      </c>
      <c r="R30" s="154">
        <v>0</v>
      </c>
      <c r="S30" s="38">
        <f t="shared" si="0"/>
        <v>1</v>
      </c>
      <c r="T30" s="39">
        <f t="shared" si="1"/>
        <v>8</v>
      </c>
      <c r="U30" s="40">
        <f t="shared" si="2"/>
        <v>0</v>
      </c>
      <c r="V30" s="40">
        <f t="shared" si="3"/>
        <v>1</v>
      </c>
      <c r="W30" s="40">
        <f t="shared" si="4"/>
        <v>0</v>
      </c>
      <c r="X30" s="40">
        <f t="shared" si="5"/>
        <v>1</v>
      </c>
      <c r="Y30" s="40">
        <f t="shared" si="6"/>
        <v>0</v>
      </c>
      <c r="Z30" s="40">
        <f t="shared" si="7"/>
        <v>0</v>
      </c>
      <c r="AA30" s="40">
        <f t="shared" si="8"/>
        <v>0</v>
      </c>
      <c r="AB30" s="40">
        <f t="shared" si="10"/>
        <v>0</v>
      </c>
      <c r="AC30" s="41">
        <f t="shared" si="11"/>
        <v>0</v>
      </c>
      <c r="AD30" s="49"/>
      <c r="AE30" s="50"/>
      <c r="AF30" s="49" t="s">
        <v>5</v>
      </c>
      <c r="AG30" s="50" t="s">
        <v>433</v>
      </c>
      <c r="AH30" s="49"/>
      <c r="AI30" s="50"/>
      <c r="AJ30" s="49" t="s">
        <v>31</v>
      </c>
      <c r="AK30" s="50" t="s">
        <v>714</v>
      </c>
      <c r="AL30" s="49"/>
      <c r="AM30" s="50"/>
      <c r="AN30" s="49"/>
      <c r="AO30" s="50"/>
      <c r="AP30" s="49"/>
      <c r="AQ30" s="50"/>
      <c r="AR30" s="49" t="s">
        <v>5</v>
      </c>
      <c r="AS30" s="50" t="s">
        <v>74</v>
      </c>
      <c r="AT30" s="49"/>
      <c r="AU30" s="50"/>
      <c r="AV30" s="49"/>
      <c r="AW30" s="50"/>
      <c r="AX30" s="49" t="s">
        <v>5</v>
      </c>
      <c r="AY30" s="50" t="s">
        <v>133</v>
      </c>
      <c r="AZ30" s="49" t="s">
        <v>5</v>
      </c>
      <c r="BA30" s="50" t="s">
        <v>84</v>
      </c>
      <c r="BB30" s="49"/>
      <c r="BC30" s="50"/>
      <c r="BD30" s="49"/>
      <c r="BE30" s="50"/>
      <c r="BF30" s="49"/>
      <c r="BG30" s="50"/>
      <c r="BH30" s="49" t="s">
        <v>1</v>
      </c>
      <c r="BI30" s="50" t="s">
        <v>136</v>
      </c>
      <c r="BJ30" s="49"/>
      <c r="BK30" s="50"/>
      <c r="BL30" s="49"/>
      <c r="BM30" s="50"/>
      <c r="BN30" s="49" t="s">
        <v>5</v>
      </c>
      <c r="BO30" s="50" t="s">
        <v>107</v>
      </c>
      <c r="BP30" s="49" t="s">
        <v>5</v>
      </c>
      <c r="BQ30" s="50" t="s">
        <v>96</v>
      </c>
      <c r="BR30" s="49" t="s">
        <v>5</v>
      </c>
      <c r="BS30" s="50" t="s">
        <v>123</v>
      </c>
      <c r="BT30" s="49"/>
      <c r="BU30" s="50"/>
      <c r="BV30" s="49" t="s">
        <v>5</v>
      </c>
      <c r="BW30" s="50" t="s">
        <v>82</v>
      </c>
      <c r="BX30" s="49"/>
      <c r="BY30" s="50"/>
      <c r="BZ30" s="49"/>
      <c r="CA30" s="50"/>
    </row>
    <row r="31" spans="1:79" x14ac:dyDescent="0.25">
      <c r="A31" s="76">
        <v>151740</v>
      </c>
      <c r="B31" s="77" t="s">
        <v>751</v>
      </c>
      <c r="C31" s="78" t="s">
        <v>736</v>
      </c>
      <c r="D31" s="76" t="s">
        <v>70</v>
      </c>
      <c r="E31" s="79" t="s">
        <v>14</v>
      </c>
      <c r="F31" s="79" t="s">
        <v>71</v>
      </c>
      <c r="G31" s="79" t="s">
        <v>14</v>
      </c>
      <c r="H31" s="79" t="s">
        <v>87</v>
      </c>
      <c r="I31" s="78" t="s">
        <v>87</v>
      </c>
      <c r="J31" s="79" t="s">
        <v>6</v>
      </c>
      <c r="K31" s="142" t="s">
        <v>1851</v>
      </c>
      <c r="L31" s="149" t="s">
        <v>1843</v>
      </c>
      <c r="M31" s="150" t="s">
        <v>1852</v>
      </c>
      <c r="N31" s="151">
        <v>11</v>
      </c>
      <c r="O31" s="151">
        <v>0</v>
      </c>
      <c r="P31" s="152">
        <v>2</v>
      </c>
      <c r="Q31" s="153">
        <v>95.65</v>
      </c>
      <c r="R31" s="154">
        <v>1</v>
      </c>
      <c r="S31" s="38">
        <f t="shared" si="0"/>
        <v>3</v>
      </c>
      <c r="T31" s="39">
        <f t="shared" si="1"/>
        <v>4</v>
      </c>
      <c r="U31" s="40">
        <f t="shared" si="2"/>
        <v>0</v>
      </c>
      <c r="V31" s="40">
        <f t="shared" si="3"/>
        <v>0</v>
      </c>
      <c r="W31" s="40">
        <f t="shared" si="4"/>
        <v>0</v>
      </c>
      <c r="X31" s="40">
        <f t="shared" si="5"/>
        <v>0</v>
      </c>
      <c r="Y31" s="40">
        <f t="shared" si="6"/>
        <v>0</v>
      </c>
      <c r="Z31" s="40">
        <f t="shared" si="7"/>
        <v>0</v>
      </c>
      <c r="AA31" s="40">
        <f t="shared" si="8"/>
        <v>0</v>
      </c>
      <c r="AB31" s="40">
        <f t="shared" si="10"/>
        <v>0</v>
      </c>
      <c r="AC31" s="41">
        <f t="shared" si="11"/>
        <v>0</v>
      </c>
      <c r="AD31" s="49"/>
      <c r="AE31" s="50"/>
      <c r="AF31" s="49"/>
      <c r="AG31" s="50"/>
      <c r="AH31" s="49"/>
      <c r="AI31" s="50"/>
      <c r="AJ31" s="49"/>
      <c r="AK31" s="50"/>
      <c r="AL31" s="49"/>
      <c r="AM31" s="50"/>
      <c r="AN31" s="49"/>
      <c r="AO31" s="50"/>
      <c r="AP31" s="49"/>
      <c r="AQ31" s="50"/>
      <c r="AR31" s="49" t="s">
        <v>5</v>
      </c>
      <c r="AS31" s="50" t="s">
        <v>169</v>
      </c>
      <c r="AT31" s="49"/>
      <c r="AU31" s="50"/>
      <c r="AV31" s="49"/>
      <c r="AW31" s="50"/>
      <c r="AX31" s="49" t="s">
        <v>5</v>
      </c>
      <c r="AY31" s="50" t="s">
        <v>91</v>
      </c>
      <c r="AZ31" s="49"/>
      <c r="BA31" s="50"/>
      <c r="BB31" s="49" t="s">
        <v>5</v>
      </c>
      <c r="BC31" s="50" t="s">
        <v>92</v>
      </c>
      <c r="BD31" s="49"/>
      <c r="BE31" s="50"/>
      <c r="BF31" s="49"/>
      <c r="BG31" s="50"/>
      <c r="BH31" s="49" t="s">
        <v>1</v>
      </c>
      <c r="BI31" s="50" t="s">
        <v>94</v>
      </c>
      <c r="BJ31" s="49"/>
      <c r="BK31" s="50"/>
      <c r="BL31" s="49"/>
      <c r="BM31" s="50"/>
      <c r="BN31" s="49" t="s">
        <v>1</v>
      </c>
      <c r="BO31" s="50" t="s">
        <v>81</v>
      </c>
      <c r="BP31" s="49"/>
      <c r="BQ31" s="50"/>
      <c r="BR31" s="49"/>
      <c r="BS31" s="50"/>
      <c r="BT31" s="49"/>
      <c r="BU31" s="50"/>
      <c r="BV31" s="49" t="s">
        <v>1</v>
      </c>
      <c r="BW31" s="50" t="s">
        <v>602</v>
      </c>
      <c r="BX31" s="49" t="s">
        <v>5</v>
      </c>
      <c r="BY31" s="50" t="s">
        <v>206</v>
      </c>
      <c r="BZ31" s="49" t="s">
        <v>5</v>
      </c>
      <c r="CA31" s="50" t="s">
        <v>124</v>
      </c>
    </row>
    <row r="32" spans="1:79" x14ac:dyDescent="0.25">
      <c r="A32" s="76">
        <v>151678</v>
      </c>
      <c r="B32" s="77" t="s">
        <v>752</v>
      </c>
      <c r="C32" s="78" t="s">
        <v>718</v>
      </c>
      <c r="D32" s="76" t="s">
        <v>70</v>
      </c>
      <c r="E32" s="79" t="s">
        <v>14</v>
      </c>
      <c r="F32" s="79" t="s">
        <v>71</v>
      </c>
      <c r="G32" s="79" t="s">
        <v>14</v>
      </c>
      <c r="H32" s="79" t="s">
        <v>14</v>
      </c>
      <c r="I32" s="78" t="s">
        <v>14</v>
      </c>
      <c r="J32" s="79" t="s">
        <v>14</v>
      </c>
      <c r="K32" s="142" t="s">
        <v>1850</v>
      </c>
      <c r="L32" s="149" t="s">
        <v>1842</v>
      </c>
      <c r="M32" s="150" t="s">
        <v>12</v>
      </c>
      <c r="N32" s="151">
        <v>24</v>
      </c>
      <c r="O32" s="151">
        <v>0</v>
      </c>
      <c r="P32" s="152">
        <v>1</v>
      </c>
      <c r="Q32" s="153">
        <v>91.3</v>
      </c>
      <c r="R32" s="154">
        <v>5</v>
      </c>
      <c r="S32" s="38">
        <f t="shared" si="0"/>
        <v>1</v>
      </c>
      <c r="T32" s="39">
        <f t="shared" si="1"/>
        <v>9</v>
      </c>
      <c r="U32" s="40">
        <f t="shared" si="2"/>
        <v>0</v>
      </c>
      <c r="V32" s="40">
        <f t="shared" si="3"/>
        <v>0</v>
      </c>
      <c r="W32" s="40">
        <f t="shared" si="4"/>
        <v>0</v>
      </c>
      <c r="X32" s="40">
        <f t="shared" si="5"/>
        <v>0</v>
      </c>
      <c r="Y32" s="40">
        <f t="shared" si="6"/>
        <v>0</v>
      </c>
      <c r="Z32" s="40">
        <f t="shared" si="7"/>
        <v>0</v>
      </c>
      <c r="AA32" s="40">
        <f t="shared" si="8"/>
        <v>0</v>
      </c>
      <c r="AB32" s="40">
        <f t="shared" si="10"/>
        <v>0</v>
      </c>
      <c r="AC32" s="41">
        <f t="shared" si="11"/>
        <v>0</v>
      </c>
      <c r="AD32" s="49"/>
      <c r="AE32" s="50"/>
      <c r="AF32" s="49" t="s">
        <v>5</v>
      </c>
      <c r="AG32" s="50" t="s">
        <v>133</v>
      </c>
      <c r="AH32" s="49" t="s">
        <v>5</v>
      </c>
      <c r="AI32" s="50" t="s">
        <v>427</v>
      </c>
      <c r="AJ32" s="49" t="s">
        <v>5</v>
      </c>
      <c r="AK32" s="50" t="s">
        <v>164</v>
      </c>
      <c r="AL32" s="49"/>
      <c r="AM32" s="50"/>
      <c r="AN32" s="49"/>
      <c r="AO32" s="50"/>
      <c r="AP32" s="49"/>
      <c r="AQ32" s="50"/>
      <c r="AR32" s="49" t="s">
        <v>5</v>
      </c>
      <c r="AS32" s="50" t="s">
        <v>194</v>
      </c>
      <c r="AT32" s="49"/>
      <c r="AU32" s="50"/>
      <c r="AV32" s="49"/>
      <c r="AW32" s="50"/>
      <c r="AX32" s="49" t="s">
        <v>5</v>
      </c>
      <c r="AY32" s="50" t="s">
        <v>169</v>
      </c>
      <c r="AZ32" s="49" t="s">
        <v>5</v>
      </c>
      <c r="BA32" s="50" t="s">
        <v>84</v>
      </c>
      <c r="BB32" s="49"/>
      <c r="BC32" s="50"/>
      <c r="BD32" s="49"/>
      <c r="BE32" s="50"/>
      <c r="BF32" s="49"/>
      <c r="BG32" s="50"/>
      <c r="BH32" s="49" t="s">
        <v>5</v>
      </c>
      <c r="BI32" s="50" t="s">
        <v>136</v>
      </c>
      <c r="BJ32" s="49"/>
      <c r="BK32" s="50"/>
      <c r="BL32" s="49"/>
      <c r="BM32" s="50"/>
      <c r="BN32" s="49" t="s">
        <v>5</v>
      </c>
      <c r="BO32" s="50" t="s">
        <v>152</v>
      </c>
      <c r="BP32" s="49"/>
      <c r="BQ32" s="50"/>
      <c r="BR32" s="49" t="s">
        <v>5</v>
      </c>
      <c r="BS32" s="50" t="s">
        <v>140</v>
      </c>
      <c r="BT32" s="49"/>
      <c r="BU32" s="50"/>
      <c r="BV32" s="49" t="s">
        <v>1</v>
      </c>
      <c r="BW32" s="50" t="s">
        <v>715</v>
      </c>
      <c r="BX32" s="49"/>
      <c r="BY32" s="50"/>
      <c r="BZ32" s="49"/>
      <c r="CA32" s="50"/>
    </row>
    <row r="33" spans="1:79" x14ac:dyDescent="0.25">
      <c r="A33" s="76">
        <v>151594</v>
      </c>
      <c r="B33" s="77" t="s">
        <v>753</v>
      </c>
      <c r="C33" s="78" t="s">
        <v>725</v>
      </c>
      <c r="D33" s="76" t="s">
        <v>12</v>
      </c>
      <c r="E33" s="79" t="s">
        <v>14</v>
      </c>
      <c r="F33" s="77" t="s">
        <v>71</v>
      </c>
      <c r="G33" s="79" t="s">
        <v>14</v>
      </c>
      <c r="H33" s="79" t="s">
        <v>14</v>
      </c>
      <c r="I33" s="78" t="s">
        <v>14</v>
      </c>
      <c r="J33" s="79" t="s">
        <v>14</v>
      </c>
      <c r="K33" s="142" t="s">
        <v>1850</v>
      </c>
      <c r="L33" s="149" t="s">
        <v>1842</v>
      </c>
      <c r="M33" s="150" t="s">
        <v>1853</v>
      </c>
      <c r="N33" s="151">
        <v>20</v>
      </c>
      <c r="O33" s="151">
        <v>0</v>
      </c>
      <c r="P33" s="152">
        <v>0</v>
      </c>
      <c r="Q33" s="153">
        <v>93.48</v>
      </c>
      <c r="R33" s="154">
        <v>0</v>
      </c>
      <c r="S33" s="38">
        <f t="shared" si="0"/>
        <v>2</v>
      </c>
      <c r="T33" s="39">
        <f t="shared" si="1"/>
        <v>8</v>
      </c>
      <c r="U33" s="40">
        <f t="shared" si="2"/>
        <v>0</v>
      </c>
      <c r="V33" s="40">
        <f t="shared" si="3"/>
        <v>0</v>
      </c>
      <c r="W33" s="40">
        <f t="shared" si="4"/>
        <v>0</v>
      </c>
      <c r="X33" s="40">
        <f t="shared" si="5"/>
        <v>0</v>
      </c>
      <c r="Y33" s="40">
        <f t="shared" si="6"/>
        <v>0</v>
      </c>
      <c r="Z33" s="40">
        <f t="shared" si="7"/>
        <v>0</v>
      </c>
      <c r="AA33" s="40">
        <f t="shared" si="8"/>
        <v>0</v>
      </c>
      <c r="AB33" s="40">
        <f t="shared" si="10"/>
        <v>0</v>
      </c>
      <c r="AC33" s="41">
        <f t="shared" si="11"/>
        <v>0</v>
      </c>
      <c r="AD33" s="49"/>
      <c r="AE33" s="50"/>
      <c r="AF33" s="49" t="s">
        <v>5</v>
      </c>
      <c r="AG33" s="50" t="s">
        <v>133</v>
      </c>
      <c r="AH33" s="49"/>
      <c r="AI33" s="50"/>
      <c r="AJ33" s="49" t="s">
        <v>5</v>
      </c>
      <c r="AK33" s="50" t="s">
        <v>137</v>
      </c>
      <c r="AL33" s="49"/>
      <c r="AM33" s="50"/>
      <c r="AN33" s="49"/>
      <c r="AO33" s="50"/>
      <c r="AP33" s="49"/>
      <c r="AQ33" s="50"/>
      <c r="AR33" s="49" t="s">
        <v>5</v>
      </c>
      <c r="AS33" s="50" t="s">
        <v>459</v>
      </c>
      <c r="AT33" s="49"/>
      <c r="AU33" s="50"/>
      <c r="AV33" s="49"/>
      <c r="AW33" s="50"/>
      <c r="AX33" s="49" t="s">
        <v>5</v>
      </c>
      <c r="AY33" s="50" t="s">
        <v>109</v>
      </c>
      <c r="AZ33" s="49" t="s">
        <v>5</v>
      </c>
      <c r="BA33" s="50" t="s">
        <v>143</v>
      </c>
      <c r="BB33" s="49"/>
      <c r="BC33" s="50"/>
      <c r="BD33" s="49"/>
      <c r="BE33" s="50"/>
      <c r="BF33" s="49" t="s">
        <v>5</v>
      </c>
      <c r="BG33" s="50" t="s">
        <v>93</v>
      </c>
      <c r="BH33" s="49" t="s">
        <v>5</v>
      </c>
      <c r="BI33" s="50" t="s">
        <v>139</v>
      </c>
      <c r="BJ33" s="49"/>
      <c r="BK33" s="50"/>
      <c r="BL33" s="49"/>
      <c r="BM33" s="50"/>
      <c r="BN33" s="49" t="s">
        <v>1</v>
      </c>
      <c r="BO33" s="50" t="s">
        <v>107</v>
      </c>
      <c r="BP33" s="49"/>
      <c r="BQ33" s="50"/>
      <c r="BR33" s="49" t="s">
        <v>5</v>
      </c>
      <c r="BS33" s="50" t="s">
        <v>98</v>
      </c>
      <c r="BT33" s="49"/>
      <c r="BU33" s="50"/>
      <c r="BV33" s="49" t="s">
        <v>1</v>
      </c>
      <c r="BW33" s="50" t="s">
        <v>495</v>
      </c>
      <c r="BX33" s="49"/>
      <c r="BY33" s="50"/>
      <c r="BZ33" s="49"/>
      <c r="CA33" s="50"/>
    </row>
    <row r="34" spans="1:79" x14ac:dyDescent="0.25">
      <c r="A34" s="76">
        <v>151604</v>
      </c>
      <c r="B34" s="77" t="s">
        <v>754</v>
      </c>
      <c r="C34" s="78" t="s">
        <v>718</v>
      </c>
      <c r="D34" s="76" t="s">
        <v>70</v>
      </c>
      <c r="E34" s="79" t="s">
        <v>14</v>
      </c>
      <c r="F34" s="79" t="s">
        <v>71</v>
      </c>
      <c r="G34" s="79" t="s">
        <v>14</v>
      </c>
      <c r="H34" s="79" t="s">
        <v>14</v>
      </c>
      <c r="I34" s="78" t="s">
        <v>14</v>
      </c>
      <c r="J34" s="79" t="s">
        <v>14</v>
      </c>
      <c r="K34" s="142" t="s">
        <v>1850</v>
      </c>
      <c r="L34" s="149" t="s">
        <v>1844</v>
      </c>
      <c r="M34" s="150" t="s">
        <v>12</v>
      </c>
      <c r="N34" s="151">
        <v>13</v>
      </c>
      <c r="O34" s="151">
        <v>0</v>
      </c>
      <c r="P34" s="152">
        <v>0</v>
      </c>
      <c r="Q34" s="153">
        <v>100</v>
      </c>
      <c r="R34" s="154">
        <v>0</v>
      </c>
      <c r="S34" s="38">
        <f t="shared" si="0"/>
        <v>3</v>
      </c>
      <c r="T34" s="39">
        <f t="shared" si="1"/>
        <v>6</v>
      </c>
      <c r="U34" s="40">
        <f t="shared" si="2"/>
        <v>0</v>
      </c>
      <c r="V34" s="40">
        <f t="shared" si="3"/>
        <v>0</v>
      </c>
      <c r="W34" s="40">
        <f t="shared" si="4"/>
        <v>0</v>
      </c>
      <c r="X34" s="40">
        <f t="shared" si="5"/>
        <v>0</v>
      </c>
      <c r="Y34" s="40">
        <f t="shared" si="6"/>
        <v>0</v>
      </c>
      <c r="Z34" s="40">
        <f t="shared" si="7"/>
        <v>0</v>
      </c>
      <c r="AA34" s="40">
        <f t="shared" si="8"/>
        <v>0</v>
      </c>
      <c r="AB34" s="40">
        <f t="shared" si="10"/>
        <v>0</v>
      </c>
      <c r="AC34" s="41">
        <f t="shared" si="11"/>
        <v>0</v>
      </c>
      <c r="AD34" s="49" t="s">
        <v>5</v>
      </c>
      <c r="AE34" s="50" t="s">
        <v>116</v>
      </c>
      <c r="AF34" s="49"/>
      <c r="AG34" s="50"/>
      <c r="AH34" s="49"/>
      <c r="AI34" s="50"/>
      <c r="AJ34" s="49"/>
      <c r="AK34" s="50"/>
      <c r="AL34" s="49"/>
      <c r="AM34" s="50"/>
      <c r="AN34" s="49"/>
      <c r="AO34" s="50"/>
      <c r="AP34" s="49"/>
      <c r="AQ34" s="50"/>
      <c r="AR34" s="49" t="s">
        <v>1</v>
      </c>
      <c r="AS34" s="50" t="s">
        <v>478</v>
      </c>
      <c r="AT34" s="49"/>
      <c r="AU34" s="50"/>
      <c r="AV34" s="49"/>
      <c r="AW34" s="50"/>
      <c r="AX34" s="49" t="s">
        <v>5</v>
      </c>
      <c r="AY34" s="50" t="s">
        <v>169</v>
      </c>
      <c r="AZ34" s="49" t="s">
        <v>5</v>
      </c>
      <c r="BA34" s="50" t="s">
        <v>143</v>
      </c>
      <c r="BB34" s="49"/>
      <c r="BC34" s="50"/>
      <c r="BD34" s="49"/>
      <c r="BE34" s="50"/>
      <c r="BF34" s="49"/>
      <c r="BG34" s="50"/>
      <c r="BH34" s="49" t="s">
        <v>5</v>
      </c>
      <c r="BI34" s="50" t="s">
        <v>430</v>
      </c>
      <c r="BJ34" s="49"/>
      <c r="BK34" s="50"/>
      <c r="BL34" s="49"/>
      <c r="BM34" s="50"/>
      <c r="BN34" s="49" t="s">
        <v>1</v>
      </c>
      <c r="BO34" s="50" t="s">
        <v>121</v>
      </c>
      <c r="BP34" s="49" t="s">
        <v>1</v>
      </c>
      <c r="BQ34" s="50" t="s">
        <v>96</v>
      </c>
      <c r="BR34" s="49"/>
      <c r="BS34" s="50"/>
      <c r="BT34" s="49"/>
      <c r="BU34" s="50"/>
      <c r="BV34" s="49" t="s">
        <v>5</v>
      </c>
      <c r="BW34" s="50" t="s">
        <v>97</v>
      </c>
      <c r="BX34" s="49" t="s">
        <v>5</v>
      </c>
      <c r="BY34" s="50" t="s">
        <v>206</v>
      </c>
      <c r="BZ34" s="49"/>
      <c r="CA34" s="50"/>
    </row>
    <row r="35" spans="1:79" x14ac:dyDescent="0.25">
      <c r="A35" s="76">
        <v>151540</v>
      </c>
      <c r="B35" s="77" t="s">
        <v>755</v>
      </c>
      <c r="C35" s="78" t="s">
        <v>710</v>
      </c>
      <c r="D35" s="76" t="s">
        <v>70</v>
      </c>
      <c r="E35" s="79" t="s">
        <v>14</v>
      </c>
      <c r="F35" s="79" t="s">
        <v>450</v>
      </c>
      <c r="G35" s="79" t="s">
        <v>87</v>
      </c>
      <c r="H35" s="79" t="s">
        <v>14</v>
      </c>
      <c r="I35" s="78" t="s">
        <v>14</v>
      </c>
      <c r="J35" s="79" t="s">
        <v>14</v>
      </c>
      <c r="K35" s="142" t="s">
        <v>1850</v>
      </c>
      <c r="L35" s="149" t="s">
        <v>1848</v>
      </c>
      <c r="M35" s="150" t="s">
        <v>1852</v>
      </c>
      <c r="N35" s="151">
        <v>16</v>
      </c>
      <c r="O35" s="151">
        <v>2</v>
      </c>
      <c r="P35" s="152">
        <v>5</v>
      </c>
      <c r="Q35" s="153">
        <v>91.3</v>
      </c>
      <c r="R35" s="154">
        <v>16</v>
      </c>
      <c r="S35" s="38">
        <f t="shared" si="0"/>
        <v>1</v>
      </c>
      <c r="T35" s="39">
        <f t="shared" si="1"/>
        <v>5</v>
      </c>
      <c r="U35" s="40">
        <f t="shared" si="2"/>
        <v>1</v>
      </c>
      <c r="V35" s="40">
        <f t="shared" si="3"/>
        <v>0</v>
      </c>
      <c r="W35" s="40">
        <f t="shared" si="4"/>
        <v>2</v>
      </c>
      <c r="X35" s="40">
        <f t="shared" si="5"/>
        <v>3</v>
      </c>
      <c r="Y35" s="40">
        <f t="shared" si="6"/>
        <v>0</v>
      </c>
      <c r="Z35" s="40">
        <f t="shared" si="7"/>
        <v>0</v>
      </c>
      <c r="AA35" s="40">
        <f t="shared" si="8"/>
        <v>0</v>
      </c>
      <c r="AB35" s="40">
        <f t="shared" si="10"/>
        <v>0</v>
      </c>
      <c r="AC35" s="41">
        <f t="shared" si="11"/>
        <v>0</v>
      </c>
      <c r="AD35" s="49"/>
      <c r="AE35" s="50"/>
      <c r="AF35" s="49" t="s">
        <v>32</v>
      </c>
      <c r="AG35" s="50" t="s">
        <v>154</v>
      </c>
      <c r="AH35" s="49" t="s">
        <v>30</v>
      </c>
      <c r="AI35" s="50" t="s">
        <v>427</v>
      </c>
      <c r="AJ35" s="49" t="s">
        <v>5</v>
      </c>
      <c r="AK35" s="50" t="s">
        <v>83</v>
      </c>
      <c r="AL35" s="49"/>
      <c r="AM35" s="50"/>
      <c r="AN35" s="49"/>
      <c r="AO35" s="50"/>
      <c r="AP35" s="49"/>
      <c r="AQ35" s="50"/>
      <c r="AR35" s="49" t="s">
        <v>32</v>
      </c>
      <c r="AS35" s="50" t="s">
        <v>118</v>
      </c>
      <c r="AT35" s="49"/>
      <c r="AU35" s="50"/>
      <c r="AV35" s="49"/>
      <c r="AW35" s="50"/>
      <c r="AX35" s="49" t="s">
        <v>5</v>
      </c>
      <c r="AY35" s="50" t="s">
        <v>711</v>
      </c>
      <c r="AZ35" s="49"/>
      <c r="BA35" s="50"/>
      <c r="BB35" s="49"/>
      <c r="BC35" s="50"/>
      <c r="BD35" s="49"/>
      <c r="BE35" s="50"/>
      <c r="BF35" s="49"/>
      <c r="BG35" s="50"/>
      <c r="BH35" s="49" t="s">
        <v>1</v>
      </c>
      <c r="BI35" s="50" t="s">
        <v>94</v>
      </c>
      <c r="BJ35" s="49"/>
      <c r="BK35" s="50"/>
      <c r="BL35" s="49"/>
      <c r="BM35" s="50"/>
      <c r="BN35" s="49" t="s">
        <v>5</v>
      </c>
      <c r="BO35" s="50" t="s">
        <v>152</v>
      </c>
      <c r="BP35" s="49"/>
      <c r="BQ35" s="50"/>
      <c r="BR35" s="49" t="s">
        <v>5</v>
      </c>
      <c r="BS35" s="50" t="s">
        <v>170</v>
      </c>
      <c r="BT35" s="49"/>
      <c r="BU35" s="50"/>
      <c r="BV35" s="49" t="s">
        <v>5</v>
      </c>
      <c r="BW35" s="50" t="s">
        <v>457</v>
      </c>
      <c r="BX35" s="49"/>
      <c r="BY35" s="50"/>
      <c r="BZ35" s="49" t="s">
        <v>32</v>
      </c>
      <c r="CA35" s="50" t="s">
        <v>124</v>
      </c>
    </row>
    <row r="36" spans="1:79" x14ac:dyDescent="0.25">
      <c r="A36" s="76">
        <v>151609</v>
      </c>
      <c r="B36" s="77" t="s">
        <v>756</v>
      </c>
      <c r="C36" s="78" t="s">
        <v>732</v>
      </c>
      <c r="D36" s="76" t="s">
        <v>12</v>
      </c>
      <c r="E36" s="79" t="s">
        <v>14</v>
      </c>
      <c r="F36" s="79" t="s">
        <v>71</v>
      </c>
      <c r="G36" s="79" t="s">
        <v>14</v>
      </c>
      <c r="H36" s="79" t="s">
        <v>14</v>
      </c>
      <c r="I36" s="78" t="s">
        <v>14</v>
      </c>
      <c r="J36" s="79" t="s">
        <v>14</v>
      </c>
      <c r="K36" s="142" t="s">
        <v>1850</v>
      </c>
      <c r="L36" s="149" t="s">
        <v>1842</v>
      </c>
      <c r="M36" s="150" t="s">
        <v>1853</v>
      </c>
      <c r="N36" s="151">
        <v>13</v>
      </c>
      <c r="O36" s="151">
        <v>0</v>
      </c>
      <c r="P36" s="152">
        <v>0</v>
      </c>
      <c r="Q36" s="153">
        <v>100</v>
      </c>
      <c r="R36" s="154">
        <v>0</v>
      </c>
      <c r="S36" s="38">
        <f t="shared" si="0"/>
        <v>0</v>
      </c>
      <c r="T36" s="39">
        <f t="shared" si="1"/>
        <v>9</v>
      </c>
      <c r="U36" s="40">
        <f t="shared" si="2"/>
        <v>0</v>
      </c>
      <c r="V36" s="40">
        <f t="shared" si="3"/>
        <v>0</v>
      </c>
      <c r="W36" s="40">
        <f t="shared" si="4"/>
        <v>0</v>
      </c>
      <c r="X36" s="40">
        <f t="shared" si="5"/>
        <v>0</v>
      </c>
      <c r="Y36" s="40">
        <f t="shared" si="6"/>
        <v>0</v>
      </c>
      <c r="Z36" s="40">
        <f t="shared" si="7"/>
        <v>0</v>
      </c>
      <c r="AA36" s="40">
        <f t="shared" si="8"/>
        <v>0</v>
      </c>
      <c r="AB36" s="40">
        <f t="shared" si="10"/>
        <v>0</v>
      </c>
      <c r="AC36" s="41">
        <f t="shared" si="11"/>
        <v>0</v>
      </c>
      <c r="AD36" s="49"/>
      <c r="AE36" s="50"/>
      <c r="AF36" s="49" t="s">
        <v>5</v>
      </c>
      <c r="AG36" s="50" t="s">
        <v>133</v>
      </c>
      <c r="AH36" s="49"/>
      <c r="AI36" s="50"/>
      <c r="AJ36" s="49" t="s">
        <v>5</v>
      </c>
      <c r="AK36" s="50" t="s">
        <v>137</v>
      </c>
      <c r="AL36" s="49"/>
      <c r="AM36" s="50"/>
      <c r="AN36" s="49" t="s">
        <v>5</v>
      </c>
      <c r="AO36" s="50" t="s">
        <v>163</v>
      </c>
      <c r="AP36" s="49"/>
      <c r="AQ36" s="50"/>
      <c r="AR36" s="49" t="s">
        <v>5</v>
      </c>
      <c r="AS36" s="50" t="s">
        <v>722</v>
      </c>
      <c r="AT36" s="49"/>
      <c r="AU36" s="50"/>
      <c r="AV36" s="49"/>
      <c r="AW36" s="50"/>
      <c r="AX36" s="49" t="s">
        <v>5</v>
      </c>
      <c r="AY36" s="50" t="s">
        <v>124</v>
      </c>
      <c r="AZ36" s="49"/>
      <c r="BA36" s="50"/>
      <c r="BB36" s="49"/>
      <c r="BC36" s="50"/>
      <c r="BD36" s="49"/>
      <c r="BE36" s="50"/>
      <c r="BF36" s="49"/>
      <c r="BG36" s="50"/>
      <c r="BH36" s="49" t="s">
        <v>5</v>
      </c>
      <c r="BI36" s="50" t="s">
        <v>106</v>
      </c>
      <c r="BJ36" s="49"/>
      <c r="BK36" s="50"/>
      <c r="BL36" s="49"/>
      <c r="BM36" s="50"/>
      <c r="BN36" s="49" t="s">
        <v>5</v>
      </c>
      <c r="BO36" s="50" t="s">
        <v>107</v>
      </c>
      <c r="BP36" s="49"/>
      <c r="BQ36" s="50"/>
      <c r="BR36" s="49" t="s">
        <v>5</v>
      </c>
      <c r="BS36" s="50" t="s">
        <v>98</v>
      </c>
      <c r="BT36" s="49"/>
      <c r="BU36" s="50"/>
      <c r="BV36" s="49" t="s">
        <v>5</v>
      </c>
      <c r="BW36" s="50" t="s">
        <v>122</v>
      </c>
      <c r="BX36" s="49"/>
      <c r="BY36" s="50"/>
      <c r="BZ36" s="49" t="s">
        <v>5</v>
      </c>
      <c r="CA36" s="50" t="s">
        <v>124</v>
      </c>
    </row>
    <row r="37" spans="1:79" x14ac:dyDescent="0.25">
      <c r="A37" s="76">
        <v>151530</v>
      </c>
      <c r="B37" s="77" t="s">
        <v>757</v>
      </c>
      <c r="C37" s="78" t="s">
        <v>730</v>
      </c>
      <c r="D37" s="76" t="s">
        <v>12</v>
      </c>
      <c r="E37" s="79" t="s">
        <v>14</v>
      </c>
      <c r="F37" s="79" t="s">
        <v>71</v>
      </c>
      <c r="G37" s="79" t="s">
        <v>14</v>
      </c>
      <c r="H37" s="79" t="s">
        <v>14</v>
      </c>
      <c r="I37" s="78" t="s">
        <v>14</v>
      </c>
      <c r="J37" s="79" t="s">
        <v>14</v>
      </c>
      <c r="K37" s="142" t="s">
        <v>1850</v>
      </c>
      <c r="L37" s="149" t="s">
        <v>1844</v>
      </c>
      <c r="M37" s="150" t="s">
        <v>12</v>
      </c>
      <c r="N37" s="151">
        <v>10</v>
      </c>
      <c r="O37" s="151">
        <v>5</v>
      </c>
      <c r="P37" s="152">
        <v>5</v>
      </c>
      <c r="Q37" s="153">
        <v>95.65</v>
      </c>
      <c r="R37" s="154">
        <v>3</v>
      </c>
      <c r="S37" s="38">
        <f t="shared" si="0"/>
        <v>1</v>
      </c>
      <c r="T37" s="39">
        <f t="shared" si="1"/>
        <v>7</v>
      </c>
      <c r="U37" s="40">
        <f t="shared" si="2"/>
        <v>2</v>
      </c>
      <c r="V37" s="40">
        <f t="shared" si="3"/>
        <v>0</v>
      </c>
      <c r="W37" s="40">
        <f t="shared" si="4"/>
        <v>0</v>
      </c>
      <c r="X37" s="40">
        <f t="shared" si="5"/>
        <v>2</v>
      </c>
      <c r="Y37" s="40">
        <f t="shared" si="6"/>
        <v>0</v>
      </c>
      <c r="Z37" s="40">
        <f t="shared" si="7"/>
        <v>0</v>
      </c>
      <c r="AA37" s="40">
        <f t="shared" si="8"/>
        <v>0</v>
      </c>
      <c r="AB37" s="40">
        <f t="shared" si="10"/>
        <v>0</v>
      </c>
      <c r="AC37" s="41">
        <f t="shared" si="11"/>
        <v>0</v>
      </c>
      <c r="AD37" s="49"/>
      <c r="AE37" s="50"/>
      <c r="AF37" s="49" t="s">
        <v>5</v>
      </c>
      <c r="AG37" s="50" t="s">
        <v>433</v>
      </c>
      <c r="AH37" s="49"/>
      <c r="AI37" s="50"/>
      <c r="AJ37" s="49" t="s">
        <v>5</v>
      </c>
      <c r="AK37" s="50" t="s">
        <v>714</v>
      </c>
      <c r="AL37" s="49"/>
      <c r="AM37" s="50"/>
      <c r="AN37" s="49" t="s">
        <v>5</v>
      </c>
      <c r="AO37" s="50" t="s">
        <v>163</v>
      </c>
      <c r="AP37" s="49"/>
      <c r="AQ37" s="50"/>
      <c r="AR37" s="49" t="s">
        <v>30</v>
      </c>
      <c r="AS37" s="50" t="s">
        <v>118</v>
      </c>
      <c r="AT37" s="49"/>
      <c r="AU37" s="50"/>
      <c r="AV37" s="49"/>
      <c r="AW37" s="50"/>
      <c r="AX37" s="49" t="s">
        <v>5</v>
      </c>
      <c r="AY37" s="50" t="s">
        <v>133</v>
      </c>
      <c r="AZ37" s="49" t="s">
        <v>5</v>
      </c>
      <c r="BA37" s="50" t="s">
        <v>103</v>
      </c>
      <c r="BB37" s="49"/>
      <c r="BC37" s="50"/>
      <c r="BD37" s="49"/>
      <c r="BE37" s="50"/>
      <c r="BF37" s="49"/>
      <c r="BG37" s="50"/>
      <c r="BH37" s="49" t="s">
        <v>5</v>
      </c>
      <c r="BI37" s="50" t="s">
        <v>136</v>
      </c>
      <c r="BJ37" s="49"/>
      <c r="BK37" s="50"/>
      <c r="BL37" s="49"/>
      <c r="BM37" s="50"/>
      <c r="BN37" s="49" t="s">
        <v>1</v>
      </c>
      <c r="BO37" s="50" t="s">
        <v>96</v>
      </c>
      <c r="BP37" s="49"/>
      <c r="BQ37" s="50"/>
      <c r="BR37" s="49" t="s">
        <v>5</v>
      </c>
      <c r="BS37" s="50" t="s">
        <v>123</v>
      </c>
      <c r="BT37" s="49"/>
      <c r="BU37" s="50"/>
      <c r="BV37" s="49" t="s">
        <v>30</v>
      </c>
      <c r="BW37" s="50" t="s">
        <v>457</v>
      </c>
      <c r="BX37" s="49"/>
      <c r="BY37" s="50"/>
      <c r="BZ37" s="49"/>
      <c r="CA37" s="50"/>
    </row>
    <row r="38" spans="1:79" x14ac:dyDescent="0.25">
      <c r="A38" s="76">
        <v>151600</v>
      </c>
      <c r="B38" s="77" t="s">
        <v>758</v>
      </c>
      <c r="C38" s="78" t="s">
        <v>730</v>
      </c>
      <c r="D38" s="76" t="s">
        <v>70</v>
      </c>
      <c r="E38" s="79" t="s">
        <v>14</v>
      </c>
      <c r="F38" s="79" t="s">
        <v>71</v>
      </c>
      <c r="G38" s="79" t="s">
        <v>14</v>
      </c>
      <c r="H38" s="79" t="s">
        <v>14</v>
      </c>
      <c r="I38" s="78" t="s">
        <v>14</v>
      </c>
      <c r="J38" s="79" t="s">
        <v>14</v>
      </c>
      <c r="K38" s="142" t="s">
        <v>1850</v>
      </c>
      <c r="L38" s="149" t="s">
        <v>1845</v>
      </c>
      <c r="M38" s="150" t="s">
        <v>12</v>
      </c>
      <c r="N38" s="151">
        <v>7</v>
      </c>
      <c r="O38" s="151">
        <v>1</v>
      </c>
      <c r="P38" s="152">
        <v>0</v>
      </c>
      <c r="Q38" s="153">
        <v>69.569999999999993</v>
      </c>
      <c r="R38" s="154">
        <v>10</v>
      </c>
      <c r="S38" s="38">
        <f t="shared" si="0"/>
        <v>0</v>
      </c>
      <c r="T38" s="39">
        <f t="shared" si="1"/>
        <v>6</v>
      </c>
      <c r="U38" s="40">
        <f t="shared" si="2"/>
        <v>3</v>
      </c>
      <c r="V38" s="40">
        <f t="shared" si="3"/>
        <v>0</v>
      </c>
      <c r="W38" s="40">
        <f t="shared" si="4"/>
        <v>0</v>
      </c>
      <c r="X38" s="40">
        <f t="shared" si="5"/>
        <v>3</v>
      </c>
      <c r="Y38" s="40">
        <f t="shared" si="6"/>
        <v>0</v>
      </c>
      <c r="Z38" s="40">
        <f t="shared" si="7"/>
        <v>0</v>
      </c>
      <c r="AA38" s="40">
        <f t="shared" si="8"/>
        <v>0</v>
      </c>
      <c r="AB38" s="40">
        <f t="shared" si="10"/>
        <v>0</v>
      </c>
      <c r="AC38" s="41">
        <f t="shared" si="11"/>
        <v>0</v>
      </c>
      <c r="AD38" s="49"/>
      <c r="AE38" s="50"/>
      <c r="AF38" s="49"/>
      <c r="AG38" s="50"/>
      <c r="AH38" s="49"/>
      <c r="AI38" s="50"/>
      <c r="AJ38" s="49"/>
      <c r="AK38" s="50"/>
      <c r="AL38" s="49" t="s">
        <v>30</v>
      </c>
      <c r="AM38" s="50" t="s">
        <v>425</v>
      </c>
      <c r="AN38" s="49"/>
      <c r="AO38" s="50"/>
      <c r="AP38" s="49"/>
      <c r="AQ38" s="50"/>
      <c r="AR38" s="49" t="s">
        <v>5</v>
      </c>
      <c r="AS38" s="50" t="s">
        <v>169</v>
      </c>
      <c r="AT38" s="49"/>
      <c r="AU38" s="50"/>
      <c r="AV38" s="49" t="s">
        <v>5</v>
      </c>
      <c r="AW38" s="50" t="s">
        <v>73</v>
      </c>
      <c r="AX38" s="49" t="s">
        <v>5</v>
      </c>
      <c r="AY38" s="50" t="s">
        <v>133</v>
      </c>
      <c r="AZ38" s="49" t="s">
        <v>30</v>
      </c>
      <c r="BA38" s="50" t="s">
        <v>103</v>
      </c>
      <c r="BB38" s="49"/>
      <c r="BC38" s="50"/>
      <c r="BD38" s="49"/>
      <c r="BE38" s="50"/>
      <c r="BF38" s="49"/>
      <c r="BG38" s="50"/>
      <c r="BH38" s="49" t="s">
        <v>5</v>
      </c>
      <c r="BI38" s="50" t="s">
        <v>505</v>
      </c>
      <c r="BJ38" s="49"/>
      <c r="BK38" s="50"/>
      <c r="BL38" s="49"/>
      <c r="BM38" s="50"/>
      <c r="BN38" s="49" t="s">
        <v>30</v>
      </c>
      <c r="BO38" s="50" t="s">
        <v>152</v>
      </c>
      <c r="BP38" s="49"/>
      <c r="BQ38" s="50"/>
      <c r="BR38" s="49"/>
      <c r="BS38" s="50"/>
      <c r="BT38" s="49"/>
      <c r="BU38" s="50"/>
      <c r="BV38" s="49" t="s">
        <v>5</v>
      </c>
      <c r="BW38" s="50" t="s">
        <v>602</v>
      </c>
      <c r="BX38" s="49" t="s">
        <v>5</v>
      </c>
      <c r="BY38" s="50" t="s">
        <v>419</v>
      </c>
      <c r="BZ38" s="49"/>
      <c r="CA38" s="50"/>
    </row>
    <row r="39" spans="1:79" x14ac:dyDescent="0.25">
      <c r="A39" s="76">
        <v>151624</v>
      </c>
      <c r="B39" s="77" t="s">
        <v>759</v>
      </c>
      <c r="C39" s="78" t="s">
        <v>725</v>
      </c>
      <c r="D39" s="76" t="s">
        <v>70</v>
      </c>
      <c r="E39" s="79" t="s">
        <v>14</v>
      </c>
      <c r="F39" s="79" t="s">
        <v>71</v>
      </c>
      <c r="G39" s="79" t="s">
        <v>14</v>
      </c>
      <c r="H39" s="79" t="s">
        <v>14</v>
      </c>
      <c r="I39" s="78" t="s">
        <v>14</v>
      </c>
      <c r="J39" s="79" t="s">
        <v>14</v>
      </c>
      <c r="K39" s="142" t="s">
        <v>1850</v>
      </c>
      <c r="L39" s="149" t="s">
        <v>1844</v>
      </c>
      <c r="M39" s="150" t="s">
        <v>12</v>
      </c>
      <c r="N39" s="151">
        <v>9</v>
      </c>
      <c r="O39" s="151">
        <v>0</v>
      </c>
      <c r="P39" s="152">
        <v>0</v>
      </c>
      <c r="Q39" s="153">
        <v>93.48</v>
      </c>
      <c r="R39" s="154">
        <v>0</v>
      </c>
      <c r="S39" s="38">
        <f t="shared" si="0"/>
        <v>0</v>
      </c>
      <c r="T39" s="39">
        <f t="shared" si="1"/>
        <v>10</v>
      </c>
      <c r="U39" s="40">
        <f t="shared" si="2"/>
        <v>0</v>
      </c>
      <c r="V39" s="40">
        <f t="shared" si="3"/>
        <v>0</v>
      </c>
      <c r="W39" s="40">
        <f t="shared" si="4"/>
        <v>0</v>
      </c>
      <c r="X39" s="40">
        <f t="shared" si="5"/>
        <v>0</v>
      </c>
      <c r="Y39" s="40">
        <f t="shared" si="6"/>
        <v>0</v>
      </c>
      <c r="Z39" s="40">
        <f t="shared" si="7"/>
        <v>0</v>
      </c>
      <c r="AA39" s="40">
        <f t="shared" si="8"/>
        <v>0</v>
      </c>
      <c r="AB39" s="40">
        <f t="shared" si="10"/>
        <v>0</v>
      </c>
      <c r="AC39" s="41">
        <f t="shared" si="11"/>
        <v>0</v>
      </c>
      <c r="AD39" s="49"/>
      <c r="AE39" s="50"/>
      <c r="AF39" s="49" t="s">
        <v>5</v>
      </c>
      <c r="AG39" s="50" t="s">
        <v>433</v>
      </c>
      <c r="AH39" s="49" t="s">
        <v>5</v>
      </c>
      <c r="AI39" s="50" t="s">
        <v>427</v>
      </c>
      <c r="AJ39" s="49" t="s">
        <v>5</v>
      </c>
      <c r="AK39" s="50" t="s">
        <v>714</v>
      </c>
      <c r="AL39" s="49"/>
      <c r="AM39" s="50"/>
      <c r="AN39" s="49"/>
      <c r="AO39" s="50"/>
      <c r="AP39" s="49"/>
      <c r="AQ39" s="50"/>
      <c r="AR39" s="49" t="s">
        <v>5</v>
      </c>
      <c r="AS39" s="50" t="s">
        <v>194</v>
      </c>
      <c r="AT39" s="49"/>
      <c r="AU39" s="50"/>
      <c r="AV39" s="49"/>
      <c r="AW39" s="50"/>
      <c r="AX39" s="49" t="s">
        <v>5</v>
      </c>
      <c r="AY39" s="50" t="s">
        <v>109</v>
      </c>
      <c r="AZ39" s="49" t="s">
        <v>5</v>
      </c>
      <c r="BA39" s="50" t="s">
        <v>84</v>
      </c>
      <c r="BB39" s="49"/>
      <c r="BC39" s="50"/>
      <c r="BD39" s="49"/>
      <c r="BE39" s="50"/>
      <c r="BF39" s="49"/>
      <c r="BG39" s="50"/>
      <c r="BH39" s="49" t="s">
        <v>5</v>
      </c>
      <c r="BI39" s="50" t="s">
        <v>430</v>
      </c>
      <c r="BJ39" s="49"/>
      <c r="BK39" s="50"/>
      <c r="BL39" s="49"/>
      <c r="BM39" s="50"/>
      <c r="BN39" s="49" t="s">
        <v>5</v>
      </c>
      <c r="BO39" s="50" t="s">
        <v>152</v>
      </c>
      <c r="BP39" s="49"/>
      <c r="BQ39" s="50"/>
      <c r="BR39" s="49" t="s">
        <v>5</v>
      </c>
      <c r="BS39" s="50" t="s">
        <v>123</v>
      </c>
      <c r="BT39" s="49"/>
      <c r="BU39" s="50"/>
      <c r="BV39" s="49" t="s">
        <v>5</v>
      </c>
      <c r="BW39" s="50" t="s">
        <v>97</v>
      </c>
      <c r="BX39" s="49"/>
      <c r="BY39" s="50"/>
      <c r="BZ39" s="49"/>
      <c r="CA39" s="50"/>
    </row>
    <row r="40" spans="1:79" x14ac:dyDescent="0.25">
      <c r="A40" s="76">
        <v>151580</v>
      </c>
      <c r="B40" s="77" t="s">
        <v>760</v>
      </c>
      <c r="C40" s="78" t="s">
        <v>718</v>
      </c>
      <c r="D40" s="76" t="s">
        <v>70</v>
      </c>
      <c r="E40" s="79" t="s">
        <v>14</v>
      </c>
      <c r="F40" s="79" t="s">
        <v>71</v>
      </c>
      <c r="G40" s="79" t="s">
        <v>14</v>
      </c>
      <c r="H40" s="79" t="s">
        <v>14</v>
      </c>
      <c r="I40" s="78" t="s">
        <v>14</v>
      </c>
      <c r="J40" s="79" t="s">
        <v>14</v>
      </c>
      <c r="K40" s="142" t="s">
        <v>1850</v>
      </c>
      <c r="L40" s="149" t="s">
        <v>1842</v>
      </c>
      <c r="M40" s="150" t="s">
        <v>1853</v>
      </c>
      <c r="N40" s="151">
        <v>2</v>
      </c>
      <c r="O40" s="151">
        <v>0</v>
      </c>
      <c r="P40" s="152">
        <v>0</v>
      </c>
      <c r="Q40" s="153"/>
      <c r="R40" s="154">
        <v>0</v>
      </c>
      <c r="S40" s="38">
        <f t="shared" si="0"/>
        <v>0</v>
      </c>
      <c r="T40" s="39">
        <f t="shared" si="1"/>
        <v>2</v>
      </c>
      <c r="U40" s="40">
        <f t="shared" si="2"/>
        <v>0</v>
      </c>
      <c r="V40" s="40">
        <f t="shared" si="3"/>
        <v>0</v>
      </c>
      <c r="W40" s="40">
        <f t="shared" si="4"/>
        <v>0</v>
      </c>
      <c r="X40" s="40">
        <f t="shared" si="5"/>
        <v>0</v>
      </c>
      <c r="Y40" s="40">
        <f t="shared" si="6"/>
        <v>0</v>
      </c>
      <c r="Z40" s="40">
        <f t="shared" si="7"/>
        <v>0</v>
      </c>
      <c r="AA40" s="40">
        <f t="shared" si="8"/>
        <v>0</v>
      </c>
      <c r="AB40" s="40">
        <f t="shared" si="10"/>
        <v>0</v>
      </c>
      <c r="AC40" s="41">
        <f t="shared" si="11"/>
        <v>0</v>
      </c>
      <c r="AD40" s="49"/>
      <c r="AE40" s="50"/>
      <c r="AF40" s="49"/>
      <c r="AG40" s="50"/>
      <c r="AH40" s="49"/>
      <c r="AI40" s="50" t="s">
        <v>427</v>
      </c>
      <c r="AJ40" s="49"/>
      <c r="AK40" s="50"/>
      <c r="AL40" s="49"/>
      <c r="AM40" s="50"/>
      <c r="AN40" s="49"/>
      <c r="AO40" s="50"/>
      <c r="AP40" s="49"/>
      <c r="AQ40" s="50"/>
      <c r="AR40" s="49" t="s">
        <v>5</v>
      </c>
      <c r="AS40" s="50" t="s">
        <v>194</v>
      </c>
      <c r="AT40" s="49"/>
      <c r="AU40" s="50"/>
      <c r="AV40" s="49"/>
      <c r="AW40" s="50" t="s">
        <v>73</v>
      </c>
      <c r="AX40" s="49" t="s">
        <v>5</v>
      </c>
      <c r="AY40" s="50" t="s">
        <v>169</v>
      </c>
      <c r="AZ40" s="49" t="s">
        <v>189</v>
      </c>
      <c r="BA40" s="50" t="s">
        <v>143</v>
      </c>
      <c r="BB40" s="49"/>
      <c r="BC40" s="50"/>
      <c r="BD40" s="49"/>
      <c r="BE40" s="50"/>
      <c r="BF40" s="49"/>
      <c r="BG40" s="50"/>
      <c r="BH40" s="49"/>
      <c r="BI40" s="50" t="s">
        <v>106</v>
      </c>
      <c r="BJ40" s="49"/>
      <c r="BK40" s="50"/>
      <c r="BL40" s="49"/>
      <c r="BM40" s="50"/>
      <c r="BN40" s="49"/>
      <c r="BO40" s="50" t="s">
        <v>741</v>
      </c>
      <c r="BP40" s="49"/>
      <c r="BQ40" s="50"/>
      <c r="BR40" s="49"/>
      <c r="BS40" s="50"/>
      <c r="BT40" s="49"/>
      <c r="BU40" s="50"/>
      <c r="BV40" s="49"/>
      <c r="BW40" s="50" t="s">
        <v>457</v>
      </c>
      <c r="BX40" s="49" t="s">
        <v>189</v>
      </c>
      <c r="BY40" s="50" t="s">
        <v>206</v>
      </c>
      <c r="BZ40" s="49"/>
      <c r="CA40" s="50"/>
    </row>
    <row r="41" spans="1:79" x14ac:dyDescent="0.25">
      <c r="A41" s="76">
        <v>151693</v>
      </c>
      <c r="B41" s="77" t="s">
        <v>761</v>
      </c>
      <c r="C41" s="78" t="s">
        <v>718</v>
      </c>
      <c r="D41" s="76" t="s">
        <v>12</v>
      </c>
      <c r="E41" s="79" t="s">
        <v>87</v>
      </c>
      <c r="F41" s="79" t="s">
        <v>126</v>
      </c>
      <c r="G41" s="79" t="s">
        <v>87</v>
      </c>
      <c r="H41" s="79" t="s">
        <v>87</v>
      </c>
      <c r="I41" s="78" t="s">
        <v>14</v>
      </c>
      <c r="J41" s="79" t="s">
        <v>14</v>
      </c>
      <c r="K41" s="142" t="s">
        <v>1850</v>
      </c>
      <c r="L41" s="149" t="s">
        <v>1844</v>
      </c>
      <c r="M41" s="150" t="s">
        <v>12</v>
      </c>
      <c r="N41" s="151">
        <v>17</v>
      </c>
      <c r="O41" s="151">
        <v>0</v>
      </c>
      <c r="P41" s="152">
        <v>0</v>
      </c>
      <c r="Q41" s="153">
        <v>100</v>
      </c>
      <c r="R41" s="154">
        <v>4</v>
      </c>
      <c r="S41" s="38">
        <f t="shared" si="0"/>
        <v>4</v>
      </c>
      <c r="T41" s="39">
        <f t="shared" si="1"/>
        <v>6</v>
      </c>
      <c r="U41" s="40">
        <f t="shared" si="2"/>
        <v>0</v>
      </c>
      <c r="V41" s="40">
        <f t="shared" si="3"/>
        <v>0</v>
      </c>
      <c r="W41" s="40">
        <f t="shared" si="4"/>
        <v>0</v>
      </c>
      <c r="X41" s="40">
        <f t="shared" si="5"/>
        <v>0</v>
      </c>
      <c r="Y41" s="40">
        <f t="shared" si="6"/>
        <v>0</v>
      </c>
      <c r="Z41" s="40">
        <f t="shared" si="7"/>
        <v>0</v>
      </c>
      <c r="AA41" s="40">
        <f t="shared" si="8"/>
        <v>0</v>
      </c>
      <c r="AB41" s="40">
        <f t="shared" si="10"/>
        <v>0</v>
      </c>
      <c r="AC41" s="41">
        <f t="shared" si="11"/>
        <v>0</v>
      </c>
      <c r="AD41" s="49"/>
      <c r="AE41" s="50"/>
      <c r="AF41" s="49" t="s">
        <v>5</v>
      </c>
      <c r="AG41" s="50" t="s">
        <v>133</v>
      </c>
      <c r="AH41" s="49"/>
      <c r="AI41" s="50"/>
      <c r="AJ41" s="49" t="s">
        <v>5</v>
      </c>
      <c r="AK41" s="50" t="s">
        <v>164</v>
      </c>
      <c r="AL41" s="49"/>
      <c r="AM41" s="50"/>
      <c r="AN41" s="49"/>
      <c r="AO41" s="50"/>
      <c r="AP41" s="49"/>
      <c r="AQ41" s="50"/>
      <c r="AR41" s="49" t="s">
        <v>1</v>
      </c>
      <c r="AS41" s="50" t="s">
        <v>74</v>
      </c>
      <c r="AT41" s="49"/>
      <c r="AU41" s="50"/>
      <c r="AV41" s="49"/>
      <c r="AW41" s="50"/>
      <c r="AX41" s="49" t="s">
        <v>5</v>
      </c>
      <c r="AY41" s="50" t="s">
        <v>169</v>
      </c>
      <c r="AZ41" s="49" t="s">
        <v>5</v>
      </c>
      <c r="BA41" s="50" t="s">
        <v>143</v>
      </c>
      <c r="BB41" s="49"/>
      <c r="BC41" s="50"/>
      <c r="BD41" s="49"/>
      <c r="BE41" s="50"/>
      <c r="BF41" s="49"/>
      <c r="BG41" s="50"/>
      <c r="BH41" s="49" t="s">
        <v>1</v>
      </c>
      <c r="BI41" s="50" t="s">
        <v>136</v>
      </c>
      <c r="BJ41" s="49"/>
      <c r="BK41" s="50"/>
      <c r="BL41" s="49"/>
      <c r="BM41" s="50"/>
      <c r="BN41" s="49" t="s">
        <v>1</v>
      </c>
      <c r="BO41" s="50" t="s">
        <v>107</v>
      </c>
      <c r="BP41" s="49"/>
      <c r="BQ41" s="50"/>
      <c r="BR41" s="49" t="s">
        <v>5</v>
      </c>
      <c r="BS41" s="50" t="s">
        <v>140</v>
      </c>
      <c r="BT41" s="49" t="s">
        <v>5</v>
      </c>
      <c r="BU41" s="50" t="s">
        <v>117</v>
      </c>
      <c r="BV41" s="49" t="s">
        <v>1</v>
      </c>
      <c r="BW41" s="50" t="s">
        <v>97</v>
      </c>
      <c r="BX41" s="49"/>
      <c r="BY41" s="50"/>
      <c r="BZ41" s="49"/>
      <c r="CA41" s="50"/>
    </row>
    <row r="42" spans="1:79" x14ac:dyDescent="0.25">
      <c r="A42" s="76">
        <v>151722</v>
      </c>
      <c r="B42" s="77" t="s">
        <v>762</v>
      </c>
      <c r="C42" s="78" t="s">
        <v>725</v>
      </c>
      <c r="D42" s="76" t="s">
        <v>12</v>
      </c>
      <c r="E42" s="79" t="s">
        <v>14</v>
      </c>
      <c r="F42" s="79" t="s">
        <v>71</v>
      </c>
      <c r="G42" s="79" t="s">
        <v>14</v>
      </c>
      <c r="H42" s="79" t="s">
        <v>14</v>
      </c>
      <c r="I42" s="78" t="s">
        <v>14</v>
      </c>
      <c r="J42" s="79" t="s">
        <v>14</v>
      </c>
      <c r="K42" s="142" t="s">
        <v>1850</v>
      </c>
      <c r="L42" s="149" t="s">
        <v>1846</v>
      </c>
      <c r="M42" s="150" t="s">
        <v>1853</v>
      </c>
      <c r="N42" s="151">
        <v>13</v>
      </c>
      <c r="O42" s="151">
        <v>0</v>
      </c>
      <c r="P42" s="152">
        <v>0</v>
      </c>
      <c r="Q42" s="153">
        <v>100</v>
      </c>
      <c r="R42" s="154">
        <v>0</v>
      </c>
      <c r="S42" s="38">
        <f t="shared" si="0"/>
        <v>1</v>
      </c>
      <c r="T42" s="39">
        <f t="shared" si="1"/>
        <v>9</v>
      </c>
      <c r="U42" s="40">
        <f t="shared" si="2"/>
        <v>0</v>
      </c>
      <c r="V42" s="40">
        <f t="shared" si="3"/>
        <v>0</v>
      </c>
      <c r="W42" s="40">
        <f t="shared" si="4"/>
        <v>0</v>
      </c>
      <c r="X42" s="40">
        <f t="shared" si="5"/>
        <v>0</v>
      </c>
      <c r="Y42" s="40">
        <f t="shared" si="6"/>
        <v>0</v>
      </c>
      <c r="Z42" s="40">
        <f t="shared" si="7"/>
        <v>0</v>
      </c>
      <c r="AA42" s="40">
        <f t="shared" si="8"/>
        <v>0</v>
      </c>
      <c r="AB42" s="40">
        <f t="shared" si="10"/>
        <v>0</v>
      </c>
      <c r="AC42" s="41">
        <f t="shared" si="11"/>
        <v>0</v>
      </c>
      <c r="AD42" s="49"/>
      <c r="AE42" s="50"/>
      <c r="AF42" s="49" t="s">
        <v>5</v>
      </c>
      <c r="AG42" s="50" t="s">
        <v>133</v>
      </c>
      <c r="AH42" s="49"/>
      <c r="AI42" s="50"/>
      <c r="AJ42" s="49" t="s">
        <v>5</v>
      </c>
      <c r="AK42" s="50" t="s">
        <v>137</v>
      </c>
      <c r="AL42" s="49"/>
      <c r="AM42" s="50"/>
      <c r="AN42" s="49"/>
      <c r="AO42" s="50"/>
      <c r="AP42" s="49"/>
      <c r="AQ42" s="50"/>
      <c r="AR42" s="49" t="s">
        <v>5</v>
      </c>
      <c r="AS42" s="50" t="s">
        <v>459</v>
      </c>
      <c r="AT42" s="49"/>
      <c r="AU42" s="50"/>
      <c r="AV42" s="49"/>
      <c r="AW42" s="50"/>
      <c r="AX42" s="49" t="s">
        <v>5</v>
      </c>
      <c r="AY42" s="50" t="s">
        <v>109</v>
      </c>
      <c r="AZ42" s="49" t="s">
        <v>5</v>
      </c>
      <c r="BA42" s="50" t="s">
        <v>84</v>
      </c>
      <c r="BB42" s="49"/>
      <c r="BC42" s="50"/>
      <c r="BD42" s="49"/>
      <c r="BE42" s="50"/>
      <c r="BF42" s="49"/>
      <c r="BG42" s="50"/>
      <c r="BH42" s="49" t="s">
        <v>5</v>
      </c>
      <c r="BI42" s="50" t="s">
        <v>139</v>
      </c>
      <c r="BJ42" s="49"/>
      <c r="BK42" s="50"/>
      <c r="BL42" s="49"/>
      <c r="BM42" s="50"/>
      <c r="BN42" s="49" t="s">
        <v>1</v>
      </c>
      <c r="BO42" s="50" t="s">
        <v>107</v>
      </c>
      <c r="BP42" s="49" t="s">
        <v>5</v>
      </c>
      <c r="BQ42" s="50" t="s">
        <v>96</v>
      </c>
      <c r="BR42" s="49" t="s">
        <v>5</v>
      </c>
      <c r="BS42" s="50" t="s">
        <v>98</v>
      </c>
      <c r="BT42" s="49"/>
      <c r="BU42" s="50"/>
      <c r="BV42" s="49" t="s">
        <v>5</v>
      </c>
      <c r="BW42" s="50" t="s">
        <v>108</v>
      </c>
      <c r="BX42" s="49"/>
      <c r="BY42" s="50"/>
      <c r="BZ42" s="49"/>
      <c r="CA42" s="50"/>
    </row>
    <row r="43" spans="1:79" x14ac:dyDescent="0.25">
      <c r="A43" s="76">
        <v>151725</v>
      </c>
      <c r="B43" s="77" t="s">
        <v>763</v>
      </c>
      <c r="C43" s="78" t="s">
        <v>736</v>
      </c>
      <c r="D43" s="76" t="s">
        <v>70</v>
      </c>
      <c r="E43" s="79" t="s">
        <v>14</v>
      </c>
      <c r="F43" s="79" t="s">
        <v>71</v>
      </c>
      <c r="G43" s="79" t="s">
        <v>14</v>
      </c>
      <c r="H43" s="79" t="s">
        <v>14</v>
      </c>
      <c r="I43" s="78" t="s">
        <v>14</v>
      </c>
      <c r="J43" s="79" t="s">
        <v>14</v>
      </c>
      <c r="K43" s="142" t="s">
        <v>1850</v>
      </c>
      <c r="L43" s="149" t="s">
        <v>1841</v>
      </c>
      <c r="M43" s="150" t="s">
        <v>1853</v>
      </c>
      <c r="N43" s="151">
        <v>12</v>
      </c>
      <c r="O43" s="151">
        <v>0</v>
      </c>
      <c r="P43" s="152">
        <v>0</v>
      </c>
      <c r="Q43" s="153">
        <v>100</v>
      </c>
      <c r="R43" s="154">
        <v>0</v>
      </c>
      <c r="S43" s="38">
        <f t="shared" si="0"/>
        <v>2</v>
      </c>
      <c r="T43" s="39">
        <f t="shared" si="1"/>
        <v>7</v>
      </c>
      <c r="U43" s="40">
        <f t="shared" si="2"/>
        <v>0</v>
      </c>
      <c r="V43" s="40">
        <f t="shared" si="3"/>
        <v>0</v>
      </c>
      <c r="W43" s="40">
        <f t="shared" si="4"/>
        <v>0</v>
      </c>
      <c r="X43" s="40">
        <f t="shared" si="5"/>
        <v>0</v>
      </c>
      <c r="Y43" s="40">
        <f t="shared" si="6"/>
        <v>0</v>
      </c>
      <c r="Z43" s="40">
        <f t="shared" si="7"/>
        <v>0</v>
      </c>
      <c r="AA43" s="40">
        <f t="shared" si="8"/>
        <v>0</v>
      </c>
      <c r="AB43" s="40">
        <f t="shared" si="10"/>
        <v>0</v>
      </c>
      <c r="AC43" s="41">
        <f t="shared" si="11"/>
        <v>0</v>
      </c>
      <c r="AD43" s="49"/>
      <c r="AE43" s="50"/>
      <c r="AF43" s="49" t="s">
        <v>5</v>
      </c>
      <c r="AG43" s="50" t="s">
        <v>133</v>
      </c>
      <c r="AH43" s="49" t="s">
        <v>1</v>
      </c>
      <c r="AI43" s="50" t="s">
        <v>427</v>
      </c>
      <c r="AJ43" s="49" t="s">
        <v>5</v>
      </c>
      <c r="AK43" s="50" t="s">
        <v>137</v>
      </c>
      <c r="AL43" s="49"/>
      <c r="AM43" s="50"/>
      <c r="AN43" s="49"/>
      <c r="AO43" s="50"/>
      <c r="AP43" s="49"/>
      <c r="AQ43" s="50"/>
      <c r="AR43" s="49" t="s">
        <v>1</v>
      </c>
      <c r="AS43" s="50" t="s">
        <v>478</v>
      </c>
      <c r="AT43" s="49"/>
      <c r="AU43" s="50"/>
      <c r="AV43" s="49"/>
      <c r="AW43" s="50"/>
      <c r="AX43" s="49" t="s">
        <v>5</v>
      </c>
      <c r="AY43" s="50" t="s">
        <v>91</v>
      </c>
      <c r="AZ43" s="49"/>
      <c r="BA43" s="50"/>
      <c r="BB43" s="49"/>
      <c r="BC43" s="50"/>
      <c r="BD43" s="49"/>
      <c r="BE43" s="50"/>
      <c r="BF43" s="49"/>
      <c r="BG43" s="50"/>
      <c r="BH43" s="49" t="s">
        <v>5</v>
      </c>
      <c r="BI43" s="50" t="s">
        <v>139</v>
      </c>
      <c r="BJ43" s="49"/>
      <c r="BK43" s="50"/>
      <c r="BL43" s="49"/>
      <c r="BM43" s="50"/>
      <c r="BN43" s="49" t="s">
        <v>5</v>
      </c>
      <c r="BO43" s="50" t="s">
        <v>152</v>
      </c>
      <c r="BP43" s="49"/>
      <c r="BQ43" s="50"/>
      <c r="BR43" s="49" t="s">
        <v>5</v>
      </c>
      <c r="BS43" s="50" t="s">
        <v>98</v>
      </c>
      <c r="BT43" s="49"/>
      <c r="BU43" s="50"/>
      <c r="BV43" s="49" t="s">
        <v>5</v>
      </c>
      <c r="BW43" s="50" t="s">
        <v>108</v>
      </c>
      <c r="BX43" s="49"/>
      <c r="BY43" s="50"/>
      <c r="BZ43" s="49" t="s">
        <v>5</v>
      </c>
      <c r="CA43" s="50" t="s">
        <v>124</v>
      </c>
    </row>
    <row r="44" spans="1:79" x14ac:dyDescent="0.25">
      <c r="A44" s="76">
        <v>151605</v>
      </c>
      <c r="B44" s="77" t="s">
        <v>764</v>
      </c>
      <c r="C44" s="78" t="s">
        <v>710</v>
      </c>
      <c r="D44" s="76" t="s">
        <v>70</v>
      </c>
      <c r="E44" s="79" t="s">
        <v>14</v>
      </c>
      <c r="F44" s="79" t="s">
        <v>71</v>
      </c>
      <c r="G44" s="79" t="s">
        <v>14</v>
      </c>
      <c r="H44" s="79" t="s">
        <v>14</v>
      </c>
      <c r="I44" s="78" t="s">
        <v>14</v>
      </c>
      <c r="J44" s="79" t="s">
        <v>14</v>
      </c>
      <c r="K44" s="142" t="s">
        <v>1850</v>
      </c>
      <c r="L44" s="149" t="s">
        <v>1842</v>
      </c>
      <c r="M44" s="150" t="s">
        <v>1853</v>
      </c>
      <c r="N44" s="151">
        <v>11</v>
      </c>
      <c r="O44" s="151">
        <v>0</v>
      </c>
      <c r="P44" s="152">
        <v>0</v>
      </c>
      <c r="Q44" s="153">
        <v>100</v>
      </c>
      <c r="R44" s="154">
        <v>0</v>
      </c>
      <c r="S44" s="38">
        <f t="shared" si="0"/>
        <v>2</v>
      </c>
      <c r="T44" s="39">
        <f t="shared" si="1"/>
        <v>7</v>
      </c>
      <c r="U44" s="40">
        <f t="shared" si="2"/>
        <v>0</v>
      </c>
      <c r="V44" s="40">
        <f t="shared" si="3"/>
        <v>0</v>
      </c>
      <c r="W44" s="40">
        <f t="shared" si="4"/>
        <v>0</v>
      </c>
      <c r="X44" s="40">
        <f t="shared" si="5"/>
        <v>0</v>
      </c>
      <c r="Y44" s="40">
        <f t="shared" si="6"/>
        <v>0</v>
      </c>
      <c r="Z44" s="40">
        <f t="shared" si="7"/>
        <v>0</v>
      </c>
      <c r="AA44" s="40">
        <f t="shared" si="8"/>
        <v>0</v>
      </c>
      <c r="AB44" s="40">
        <f t="shared" si="10"/>
        <v>0</v>
      </c>
      <c r="AC44" s="41">
        <f t="shared" si="11"/>
        <v>0</v>
      </c>
      <c r="AD44" s="49"/>
      <c r="AE44" s="50"/>
      <c r="AF44" s="49" t="s">
        <v>5</v>
      </c>
      <c r="AG44" s="50" t="s">
        <v>133</v>
      </c>
      <c r="AH44" s="49"/>
      <c r="AI44" s="50"/>
      <c r="AJ44" s="49" t="s">
        <v>5</v>
      </c>
      <c r="AK44" s="50" t="s">
        <v>137</v>
      </c>
      <c r="AL44" s="49"/>
      <c r="AM44" s="50"/>
      <c r="AN44" s="49"/>
      <c r="AO44" s="50"/>
      <c r="AP44" s="49"/>
      <c r="AQ44" s="50"/>
      <c r="AR44" s="49" t="s">
        <v>5</v>
      </c>
      <c r="AS44" s="50" t="s">
        <v>459</v>
      </c>
      <c r="AT44" s="49"/>
      <c r="AU44" s="50"/>
      <c r="AV44" s="49"/>
      <c r="AW44" s="50"/>
      <c r="AX44" s="49" t="s">
        <v>5</v>
      </c>
      <c r="AY44" s="50" t="s">
        <v>711</v>
      </c>
      <c r="AZ44" s="49"/>
      <c r="BA44" s="50"/>
      <c r="BB44" s="49"/>
      <c r="BC44" s="50"/>
      <c r="BD44" s="49"/>
      <c r="BE44" s="50"/>
      <c r="BF44" s="49" t="s">
        <v>5</v>
      </c>
      <c r="BG44" s="50" t="s">
        <v>93</v>
      </c>
      <c r="BH44" s="49" t="s">
        <v>5</v>
      </c>
      <c r="BI44" s="50" t="s">
        <v>106</v>
      </c>
      <c r="BJ44" s="49"/>
      <c r="BK44" s="50"/>
      <c r="BL44" s="49"/>
      <c r="BM44" s="50"/>
      <c r="BN44" s="49" t="s">
        <v>1</v>
      </c>
      <c r="BO44" s="50" t="s">
        <v>81</v>
      </c>
      <c r="BP44" s="49"/>
      <c r="BQ44" s="50"/>
      <c r="BR44" s="49" t="s">
        <v>5</v>
      </c>
      <c r="BS44" s="50" t="s">
        <v>98</v>
      </c>
      <c r="BT44" s="49"/>
      <c r="BU44" s="50"/>
      <c r="BV44" s="49" t="s">
        <v>1</v>
      </c>
      <c r="BW44" s="50" t="s">
        <v>495</v>
      </c>
      <c r="BX44" s="49"/>
      <c r="BY44" s="50"/>
      <c r="BZ44" s="49" t="s">
        <v>1</v>
      </c>
      <c r="CA44" s="50" t="s">
        <v>75</v>
      </c>
    </row>
    <row r="45" spans="1:79" x14ac:dyDescent="0.25">
      <c r="A45" s="76">
        <v>151573</v>
      </c>
      <c r="B45" s="77" t="s">
        <v>765</v>
      </c>
      <c r="C45" s="78" t="s">
        <v>725</v>
      </c>
      <c r="D45" s="76" t="s">
        <v>70</v>
      </c>
      <c r="E45" s="79" t="s">
        <v>14</v>
      </c>
      <c r="F45" s="79" t="s">
        <v>71</v>
      </c>
      <c r="G45" s="79" t="s">
        <v>14</v>
      </c>
      <c r="H45" s="79" t="s">
        <v>14</v>
      </c>
      <c r="I45" s="78" t="s">
        <v>14</v>
      </c>
      <c r="J45" s="79" t="s">
        <v>14</v>
      </c>
      <c r="K45" s="142" t="s">
        <v>1851</v>
      </c>
      <c r="L45" s="149" t="s">
        <v>1845</v>
      </c>
      <c r="M45" s="150" t="s">
        <v>12</v>
      </c>
      <c r="N45" s="151">
        <v>14</v>
      </c>
      <c r="O45" s="151">
        <v>0</v>
      </c>
      <c r="P45" s="152">
        <v>0</v>
      </c>
      <c r="Q45" s="153">
        <v>91.3</v>
      </c>
      <c r="R45" s="154">
        <v>0</v>
      </c>
      <c r="S45" s="38">
        <f t="shared" si="0"/>
        <v>0</v>
      </c>
      <c r="T45" s="39">
        <f t="shared" si="1"/>
        <v>10</v>
      </c>
      <c r="U45" s="40">
        <f t="shared" si="2"/>
        <v>0</v>
      </c>
      <c r="V45" s="40">
        <f t="shared" si="3"/>
        <v>0</v>
      </c>
      <c r="W45" s="40">
        <f t="shared" si="4"/>
        <v>0</v>
      </c>
      <c r="X45" s="40">
        <f t="shared" si="5"/>
        <v>0</v>
      </c>
      <c r="Y45" s="40">
        <f t="shared" si="6"/>
        <v>0</v>
      </c>
      <c r="Z45" s="40">
        <f t="shared" si="7"/>
        <v>0</v>
      </c>
      <c r="AA45" s="40">
        <f t="shared" si="8"/>
        <v>0</v>
      </c>
      <c r="AB45" s="40">
        <f t="shared" si="10"/>
        <v>0</v>
      </c>
      <c r="AC45" s="41">
        <f t="shared" si="11"/>
        <v>0</v>
      </c>
      <c r="AD45" s="49"/>
      <c r="AE45" s="50"/>
      <c r="AF45" s="49" t="s">
        <v>5</v>
      </c>
      <c r="AG45" s="50" t="s">
        <v>433</v>
      </c>
      <c r="AH45" s="49"/>
      <c r="AI45" s="50"/>
      <c r="AJ45" s="49" t="s">
        <v>5</v>
      </c>
      <c r="AK45" s="50" t="s">
        <v>714</v>
      </c>
      <c r="AL45" s="49"/>
      <c r="AM45" s="50"/>
      <c r="AN45" s="49"/>
      <c r="AO45" s="50"/>
      <c r="AP45" s="49"/>
      <c r="AQ45" s="50"/>
      <c r="AR45" s="49" t="s">
        <v>5</v>
      </c>
      <c r="AS45" s="50" t="s">
        <v>102</v>
      </c>
      <c r="AT45" s="49"/>
      <c r="AU45" s="50"/>
      <c r="AV45" s="49"/>
      <c r="AW45" s="50"/>
      <c r="AX45" s="49" t="s">
        <v>5</v>
      </c>
      <c r="AY45" s="50" t="s">
        <v>109</v>
      </c>
      <c r="AZ45" s="49" t="s">
        <v>5</v>
      </c>
      <c r="BA45" s="50" t="s">
        <v>143</v>
      </c>
      <c r="BB45" s="49" t="s">
        <v>5</v>
      </c>
      <c r="BC45" s="50" t="s">
        <v>92</v>
      </c>
      <c r="BD45" s="49"/>
      <c r="BE45" s="50"/>
      <c r="BF45" s="49"/>
      <c r="BG45" s="50"/>
      <c r="BH45" s="49" t="s">
        <v>5</v>
      </c>
      <c r="BI45" s="50" t="s">
        <v>505</v>
      </c>
      <c r="BJ45" s="49"/>
      <c r="BK45" s="50"/>
      <c r="BL45" s="49"/>
      <c r="BM45" s="50"/>
      <c r="BN45" s="49" t="s">
        <v>5</v>
      </c>
      <c r="BO45" s="50" t="s">
        <v>121</v>
      </c>
      <c r="BP45" s="49"/>
      <c r="BQ45" s="50"/>
      <c r="BR45" s="49" t="s">
        <v>5</v>
      </c>
      <c r="BS45" s="50" t="s">
        <v>123</v>
      </c>
      <c r="BT45" s="49"/>
      <c r="BU45" s="50"/>
      <c r="BV45" s="49" t="s">
        <v>5</v>
      </c>
      <c r="BW45" s="50" t="s">
        <v>495</v>
      </c>
      <c r="BX45" s="49"/>
      <c r="BY45" s="50"/>
      <c r="BZ45" s="49"/>
      <c r="CA45" s="50"/>
    </row>
    <row r="46" spans="1:79" x14ac:dyDescent="0.25">
      <c r="A46" s="76">
        <v>151695</v>
      </c>
      <c r="B46" s="77" t="s">
        <v>766</v>
      </c>
      <c r="C46" s="78" t="s">
        <v>725</v>
      </c>
      <c r="D46" s="76" t="s">
        <v>70</v>
      </c>
      <c r="E46" s="79" t="s">
        <v>14</v>
      </c>
      <c r="F46" s="79" t="s">
        <v>71</v>
      </c>
      <c r="G46" s="79" t="s">
        <v>14</v>
      </c>
      <c r="H46" s="79" t="s">
        <v>14</v>
      </c>
      <c r="I46" s="78" t="s">
        <v>14</v>
      </c>
      <c r="J46" s="79" t="s">
        <v>14</v>
      </c>
      <c r="K46" s="142" t="s">
        <v>1850</v>
      </c>
      <c r="L46" s="149" t="s">
        <v>1845</v>
      </c>
      <c r="M46" s="150" t="s">
        <v>12</v>
      </c>
      <c r="N46" s="151">
        <v>15</v>
      </c>
      <c r="O46" s="151">
        <v>2</v>
      </c>
      <c r="P46" s="152">
        <v>4</v>
      </c>
      <c r="Q46" s="153">
        <v>100</v>
      </c>
      <c r="R46" s="154">
        <v>0</v>
      </c>
      <c r="S46" s="38">
        <f t="shared" si="0"/>
        <v>1</v>
      </c>
      <c r="T46" s="39">
        <f t="shared" si="1"/>
        <v>6</v>
      </c>
      <c r="U46" s="40">
        <f t="shared" si="2"/>
        <v>1</v>
      </c>
      <c r="V46" s="40">
        <f t="shared" si="3"/>
        <v>0</v>
      </c>
      <c r="W46" s="40">
        <f t="shared" si="4"/>
        <v>1</v>
      </c>
      <c r="X46" s="40">
        <f t="shared" si="5"/>
        <v>2</v>
      </c>
      <c r="Y46" s="40">
        <f t="shared" si="6"/>
        <v>0</v>
      </c>
      <c r="Z46" s="40">
        <f t="shared" si="7"/>
        <v>0</v>
      </c>
      <c r="AA46" s="40">
        <f t="shared" si="8"/>
        <v>0</v>
      </c>
      <c r="AB46" s="40">
        <f t="shared" si="10"/>
        <v>0</v>
      </c>
      <c r="AC46" s="41">
        <f t="shared" si="11"/>
        <v>0</v>
      </c>
      <c r="AD46" s="49"/>
      <c r="AE46" s="50"/>
      <c r="AF46" s="49"/>
      <c r="AG46" s="50"/>
      <c r="AH46" s="49"/>
      <c r="AI46" s="50"/>
      <c r="AJ46" s="49"/>
      <c r="AK46" s="50"/>
      <c r="AL46" s="49" t="s">
        <v>30</v>
      </c>
      <c r="AM46" s="50" t="s">
        <v>425</v>
      </c>
      <c r="AN46" s="49"/>
      <c r="AO46" s="50"/>
      <c r="AP46" s="49"/>
      <c r="AQ46" s="50"/>
      <c r="AR46" s="49" t="s">
        <v>5</v>
      </c>
      <c r="AS46" s="50" t="s">
        <v>102</v>
      </c>
      <c r="AT46" s="49"/>
      <c r="AU46" s="50"/>
      <c r="AV46" s="49" t="s">
        <v>5</v>
      </c>
      <c r="AW46" s="50" t="s">
        <v>73</v>
      </c>
      <c r="AX46" s="49" t="s">
        <v>5</v>
      </c>
      <c r="AY46" s="50" t="s">
        <v>109</v>
      </c>
      <c r="AZ46" s="49" t="s">
        <v>5</v>
      </c>
      <c r="BA46" s="50" t="s">
        <v>143</v>
      </c>
      <c r="BB46" s="49"/>
      <c r="BC46" s="50"/>
      <c r="BD46" s="49"/>
      <c r="BE46" s="50"/>
      <c r="BF46" s="49"/>
      <c r="BG46" s="50"/>
      <c r="BH46" s="49" t="s">
        <v>1</v>
      </c>
      <c r="BI46" s="50" t="s">
        <v>94</v>
      </c>
      <c r="BJ46" s="49"/>
      <c r="BK46" s="50"/>
      <c r="BL46" s="49"/>
      <c r="BM46" s="50"/>
      <c r="BN46" s="49" t="s">
        <v>32</v>
      </c>
      <c r="BO46" s="50" t="s">
        <v>81</v>
      </c>
      <c r="BP46" s="49"/>
      <c r="BQ46" s="50"/>
      <c r="BR46" s="49"/>
      <c r="BS46" s="50"/>
      <c r="BT46" s="49"/>
      <c r="BU46" s="50"/>
      <c r="BV46" s="49" t="s">
        <v>5</v>
      </c>
      <c r="BW46" s="50" t="s">
        <v>457</v>
      </c>
      <c r="BX46" s="49" t="s">
        <v>5</v>
      </c>
      <c r="BY46" s="50" t="s">
        <v>206</v>
      </c>
      <c r="BZ46" s="49"/>
      <c r="CA46" s="50"/>
    </row>
    <row r="47" spans="1:79" x14ac:dyDescent="0.25">
      <c r="A47" s="76">
        <v>151541</v>
      </c>
      <c r="B47" s="77" t="s">
        <v>767</v>
      </c>
      <c r="C47" s="78" t="s">
        <v>732</v>
      </c>
      <c r="D47" s="76" t="s">
        <v>12</v>
      </c>
      <c r="E47" s="79" t="s">
        <v>14</v>
      </c>
      <c r="F47" s="79" t="s">
        <v>146</v>
      </c>
      <c r="G47" s="79" t="s">
        <v>14</v>
      </c>
      <c r="H47" s="79" t="s">
        <v>14</v>
      </c>
      <c r="I47" s="78" t="s">
        <v>14</v>
      </c>
      <c r="J47" s="79" t="s">
        <v>14</v>
      </c>
      <c r="K47" s="142" t="s">
        <v>1850</v>
      </c>
      <c r="L47" s="149" t="s">
        <v>1841</v>
      </c>
      <c r="M47" s="150" t="s">
        <v>1853</v>
      </c>
      <c r="N47" s="151">
        <v>16</v>
      </c>
      <c r="O47" s="151">
        <v>0</v>
      </c>
      <c r="P47" s="152">
        <v>0</v>
      </c>
      <c r="Q47" s="153">
        <v>97.83</v>
      </c>
      <c r="R47" s="154">
        <v>0</v>
      </c>
      <c r="S47" s="38">
        <f t="shared" si="0"/>
        <v>2</v>
      </c>
      <c r="T47" s="39">
        <f t="shared" si="1"/>
        <v>7</v>
      </c>
      <c r="U47" s="40">
        <f t="shared" si="2"/>
        <v>0</v>
      </c>
      <c r="V47" s="40">
        <f t="shared" si="3"/>
        <v>0</v>
      </c>
      <c r="W47" s="40">
        <f t="shared" si="4"/>
        <v>0</v>
      </c>
      <c r="X47" s="40">
        <f t="shared" si="5"/>
        <v>0</v>
      </c>
      <c r="Y47" s="40">
        <f t="shared" si="6"/>
        <v>0</v>
      </c>
      <c r="Z47" s="40">
        <f t="shared" si="7"/>
        <v>0</v>
      </c>
      <c r="AA47" s="40">
        <f t="shared" si="8"/>
        <v>0</v>
      </c>
      <c r="AB47" s="40">
        <f t="shared" si="10"/>
        <v>0</v>
      </c>
      <c r="AC47" s="41">
        <f t="shared" si="11"/>
        <v>0</v>
      </c>
      <c r="AD47" s="49"/>
      <c r="AE47" s="50"/>
      <c r="AF47" s="49" t="s">
        <v>5</v>
      </c>
      <c r="AG47" s="50" t="s">
        <v>438</v>
      </c>
      <c r="AH47" s="49"/>
      <c r="AI47" s="50"/>
      <c r="AJ47" s="49" t="s">
        <v>5</v>
      </c>
      <c r="AK47" s="50" t="s">
        <v>83</v>
      </c>
      <c r="AL47" s="49"/>
      <c r="AM47" s="50"/>
      <c r="AN47" s="49"/>
      <c r="AO47" s="50"/>
      <c r="AP47" s="49"/>
      <c r="AQ47" s="50"/>
      <c r="AR47" s="49" t="s">
        <v>5</v>
      </c>
      <c r="AS47" s="50" t="s">
        <v>722</v>
      </c>
      <c r="AT47" s="49"/>
      <c r="AU47" s="50"/>
      <c r="AV47" s="49"/>
      <c r="AW47" s="50"/>
      <c r="AX47" s="49" t="s">
        <v>5</v>
      </c>
      <c r="AY47" s="50" t="s">
        <v>124</v>
      </c>
      <c r="AZ47" s="49"/>
      <c r="BA47" s="50"/>
      <c r="BB47" s="49"/>
      <c r="BC47" s="50"/>
      <c r="BD47" s="49"/>
      <c r="BE47" s="50"/>
      <c r="BF47" s="49"/>
      <c r="BG47" s="50"/>
      <c r="BH47" s="49" t="s">
        <v>5</v>
      </c>
      <c r="BI47" s="50" t="s">
        <v>139</v>
      </c>
      <c r="BJ47" s="49"/>
      <c r="BK47" s="50"/>
      <c r="BL47" s="49"/>
      <c r="BM47" s="50"/>
      <c r="BN47" s="49" t="s">
        <v>1</v>
      </c>
      <c r="BO47" s="50" t="s">
        <v>96</v>
      </c>
      <c r="BP47" s="49" t="s">
        <v>1</v>
      </c>
      <c r="BQ47" s="50" t="s">
        <v>96</v>
      </c>
      <c r="BR47" s="49" t="s">
        <v>5</v>
      </c>
      <c r="BS47" s="50" t="s">
        <v>123</v>
      </c>
      <c r="BT47" s="49"/>
      <c r="BU47" s="50"/>
      <c r="BV47" s="49" t="s">
        <v>5</v>
      </c>
      <c r="BW47" s="50" t="s">
        <v>108</v>
      </c>
      <c r="BX47" s="49"/>
      <c r="BY47" s="50"/>
      <c r="BZ47" s="49" t="s">
        <v>5</v>
      </c>
      <c r="CA47" s="50" t="s">
        <v>75</v>
      </c>
    </row>
    <row r="48" spans="1:79" x14ac:dyDescent="0.25">
      <c r="A48" s="76">
        <v>151554</v>
      </c>
      <c r="B48" s="77" t="s">
        <v>768</v>
      </c>
      <c r="C48" s="78" t="s">
        <v>713</v>
      </c>
      <c r="D48" s="76" t="s">
        <v>70</v>
      </c>
      <c r="E48" s="79" t="s">
        <v>14</v>
      </c>
      <c r="F48" s="79" t="s">
        <v>71</v>
      </c>
      <c r="G48" s="79" t="s">
        <v>14</v>
      </c>
      <c r="H48" s="79" t="s">
        <v>14</v>
      </c>
      <c r="I48" s="78" t="s">
        <v>14</v>
      </c>
      <c r="J48" s="79" t="s">
        <v>14</v>
      </c>
      <c r="K48" s="142" t="s">
        <v>1850</v>
      </c>
      <c r="L48" s="149" t="s">
        <v>1842</v>
      </c>
      <c r="M48" s="150" t="s">
        <v>1853</v>
      </c>
      <c r="N48" s="151">
        <v>9</v>
      </c>
      <c r="O48" s="151">
        <v>0</v>
      </c>
      <c r="P48" s="152">
        <v>0</v>
      </c>
      <c r="Q48" s="153">
        <v>58.7</v>
      </c>
      <c r="R48" s="154">
        <v>0</v>
      </c>
      <c r="S48" s="38">
        <f t="shared" si="0"/>
        <v>0</v>
      </c>
      <c r="T48" s="39">
        <f t="shared" si="1"/>
        <v>7</v>
      </c>
      <c r="U48" s="40">
        <f t="shared" si="2"/>
        <v>0</v>
      </c>
      <c r="V48" s="40">
        <f t="shared" si="3"/>
        <v>0</v>
      </c>
      <c r="W48" s="40">
        <f t="shared" si="4"/>
        <v>0</v>
      </c>
      <c r="X48" s="40">
        <f t="shared" si="5"/>
        <v>0</v>
      </c>
      <c r="Y48" s="40">
        <f t="shared" si="6"/>
        <v>0</v>
      </c>
      <c r="Z48" s="40">
        <f t="shared" si="7"/>
        <v>0</v>
      </c>
      <c r="AA48" s="40">
        <f t="shared" si="8"/>
        <v>0</v>
      </c>
      <c r="AB48" s="40">
        <f t="shared" si="10"/>
        <v>0</v>
      </c>
      <c r="AC48" s="41">
        <f t="shared" si="11"/>
        <v>0</v>
      </c>
      <c r="AD48" s="49"/>
      <c r="AE48" s="50"/>
      <c r="AF48" s="49" t="s">
        <v>5</v>
      </c>
      <c r="AG48" s="50" t="s">
        <v>133</v>
      </c>
      <c r="AH48" s="49"/>
      <c r="AI48" s="50"/>
      <c r="AJ48" s="49" t="s">
        <v>5</v>
      </c>
      <c r="AK48" s="50" t="s">
        <v>164</v>
      </c>
      <c r="AL48" s="49"/>
      <c r="AM48" s="50"/>
      <c r="AN48" s="49"/>
      <c r="AO48" s="50"/>
      <c r="AP48" s="49"/>
      <c r="AQ48" s="50"/>
      <c r="AR48" s="49" t="s">
        <v>5</v>
      </c>
      <c r="AS48" s="50" t="s">
        <v>459</v>
      </c>
      <c r="AT48" s="49"/>
      <c r="AU48" s="50"/>
      <c r="AV48" s="49"/>
      <c r="AW48" s="50"/>
      <c r="AX48" s="49" t="s">
        <v>5</v>
      </c>
      <c r="AY48" s="50" t="s">
        <v>103</v>
      </c>
      <c r="AZ48" s="49"/>
      <c r="BA48" s="50"/>
      <c r="BB48" s="49"/>
      <c r="BC48" s="50"/>
      <c r="BD48" s="49"/>
      <c r="BE48" s="50"/>
      <c r="BF48" s="49"/>
      <c r="BG48" s="50"/>
      <c r="BH48" s="49" t="s">
        <v>5</v>
      </c>
      <c r="BI48" s="50" t="s">
        <v>430</v>
      </c>
      <c r="BJ48" s="49"/>
      <c r="BK48" s="50"/>
      <c r="BL48" s="49"/>
      <c r="BM48" s="50"/>
      <c r="BN48" s="49" t="s">
        <v>189</v>
      </c>
      <c r="BO48" s="50" t="s">
        <v>152</v>
      </c>
      <c r="BP48" s="49"/>
      <c r="BQ48" s="50" t="s">
        <v>96</v>
      </c>
      <c r="BR48" s="49" t="s">
        <v>5</v>
      </c>
      <c r="BS48" s="50" t="s">
        <v>140</v>
      </c>
      <c r="BT48" s="49"/>
      <c r="BU48" s="50"/>
      <c r="BV48" s="49" t="s">
        <v>5</v>
      </c>
      <c r="BW48" s="50" t="s">
        <v>495</v>
      </c>
      <c r="BX48" s="49"/>
      <c r="BY48" s="50"/>
      <c r="BZ48" s="49" t="s">
        <v>5</v>
      </c>
      <c r="CA48" s="50" t="s">
        <v>124</v>
      </c>
    </row>
    <row r="49" spans="1:79" x14ac:dyDescent="0.25">
      <c r="A49" s="76">
        <v>151534</v>
      </c>
      <c r="B49" s="77" t="s">
        <v>769</v>
      </c>
      <c r="C49" s="78" t="s">
        <v>725</v>
      </c>
      <c r="D49" s="76" t="s">
        <v>70</v>
      </c>
      <c r="E49" s="79" t="s">
        <v>14</v>
      </c>
      <c r="F49" s="79" t="s">
        <v>184</v>
      </c>
      <c r="G49" s="79" t="s">
        <v>14</v>
      </c>
      <c r="H49" s="79" t="s">
        <v>14</v>
      </c>
      <c r="I49" s="78" t="s">
        <v>14</v>
      </c>
      <c r="J49" s="79" t="s">
        <v>14</v>
      </c>
      <c r="K49" s="142" t="s">
        <v>1850</v>
      </c>
      <c r="L49" s="149" t="s">
        <v>1844</v>
      </c>
      <c r="M49" s="150" t="s">
        <v>12</v>
      </c>
      <c r="N49" s="151">
        <v>20</v>
      </c>
      <c r="O49" s="151">
        <v>0</v>
      </c>
      <c r="P49" s="152">
        <v>1</v>
      </c>
      <c r="Q49" s="153">
        <v>95.65</v>
      </c>
      <c r="R49" s="154">
        <v>0</v>
      </c>
      <c r="S49" s="38">
        <f t="shared" si="0"/>
        <v>3</v>
      </c>
      <c r="T49" s="39">
        <f t="shared" si="1"/>
        <v>6</v>
      </c>
      <c r="U49" s="40">
        <f t="shared" si="2"/>
        <v>0</v>
      </c>
      <c r="V49" s="40">
        <f t="shared" si="3"/>
        <v>0</v>
      </c>
      <c r="W49" s="40">
        <f t="shared" si="4"/>
        <v>0</v>
      </c>
      <c r="X49" s="40">
        <f t="shared" si="5"/>
        <v>0</v>
      </c>
      <c r="Y49" s="40">
        <f t="shared" si="6"/>
        <v>0</v>
      </c>
      <c r="Z49" s="40">
        <f t="shared" si="7"/>
        <v>0</v>
      </c>
      <c r="AA49" s="40">
        <f t="shared" si="8"/>
        <v>0</v>
      </c>
      <c r="AB49" s="40">
        <f t="shared" si="10"/>
        <v>0</v>
      </c>
      <c r="AC49" s="41">
        <f t="shared" si="11"/>
        <v>0</v>
      </c>
      <c r="AD49" s="49"/>
      <c r="AE49" s="50"/>
      <c r="AF49" s="49"/>
      <c r="AG49" s="50"/>
      <c r="AH49" s="49"/>
      <c r="AI49" s="50"/>
      <c r="AJ49" s="49"/>
      <c r="AK49" s="50"/>
      <c r="AL49" s="49"/>
      <c r="AM49" s="50"/>
      <c r="AN49" s="49"/>
      <c r="AO49" s="50"/>
      <c r="AP49" s="49"/>
      <c r="AQ49" s="50"/>
      <c r="AR49" s="49" t="s">
        <v>5</v>
      </c>
      <c r="AS49" s="50" t="s">
        <v>74</v>
      </c>
      <c r="AT49" s="49"/>
      <c r="AU49" s="50"/>
      <c r="AV49" s="49"/>
      <c r="AW49" s="50"/>
      <c r="AX49" s="49" t="s">
        <v>5</v>
      </c>
      <c r="AY49" s="50" t="s">
        <v>109</v>
      </c>
      <c r="AZ49" s="49" t="s">
        <v>5</v>
      </c>
      <c r="BA49" s="50" t="s">
        <v>143</v>
      </c>
      <c r="BB49" s="49"/>
      <c r="BC49" s="50"/>
      <c r="BD49" s="49"/>
      <c r="BE49" s="50"/>
      <c r="BF49" s="49" t="s">
        <v>5</v>
      </c>
      <c r="BG49" s="50" t="s">
        <v>93</v>
      </c>
      <c r="BH49" s="49" t="s">
        <v>5</v>
      </c>
      <c r="BI49" s="50" t="s">
        <v>430</v>
      </c>
      <c r="BJ49" s="49"/>
      <c r="BK49" s="50"/>
      <c r="BL49" s="49" t="s">
        <v>1</v>
      </c>
      <c r="BM49" s="50" t="s">
        <v>89</v>
      </c>
      <c r="BN49" s="49" t="s">
        <v>1</v>
      </c>
      <c r="BO49" s="50" t="s">
        <v>81</v>
      </c>
      <c r="BP49" s="49"/>
      <c r="BQ49" s="50"/>
      <c r="BR49" s="49"/>
      <c r="BS49" s="50"/>
      <c r="BT49" s="49"/>
      <c r="BU49" s="50"/>
      <c r="BV49" s="49" t="s">
        <v>1</v>
      </c>
      <c r="BW49" s="50" t="s">
        <v>715</v>
      </c>
      <c r="BX49" s="49" t="s">
        <v>5</v>
      </c>
      <c r="BY49" s="50" t="s">
        <v>206</v>
      </c>
      <c r="BZ49" s="49"/>
      <c r="CA49" s="50"/>
    </row>
    <row r="50" spans="1:79" x14ac:dyDescent="0.25">
      <c r="A50" s="76">
        <v>160029</v>
      </c>
      <c r="B50" s="77" t="s">
        <v>770</v>
      </c>
      <c r="C50" s="78" t="s">
        <v>713</v>
      </c>
      <c r="D50" s="76" t="s">
        <v>12</v>
      </c>
      <c r="E50" s="79" t="s">
        <v>87</v>
      </c>
      <c r="F50" s="79" t="s">
        <v>539</v>
      </c>
      <c r="G50" s="79" t="s">
        <v>14</v>
      </c>
      <c r="H50" s="79" t="s">
        <v>87</v>
      </c>
      <c r="I50" s="78" t="s">
        <v>14</v>
      </c>
      <c r="J50" s="79" t="s">
        <v>14</v>
      </c>
      <c r="K50" s="142" t="s">
        <v>1850</v>
      </c>
      <c r="L50" s="149" t="s">
        <v>1406</v>
      </c>
      <c r="M50" s="150" t="s">
        <v>1406</v>
      </c>
      <c r="N50" s="151">
        <v>14</v>
      </c>
      <c r="O50" s="151">
        <v>2</v>
      </c>
      <c r="P50" s="152">
        <v>3</v>
      </c>
      <c r="Q50" s="153">
        <v>89.13</v>
      </c>
      <c r="R50" s="154">
        <v>17</v>
      </c>
      <c r="S50" s="38">
        <f t="shared" si="0"/>
        <v>0</v>
      </c>
      <c r="T50" s="39">
        <f t="shared" si="1"/>
        <v>8</v>
      </c>
      <c r="U50" s="40">
        <f t="shared" si="2"/>
        <v>1</v>
      </c>
      <c r="V50" s="40">
        <f t="shared" si="3"/>
        <v>0</v>
      </c>
      <c r="W50" s="40">
        <f t="shared" si="4"/>
        <v>0</v>
      </c>
      <c r="X50" s="40">
        <f t="shared" si="5"/>
        <v>1</v>
      </c>
      <c r="Y50" s="40">
        <f t="shared" si="6"/>
        <v>0</v>
      </c>
      <c r="Z50" s="40">
        <f t="shared" si="7"/>
        <v>0</v>
      </c>
      <c r="AA50" s="40">
        <f t="shared" si="8"/>
        <v>0</v>
      </c>
      <c r="AB50" s="40">
        <f t="shared" si="10"/>
        <v>0</v>
      </c>
      <c r="AC50" s="41">
        <f t="shared" si="11"/>
        <v>0</v>
      </c>
      <c r="AD50" s="49"/>
      <c r="AE50" s="50"/>
      <c r="AF50" s="49" t="s">
        <v>5</v>
      </c>
      <c r="AG50" s="50" t="s">
        <v>438</v>
      </c>
      <c r="AH50" s="49"/>
      <c r="AI50" s="50"/>
      <c r="AJ50" s="49" t="s">
        <v>5</v>
      </c>
      <c r="AK50" s="50" t="s">
        <v>83</v>
      </c>
      <c r="AL50" s="49"/>
      <c r="AM50" s="50"/>
      <c r="AN50" s="49"/>
      <c r="AO50" s="50"/>
      <c r="AP50" s="49"/>
      <c r="AQ50" s="50"/>
      <c r="AR50" s="49" t="s">
        <v>5</v>
      </c>
      <c r="AS50" s="50" t="s">
        <v>459</v>
      </c>
      <c r="AT50" s="49"/>
      <c r="AU50" s="50"/>
      <c r="AV50" s="49"/>
      <c r="AW50" s="50"/>
      <c r="AX50" s="49" t="s">
        <v>30</v>
      </c>
      <c r="AY50" s="50" t="s">
        <v>103</v>
      </c>
      <c r="AZ50" s="49"/>
      <c r="BA50" s="50"/>
      <c r="BB50" s="49"/>
      <c r="BC50" s="50"/>
      <c r="BD50" s="49"/>
      <c r="BE50" s="50"/>
      <c r="BF50" s="49"/>
      <c r="BG50" s="50"/>
      <c r="BH50" s="49" t="s">
        <v>5</v>
      </c>
      <c r="BI50" s="50" t="s">
        <v>139</v>
      </c>
      <c r="BJ50" s="49"/>
      <c r="BK50" s="50"/>
      <c r="BL50" s="49"/>
      <c r="BM50" s="50"/>
      <c r="BN50" s="49" t="s">
        <v>5</v>
      </c>
      <c r="BO50" s="50" t="s">
        <v>107</v>
      </c>
      <c r="BP50" s="49"/>
      <c r="BQ50" s="50"/>
      <c r="BR50" s="49" t="s">
        <v>5</v>
      </c>
      <c r="BS50" s="50" t="s">
        <v>123</v>
      </c>
      <c r="BT50" s="49" t="s">
        <v>5</v>
      </c>
      <c r="BU50" s="50" t="s">
        <v>117</v>
      </c>
      <c r="BV50" s="49" t="s">
        <v>5</v>
      </c>
      <c r="BW50" s="50" t="s">
        <v>82</v>
      </c>
      <c r="BX50" s="49"/>
      <c r="BY50" s="50"/>
      <c r="BZ50" s="49" t="s">
        <v>32</v>
      </c>
      <c r="CA50" s="50" t="s">
        <v>75</v>
      </c>
    </row>
    <row r="51" spans="1:79" x14ac:dyDescent="0.25">
      <c r="A51" s="76">
        <v>151728</v>
      </c>
      <c r="B51" s="77" t="s">
        <v>771</v>
      </c>
      <c r="C51" s="78" t="s">
        <v>710</v>
      </c>
      <c r="D51" s="76" t="s">
        <v>70</v>
      </c>
      <c r="E51" s="79" t="s">
        <v>14</v>
      </c>
      <c r="F51" s="79" t="s">
        <v>503</v>
      </c>
      <c r="G51" s="79" t="s">
        <v>14</v>
      </c>
      <c r="H51" s="79" t="s">
        <v>14</v>
      </c>
      <c r="I51" s="78" t="s">
        <v>14</v>
      </c>
      <c r="J51" s="79" t="s">
        <v>14</v>
      </c>
      <c r="K51" s="142" t="s">
        <v>1850</v>
      </c>
      <c r="L51" s="149" t="s">
        <v>1845</v>
      </c>
      <c r="M51" s="150" t="s">
        <v>12</v>
      </c>
      <c r="N51" s="151">
        <v>8</v>
      </c>
      <c r="O51" s="151">
        <v>3</v>
      </c>
      <c r="P51" s="152">
        <v>1</v>
      </c>
      <c r="Q51" s="153">
        <v>93.48</v>
      </c>
      <c r="R51" s="154">
        <v>3</v>
      </c>
      <c r="S51" s="38">
        <f t="shared" si="0"/>
        <v>2</v>
      </c>
      <c r="T51" s="39">
        <f t="shared" si="1"/>
        <v>7</v>
      </c>
      <c r="U51" s="40">
        <f t="shared" si="2"/>
        <v>0</v>
      </c>
      <c r="V51" s="40">
        <f t="shared" si="3"/>
        <v>0</v>
      </c>
      <c r="W51" s="40">
        <f t="shared" si="4"/>
        <v>0</v>
      </c>
      <c r="X51" s="40">
        <f t="shared" si="5"/>
        <v>0</v>
      </c>
      <c r="Y51" s="40">
        <f t="shared" si="6"/>
        <v>0</v>
      </c>
      <c r="Z51" s="40">
        <f t="shared" si="7"/>
        <v>0</v>
      </c>
      <c r="AA51" s="40">
        <f t="shared" si="8"/>
        <v>0</v>
      </c>
      <c r="AB51" s="40">
        <f t="shared" si="10"/>
        <v>0</v>
      </c>
      <c r="AC51" s="41">
        <f t="shared" si="11"/>
        <v>0</v>
      </c>
      <c r="AD51" s="49"/>
      <c r="AE51" s="50"/>
      <c r="AF51" s="49" t="s">
        <v>5</v>
      </c>
      <c r="AG51" s="50" t="s">
        <v>133</v>
      </c>
      <c r="AH51" s="49"/>
      <c r="AI51" s="50"/>
      <c r="AJ51" s="49" t="s">
        <v>5</v>
      </c>
      <c r="AK51" s="50" t="s">
        <v>164</v>
      </c>
      <c r="AL51" s="49"/>
      <c r="AM51" s="50"/>
      <c r="AN51" s="49"/>
      <c r="AO51" s="50"/>
      <c r="AP51" s="49"/>
      <c r="AQ51" s="50"/>
      <c r="AR51" s="49" t="s">
        <v>5</v>
      </c>
      <c r="AS51" s="50" t="s">
        <v>194</v>
      </c>
      <c r="AT51" s="49"/>
      <c r="AU51" s="50"/>
      <c r="AV51" s="49" t="s">
        <v>1</v>
      </c>
      <c r="AW51" s="50" t="s">
        <v>73</v>
      </c>
      <c r="AX51" s="49" t="s">
        <v>5</v>
      </c>
      <c r="AY51" s="50" t="s">
        <v>711</v>
      </c>
      <c r="AZ51" s="49"/>
      <c r="BA51" s="50"/>
      <c r="BB51" s="49"/>
      <c r="BC51" s="50"/>
      <c r="BD51" s="49"/>
      <c r="BE51" s="50"/>
      <c r="BF51" s="49"/>
      <c r="BG51" s="50"/>
      <c r="BH51" s="49" t="s">
        <v>5</v>
      </c>
      <c r="BI51" s="50" t="s">
        <v>430</v>
      </c>
      <c r="BJ51" s="49"/>
      <c r="BK51" s="50"/>
      <c r="BL51" s="49"/>
      <c r="BM51" s="50"/>
      <c r="BN51" s="49" t="s">
        <v>1</v>
      </c>
      <c r="BO51" s="50" t="s">
        <v>81</v>
      </c>
      <c r="BP51" s="49"/>
      <c r="BQ51" s="50"/>
      <c r="BR51" s="49" t="s">
        <v>5</v>
      </c>
      <c r="BS51" s="50" t="s">
        <v>140</v>
      </c>
      <c r="BT51" s="49"/>
      <c r="BU51" s="50"/>
      <c r="BV51" s="49" t="s">
        <v>5</v>
      </c>
      <c r="BW51" s="50" t="s">
        <v>82</v>
      </c>
      <c r="BX51" s="49"/>
      <c r="BY51" s="50"/>
      <c r="BZ51" s="49" t="s">
        <v>5</v>
      </c>
      <c r="CA51" s="50" t="s">
        <v>75</v>
      </c>
    </row>
    <row r="52" spans="1:79" x14ac:dyDescent="0.25">
      <c r="A52" s="76">
        <v>151698</v>
      </c>
      <c r="B52" s="77" t="s">
        <v>772</v>
      </c>
      <c r="C52" s="78" t="s">
        <v>730</v>
      </c>
      <c r="D52" s="76" t="s">
        <v>70</v>
      </c>
      <c r="E52" s="79" t="s">
        <v>14</v>
      </c>
      <c r="F52" s="79" t="s">
        <v>126</v>
      </c>
      <c r="G52" s="79" t="s">
        <v>14</v>
      </c>
      <c r="H52" s="79" t="s">
        <v>14</v>
      </c>
      <c r="I52" s="78" t="s">
        <v>14</v>
      </c>
      <c r="J52" s="79" t="s">
        <v>14</v>
      </c>
      <c r="K52" s="142" t="s">
        <v>1850</v>
      </c>
      <c r="L52" s="149" t="s">
        <v>1842</v>
      </c>
      <c r="M52" s="150" t="s">
        <v>1853</v>
      </c>
      <c r="N52" s="151">
        <v>17</v>
      </c>
      <c r="O52" s="151">
        <v>1</v>
      </c>
      <c r="P52" s="152">
        <v>1</v>
      </c>
      <c r="Q52" s="153">
        <v>100</v>
      </c>
      <c r="R52" s="154">
        <v>6</v>
      </c>
      <c r="S52" s="38">
        <f t="shared" si="0"/>
        <v>1</v>
      </c>
      <c r="T52" s="39">
        <f t="shared" si="1"/>
        <v>9</v>
      </c>
      <c r="U52" s="40">
        <f t="shared" si="2"/>
        <v>0</v>
      </c>
      <c r="V52" s="40">
        <f t="shared" si="3"/>
        <v>0</v>
      </c>
      <c r="W52" s="40">
        <f t="shared" si="4"/>
        <v>0</v>
      </c>
      <c r="X52" s="40">
        <f t="shared" si="5"/>
        <v>0</v>
      </c>
      <c r="Y52" s="40">
        <f t="shared" si="6"/>
        <v>0</v>
      </c>
      <c r="Z52" s="40">
        <f t="shared" si="7"/>
        <v>0</v>
      </c>
      <c r="AA52" s="40">
        <f t="shared" si="8"/>
        <v>0</v>
      </c>
      <c r="AB52" s="40">
        <f t="shared" si="10"/>
        <v>0</v>
      </c>
      <c r="AC52" s="41">
        <f t="shared" si="11"/>
        <v>0</v>
      </c>
      <c r="AD52" s="49"/>
      <c r="AE52" s="50"/>
      <c r="AF52" s="49" t="s">
        <v>5</v>
      </c>
      <c r="AG52" s="50" t="s">
        <v>133</v>
      </c>
      <c r="AH52" s="49"/>
      <c r="AI52" s="50"/>
      <c r="AJ52" s="49" t="s">
        <v>5</v>
      </c>
      <c r="AK52" s="50" t="s">
        <v>164</v>
      </c>
      <c r="AL52" s="49"/>
      <c r="AM52" s="50"/>
      <c r="AN52" s="49"/>
      <c r="AO52" s="50"/>
      <c r="AP52" s="49"/>
      <c r="AQ52" s="50"/>
      <c r="AR52" s="49" t="s">
        <v>5</v>
      </c>
      <c r="AS52" s="50" t="s">
        <v>722</v>
      </c>
      <c r="AT52" s="49"/>
      <c r="AU52" s="50"/>
      <c r="AV52" s="49"/>
      <c r="AW52" s="50"/>
      <c r="AX52" s="49" t="s">
        <v>5</v>
      </c>
      <c r="AY52" s="50" t="s">
        <v>133</v>
      </c>
      <c r="AZ52" s="49" t="s">
        <v>5</v>
      </c>
      <c r="BA52" s="50" t="s">
        <v>84</v>
      </c>
      <c r="BB52" s="49" t="s">
        <v>5</v>
      </c>
      <c r="BC52" s="50" t="s">
        <v>92</v>
      </c>
      <c r="BD52" s="49"/>
      <c r="BE52" s="50"/>
      <c r="BF52" s="49"/>
      <c r="BG52" s="50"/>
      <c r="BH52" s="49" t="s">
        <v>5</v>
      </c>
      <c r="BI52" s="50" t="s">
        <v>139</v>
      </c>
      <c r="BJ52" s="49"/>
      <c r="BK52" s="50"/>
      <c r="BL52" s="49"/>
      <c r="BM52" s="50"/>
      <c r="BN52" s="49" t="s">
        <v>5</v>
      </c>
      <c r="BO52" s="50" t="s">
        <v>152</v>
      </c>
      <c r="BP52" s="49"/>
      <c r="BQ52" s="50"/>
      <c r="BR52" s="49" t="s">
        <v>5</v>
      </c>
      <c r="BS52" s="50" t="s">
        <v>140</v>
      </c>
      <c r="BT52" s="49"/>
      <c r="BU52" s="50"/>
      <c r="BV52" s="49" t="s">
        <v>1</v>
      </c>
      <c r="BW52" s="50" t="s">
        <v>495</v>
      </c>
      <c r="BX52" s="49"/>
      <c r="BY52" s="50"/>
      <c r="BZ52" s="49"/>
      <c r="CA52" s="50"/>
    </row>
    <row r="53" spans="1:79" x14ac:dyDescent="0.25">
      <c r="A53" s="76">
        <v>151526</v>
      </c>
      <c r="B53" s="77" t="s">
        <v>773</v>
      </c>
      <c r="C53" s="78" t="s">
        <v>732</v>
      </c>
      <c r="D53" s="76" t="s">
        <v>12</v>
      </c>
      <c r="E53" s="79" t="s">
        <v>14</v>
      </c>
      <c r="F53" s="79" t="s">
        <v>774</v>
      </c>
      <c r="G53" s="79" t="s">
        <v>14</v>
      </c>
      <c r="H53" s="79" t="s">
        <v>14</v>
      </c>
      <c r="I53" s="78" t="s">
        <v>14</v>
      </c>
      <c r="J53" s="79" t="s">
        <v>14</v>
      </c>
      <c r="K53" s="142" t="s">
        <v>1850</v>
      </c>
      <c r="L53" s="149" t="s">
        <v>1844</v>
      </c>
      <c r="M53" s="150" t="s">
        <v>12</v>
      </c>
      <c r="N53" s="151">
        <v>16</v>
      </c>
      <c r="O53" s="151">
        <v>0</v>
      </c>
      <c r="P53" s="152">
        <v>0</v>
      </c>
      <c r="Q53" s="153">
        <v>100</v>
      </c>
      <c r="R53" s="154">
        <v>2</v>
      </c>
      <c r="S53" s="38">
        <f t="shared" si="0"/>
        <v>4</v>
      </c>
      <c r="T53" s="39">
        <f t="shared" si="1"/>
        <v>4</v>
      </c>
      <c r="U53" s="40">
        <f t="shared" si="2"/>
        <v>0</v>
      </c>
      <c r="V53" s="40">
        <f t="shared" si="3"/>
        <v>0</v>
      </c>
      <c r="W53" s="40">
        <f t="shared" si="4"/>
        <v>0</v>
      </c>
      <c r="X53" s="40">
        <f t="shared" si="5"/>
        <v>0</v>
      </c>
      <c r="Y53" s="40">
        <f t="shared" si="6"/>
        <v>0</v>
      </c>
      <c r="Z53" s="40">
        <f t="shared" si="7"/>
        <v>0</v>
      </c>
      <c r="AA53" s="40">
        <f t="shared" si="8"/>
        <v>0</v>
      </c>
      <c r="AB53" s="40">
        <f t="shared" si="10"/>
        <v>0</v>
      </c>
      <c r="AC53" s="41">
        <f t="shared" si="11"/>
        <v>0</v>
      </c>
      <c r="AD53" s="49" t="s">
        <v>1</v>
      </c>
      <c r="AE53" s="50" t="s">
        <v>116</v>
      </c>
      <c r="AF53" s="49"/>
      <c r="AG53" s="50"/>
      <c r="AH53" s="49"/>
      <c r="AI53" s="50"/>
      <c r="AJ53" s="49"/>
      <c r="AK53" s="50"/>
      <c r="AL53" s="49"/>
      <c r="AM53" s="50"/>
      <c r="AN53" s="49"/>
      <c r="AO53" s="50"/>
      <c r="AP53" s="49"/>
      <c r="AQ53" s="50"/>
      <c r="AR53" s="49" t="s">
        <v>1</v>
      </c>
      <c r="AS53" s="50" t="s">
        <v>478</v>
      </c>
      <c r="AT53" s="49"/>
      <c r="AU53" s="50"/>
      <c r="AV53" s="49"/>
      <c r="AW53" s="50"/>
      <c r="AX53" s="49" t="s">
        <v>5</v>
      </c>
      <c r="AY53" s="50" t="s">
        <v>124</v>
      </c>
      <c r="AZ53" s="49"/>
      <c r="BA53" s="50"/>
      <c r="BB53" s="49"/>
      <c r="BC53" s="50"/>
      <c r="BD53" s="49"/>
      <c r="BE53" s="50"/>
      <c r="BF53" s="49"/>
      <c r="BG53" s="50"/>
      <c r="BH53" s="49" t="s">
        <v>5</v>
      </c>
      <c r="BI53" s="50" t="s">
        <v>139</v>
      </c>
      <c r="BJ53" s="49" t="s">
        <v>1</v>
      </c>
      <c r="BK53" s="50" t="s">
        <v>95</v>
      </c>
      <c r="BL53" s="49"/>
      <c r="BM53" s="50"/>
      <c r="BN53" s="49" t="s">
        <v>1</v>
      </c>
      <c r="BO53" s="50" t="s">
        <v>107</v>
      </c>
      <c r="BP53" s="49"/>
      <c r="BQ53" s="50"/>
      <c r="BR53" s="49"/>
      <c r="BS53" s="50"/>
      <c r="BT53" s="49"/>
      <c r="BU53" s="50"/>
      <c r="BV53" s="49" t="s">
        <v>5</v>
      </c>
      <c r="BW53" s="50" t="s">
        <v>122</v>
      </c>
      <c r="BX53" s="49" t="s">
        <v>5</v>
      </c>
      <c r="BY53" s="50" t="s">
        <v>206</v>
      </c>
      <c r="BZ53" s="49" t="s">
        <v>5</v>
      </c>
      <c r="CA53" s="50" t="s">
        <v>75</v>
      </c>
    </row>
    <row r="54" spans="1:79" x14ac:dyDescent="0.25">
      <c r="A54" s="76">
        <v>151561</v>
      </c>
      <c r="B54" s="77" t="s">
        <v>775</v>
      </c>
      <c r="C54" s="78" t="s">
        <v>732</v>
      </c>
      <c r="D54" s="76" t="s">
        <v>70</v>
      </c>
      <c r="E54" s="79" t="s">
        <v>14</v>
      </c>
      <c r="F54" s="79" t="s">
        <v>450</v>
      </c>
      <c r="G54" s="79" t="s">
        <v>14</v>
      </c>
      <c r="H54" s="79" t="s">
        <v>14</v>
      </c>
      <c r="I54" s="78" t="s">
        <v>14</v>
      </c>
      <c r="J54" s="79" t="s">
        <v>14</v>
      </c>
      <c r="K54" s="142" t="s">
        <v>1850</v>
      </c>
      <c r="L54" s="149" t="s">
        <v>1845</v>
      </c>
      <c r="M54" s="150" t="s">
        <v>12</v>
      </c>
      <c r="N54" s="151">
        <v>18</v>
      </c>
      <c r="O54" s="151">
        <v>0</v>
      </c>
      <c r="P54" s="152">
        <v>1</v>
      </c>
      <c r="Q54" s="153">
        <v>100</v>
      </c>
      <c r="R54" s="154">
        <v>0</v>
      </c>
      <c r="S54" s="38">
        <f t="shared" si="0"/>
        <v>2</v>
      </c>
      <c r="T54" s="39">
        <f t="shared" si="1"/>
        <v>6</v>
      </c>
      <c r="U54" s="40">
        <f t="shared" si="2"/>
        <v>0</v>
      </c>
      <c r="V54" s="40">
        <f t="shared" si="3"/>
        <v>0</v>
      </c>
      <c r="W54" s="40">
        <f t="shared" si="4"/>
        <v>0</v>
      </c>
      <c r="X54" s="40">
        <f t="shared" si="5"/>
        <v>0</v>
      </c>
      <c r="Y54" s="40">
        <f t="shared" si="6"/>
        <v>0</v>
      </c>
      <c r="Z54" s="40">
        <f t="shared" si="7"/>
        <v>0</v>
      </c>
      <c r="AA54" s="40">
        <f t="shared" si="8"/>
        <v>0</v>
      </c>
      <c r="AB54" s="40">
        <f t="shared" si="10"/>
        <v>0</v>
      </c>
      <c r="AC54" s="41">
        <f t="shared" si="11"/>
        <v>0</v>
      </c>
      <c r="AD54" s="49" t="s">
        <v>5</v>
      </c>
      <c r="AE54" s="50" t="s">
        <v>116</v>
      </c>
      <c r="AF54" s="49"/>
      <c r="AG54" s="50"/>
      <c r="AH54" s="49"/>
      <c r="AI54" s="50"/>
      <c r="AJ54" s="49"/>
      <c r="AK54" s="50"/>
      <c r="AL54" s="49" t="s">
        <v>5</v>
      </c>
      <c r="AM54" s="50" t="s">
        <v>425</v>
      </c>
      <c r="AN54" s="49"/>
      <c r="AO54" s="50"/>
      <c r="AP54" s="49"/>
      <c r="AQ54" s="50"/>
      <c r="AR54" s="49" t="s">
        <v>5</v>
      </c>
      <c r="AS54" s="50" t="s">
        <v>74</v>
      </c>
      <c r="AT54" s="49"/>
      <c r="AU54" s="50"/>
      <c r="AV54" s="49"/>
      <c r="AW54" s="50"/>
      <c r="AX54" s="49" t="s">
        <v>5</v>
      </c>
      <c r="AY54" s="50" t="s">
        <v>124</v>
      </c>
      <c r="AZ54" s="49"/>
      <c r="BA54" s="50"/>
      <c r="BB54" s="49"/>
      <c r="BC54" s="50"/>
      <c r="BD54" s="49"/>
      <c r="BE54" s="50"/>
      <c r="BF54" s="49"/>
      <c r="BG54" s="50"/>
      <c r="BH54" s="49" t="s">
        <v>1</v>
      </c>
      <c r="BI54" s="50" t="s">
        <v>94</v>
      </c>
      <c r="BJ54" s="49"/>
      <c r="BK54" s="50"/>
      <c r="BL54" s="49"/>
      <c r="BM54" s="50"/>
      <c r="BN54" s="49" t="s">
        <v>1</v>
      </c>
      <c r="BO54" s="50" t="s">
        <v>81</v>
      </c>
      <c r="BP54" s="49"/>
      <c r="BQ54" s="50"/>
      <c r="BR54" s="49"/>
      <c r="BS54" s="50"/>
      <c r="BT54" s="49"/>
      <c r="BU54" s="50"/>
      <c r="BV54" s="49" t="s">
        <v>5</v>
      </c>
      <c r="BW54" s="50" t="s">
        <v>82</v>
      </c>
      <c r="BX54" s="49" t="s">
        <v>5</v>
      </c>
      <c r="BY54" s="50" t="s">
        <v>206</v>
      </c>
      <c r="BZ54" s="49" t="s">
        <v>5</v>
      </c>
      <c r="CA54" s="50" t="s">
        <v>75</v>
      </c>
    </row>
    <row r="55" spans="1:79" x14ac:dyDescent="0.25">
      <c r="A55" s="76">
        <v>151631</v>
      </c>
      <c r="B55" s="77" t="s">
        <v>776</v>
      </c>
      <c r="C55" s="78" t="s">
        <v>732</v>
      </c>
      <c r="D55" s="76" t="s">
        <v>70</v>
      </c>
      <c r="E55" s="79" t="s">
        <v>14</v>
      </c>
      <c r="F55" s="79" t="s">
        <v>71</v>
      </c>
      <c r="G55" s="79" t="s">
        <v>14</v>
      </c>
      <c r="H55" s="79" t="s">
        <v>14</v>
      </c>
      <c r="I55" s="78" t="s">
        <v>14</v>
      </c>
      <c r="J55" s="79" t="s">
        <v>14</v>
      </c>
      <c r="K55" s="142" t="s">
        <v>1850</v>
      </c>
      <c r="L55" s="149" t="s">
        <v>1845</v>
      </c>
      <c r="M55" s="150" t="s">
        <v>12</v>
      </c>
      <c r="N55" s="151">
        <v>9</v>
      </c>
      <c r="O55" s="151">
        <v>2</v>
      </c>
      <c r="P55" s="152">
        <v>0</v>
      </c>
      <c r="Q55" s="153">
        <v>100</v>
      </c>
      <c r="R55" s="154">
        <v>1</v>
      </c>
      <c r="S55" s="38">
        <f t="shared" si="0"/>
        <v>3</v>
      </c>
      <c r="T55" s="39">
        <f t="shared" si="1"/>
        <v>6</v>
      </c>
      <c r="U55" s="40">
        <f t="shared" si="2"/>
        <v>0</v>
      </c>
      <c r="V55" s="40">
        <f t="shared" si="3"/>
        <v>0</v>
      </c>
      <c r="W55" s="40">
        <f t="shared" si="4"/>
        <v>0</v>
      </c>
      <c r="X55" s="40">
        <f t="shared" si="5"/>
        <v>0</v>
      </c>
      <c r="Y55" s="40">
        <f t="shared" si="6"/>
        <v>0</v>
      </c>
      <c r="Z55" s="40">
        <f t="shared" si="7"/>
        <v>0</v>
      </c>
      <c r="AA55" s="40">
        <f t="shared" si="8"/>
        <v>0</v>
      </c>
      <c r="AB55" s="40">
        <f t="shared" si="10"/>
        <v>0</v>
      </c>
      <c r="AC55" s="41">
        <f t="shared" si="11"/>
        <v>0</v>
      </c>
      <c r="AD55" s="49"/>
      <c r="AE55" s="50"/>
      <c r="AF55" s="49" t="s">
        <v>1</v>
      </c>
      <c r="AG55" s="50" t="s">
        <v>154</v>
      </c>
      <c r="AH55" s="49"/>
      <c r="AI55" s="50"/>
      <c r="AJ55" s="49" t="s">
        <v>1</v>
      </c>
      <c r="AK55" s="50" t="s">
        <v>83</v>
      </c>
      <c r="AL55" s="49"/>
      <c r="AM55" s="50"/>
      <c r="AN55" s="49"/>
      <c r="AO55" s="50"/>
      <c r="AP55" s="49"/>
      <c r="AQ55" s="50"/>
      <c r="AR55" s="49" t="s">
        <v>5</v>
      </c>
      <c r="AS55" s="50" t="s">
        <v>102</v>
      </c>
      <c r="AT55" s="49"/>
      <c r="AU55" s="50"/>
      <c r="AV55" s="49"/>
      <c r="AW55" s="50"/>
      <c r="AX55" s="49" t="s">
        <v>5</v>
      </c>
      <c r="AY55" s="50" t="s">
        <v>124</v>
      </c>
      <c r="AZ55" s="49"/>
      <c r="BA55" s="50"/>
      <c r="BB55" s="49"/>
      <c r="BC55" s="50"/>
      <c r="BD55" s="49" t="s">
        <v>5</v>
      </c>
      <c r="BE55" s="50" t="s">
        <v>436</v>
      </c>
      <c r="BF55" s="49"/>
      <c r="BG55" s="50"/>
      <c r="BH55" s="49" t="s">
        <v>5</v>
      </c>
      <c r="BI55" s="50" t="s">
        <v>430</v>
      </c>
      <c r="BJ55" s="49"/>
      <c r="BK55" s="50"/>
      <c r="BL55" s="49"/>
      <c r="BM55" s="50"/>
      <c r="BN55" s="49" t="s">
        <v>5</v>
      </c>
      <c r="BO55" s="50" t="s">
        <v>152</v>
      </c>
      <c r="BP55" s="49"/>
      <c r="BQ55" s="50"/>
      <c r="BR55" s="49" t="s">
        <v>1</v>
      </c>
      <c r="BS55" s="50" t="s">
        <v>170</v>
      </c>
      <c r="BT55" s="49"/>
      <c r="BU55" s="50"/>
      <c r="BV55" s="49" t="s">
        <v>5</v>
      </c>
      <c r="BW55" s="50" t="s">
        <v>97</v>
      </c>
      <c r="BX55" s="49"/>
      <c r="BY55" s="50"/>
      <c r="BZ55" s="49" t="s">
        <v>5</v>
      </c>
      <c r="CA55" s="50" t="s">
        <v>75</v>
      </c>
    </row>
    <row r="56" spans="1:79" x14ac:dyDescent="0.25">
      <c r="A56" s="76">
        <v>151613</v>
      </c>
      <c r="B56" s="77" t="s">
        <v>777</v>
      </c>
      <c r="C56" s="78" t="s">
        <v>725</v>
      </c>
      <c r="D56" s="76" t="s">
        <v>12</v>
      </c>
      <c r="E56" s="79" t="s">
        <v>14</v>
      </c>
      <c r="F56" s="79" t="s">
        <v>146</v>
      </c>
      <c r="G56" s="79" t="s">
        <v>14</v>
      </c>
      <c r="H56" s="79" t="s">
        <v>14</v>
      </c>
      <c r="I56" s="78" t="s">
        <v>14</v>
      </c>
      <c r="J56" s="79" t="s">
        <v>14</v>
      </c>
      <c r="K56" s="142" t="s">
        <v>1851</v>
      </c>
      <c r="L56" s="149" t="s">
        <v>1842</v>
      </c>
      <c r="M56" s="150" t="s">
        <v>1853</v>
      </c>
      <c r="N56" s="151">
        <v>12</v>
      </c>
      <c r="O56" s="151">
        <v>0</v>
      </c>
      <c r="P56" s="152">
        <v>1</v>
      </c>
      <c r="Q56" s="153">
        <v>100</v>
      </c>
      <c r="R56" s="154">
        <v>1</v>
      </c>
      <c r="S56" s="38">
        <f t="shared" si="0"/>
        <v>2</v>
      </c>
      <c r="T56" s="39">
        <f t="shared" si="1"/>
        <v>7</v>
      </c>
      <c r="U56" s="40">
        <f t="shared" si="2"/>
        <v>1</v>
      </c>
      <c r="V56" s="40">
        <f t="shared" si="3"/>
        <v>0</v>
      </c>
      <c r="W56" s="40">
        <f t="shared" si="4"/>
        <v>0</v>
      </c>
      <c r="X56" s="40">
        <f t="shared" si="5"/>
        <v>1</v>
      </c>
      <c r="Y56" s="40">
        <f t="shared" si="6"/>
        <v>0</v>
      </c>
      <c r="Z56" s="40">
        <f t="shared" si="7"/>
        <v>0</v>
      </c>
      <c r="AA56" s="40">
        <f t="shared" si="8"/>
        <v>0</v>
      </c>
      <c r="AB56" s="40">
        <f t="shared" si="10"/>
        <v>0</v>
      </c>
      <c r="AC56" s="41">
        <f t="shared" si="11"/>
        <v>0</v>
      </c>
      <c r="AD56" s="49"/>
      <c r="AE56" s="50"/>
      <c r="AF56" s="49" t="s">
        <v>5</v>
      </c>
      <c r="AG56" s="50" t="s">
        <v>133</v>
      </c>
      <c r="AH56" s="49"/>
      <c r="AI56" s="50"/>
      <c r="AJ56" s="49" t="s">
        <v>5</v>
      </c>
      <c r="AK56" s="50" t="s">
        <v>137</v>
      </c>
      <c r="AL56" s="49"/>
      <c r="AM56" s="50"/>
      <c r="AN56" s="49" t="s">
        <v>1</v>
      </c>
      <c r="AO56" s="50" t="s">
        <v>163</v>
      </c>
      <c r="AP56" s="49"/>
      <c r="AQ56" s="50"/>
      <c r="AR56" s="49" t="s">
        <v>5</v>
      </c>
      <c r="AS56" s="50" t="s">
        <v>194</v>
      </c>
      <c r="AT56" s="49"/>
      <c r="AU56" s="50"/>
      <c r="AV56" s="49"/>
      <c r="AW56" s="50"/>
      <c r="AX56" s="49" t="s">
        <v>5</v>
      </c>
      <c r="AY56" s="50" t="s">
        <v>109</v>
      </c>
      <c r="AZ56" s="49" t="s">
        <v>5</v>
      </c>
      <c r="BA56" s="50" t="s">
        <v>143</v>
      </c>
      <c r="BB56" s="49"/>
      <c r="BC56" s="50"/>
      <c r="BD56" s="49"/>
      <c r="BE56" s="50"/>
      <c r="BF56" s="49"/>
      <c r="BG56" s="50"/>
      <c r="BH56" s="49" t="s">
        <v>5</v>
      </c>
      <c r="BI56" s="50" t="s">
        <v>139</v>
      </c>
      <c r="BJ56" s="49"/>
      <c r="BK56" s="50"/>
      <c r="BL56" s="49"/>
      <c r="BM56" s="50"/>
      <c r="BN56" s="49" t="s">
        <v>1</v>
      </c>
      <c r="BO56" s="50" t="s">
        <v>96</v>
      </c>
      <c r="BP56" s="49"/>
      <c r="BQ56" s="50"/>
      <c r="BR56" s="49" t="s">
        <v>5</v>
      </c>
      <c r="BS56" s="50" t="s">
        <v>98</v>
      </c>
      <c r="BT56" s="49"/>
      <c r="BU56" s="50"/>
      <c r="BV56" s="49" t="s">
        <v>30</v>
      </c>
      <c r="BW56" s="50" t="s">
        <v>122</v>
      </c>
      <c r="BX56" s="49"/>
      <c r="BY56" s="50"/>
      <c r="BZ56" s="49"/>
      <c r="CA56" s="50"/>
    </row>
    <row r="57" spans="1:79" x14ac:dyDescent="0.25">
      <c r="A57" s="76">
        <v>151692</v>
      </c>
      <c r="B57" s="77" t="s">
        <v>778</v>
      </c>
      <c r="C57" s="78" t="s">
        <v>710</v>
      </c>
      <c r="D57" s="76" t="s">
        <v>12</v>
      </c>
      <c r="E57" s="79" t="s">
        <v>14</v>
      </c>
      <c r="F57" s="79" t="s">
        <v>71</v>
      </c>
      <c r="G57" s="79" t="s">
        <v>14</v>
      </c>
      <c r="H57" s="79" t="s">
        <v>14</v>
      </c>
      <c r="I57" s="78" t="s">
        <v>14</v>
      </c>
      <c r="J57" s="79" t="s">
        <v>14</v>
      </c>
      <c r="K57" s="142" t="s">
        <v>1850</v>
      </c>
      <c r="L57" s="149" t="s">
        <v>1846</v>
      </c>
      <c r="M57" s="150" t="s">
        <v>1853</v>
      </c>
      <c r="N57" s="151">
        <v>8</v>
      </c>
      <c r="O57" s="151">
        <v>0</v>
      </c>
      <c r="P57" s="152">
        <v>5</v>
      </c>
      <c r="Q57" s="153">
        <v>100</v>
      </c>
      <c r="R57" s="154">
        <v>2</v>
      </c>
      <c r="S57" s="38">
        <f t="shared" si="0"/>
        <v>1</v>
      </c>
      <c r="T57" s="39">
        <f t="shared" si="1"/>
        <v>8</v>
      </c>
      <c r="U57" s="40">
        <f t="shared" si="2"/>
        <v>0</v>
      </c>
      <c r="V57" s="40">
        <f t="shared" si="3"/>
        <v>0</v>
      </c>
      <c r="W57" s="40">
        <f t="shared" si="4"/>
        <v>0</v>
      </c>
      <c r="X57" s="40">
        <f t="shared" si="5"/>
        <v>0</v>
      </c>
      <c r="Y57" s="40">
        <f t="shared" si="6"/>
        <v>0</v>
      </c>
      <c r="Z57" s="40">
        <f t="shared" si="7"/>
        <v>0</v>
      </c>
      <c r="AA57" s="40">
        <f t="shared" si="8"/>
        <v>0</v>
      </c>
      <c r="AB57" s="40">
        <f t="shared" si="10"/>
        <v>0</v>
      </c>
      <c r="AC57" s="41">
        <f t="shared" si="11"/>
        <v>0</v>
      </c>
      <c r="AD57" s="49"/>
      <c r="AE57" s="50"/>
      <c r="AF57" s="49" t="s">
        <v>5</v>
      </c>
      <c r="AG57" s="50" t="s">
        <v>438</v>
      </c>
      <c r="AH57" s="49"/>
      <c r="AI57" s="50"/>
      <c r="AJ57" s="49" t="s">
        <v>5</v>
      </c>
      <c r="AK57" s="50" t="s">
        <v>83</v>
      </c>
      <c r="AL57" s="49"/>
      <c r="AM57" s="50"/>
      <c r="AN57" s="49" t="s">
        <v>5</v>
      </c>
      <c r="AO57" s="50" t="s">
        <v>163</v>
      </c>
      <c r="AP57" s="49"/>
      <c r="AQ57" s="50"/>
      <c r="AR57" s="49" t="s">
        <v>5</v>
      </c>
      <c r="AS57" s="50" t="s">
        <v>722</v>
      </c>
      <c r="AT57" s="49"/>
      <c r="AU57" s="50"/>
      <c r="AV57" s="49"/>
      <c r="AW57" s="50"/>
      <c r="AX57" s="49" t="s">
        <v>5</v>
      </c>
      <c r="AY57" s="50" t="s">
        <v>711</v>
      </c>
      <c r="AZ57" s="49"/>
      <c r="BA57" s="50"/>
      <c r="BB57" s="49"/>
      <c r="BC57" s="50"/>
      <c r="BD57" s="49"/>
      <c r="BE57" s="50"/>
      <c r="BF57" s="49"/>
      <c r="BG57" s="50"/>
      <c r="BH57" s="49" t="s">
        <v>5</v>
      </c>
      <c r="BI57" s="50" t="s">
        <v>139</v>
      </c>
      <c r="BJ57" s="49"/>
      <c r="BK57" s="50"/>
      <c r="BL57" s="49"/>
      <c r="BM57" s="50"/>
      <c r="BN57" s="49" t="s">
        <v>1</v>
      </c>
      <c r="BO57" s="50" t="s">
        <v>96</v>
      </c>
      <c r="BP57" s="49"/>
      <c r="BQ57" s="50"/>
      <c r="BR57" s="49" t="s">
        <v>5</v>
      </c>
      <c r="BS57" s="50" t="s">
        <v>123</v>
      </c>
      <c r="BT57" s="49"/>
      <c r="BU57" s="50"/>
      <c r="BV57" s="49" t="s">
        <v>5</v>
      </c>
      <c r="BW57" s="50" t="s">
        <v>108</v>
      </c>
      <c r="BX57" s="49"/>
      <c r="BY57" s="50"/>
      <c r="BZ57" s="49" t="s">
        <v>32</v>
      </c>
      <c r="CA57" s="50" t="s">
        <v>75</v>
      </c>
    </row>
    <row r="58" spans="1:79" x14ac:dyDescent="0.25">
      <c r="A58" s="76">
        <v>151622</v>
      </c>
      <c r="B58" s="77" t="s">
        <v>779</v>
      </c>
      <c r="C58" s="78" t="s">
        <v>730</v>
      </c>
      <c r="D58" s="76" t="s">
        <v>70</v>
      </c>
      <c r="E58" s="79" t="s">
        <v>87</v>
      </c>
      <c r="F58" s="79" t="s">
        <v>184</v>
      </c>
      <c r="G58" s="79" t="s">
        <v>87</v>
      </c>
      <c r="H58" s="79" t="s">
        <v>87</v>
      </c>
      <c r="I58" s="78" t="s">
        <v>14</v>
      </c>
      <c r="J58" s="79" t="s">
        <v>14</v>
      </c>
      <c r="K58" s="142" t="s">
        <v>1850</v>
      </c>
      <c r="L58" s="149" t="s">
        <v>1842</v>
      </c>
      <c r="M58" s="150" t="s">
        <v>12</v>
      </c>
      <c r="N58" s="151">
        <v>20</v>
      </c>
      <c r="O58" s="151">
        <v>0</v>
      </c>
      <c r="P58" s="152">
        <v>0</v>
      </c>
      <c r="Q58" s="153">
        <v>91.3</v>
      </c>
      <c r="R58" s="154">
        <v>0</v>
      </c>
      <c r="S58" s="38">
        <f t="shared" si="0"/>
        <v>3</v>
      </c>
      <c r="T58" s="39">
        <f t="shared" si="1"/>
        <v>7</v>
      </c>
      <c r="U58" s="40">
        <f t="shared" si="2"/>
        <v>0</v>
      </c>
      <c r="V58" s="40">
        <f t="shared" si="3"/>
        <v>0</v>
      </c>
      <c r="W58" s="40">
        <f t="shared" si="4"/>
        <v>0</v>
      </c>
      <c r="X58" s="40">
        <f t="shared" si="5"/>
        <v>0</v>
      </c>
      <c r="Y58" s="40">
        <f t="shared" si="6"/>
        <v>0</v>
      </c>
      <c r="Z58" s="40">
        <f t="shared" si="7"/>
        <v>0</v>
      </c>
      <c r="AA58" s="40">
        <f t="shared" si="8"/>
        <v>0</v>
      </c>
      <c r="AB58" s="40">
        <f t="shared" si="10"/>
        <v>0</v>
      </c>
      <c r="AC58" s="41">
        <f t="shared" si="11"/>
        <v>0</v>
      </c>
      <c r="AD58" s="49"/>
      <c r="AE58" s="50"/>
      <c r="AF58" s="49" t="s">
        <v>1</v>
      </c>
      <c r="AG58" s="50" t="s">
        <v>438</v>
      </c>
      <c r="AH58" s="49"/>
      <c r="AI58" s="50"/>
      <c r="AJ58" s="49" t="s">
        <v>5</v>
      </c>
      <c r="AK58" s="50" t="s">
        <v>83</v>
      </c>
      <c r="AL58" s="49" t="s">
        <v>1</v>
      </c>
      <c r="AM58" s="50" t="s">
        <v>425</v>
      </c>
      <c r="AN58" s="49"/>
      <c r="AO58" s="50"/>
      <c r="AP58" s="49"/>
      <c r="AQ58" s="50"/>
      <c r="AR58" s="49" t="s">
        <v>5</v>
      </c>
      <c r="AS58" s="50" t="s">
        <v>459</v>
      </c>
      <c r="AT58" s="49"/>
      <c r="AU58" s="50"/>
      <c r="AV58" s="49"/>
      <c r="AW58" s="50"/>
      <c r="AX58" s="49" t="s">
        <v>5</v>
      </c>
      <c r="AY58" s="50" t="s">
        <v>133</v>
      </c>
      <c r="AZ58" s="49" t="s">
        <v>5</v>
      </c>
      <c r="BA58" s="50" t="s">
        <v>84</v>
      </c>
      <c r="BB58" s="49"/>
      <c r="BC58" s="50"/>
      <c r="BD58" s="49"/>
      <c r="BE58" s="50"/>
      <c r="BF58" s="49"/>
      <c r="BG58" s="50"/>
      <c r="BH58" s="49" t="s">
        <v>5</v>
      </c>
      <c r="BI58" s="50" t="s">
        <v>139</v>
      </c>
      <c r="BJ58" s="49"/>
      <c r="BK58" s="50"/>
      <c r="BL58" s="49"/>
      <c r="BM58" s="50"/>
      <c r="BN58" s="49" t="s">
        <v>5</v>
      </c>
      <c r="BO58" s="50" t="s">
        <v>152</v>
      </c>
      <c r="BP58" s="49"/>
      <c r="BQ58" s="50"/>
      <c r="BR58" s="49" t="s">
        <v>5</v>
      </c>
      <c r="BS58" s="50" t="s">
        <v>123</v>
      </c>
      <c r="BT58" s="49"/>
      <c r="BU58" s="50"/>
      <c r="BV58" s="49" t="s">
        <v>1</v>
      </c>
      <c r="BW58" s="50" t="s">
        <v>495</v>
      </c>
      <c r="BX58" s="49"/>
      <c r="BY58" s="50"/>
      <c r="BZ58" s="49"/>
      <c r="CA58" s="50"/>
    </row>
    <row r="59" spans="1:79" x14ac:dyDescent="0.25">
      <c r="A59" s="76">
        <v>151623</v>
      </c>
      <c r="B59" s="77" t="s">
        <v>780</v>
      </c>
      <c r="C59" s="78" t="s">
        <v>718</v>
      </c>
      <c r="D59" s="76" t="s">
        <v>12</v>
      </c>
      <c r="E59" s="79" t="s">
        <v>14</v>
      </c>
      <c r="F59" s="79" t="s">
        <v>88</v>
      </c>
      <c r="G59" s="79" t="s">
        <v>14</v>
      </c>
      <c r="H59" s="79" t="s">
        <v>87</v>
      </c>
      <c r="I59" s="78" t="s">
        <v>14</v>
      </c>
      <c r="J59" s="79" t="s">
        <v>14</v>
      </c>
      <c r="K59" s="142" t="s">
        <v>1850</v>
      </c>
      <c r="L59" s="149" t="s">
        <v>1842</v>
      </c>
      <c r="M59" s="150" t="s">
        <v>12</v>
      </c>
      <c r="N59" s="151">
        <v>10</v>
      </c>
      <c r="O59" s="151">
        <v>5</v>
      </c>
      <c r="P59" s="152">
        <v>2</v>
      </c>
      <c r="Q59" s="153">
        <v>100</v>
      </c>
      <c r="R59" s="154">
        <v>5</v>
      </c>
      <c r="S59" s="38">
        <f t="shared" si="0"/>
        <v>2</v>
      </c>
      <c r="T59" s="39">
        <f t="shared" si="1"/>
        <v>5</v>
      </c>
      <c r="U59" s="40">
        <f t="shared" si="2"/>
        <v>1</v>
      </c>
      <c r="V59" s="40">
        <f t="shared" si="3"/>
        <v>1</v>
      </c>
      <c r="W59" s="40">
        <f t="shared" si="4"/>
        <v>1</v>
      </c>
      <c r="X59" s="40">
        <f t="shared" si="5"/>
        <v>3</v>
      </c>
      <c r="Y59" s="40">
        <f t="shared" si="6"/>
        <v>0</v>
      </c>
      <c r="Z59" s="40">
        <f t="shared" si="7"/>
        <v>0</v>
      </c>
      <c r="AA59" s="40">
        <f t="shared" si="8"/>
        <v>0</v>
      </c>
      <c r="AB59" s="40">
        <f t="shared" si="10"/>
        <v>0</v>
      </c>
      <c r="AC59" s="41">
        <f t="shared" si="11"/>
        <v>0</v>
      </c>
      <c r="AD59" s="49"/>
      <c r="AE59" s="50"/>
      <c r="AF59" s="49" t="s">
        <v>30</v>
      </c>
      <c r="AG59" s="50" t="s">
        <v>133</v>
      </c>
      <c r="AH59" s="49"/>
      <c r="AI59" s="50"/>
      <c r="AJ59" s="49" t="s">
        <v>5</v>
      </c>
      <c r="AK59" s="50" t="s">
        <v>164</v>
      </c>
      <c r="AL59" s="49"/>
      <c r="AM59" s="50"/>
      <c r="AN59" s="49" t="s">
        <v>5</v>
      </c>
      <c r="AO59" s="50" t="s">
        <v>163</v>
      </c>
      <c r="AP59" s="49"/>
      <c r="AQ59" s="50"/>
      <c r="AR59" s="49" t="s">
        <v>5</v>
      </c>
      <c r="AS59" s="50" t="s">
        <v>194</v>
      </c>
      <c r="AT59" s="49"/>
      <c r="AU59" s="50"/>
      <c r="AV59" s="49"/>
      <c r="AW59" s="50"/>
      <c r="AX59" s="49" t="s">
        <v>32</v>
      </c>
      <c r="AY59" s="50" t="s">
        <v>169</v>
      </c>
      <c r="AZ59" s="49" t="s">
        <v>5</v>
      </c>
      <c r="BA59" s="50" t="s">
        <v>143</v>
      </c>
      <c r="BB59" s="49"/>
      <c r="BC59" s="50"/>
      <c r="BD59" s="49"/>
      <c r="BE59" s="50"/>
      <c r="BF59" s="49"/>
      <c r="BG59" s="50"/>
      <c r="BH59" s="49" t="s">
        <v>1</v>
      </c>
      <c r="BI59" s="50" t="s">
        <v>136</v>
      </c>
      <c r="BJ59" s="49"/>
      <c r="BK59" s="50"/>
      <c r="BL59" s="49"/>
      <c r="BM59" s="50"/>
      <c r="BN59" s="49" t="s">
        <v>1</v>
      </c>
      <c r="BO59" s="50" t="s">
        <v>96</v>
      </c>
      <c r="BP59" s="49"/>
      <c r="BQ59" s="50"/>
      <c r="BR59" s="49" t="s">
        <v>31</v>
      </c>
      <c r="BS59" s="50" t="s">
        <v>140</v>
      </c>
      <c r="BT59" s="49"/>
      <c r="BU59" s="50"/>
      <c r="BV59" s="49" t="s">
        <v>5</v>
      </c>
      <c r="BW59" s="50" t="s">
        <v>495</v>
      </c>
      <c r="BX59" s="49"/>
      <c r="BY59" s="50"/>
      <c r="BZ59" s="49"/>
      <c r="CA59" s="50"/>
    </row>
    <row r="60" spans="1:79" x14ac:dyDescent="0.25">
      <c r="A60" s="76">
        <v>151616</v>
      </c>
      <c r="B60" s="77" t="s">
        <v>781</v>
      </c>
      <c r="C60" s="78" t="s">
        <v>718</v>
      </c>
      <c r="D60" s="76" t="s">
        <v>12</v>
      </c>
      <c r="E60" s="79" t="s">
        <v>14</v>
      </c>
      <c r="F60" s="79" t="s">
        <v>88</v>
      </c>
      <c r="G60" s="79" t="s">
        <v>87</v>
      </c>
      <c r="H60" s="79" t="s">
        <v>14</v>
      </c>
      <c r="I60" s="78" t="s">
        <v>14</v>
      </c>
      <c r="J60" s="79" t="s">
        <v>14</v>
      </c>
      <c r="K60" s="142" t="s">
        <v>1850</v>
      </c>
      <c r="L60" s="149" t="s">
        <v>1845</v>
      </c>
      <c r="M60" s="150" t="s">
        <v>12</v>
      </c>
      <c r="N60" s="151">
        <v>13</v>
      </c>
      <c r="O60" s="151">
        <v>2</v>
      </c>
      <c r="P60" s="152">
        <v>3</v>
      </c>
      <c r="Q60" s="153">
        <v>100</v>
      </c>
      <c r="R60" s="154">
        <v>2</v>
      </c>
      <c r="S60" s="38">
        <f t="shared" si="0"/>
        <v>2</v>
      </c>
      <c r="T60" s="39">
        <f t="shared" si="1"/>
        <v>8</v>
      </c>
      <c r="U60" s="40">
        <f t="shared" si="2"/>
        <v>0</v>
      </c>
      <c r="V60" s="40">
        <f t="shared" si="3"/>
        <v>0</v>
      </c>
      <c r="W60" s="40">
        <f t="shared" si="4"/>
        <v>0</v>
      </c>
      <c r="X60" s="40">
        <f t="shared" si="5"/>
        <v>0</v>
      </c>
      <c r="Y60" s="40">
        <f t="shared" si="6"/>
        <v>0</v>
      </c>
      <c r="Z60" s="40">
        <f t="shared" si="7"/>
        <v>0</v>
      </c>
      <c r="AA60" s="40">
        <f t="shared" si="8"/>
        <v>0</v>
      </c>
      <c r="AB60" s="40">
        <f t="shared" si="10"/>
        <v>0</v>
      </c>
      <c r="AC60" s="41">
        <f t="shared" si="11"/>
        <v>0</v>
      </c>
      <c r="AD60" s="49"/>
      <c r="AE60" s="50"/>
      <c r="AF60" s="49" t="s">
        <v>5</v>
      </c>
      <c r="AG60" s="50" t="s">
        <v>154</v>
      </c>
      <c r="AH60" s="49"/>
      <c r="AI60" s="50"/>
      <c r="AJ60" s="49" t="s">
        <v>5</v>
      </c>
      <c r="AK60" s="50" t="s">
        <v>83</v>
      </c>
      <c r="AL60" s="49"/>
      <c r="AM60" s="50"/>
      <c r="AN60" s="49" t="s">
        <v>5</v>
      </c>
      <c r="AO60" s="50" t="s">
        <v>163</v>
      </c>
      <c r="AP60" s="49"/>
      <c r="AQ60" s="50"/>
      <c r="AR60" s="49" t="s">
        <v>5</v>
      </c>
      <c r="AS60" s="50" t="s">
        <v>102</v>
      </c>
      <c r="AT60" s="49"/>
      <c r="AU60" s="50"/>
      <c r="AV60" s="49"/>
      <c r="AW60" s="50"/>
      <c r="AX60" s="49" t="s">
        <v>5</v>
      </c>
      <c r="AY60" s="50" t="s">
        <v>169</v>
      </c>
      <c r="AZ60" s="49" t="s">
        <v>5</v>
      </c>
      <c r="BA60" s="50" t="s">
        <v>103</v>
      </c>
      <c r="BB60" s="49"/>
      <c r="BC60" s="50"/>
      <c r="BD60" s="49"/>
      <c r="BE60" s="50"/>
      <c r="BF60" s="49"/>
      <c r="BG60" s="50"/>
      <c r="BH60" s="49" t="s">
        <v>5</v>
      </c>
      <c r="BI60" s="50" t="s">
        <v>430</v>
      </c>
      <c r="BJ60" s="49"/>
      <c r="BK60" s="50"/>
      <c r="BL60" s="49"/>
      <c r="BM60" s="50"/>
      <c r="BN60" s="49" t="s">
        <v>1</v>
      </c>
      <c r="BO60" s="50" t="s">
        <v>107</v>
      </c>
      <c r="BP60" s="49"/>
      <c r="BQ60" s="50"/>
      <c r="BR60" s="49" t="s">
        <v>1</v>
      </c>
      <c r="BS60" s="50" t="s">
        <v>170</v>
      </c>
      <c r="BT60" s="49"/>
      <c r="BU60" s="50"/>
      <c r="BV60" s="49" t="s">
        <v>5</v>
      </c>
      <c r="BW60" s="50" t="s">
        <v>457</v>
      </c>
      <c r="BX60" s="49"/>
      <c r="BY60" s="50"/>
      <c r="BZ60" s="49"/>
      <c r="CA60" s="50"/>
    </row>
    <row r="61" spans="1:79" ht="30" x14ac:dyDescent="0.25">
      <c r="A61" s="76">
        <v>151560</v>
      </c>
      <c r="B61" s="77" t="s">
        <v>782</v>
      </c>
      <c r="C61" s="78" t="s">
        <v>718</v>
      </c>
      <c r="D61" s="76" t="s">
        <v>70</v>
      </c>
      <c r="E61" s="79" t="s">
        <v>14</v>
      </c>
      <c r="F61" s="79" t="s">
        <v>184</v>
      </c>
      <c r="G61" s="79" t="s">
        <v>14</v>
      </c>
      <c r="H61" s="79" t="s">
        <v>14</v>
      </c>
      <c r="I61" s="78" t="s">
        <v>14</v>
      </c>
      <c r="J61" s="79" t="s">
        <v>14</v>
      </c>
      <c r="K61" s="142" t="s">
        <v>1850</v>
      </c>
      <c r="L61" s="149" t="s">
        <v>1842</v>
      </c>
      <c r="M61" s="150" t="s">
        <v>1853</v>
      </c>
      <c r="N61" s="151">
        <v>12</v>
      </c>
      <c r="O61" s="151">
        <v>0</v>
      </c>
      <c r="P61" s="152">
        <v>3</v>
      </c>
      <c r="Q61" s="153">
        <v>91.3</v>
      </c>
      <c r="R61" s="154">
        <v>0</v>
      </c>
      <c r="S61" s="38">
        <f t="shared" si="0"/>
        <v>1</v>
      </c>
      <c r="T61" s="39">
        <f t="shared" si="1"/>
        <v>5</v>
      </c>
      <c r="U61" s="40">
        <f t="shared" si="2"/>
        <v>1</v>
      </c>
      <c r="V61" s="40">
        <f t="shared" si="3"/>
        <v>0</v>
      </c>
      <c r="W61" s="40">
        <f t="shared" si="4"/>
        <v>2</v>
      </c>
      <c r="X61" s="40">
        <f t="shared" si="5"/>
        <v>3</v>
      </c>
      <c r="Y61" s="40">
        <f t="shared" si="6"/>
        <v>0</v>
      </c>
      <c r="Z61" s="40">
        <f t="shared" si="7"/>
        <v>0</v>
      </c>
      <c r="AA61" s="40">
        <f t="shared" si="8"/>
        <v>0</v>
      </c>
      <c r="AB61" s="40">
        <f t="shared" si="10"/>
        <v>0</v>
      </c>
      <c r="AC61" s="41">
        <f t="shared" si="11"/>
        <v>0</v>
      </c>
      <c r="AD61" s="49"/>
      <c r="AE61" s="50"/>
      <c r="AF61" s="49"/>
      <c r="AG61" s="50"/>
      <c r="AH61" s="49" t="s">
        <v>30</v>
      </c>
      <c r="AI61" s="50" t="s">
        <v>427</v>
      </c>
      <c r="AJ61" s="49"/>
      <c r="AK61" s="50"/>
      <c r="AL61" s="49"/>
      <c r="AM61" s="50"/>
      <c r="AN61" s="49"/>
      <c r="AO61" s="50"/>
      <c r="AP61" s="49" t="s">
        <v>32</v>
      </c>
      <c r="AQ61" s="50" t="s">
        <v>101</v>
      </c>
      <c r="AR61" s="49" t="s">
        <v>5</v>
      </c>
      <c r="AS61" s="50" t="s">
        <v>722</v>
      </c>
      <c r="AT61" s="49"/>
      <c r="AU61" s="50"/>
      <c r="AV61" s="49"/>
      <c r="AW61" s="50"/>
      <c r="AX61" s="49" t="s">
        <v>5</v>
      </c>
      <c r="AY61" s="50" t="s">
        <v>169</v>
      </c>
      <c r="AZ61" s="49" t="s">
        <v>5</v>
      </c>
      <c r="BA61" s="50" t="s">
        <v>84</v>
      </c>
      <c r="BB61" s="49"/>
      <c r="BC61" s="50"/>
      <c r="BD61" s="49"/>
      <c r="BE61" s="50"/>
      <c r="BF61" s="49"/>
      <c r="BG61" s="50"/>
      <c r="BH61" s="49" t="s">
        <v>5</v>
      </c>
      <c r="BI61" s="50" t="s">
        <v>139</v>
      </c>
      <c r="BJ61" s="49"/>
      <c r="BK61" s="50"/>
      <c r="BL61" s="49"/>
      <c r="BM61" s="50"/>
      <c r="BN61" s="49" t="s">
        <v>5</v>
      </c>
      <c r="BO61" s="50" t="s">
        <v>121</v>
      </c>
      <c r="BP61" s="49"/>
      <c r="BQ61" s="50"/>
      <c r="BR61" s="49"/>
      <c r="BS61" s="50"/>
      <c r="BT61" s="49"/>
      <c r="BU61" s="50"/>
      <c r="BV61" s="49" t="s">
        <v>1</v>
      </c>
      <c r="BW61" s="50" t="s">
        <v>122</v>
      </c>
      <c r="BX61" s="49" t="s">
        <v>32</v>
      </c>
      <c r="BY61" s="50" t="s">
        <v>206</v>
      </c>
      <c r="BZ61" s="49"/>
      <c r="CA61" s="50"/>
    </row>
    <row r="62" spans="1:79" x14ac:dyDescent="0.25">
      <c r="A62" s="76">
        <v>151551</v>
      </c>
      <c r="B62" s="77" t="s">
        <v>783</v>
      </c>
      <c r="C62" s="78" t="s">
        <v>732</v>
      </c>
      <c r="D62" s="76" t="s">
        <v>12</v>
      </c>
      <c r="E62" s="79" t="s">
        <v>87</v>
      </c>
      <c r="F62" s="79" t="s">
        <v>71</v>
      </c>
      <c r="G62" s="79" t="s">
        <v>14</v>
      </c>
      <c r="H62" s="79" t="s">
        <v>87</v>
      </c>
      <c r="I62" s="78" t="s">
        <v>14</v>
      </c>
      <c r="J62" s="79" t="s">
        <v>14</v>
      </c>
      <c r="K62" s="142" t="s">
        <v>1850</v>
      </c>
      <c r="L62" s="149" t="s">
        <v>1842</v>
      </c>
      <c r="M62" s="150" t="s">
        <v>12</v>
      </c>
      <c r="N62" s="151">
        <v>5</v>
      </c>
      <c r="O62" s="151">
        <v>6</v>
      </c>
      <c r="P62" s="152">
        <v>4</v>
      </c>
      <c r="Q62" s="153">
        <v>73.91</v>
      </c>
      <c r="R62" s="154">
        <v>2</v>
      </c>
      <c r="S62" s="38">
        <f t="shared" si="0"/>
        <v>0</v>
      </c>
      <c r="T62" s="39">
        <f t="shared" si="1"/>
        <v>6</v>
      </c>
      <c r="U62" s="40">
        <f t="shared" si="2"/>
        <v>1</v>
      </c>
      <c r="V62" s="40">
        <f t="shared" si="3"/>
        <v>2</v>
      </c>
      <c r="W62" s="40">
        <f t="shared" si="4"/>
        <v>0</v>
      </c>
      <c r="X62" s="40">
        <f t="shared" si="5"/>
        <v>3</v>
      </c>
      <c r="Y62" s="40">
        <f t="shared" si="6"/>
        <v>0</v>
      </c>
      <c r="Z62" s="40">
        <f t="shared" si="7"/>
        <v>0</v>
      </c>
      <c r="AA62" s="40">
        <f t="shared" si="8"/>
        <v>0</v>
      </c>
      <c r="AB62" s="40">
        <f t="shared" si="10"/>
        <v>0</v>
      </c>
      <c r="AC62" s="41">
        <f t="shared" si="11"/>
        <v>0</v>
      </c>
      <c r="AD62" s="49"/>
      <c r="AE62" s="50"/>
      <c r="AF62" s="49" t="s">
        <v>5</v>
      </c>
      <c r="AG62" s="50" t="s">
        <v>133</v>
      </c>
      <c r="AH62" s="49" t="s">
        <v>30</v>
      </c>
      <c r="AI62" s="50" t="s">
        <v>427</v>
      </c>
      <c r="AJ62" s="49" t="s">
        <v>5</v>
      </c>
      <c r="AK62" s="50" t="s">
        <v>164</v>
      </c>
      <c r="AL62" s="49"/>
      <c r="AM62" s="50"/>
      <c r="AN62" s="49"/>
      <c r="AO62" s="50"/>
      <c r="AP62" s="49"/>
      <c r="AQ62" s="50"/>
      <c r="AR62" s="49" t="s">
        <v>5</v>
      </c>
      <c r="AS62" s="50" t="s">
        <v>194</v>
      </c>
      <c r="AT62" s="49"/>
      <c r="AU62" s="50"/>
      <c r="AV62" s="49"/>
      <c r="AW62" s="50"/>
      <c r="AX62" s="49" t="s">
        <v>5</v>
      </c>
      <c r="AY62" s="50" t="s">
        <v>124</v>
      </c>
      <c r="AZ62" s="49"/>
      <c r="BA62" s="50"/>
      <c r="BB62" s="49"/>
      <c r="BC62" s="50"/>
      <c r="BD62" s="49"/>
      <c r="BE62" s="50"/>
      <c r="BF62" s="49"/>
      <c r="BG62" s="50"/>
      <c r="BH62" s="49" t="s">
        <v>5</v>
      </c>
      <c r="BI62" s="50" t="s">
        <v>430</v>
      </c>
      <c r="BJ62" s="49"/>
      <c r="BK62" s="50"/>
      <c r="BL62" s="49"/>
      <c r="BM62" s="50"/>
      <c r="BN62" s="49" t="s">
        <v>5</v>
      </c>
      <c r="BO62" s="50" t="s">
        <v>107</v>
      </c>
      <c r="BP62" s="49"/>
      <c r="BQ62" s="50"/>
      <c r="BR62" s="49" t="s">
        <v>31</v>
      </c>
      <c r="BS62" s="50" t="s">
        <v>140</v>
      </c>
      <c r="BT62" s="49"/>
      <c r="BU62" s="50"/>
      <c r="BV62" s="49" t="s">
        <v>31</v>
      </c>
      <c r="BW62" s="50" t="s">
        <v>457</v>
      </c>
      <c r="BX62" s="49"/>
      <c r="BY62" s="50"/>
      <c r="BZ62" s="49" t="s">
        <v>32</v>
      </c>
      <c r="CA62" s="50" t="s">
        <v>75</v>
      </c>
    </row>
    <row r="63" spans="1:79" x14ac:dyDescent="0.25">
      <c r="A63" s="76">
        <v>151667</v>
      </c>
      <c r="B63" s="77" t="s">
        <v>784</v>
      </c>
      <c r="C63" s="78" t="s">
        <v>732</v>
      </c>
      <c r="D63" s="76" t="s">
        <v>12</v>
      </c>
      <c r="E63" s="79" t="s">
        <v>14</v>
      </c>
      <c r="F63" s="79" t="s">
        <v>71</v>
      </c>
      <c r="G63" s="79" t="s">
        <v>14</v>
      </c>
      <c r="H63" s="79" t="s">
        <v>14</v>
      </c>
      <c r="I63" s="78" t="s">
        <v>14</v>
      </c>
      <c r="J63" s="79" t="s">
        <v>14</v>
      </c>
      <c r="K63" s="142" t="s">
        <v>1850</v>
      </c>
      <c r="L63" s="149" t="s">
        <v>1842</v>
      </c>
      <c r="M63" s="150" t="s">
        <v>1853</v>
      </c>
      <c r="N63" s="151">
        <v>15</v>
      </c>
      <c r="O63" s="151">
        <v>2</v>
      </c>
      <c r="P63" s="152">
        <v>1</v>
      </c>
      <c r="Q63" s="153">
        <v>100</v>
      </c>
      <c r="R63" s="154">
        <v>0</v>
      </c>
      <c r="S63" s="38">
        <f t="shared" si="0"/>
        <v>0</v>
      </c>
      <c r="T63" s="39">
        <f t="shared" si="1"/>
        <v>9</v>
      </c>
      <c r="U63" s="40">
        <f t="shared" si="2"/>
        <v>0</v>
      </c>
      <c r="V63" s="40">
        <f t="shared" si="3"/>
        <v>0</v>
      </c>
      <c r="W63" s="40">
        <f t="shared" si="4"/>
        <v>0</v>
      </c>
      <c r="X63" s="40">
        <f t="shared" si="5"/>
        <v>0</v>
      </c>
      <c r="Y63" s="40">
        <f t="shared" si="6"/>
        <v>0</v>
      </c>
      <c r="Z63" s="40">
        <f t="shared" si="7"/>
        <v>0</v>
      </c>
      <c r="AA63" s="40">
        <f t="shared" si="8"/>
        <v>0</v>
      </c>
      <c r="AB63" s="40">
        <f t="shared" si="10"/>
        <v>0</v>
      </c>
      <c r="AC63" s="41">
        <f t="shared" si="11"/>
        <v>0</v>
      </c>
      <c r="AD63" s="49"/>
      <c r="AE63" s="50"/>
      <c r="AF63" s="49" t="s">
        <v>5</v>
      </c>
      <c r="AG63" s="50" t="s">
        <v>133</v>
      </c>
      <c r="AH63" s="49"/>
      <c r="AI63" s="50"/>
      <c r="AJ63" s="49" t="s">
        <v>5</v>
      </c>
      <c r="AK63" s="50" t="s">
        <v>164</v>
      </c>
      <c r="AL63" s="49"/>
      <c r="AM63" s="50"/>
      <c r="AN63" s="49"/>
      <c r="AO63" s="50"/>
      <c r="AP63" s="49"/>
      <c r="AQ63" s="50"/>
      <c r="AR63" s="49" t="s">
        <v>5</v>
      </c>
      <c r="AS63" s="50" t="s">
        <v>478</v>
      </c>
      <c r="AT63" s="49"/>
      <c r="AU63" s="50"/>
      <c r="AV63" s="49"/>
      <c r="AW63" s="50"/>
      <c r="AX63" s="49" t="s">
        <v>5</v>
      </c>
      <c r="AY63" s="50" t="s">
        <v>124</v>
      </c>
      <c r="AZ63" s="49"/>
      <c r="BA63" s="50"/>
      <c r="BB63" s="49"/>
      <c r="BC63" s="50"/>
      <c r="BD63" s="49"/>
      <c r="BE63" s="50"/>
      <c r="BF63" s="49"/>
      <c r="BG63" s="50"/>
      <c r="BH63" s="49" t="s">
        <v>5</v>
      </c>
      <c r="BI63" s="50" t="s">
        <v>139</v>
      </c>
      <c r="BJ63" s="49"/>
      <c r="BK63" s="50"/>
      <c r="BL63" s="49"/>
      <c r="BM63" s="50"/>
      <c r="BN63" s="49" t="s">
        <v>5</v>
      </c>
      <c r="BO63" s="50" t="s">
        <v>107</v>
      </c>
      <c r="BP63" s="49" t="s">
        <v>5</v>
      </c>
      <c r="BQ63" s="50" t="s">
        <v>96</v>
      </c>
      <c r="BR63" s="49" t="s">
        <v>5</v>
      </c>
      <c r="BS63" s="50" t="s">
        <v>140</v>
      </c>
      <c r="BT63" s="49"/>
      <c r="BU63" s="50"/>
      <c r="BV63" s="49" t="s">
        <v>5</v>
      </c>
      <c r="BW63" s="50" t="s">
        <v>495</v>
      </c>
      <c r="BX63" s="49"/>
      <c r="BY63" s="50"/>
      <c r="BZ63" s="49" t="s">
        <v>5</v>
      </c>
      <c r="CA63" s="50" t="s">
        <v>75</v>
      </c>
    </row>
    <row r="64" spans="1:79" x14ac:dyDescent="0.25">
      <c r="A64" s="76">
        <v>151654</v>
      </c>
      <c r="B64" s="77" t="s">
        <v>785</v>
      </c>
      <c r="C64" s="78" t="s">
        <v>718</v>
      </c>
      <c r="D64" s="76" t="s">
        <v>12</v>
      </c>
      <c r="E64" s="79" t="s">
        <v>14</v>
      </c>
      <c r="F64" s="79" t="s">
        <v>455</v>
      </c>
      <c r="G64" s="79" t="s">
        <v>14</v>
      </c>
      <c r="H64" s="79" t="s">
        <v>14</v>
      </c>
      <c r="I64" s="78" t="s">
        <v>14</v>
      </c>
      <c r="J64" s="79" t="s">
        <v>14</v>
      </c>
      <c r="K64" s="142" t="s">
        <v>1851</v>
      </c>
      <c r="L64" s="149" t="s">
        <v>1843</v>
      </c>
      <c r="M64" s="150" t="s">
        <v>1852</v>
      </c>
      <c r="N64" s="151">
        <v>14</v>
      </c>
      <c r="O64" s="151">
        <v>1</v>
      </c>
      <c r="P64" s="152">
        <v>1</v>
      </c>
      <c r="Q64" s="153">
        <v>93.48</v>
      </c>
      <c r="R64" s="154">
        <v>9</v>
      </c>
      <c r="S64" s="38">
        <f t="shared" si="0"/>
        <v>2</v>
      </c>
      <c r="T64" s="39">
        <f t="shared" si="1"/>
        <v>5</v>
      </c>
      <c r="U64" s="40">
        <f t="shared" si="2"/>
        <v>1</v>
      </c>
      <c r="V64" s="40">
        <f t="shared" si="3"/>
        <v>0</v>
      </c>
      <c r="W64" s="40">
        <f t="shared" si="4"/>
        <v>1</v>
      </c>
      <c r="X64" s="40">
        <f t="shared" si="5"/>
        <v>2</v>
      </c>
      <c r="Y64" s="40">
        <f t="shared" si="6"/>
        <v>1</v>
      </c>
      <c r="Z64" s="40">
        <f t="shared" si="7"/>
        <v>0</v>
      </c>
      <c r="AA64" s="40">
        <f t="shared" si="8"/>
        <v>0</v>
      </c>
      <c r="AB64" s="40">
        <f t="shared" si="10"/>
        <v>1</v>
      </c>
      <c r="AC64" s="41">
        <f t="shared" si="11"/>
        <v>0</v>
      </c>
      <c r="AD64" s="49"/>
      <c r="AE64" s="50"/>
      <c r="AF64" s="49" t="s">
        <v>34</v>
      </c>
      <c r="AG64" s="50" t="s">
        <v>154</v>
      </c>
      <c r="AH64" s="49"/>
      <c r="AI64" s="50"/>
      <c r="AJ64" s="49" t="s">
        <v>30</v>
      </c>
      <c r="AK64" s="50" t="s">
        <v>83</v>
      </c>
      <c r="AL64" s="49"/>
      <c r="AM64" s="50"/>
      <c r="AN64" s="49"/>
      <c r="AO64" s="50"/>
      <c r="AP64" s="49"/>
      <c r="AQ64" s="50"/>
      <c r="AR64" s="49" t="s">
        <v>32</v>
      </c>
      <c r="AS64" s="50" t="s">
        <v>111</v>
      </c>
      <c r="AT64" s="49"/>
      <c r="AU64" s="50"/>
      <c r="AV64" s="49"/>
      <c r="AW64" s="50"/>
      <c r="AX64" s="49" t="s">
        <v>5</v>
      </c>
      <c r="AY64" s="50" t="s">
        <v>169</v>
      </c>
      <c r="AZ64" s="49" t="s">
        <v>5</v>
      </c>
      <c r="BA64" s="50" t="s">
        <v>103</v>
      </c>
      <c r="BB64" s="49" t="s">
        <v>5</v>
      </c>
      <c r="BC64" s="50" t="s">
        <v>92</v>
      </c>
      <c r="BD64" s="49"/>
      <c r="BE64" s="50"/>
      <c r="BF64" s="49"/>
      <c r="BG64" s="50"/>
      <c r="BH64" s="49" t="s">
        <v>1</v>
      </c>
      <c r="BI64" s="50" t="s">
        <v>94</v>
      </c>
      <c r="BJ64" s="49"/>
      <c r="BK64" s="50"/>
      <c r="BL64" s="49"/>
      <c r="BM64" s="50"/>
      <c r="BN64" s="49" t="s">
        <v>1</v>
      </c>
      <c r="BO64" s="50" t="s">
        <v>107</v>
      </c>
      <c r="BP64" s="49"/>
      <c r="BQ64" s="50"/>
      <c r="BR64" s="49" t="s">
        <v>5</v>
      </c>
      <c r="BS64" s="50" t="s">
        <v>170</v>
      </c>
      <c r="BT64" s="49"/>
      <c r="BU64" s="50"/>
      <c r="BV64" s="49" t="s">
        <v>5</v>
      </c>
      <c r="BW64" s="50" t="s">
        <v>602</v>
      </c>
      <c r="BX64" s="49"/>
      <c r="BY64" s="50"/>
      <c r="BZ64" s="49"/>
      <c r="CA64" s="50"/>
    </row>
    <row r="65" spans="1:79" x14ac:dyDescent="0.25">
      <c r="A65" s="76">
        <v>151566</v>
      </c>
      <c r="B65" s="77" t="s">
        <v>786</v>
      </c>
      <c r="C65" s="78" t="s">
        <v>732</v>
      </c>
      <c r="D65" s="76" t="s">
        <v>12</v>
      </c>
      <c r="E65" s="79" t="s">
        <v>87</v>
      </c>
      <c r="F65" s="79" t="s">
        <v>71</v>
      </c>
      <c r="G65" s="79" t="s">
        <v>14</v>
      </c>
      <c r="H65" s="79" t="s">
        <v>87</v>
      </c>
      <c r="I65" s="78" t="s">
        <v>14</v>
      </c>
      <c r="J65" s="79" t="s">
        <v>14</v>
      </c>
      <c r="K65" s="142" t="s">
        <v>1850</v>
      </c>
      <c r="L65" s="149" t="s">
        <v>1846</v>
      </c>
      <c r="M65" s="150" t="s">
        <v>1853</v>
      </c>
      <c r="N65" s="151">
        <v>6</v>
      </c>
      <c r="O65" s="151">
        <v>0</v>
      </c>
      <c r="P65" s="152">
        <v>0</v>
      </c>
      <c r="Q65" s="153">
        <v>100</v>
      </c>
      <c r="R65" s="154">
        <v>0</v>
      </c>
      <c r="S65" s="38">
        <f t="shared" si="0"/>
        <v>0</v>
      </c>
      <c r="T65" s="39">
        <f t="shared" si="1"/>
        <v>8</v>
      </c>
      <c r="U65" s="40">
        <f t="shared" si="2"/>
        <v>0</v>
      </c>
      <c r="V65" s="40">
        <f t="shared" si="3"/>
        <v>0</v>
      </c>
      <c r="W65" s="40">
        <f t="shared" si="4"/>
        <v>0</v>
      </c>
      <c r="X65" s="40">
        <f t="shared" si="5"/>
        <v>0</v>
      </c>
      <c r="Y65" s="40">
        <f t="shared" si="6"/>
        <v>0</v>
      </c>
      <c r="Z65" s="40">
        <f t="shared" si="7"/>
        <v>0</v>
      </c>
      <c r="AA65" s="40">
        <f t="shared" si="8"/>
        <v>0</v>
      </c>
      <c r="AB65" s="40">
        <f t="shared" si="10"/>
        <v>0</v>
      </c>
      <c r="AC65" s="41">
        <f t="shared" si="11"/>
        <v>0</v>
      </c>
      <c r="AD65" s="49"/>
      <c r="AE65" s="50"/>
      <c r="AF65" s="49"/>
      <c r="AG65" s="50"/>
      <c r="AH65" s="49"/>
      <c r="AI65" s="50"/>
      <c r="AJ65" s="49"/>
      <c r="AK65" s="50"/>
      <c r="AL65" s="49"/>
      <c r="AM65" s="50"/>
      <c r="AN65" s="49"/>
      <c r="AO65" s="50"/>
      <c r="AP65" s="49" t="s">
        <v>5</v>
      </c>
      <c r="AQ65" s="50" t="s">
        <v>101</v>
      </c>
      <c r="AR65" s="49" t="s">
        <v>5</v>
      </c>
      <c r="AS65" s="50" t="s">
        <v>459</v>
      </c>
      <c r="AT65" s="49"/>
      <c r="AU65" s="50"/>
      <c r="AV65" s="49"/>
      <c r="AW65" s="50"/>
      <c r="AX65" s="49" t="s">
        <v>5</v>
      </c>
      <c r="AY65" s="50" t="s">
        <v>124</v>
      </c>
      <c r="AZ65" s="49"/>
      <c r="BA65" s="50"/>
      <c r="BB65" s="49" t="s">
        <v>5</v>
      </c>
      <c r="BC65" s="50" t="s">
        <v>92</v>
      </c>
      <c r="BD65" s="49"/>
      <c r="BE65" s="50"/>
      <c r="BF65" s="49"/>
      <c r="BG65" s="50"/>
      <c r="BH65" s="49" t="s">
        <v>5</v>
      </c>
      <c r="BI65" s="50" t="s">
        <v>505</v>
      </c>
      <c r="BJ65" s="49"/>
      <c r="BK65" s="50"/>
      <c r="BL65" s="49"/>
      <c r="BM65" s="50"/>
      <c r="BN65" s="49" t="s">
        <v>5</v>
      </c>
      <c r="BO65" s="50" t="s">
        <v>107</v>
      </c>
      <c r="BP65" s="49"/>
      <c r="BQ65" s="50"/>
      <c r="BR65" s="49"/>
      <c r="BS65" s="50"/>
      <c r="BT65" s="49"/>
      <c r="BU65" s="50"/>
      <c r="BV65" s="49" t="s">
        <v>5</v>
      </c>
      <c r="BW65" s="50" t="s">
        <v>108</v>
      </c>
      <c r="BX65" s="49" t="s">
        <v>5</v>
      </c>
      <c r="BY65" s="50" t="s">
        <v>206</v>
      </c>
      <c r="BZ65" s="49" t="s">
        <v>5</v>
      </c>
      <c r="CA65" s="50" t="s">
        <v>124</v>
      </c>
    </row>
    <row r="66" spans="1:79" x14ac:dyDescent="0.25">
      <c r="A66" s="76">
        <v>151611</v>
      </c>
      <c r="B66" s="77" t="s">
        <v>787</v>
      </c>
      <c r="C66" s="78" t="s">
        <v>721</v>
      </c>
      <c r="D66" s="76" t="s">
        <v>12</v>
      </c>
      <c r="E66" s="79" t="s">
        <v>14</v>
      </c>
      <c r="F66" s="79" t="s">
        <v>71</v>
      </c>
      <c r="G66" s="79" t="s">
        <v>14</v>
      </c>
      <c r="H66" s="79" t="s">
        <v>14</v>
      </c>
      <c r="I66" s="78" t="s">
        <v>14</v>
      </c>
      <c r="J66" s="79" t="s">
        <v>14</v>
      </c>
      <c r="K66" s="142" t="s">
        <v>1851</v>
      </c>
      <c r="L66" s="149" t="s">
        <v>1844</v>
      </c>
      <c r="M66" s="150" t="s">
        <v>12</v>
      </c>
      <c r="N66" s="151">
        <v>8</v>
      </c>
      <c r="O66" s="151">
        <v>0</v>
      </c>
      <c r="P66" s="152">
        <v>2</v>
      </c>
      <c r="Q66" s="153">
        <v>86.96</v>
      </c>
      <c r="R66" s="154">
        <v>1</v>
      </c>
      <c r="S66" s="38">
        <f t="shared" ref="S66:S129" si="12">COUNTIF($AD66:$BY66,"Outstanding")</f>
        <v>2</v>
      </c>
      <c r="T66" s="39">
        <f t="shared" ref="T66:T129" si="13">COUNTIF($AD66:$BY66,"Good")</f>
        <v>7</v>
      </c>
      <c r="U66" s="40">
        <f t="shared" ref="U66:U129" si="14">COUNTIF($AD66:$BY66,"N2Improve - Engagement")</f>
        <v>0</v>
      </c>
      <c r="V66" s="40">
        <f t="shared" ref="V66:V129" si="15">COUNTIF($AD66:$BY66,"N2Improve - Community Conduct")</f>
        <v>0</v>
      </c>
      <c r="W66" s="40">
        <f t="shared" ref="W66:W129" si="16">COUNTIF($AD66:$BY66,"N2Improve - Personal Org.")</f>
        <v>0</v>
      </c>
      <c r="X66" s="40">
        <f t="shared" ref="X66:X129" si="17">SUM(U66:W66)</f>
        <v>0</v>
      </c>
      <c r="Y66" s="40">
        <f t="shared" ref="Y66:Y129" si="18">COUNTIF($AD66:$BY66,"Serious Conc - Engagement")</f>
        <v>0</v>
      </c>
      <c r="Z66" s="40">
        <f t="shared" ref="Z66:Z129" si="19">COUNTIF($AD66:$BY66,"Serious Conc - Comm. Concern")</f>
        <v>0</v>
      </c>
      <c r="AA66" s="40">
        <f t="shared" ref="AA66:AA129" si="20">COUNTIF($AD66:$BY66,"Serious Conc - Personal Org.")</f>
        <v>0</v>
      </c>
      <c r="AB66" s="40">
        <f t="shared" si="10"/>
        <v>0</v>
      </c>
      <c r="AC66" s="41">
        <f t="shared" si="11"/>
        <v>0</v>
      </c>
      <c r="AD66" s="49" t="s">
        <v>5</v>
      </c>
      <c r="AE66" s="50" t="s">
        <v>116</v>
      </c>
      <c r="AF66" s="49"/>
      <c r="AG66" s="50"/>
      <c r="AH66" s="49"/>
      <c r="AI66" s="50"/>
      <c r="AJ66" s="49"/>
      <c r="AK66" s="50"/>
      <c r="AL66" s="49"/>
      <c r="AM66" s="50"/>
      <c r="AN66" s="49"/>
      <c r="AO66" s="50"/>
      <c r="AP66" s="49"/>
      <c r="AQ66" s="50"/>
      <c r="AR66" s="49" t="s">
        <v>1</v>
      </c>
      <c r="AS66" s="50" t="s">
        <v>478</v>
      </c>
      <c r="AT66" s="49"/>
      <c r="AU66" s="50"/>
      <c r="AV66" s="49"/>
      <c r="AW66" s="50"/>
      <c r="AX66" s="49" t="s">
        <v>5</v>
      </c>
      <c r="AY66" s="50" t="s">
        <v>101</v>
      </c>
      <c r="AZ66" s="49" t="s">
        <v>5</v>
      </c>
      <c r="BA66" s="50" t="s">
        <v>143</v>
      </c>
      <c r="BB66" s="49"/>
      <c r="BC66" s="50"/>
      <c r="BD66" s="49"/>
      <c r="BE66" s="50"/>
      <c r="BF66" s="49"/>
      <c r="BG66" s="50"/>
      <c r="BH66" s="49" t="s">
        <v>5</v>
      </c>
      <c r="BI66" s="50" t="s">
        <v>430</v>
      </c>
      <c r="BJ66" s="49" t="s">
        <v>1</v>
      </c>
      <c r="BK66" s="50" t="s">
        <v>95</v>
      </c>
      <c r="BL66" s="49"/>
      <c r="BM66" s="50"/>
      <c r="BN66" s="49" t="s">
        <v>5</v>
      </c>
      <c r="BO66" s="50" t="s">
        <v>96</v>
      </c>
      <c r="BP66" s="49"/>
      <c r="BQ66" s="50"/>
      <c r="BR66" s="49"/>
      <c r="BS66" s="50"/>
      <c r="BT66" s="49"/>
      <c r="BU66" s="50"/>
      <c r="BV66" s="49" t="s">
        <v>5</v>
      </c>
      <c r="BW66" s="50" t="s">
        <v>97</v>
      </c>
      <c r="BX66" s="49" t="s">
        <v>5</v>
      </c>
      <c r="BY66" s="50" t="s">
        <v>206</v>
      </c>
      <c r="BZ66" s="49"/>
      <c r="CA66" s="50"/>
    </row>
    <row r="67" spans="1:79" x14ac:dyDescent="0.25">
      <c r="A67" s="76">
        <v>151699</v>
      </c>
      <c r="B67" s="77" t="s">
        <v>788</v>
      </c>
      <c r="C67" s="78" t="s">
        <v>718</v>
      </c>
      <c r="D67" s="76" t="s">
        <v>70</v>
      </c>
      <c r="E67" s="79" t="s">
        <v>14</v>
      </c>
      <c r="F67" s="79" t="s">
        <v>71</v>
      </c>
      <c r="G67" s="79" t="s">
        <v>14</v>
      </c>
      <c r="H67" s="79" t="s">
        <v>14</v>
      </c>
      <c r="I67" s="78" t="s">
        <v>14</v>
      </c>
      <c r="J67" s="79" t="s">
        <v>14</v>
      </c>
      <c r="K67" s="142" t="s">
        <v>1850</v>
      </c>
      <c r="L67" s="149" t="s">
        <v>1846</v>
      </c>
      <c r="M67" s="150" t="s">
        <v>1853</v>
      </c>
      <c r="N67" s="151">
        <v>12</v>
      </c>
      <c r="O67" s="151">
        <v>0</v>
      </c>
      <c r="P67" s="152">
        <v>0</v>
      </c>
      <c r="Q67" s="153">
        <v>95.65</v>
      </c>
      <c r="R67" s="154">
        <v>0</v>
      </c>
      <c r="S67" s="38">
        <f t="shared" si="12"/>
        <v>2</v>
      </c>
      <c r="T67" s="39">
        <f t="shared" si="13"/>
        <v>7</v>
      </c>
      <c r="U67" s="40">
        <f t="shared" si="14"/>
        <v>0</v>
      </c>
      <c r="V67" s="40">
        <f t="shared" si="15"/>
        <v>0</v>
      </c>
      <c r="W67" s="40">
        <f t="shared" si="16"/>
        <v>0</v>
      </c>
      <c r="X67" s="40">
        <f t="shared" si="17"/>
        <v>0</v>
      </c>
      <c r="Y67" s="40">
        <f t="shared" si="18"/>
        <v>0</v>
      </c>
      <c r="Z67" s="40">
        <f t="shared" si="19"/>
        <v>0</v>
      </c>
      <c r="AA67" s="40">
        <f t="shared" si="20"/>
        <v>0</v>
      </c>
      <c r="AB67" s="40">
        <f t="shared" ref="AB67:AB130" si="21">SUM(Y67:AA67)</f>
        <v>0</v>
      </c>
      <c r="AC67" s="41">
        <f t="shared" ref="AC67:AC130" si="22">COUNTIF(AD67:CA67,"*still*")</f>
        <v>0</v>
      </c>
      <c r="AD67" s="49" t="s">
        <v>5</v>
      </c>
      <c r="AE67" s="50" t="s">
        <v>116</v>
      </c>
      <c r="AF67" s="49"/>
      <c r="AG67" s="50"/>
      <c r="AH67" s="49"/>
      <c r="AI67" s="50"/>
      <c r="AJ67" s="49"/>
      <c r="AK67" s="50"/>
      <c r="AL67" s="49" t="s">
        <v>1</v>
      </c>
      <c r="AM67" s="50" t="s">
        <v>425</v>
      </c>
      <c r="AN67" s="49"/>
      <c r="AO67" s="50"/>
      <c r="AP67" s="49"/>
      <c r="AQ67" s="50"/>
      <c r="AR67" s="49" t="s">
        <v>5</v>
      </c>
      <c r="AS67" s="50" t="s">
        <v>459</v>
      </c>
      <c r="AT67" s="49"/>
      <c r="AU67" s="50"/>
      <c r="AV67" s="49"/>
      <c r="AW67" s="50"/>
      <c r="AX67" s="49" t="s">
        <v>5</v>
      </c>
      <c r="AY67" s="50" t="s">
        <v>169</v>
      </c>
      <c r="AZ67" s="49" t="s">
        <v>5</v>
      </c>
      <c r="BA67" s="50" t="s">
        <v>84</v>
      </c>
      <c r="BB67" s="49"/>
      <c r="BC67" s="50"/>
      <c r="BD67" s="49"/>
      <c r="BE67" s="50"/>
      <c r="BF67" s="49"/>
      <c r="BG67" s="50"/>
      <c r="BH67" s="49" t="s">
        <v>5</v>
      </c>
      <c r="BI67" s="50" t="s">
        <v>139</v>
      </c>
      <c r="BJ67" s="49"/>
      <c r="BK67" s="50"/>
      <c r="BL67" s="49"/>
      <c r="BM67" s="50"/>
      <c r="BN67" s="49" t="s">
        <v>1</v>
      </c>
      <c r="BO67" s="50" t="s">
        <v>81</v>
      </c>
      <c r="BP67" s="49"/>
      <c r="BQ67" s="50"/>
      <c r="BR67" s="49"/>
      <c r="BS67" s="50"/>
      <c r="BT67" s="49"/>
      <c r="BU67" s="50"/>
      <c r="BV67" s="49" t="s">
        <v>5</v>
      </c>
      <c r="BW67" s="50" t="s">
        <v>108</v>
      </c>
      <c r="BX67" s="49" t="s">
        <v>5</v>
      </c>
      <c r="BY67" s="50" t="s">
        <v>206</v>
      </c>
      <c r="BZ67" s="49"/>
      <c r="CA67" s="50"/>
    </row>
    <row r="68" spans="1:79" x14ac:dyDescent="0.25">
      <c r="A68" s="76">
        <v>151687</v>
      </c>
      <c r="B68" s="77" t="s">
        <v>789</v>
      </c>
      <c r="C68" s="78" t="s">
        <v>732</v>
      </c>
      <c r="D68" s="76" t="s">
        <v>70</v>
      </c>
      <c r="E68" s="79" t="s">
        <v>14</v>
      </c>
      <c r="F68" s="79" t="s">
        <v>71</v>
      </c>
      <c r="G68" s="79" t="s">
        <v>14</v>
      </c>
      <c r="H68" s="79" t="s">
        <v>14</v>
      </c>
      <c r="I68" s="78" t="s">
        <v>14</v>
      </c>
      <c r="J68" s="79" t="s">
        <v>14</v>
      </c>
      <c r="K68" s="142" t="s">
        <v>1850</v>
      </c>
      <c r="L68" s="149" t="s">
        <v>1844</v>
      </c>
      <c r="M68" s="150" t="s">
        <v>12</v>
      </c>
      <c r="N68" s="151">
        <v>9</v>
      </c>
      <c r="O68" s="151">
        <v>0</v>
      </c>
      <c r="P68" s="152">
        <v>0</v>
      </c>
      <c r="Q68" s="153">
        <v>73.91</v>
      </c>
      <c r="R68" s="154">
        <v>8</v>
      </c>
      <c r="S68" s="38">
        <f t="shared" si="12"/>
        <v>1</v>
      </c>
      <c r="T68" s="39">
        <f t="shared" si="13"/>
        <v>7</v>
      </c>
      <c r="U68" s="40">
        <f t="shared" si="14"/>
        <v>1</v>
      </c>
      <c r="V68" s="40">
        <f t="shared" si="15"/>
        <v>0</v>
      </c>
      <c r="W68" s="40">
        <f t="shared" si="16"/>
        <v>0</v>
      </c>
      <c r="X68" s="40">
        <f t="shared" si="17"/>
        <v>1</v>
      </c>
      <c r="Y68" s="40">
        <f t="shared" si="18"/>
        <v>0</v>
      </c>
      <c r="Z68" s="40">
        <f t="shared" si="19"/>
        <v>0</v>
      </c>
      <c r="AA68" s="40">
        <f t="shared" si="20"/>
        <v>0</v>
      </c>
      <c r="AB68" s="40">
        <f t="shared" si="21"/>
        <v>0</v>
      </c>
      <c r="AC68" s="41">
        <f t="shared" si="22"/>
        <v>0</v>
      </c>
      <c r="AD68" s="49"/>
      <c r="AE68" s="50"/>
      <c r="AF68" s="49" t="s">
        <v>5</v>
      </c>
      <c r="AG68" s="50" t="s">
        <v>433</v>
      </c>
      <c r="AH68" s="49"/>
      <c r="AI68" s="50"/>
      <c r="AJ68" s="49" t="s">
        <v>5</v>
      </c>
      <c r="AK68" s="50" t="s">
        <v>714</v>
      </c>
      <c r="AL68" s="49" t="s">
        <v>30</v>
      </c>
      <c r="AM68" s="50" t="s">
        <v>425</v>
      </c>
      <c r="AN68" s="49"/>
      <c r="AO68" s="50"/>
      <c r="AP68" s="49"/>
      <c r="AQ68" s="50"/>
      <c r="AR68" s="49" t="s">
        <v>5</v>
      </c>
      <c r="AS68" s="50" t="s">
        <v>194</v>
      </c>
      <c r="AT68" s="49"/>
      <c r="AU68" s="50"/>
      <c r="AV68" s="49"/>
      <c r="AW68" s="50"/>
      <c r="AX68" s="49" t="s">
        <v>5</v>
      </c>
      <c r="AY68" s="50" t="s">
        <v>124</v>
      </c>
      <c r="AZ68" s="49"/>
      <c r="BA68" s="50"/>
      <c r="BB68" s="49"/>
      <c r="BC68" s="50"/>
      <c r="BD68" s="49"/>
      <c r="BE68" s="50"/>
      <c r="BF68" s="49"/>
      <c r="BG68" s="50"/>
      <c r="BH68" s="49" t="s">
        <v>1</v>
      </c>
      <c r="BI68" s="50" t="s">
        <v>94</v>
      </c>
      <c r="BJ68" s="49"/>
      <c r="BK68" s="50"/>
      <c r="BL68" s="49"/>
      <c r="BM68" s="50"/>
      <c r="BN68" s="49" t="s">
        <v>5</v>
      </c>
      <c r="BO68" s="50" t="s">
        <v>81</v>
      </c>
      <c r="BP68" s="49"/>
      <c r="BQ68" s="50"/>
      <c r="BR68" s="49" t="s">
        <v>5</v>
      </c>
      <c r="BS68" s="50" t="s">
        <v>123</v>
      </c>
      <c r="BT68" s="49"/>
      <c r="BU68" s="50"/>
      <c r="BV68" s="49" t="s">
        <v>5</v>
      </c>
      <c r="BW68" s="50" t="s">
        <v>602</v>
      </c>
      <c r="BX68" s="49"/>
      <c r="BY68" s="50"/>
      <c r="BZ68" s="49" t="s">
        <v>5</v>
      </c>
      <c r="CA68" s="50" t="s">
        <v>75</v>
      </c>
    </row>
    <row r="69" spans="1:79" ht="30" x14ac:dyDescent="0.25">
      <c r="A69" s="76">
        <v>151562</v>
      </c>
      <c r="B69" s="77" t="s">
        <v>790</v>
      </c>
      <c r="C69" s="78" t="s">
        <v>718</v>
      </c>
      <c r="D69" s="76" t="s">
        <v>70</v>
      </c>
      <c r="E69" s="79" t="s">
        <v>14</v>
      </c>
      <c r="F69" s="79" t="s">
        <v>71</v>
      </c>
      <c r="G69" s="79" t="s">
        <v>14</v>
      </c>
      <c r="H69" s="79" t="s">
        <v>14</v>
      </c>
      <c r="I69" s="78" t="s">
        <v>14</v>
      </c>
      <c r="J69" s="79" t="s">
        <v>14</v>
      </c>
      <c r="K69" s="142" t="s">
        <v>1850</v>
      </c>
      <c r="L69" s="149" t="s">
        <v>1844</v>
      </c>
      <c r="M69" s="150" t="s">
        <v>12</v>
      </c>
      <c r="N69" s="151">
        <v>10</v>
      </c>
      <c r="O69" s="151">
        <v>0</v>
      </c>
      <c r="P69" s="152">
        <v>0</v>
      </c>
      <c r="Q69" s="153">
        <v>100</v>
      </c>
      <c r="R69" s="154">
        <v>0</v>
      </c>
      <c r="S69" s="38">
        <f t="shared" si="12"/>
        <v>2</v>
      </c>
      <c r="T69" s="39">
        <f t="shared" si="13"/>
        <v>7</v>
      </c>
      <c r="U69" s="40">
        <f t="shared" si="14"/>
        <v>0</v>
      </c>
      <c r="V69" s="40">
        <f t="shared" si="15"/>
        <v>0</v>
      </c>
      <c r="W69" s="40">
        <f t="shared" si="16"/>
        <v>0</v>
      </c>
      <c r="X69" s="40">
        <f t="shared" si="17"/>
        <v>0</v>
      </c>
      <c r="Y69" s="40">
        <f t="shared" si="18"/>
        <v>0</v>
      </c>
      <c r="Z69" s="40">
        <f t="shared" si="19"/>
        <v>0</v>
      </c>
      <c r="AA69" s="40">
        <f t="shared" si="20"/>
        <v>0</v>
      </c>
      <c r="AB69" s="40">
        <f t="shared" si="21"/>
        <v>0</v>
      </c>
      <c r="AC69" s="41">
        <f t="shared" si="22"/>
        <v>0</v>
      </c>
      <c r="AD69" s="49"/>
      <c r="AE69" s="50"/>
      <c r="AF69" s="49"/>
      <c r="AG69" s="50"/>
      <c r="AH69" s="49" t="s">
        <v>5</v>
      </c>
      <c r="AI69" s="50" t="s">
        <v>427</v>
      </c>
      <c r="AJ69" s="49"/>
      <c r="AK69" s="50"/>
      <c r="AL69" s="49"/>
      <c r="AM69" s="50"/>
      <c r="AN69" s="49"/>
      <c r="AO69" s="50"/>
      <c r="AP69" s="49"/>
      <c r="AQ69" s="50"/>
      <c r="AR69" s="49" t="s">
        <v>1</v>
      </c>
      <c r="AS69" s="50" t="s">
        <v>478</v>
      </c>
      <c r="AT69" s="49"/>
      <c r="AU69" s="50"/>
      <c r="AV69" s="49"/>
      <c r="AW69" s="50"/>
      <c r="AX69" s="49" t="s">
        <v>5</v>
      </c>
      <c r="AY69" s="50" t="s">
        <v>169</v>
      </c>
      <c r="AZ69" s="49" t="s">
        <v>5</v>
      </c>
      <c r="BA69" s="50" t="s">
        <v>143</v>
      </c>
      <c r="BB69" s="49"/>
      <c r="BC69" s="50"/>
      <c r="BD69" s="49"/>
      <c r="BE69" s="50"/>
      <c r="BF69" s="49"/>
      <c r="BG69" s="50"/>
      <c r="BH69" s="49" t="s">
        <v>5</v>
      </c>
      <c r="BI69" s="50" t="s">
        <v>430</v>
      </c>
      <c r="BJ69" s="49"/>
      <c r="BK69" s="50"/>
      <c r="BL69" s="49"/>
      <c r="BM69" s="50"/>
      <c r="BN69" s="49" t="s">
        <v>5</v>
      </c>
      <c r="BO69" s="50" t="s">
        <v>121</v>
      </c>
      <c r="BP69" s="49"/>
      <c r="BQ69" s="50"/>
      <c r="BR69" s="49"/>
      <c r="BS69" s="50"/>
      <c r="BT69" s="49" t="s">
        <v>5</v>
      </c>
      <c r="BU69" s="50" t="s">
        <v>90</v>
      </c>
      <c r="BV69" s="49" t="s">
        <v>5</v>
      </c>
      <c r="BW69" s="50" t="s">
        <v>97</v>
      </c>
      <c r="BX69" s="49" t="s">
        <v>1</v>
      </c>
      <c r="BY69" s="50" t="s">
        <v>206</v>
      </c>
      <c r="BZ69" s="49"/>
      <c r="CA69" s="50"/>
    </row>
    <row r="70" spans="1:79" x14ac:dyDescent="0.25">
      <c r="A70" s="76">
        <v>151721</v>
      </c>
      <c r="B70" s="77" t="s">
        <v>791</v>
      </c>
      <c r="C70" s="78" t="s">
        <v>721</v>
      </c>
      <c r="D70" s="76" t="s">
        <v>70</v>
      </c>
      <c r="E70" s="79" t="s">
        <v>14</v>
      </c>
      <c r="F70" s="79" t="s">
        <v>71</v>
      </c>
      <c r="G70" s="79" t="s">
        <v>14</v>
      </c>
      <c r="H70" s="79" t="s">
        <v>14</v>
      </c>
      <c r="I70" s="78" t="s">
        <v>14</v>
      </c>
      <c r="J70" s="79" t="s">
        <v>14</v>
      </c>
      <c r="K70" s="142" t="s">
        <v>1850</v>
      </c>
      <c r="L70" s="149" t="s">
        <v>1844</v>
      </c>
      <c r="M70" s="150" t="s">
        <v>12</v>
      </c>
      <c r="N70" s="151">
        <v>15</v>
      </c>
      <c r="O70" s="151">
        <v>0</v>
      </c>
      <c r="P70" s="152">
        <v>1</v>
      </c>
      <c r="Q70" s="153">
        <v>100</v>
      </c>
      <c r="R70" s="154">
        <v>1</v>
      </c>
      <c r="S70" s="38">
        <f t="shared" si="12"/>
        <v>3</v>
      </c>
      <c r="T70" s="39">
        <f t="shared" si="13"/>
        <v>6</v>
      </c>
      <c r="U70" s="40">
        <f t="shared" si="14"/>
        <v>0</v>
      </c>
      <c r="V70" s="40">
        <f t="shared" si="15"/>
        <v>0</v>
      </c>
      <c r="W70" s="40">
        <f t="shared" si="16"/>
        <v>0</v>
      </c>
      <c r="X70" s="40">
        <f t="shared" si="17"/>
        <v>0</v>
      </c>
      <c r="Y70" s="40">
        <f t="shared" si="18"/>
        <v>0</v>
      </c>
      <c r="Z70" s="40">
        <f t="shared" si="19"/>
        <v>0</v>
      </c>
      <c r="AA70" s="40">
        <f t="shared" si="20"/>
        <v>0</v>
      </c>
      <c r="AB70" s="40">
        <f t="shared" si="21"/>
        <v>0</v>
      </c>
      <c r="AC70" s="41">
        <f t="shared" si="22"/>
        <v>0</v>
      </c>
      <c r="AD70" s="49"/>
      <c r="AE70" s="50"/>
      <c r="AF70" s="49"/>
      <c r="AG70" s="50"/>
      <c r="AH70" s="49"/>
      <c r="AI70" s="50"/>
      <c r="AJ70" s="49"/>
      <c r="AK70" s="50"/>
      <c r="AL70" s="49"/>
      <c r="AM70" s="50"/>
      <c r="AN70" s="49"/>
      <c r="AO70" s="50"/>
      <c r="AP70" s="49" t="s">
        <v>1</v>
      </c>
      <c r="AQ70" s="50" t="s">
        <v>101</v>
      </c>
      <c r="AR70" s="49" t="s">
        <v>5</v>
      </c>
      <c r="AS70" s="50" t="s">
        <v>459</v>
      </c>
      <c r="AT70" s="49"/>
      <c r="AU70" s="50"/>
      <c r="AV70" s="49" t="s">
        <v>5</v>
      </c>
      <c r="AW70" s="50" t="s">
        <v>73</v>
      </c>
      <c r="AX70" s="49" t="s">
        <v>5</v>
      </c>
      <c r="AY70" s="50" t="s">
        <v>101</v>
      </c>
      <c r="AZ70" s="49" t="s">
        <v>5</v>
      </c>
      <c r="BA70" s="50" t="s">
        <v>143</v>
      </c>
      <c r="BB70" s="49"/>
      <c r="BC70" s="50"/>
      <c r="BD70" s="49"/>
      <c r="BE70" s="50"/>
      <c r="BF70" s="49"/>
      <c r="BG70" s="50"/>
      <c r="BH70" s="49" t="s">
        <v>5</v>
      </c>
      <c r="BI70" s="50" t="s">
        <v>430</v>
      </c>
      <c r="BJ70" s="49"/>
      <c r="BK70" s="50"/>
      <c r="BL70" s="49"/>
      <c r="BM70" s="50"/>
      <c r="BN70" s="49" t="s">
        <v>5</v>
      </c>
      <c r="BO70" s="50" t="s">
        <v>121</v>
      </c>
      <c r="BP70" s="49"/>
      <c r="BQ70" s="50"/>
      <c r="BR70" s="49"/>
      <c r="BS70" s="50"/>
      <c r="BT70" s="49"/>
      <c r="BU70" s="50"/>
      <c r="BV70" s="49" t="s">
        <v>1</v>
      </c>
      <c r="BW70" s="50" t="s">
        <v>97</v>
      </c>
      <c r="BX70" s="49" t="s">
        <v>1</v>
      </c>
      <c r="BY70" s="50" t="s">
        <v>206</v>
      </c>
      <c r="BZ70" s="49"/>
      <c r="CA70" s="50"/>
    </row>
    <row r="71" spans="1:79" x14ac:dyDescent="0.25">
      <c r="A71" s="76">
        <v>151598</v>
      </c>
      <c r="B71" s="77" t="s">
        <v>792</v>
      </c>
      <c r="C71" s="78" t="s">
        <v>710</v>
      </c>
      <c r="D71" s="76" t="s">
        <v>12</v>
      </c>
      <c r="E71" s="79" t="s">
        <v>14</v>
      </c>
      <c r="F71" s="79" t="s">
        <v>71</v>
      </c>
      <c r="G71" s="79" t="s">
        <v>14</v>
      </c>
      <c r="H71" s="79" t="s">
        <v>14</v>
      </c>
      <c r="I71" s="78" t="s">
        <v>14</v>
      </c>
      <c r="J71" s="79" t="s">
        <v>14</v>
      </c>
      <c r="K71" s="142" t="s">
        <v>1851</v>
      </c>
      <c r="L71" s="149" t="s">
        <v>1844</v>
      </c>
      <c r="M71" s="150" t="s">
        <v>12</v>
      </c>
      <c r="N71" s="151">
        <v>8</v>
      </c>
      <c r="O71" s="151">
        <v>0</v>
      </c>
      <c r="P71" s="152">
        <v>1</v>
      </c>
      <c r="Q71" s="153">
        <v>97.83</v>
      </c>
      <c r="R71" s="154">
        <v>1</v>
      </c>
      <c r="S71" s="38">
        <f t="shared" si="12"/>
        <v>0</v>
      </c>
      <c r="T71" s="39">
        <f t="shared" si="13"/>
        <v>9</v>
      </c>
      <c r="U71" s="40">
        <f t="shared" si="14"/>
        <v>0</v>
      </c>
      <c r="V71" s="40">
        <f t="shared" si="15"/>
        <v>0</v>
      </c>
      <c r="W71" s="40">
        <f t="shared" si="16"/>
        <v>0</v>
      </c>
      <c r="X71" s="40">
        <f t="shared" si="17"/>
        <v>0</v>
      </c>
      <c r="Y71" s="40">
        <f t="shared" si="18"/>
        <v>0</v>
      </c>
      <c r="Z71" s="40">
        <f t="shared" si="19"/>
        <v>0</v>
      </c>
      <c r="AA71" s="40">
        <f t="shared" si="20"/>
        <v>0</v>
      </c>
      <c r="AB71" s="40">
        <f t="shared" si="21"/>
        <v>0</v>
      </c>
      <c r="AC71" s="41">
        <f t="shared" si="22"/>
        <v>0</v>
      </c>
      <c r="AD71" s="49"/>
      <c r="AE71" s="50"/>
      <c r="AF71" s="49" t="s">
        <v>5</v>
      </c>
      <c r="AG71" s="50" t="s">
        <v>433</v>
      </c>
      <c r="AH71" s="49"/>
      <c r="AI71" s="50"/>
      <c r="AJ71" s="49" t="s">
        <v>5</v>
      </c>
      <c r="AK71" s="50" t="s">
        <v>714</v>
      </c>
      <c r="AL71" s="49"/>
      <c r="AM71" s="50"/>
      <c r="AN71" s="49" t="s">
        <v>5</v>
      </c>
      <c r="AO71" s="50" t="s">
        <v>163</v>
      </c>
      <c r="AP71" s="49"/>
      <c r="AQ71" s="50"/>
      <c r="AR71" s="49" t="s">
        <v>5</v>
      </c>
      <c r="AS71" s="50" t="s">
        <v>111</v>
      </c>
      <c r="AT71" s="49"/>
      <c r="AU71" s="50"/>
      <c r="AV71" s="49"/>
      <c r="AW71" s="50"/>
      <c r="AX71" s="49" t="s">
        <v>5</v>
      </c>
      <c r="AY71" s="50" t="s">
        <v>711</v>
      </c>
      <c r="AZ71" s="49"/>
      <c r="BA71" s="50"/>
      <c r="BB71" s="49"/>
      <c r="BC71" s="50"/>
      <c r="BD71" s="49"/>
      <c r="BE71" s="50"/>
      <c r="BF71" s="49"/>
      <c r="BG71" s="50"/>
      <c r="BH71" s="49" t="s">
        <v>5</v>
      </c>
      <c r="BI71" s="50" t="s">
        <v>430</v>
      </c>
      <c r="BJ71" s="49"/>
      <c r="BK71" s="50"/>
      <c r="BL71" s="49"/>
      <c r="BM71" s="50"/>
      <c r="BN71" s="49" t="s">
        <v>5</v>
      </c>
      <c r="BO71" s="50" t="s">
        <v>96</v>
      </c>
      <c r="BP71" s="49"/>
      <c r="BQ71" s="50"/>
      <c r="BR71" s="49" t="s">
        <v>5</v>
      </c>
      <c r="BS71" s="50" t="s">
        <v>123</v>
      </c>
      <c r="BT71" s="49"/>
      <c r="BU71" s="50"/>
      <c r="BV71" s="49" t="s">
        <v>5</v>
      </c>
      <c r="BW71" s="50" t="s">
        <v>97</v>
      </c>
      <c r="BX71" s="49"/>
      <c r="BY71" s="50"/>
      <c r="BZ71" s="49" t="s">
        <v>32</v>
      </c>
      <c r="CA71" s="50" t="s">
        <v>124</v>
      </c>
    </row>
    <row r="72" spans="1:79" x14ac:dyDescent="0.25">
      <c r="A72" s="76">
        <v>151648</v>
      </c>
      <c r="B72" s="77" t="s">
        <v>793</v>
      </c>
      <c r="C72" s="78" t="s">
        <v>730</v>
      </c>
      <c r="D72" s="76" t="s">
        <v>70</v>
      </c>
      <c r="E72" s="79" t="s">
        <v>14</v>
      </c>
      <c r="F72" s="77" t="s">
        <v>71</v>
      </c>
      <c r="G72" s="79" t="s">
        <v>14</v>
      </c>
      <c r="H72" s="79" t="s">
        <v>14</v>
      </c>
      <c r="I72" s="78" t="s">
        <v>14</v>
      </c>
      <c r="J72" s="79" t="s">
        <v>14</v>
      </c>
      <c r="K72" s="142" t="s">
        <v>1850</v>
      </c>
      <c r="L72" s="149" t="s">
        <v>1845</v>
      </c>
      <c r="M72" s="150" t="s">
        <v>12</v>
      </c>
      <c r="N72" s="151">
        <v>7</v>
      </c>
      <c r="O72" s="151">
        <v>9</v>
      </c>
      <c r="P72" s="152">
        <v>2</v>
      </c>
      <c r="Q72" s="153">
        <v>93.48</v>
      </c>
      <c r="R72" s="154">
        <v>11</v>
      </c>
      <c r="S72" s="38">
        <f t="shared" si="12"/>
        <v>0</v>
      </c>
      <c r="T72" s="39">
        <f t="shared" si="13"/>
        <v>8</v>
      </c>
      <c r="U72" s="40">
        <f t="shared" si="14"/>
        <v>0</v>
      </c>
      <c r="V72" s="40">
        <f t="shared" si="15"/>
        <v>0</v>
      </c>
      <c r="W72" s="40">
        <f t="shared" si="16"/>
        <v>0</v>
      </c>
      <c r="X72" s="40">
        <f t="shared" si="17"/>
        <v>0</v>
      </c>
      <c r="Y72" s="40">
        <f t="shared" si="18"/>
        <v>0</v>
      </c>
      <c r="Z72" s="40">
        <f t="shared" si="19"/>
        <v>0</v>
      </c>
      <c r="AA72" s="40">
        <f t="shared" si="20"/>
        <v>1</v>
      </c>
      <c r="AB72" s="40">
        <f t="shared" si="21"/>
        <v>1</v>
      </c>
      <c r="AC72" s="41">
        <f t="shared" si="22"/>
        <v>0</v>
      </c>
      <c r="AD72" s="49" t="s">
        <v>5</v>
      </c>
      <c r="AE72" s="50" t="s">
        <v>116</v>
      </c>
      <c r="AF72" s="49"/>
      <c r="AG72" s="50"/>
      <c r="AH72" s="49"/>
      <c r="AI72" s="50"/>
      <c r="AJ72" s="49"/>
      <c r="AK72" s="50"/>
      <c r="AL72" s="49"/>
      <c r="AM72" s="50"/>
      <c r="AN72" s="49"/>
      <c r="AO72" s="50"/>
      <c r="AP72" s="49"/>
      <c r="AQ72" s="50"/>
      <c r="AR72" s="49" t="s">
        <v>5</v>
      </c>
      <c r="AS72" s="50" t="s">
        <v>102</v>
      </c>
      <c r="AT72" s="49"/>
      <c r="AU72" s="50"/>
      <c r="AV72" s="49"/>
      <c r="AW72" s="50"/>
      <c r="AX72" s="49" t="s">
        <v>5</v>
      </c>
      <c r="AY72" s="50" t="s">
        <v>133</v>
      </c>
      <c r="AZ72" s="49" t="s">
        <v>5</v>
      </c>
      <c r="BA72" s="50" t="s">
        <v>143</v>
      </c>
      <c r="BB72" s="49"/>
      <c r="BC72" s="50"/>
      <c r="BD72" s="49"/>
      <c r="BE72" s="50"/>
      <c r="BF72" s="49" t="s">
        <v>5</v>
      </c>
      <c r="BG72" s="50" t="s">
        <v>93</v>
      </c>
      <c r="BH72" s="49" t="s">
        <v>5</v>
      </c>
      <c r="BI72" s="50" t="s">
        <v>505</v>
      </c>
      <c r="BJ72" s="49"/>
      <c r="BK72" s="50"/>
      <c r="BL72" s="49"/>
      <c r="BM72" s="50"/>
      <c r="BN72" s="49" t="s">
        <v>36</v>
      </c>
      <c r="BO72" s="50" t="s">
        <v>81</v>
      </c>
      <c r="BP72" s="49"/>
      <c r="BQ72" s="50"/>
      <c r="BR72" s="49"/>
      <c r="BS72" s="50"/>
      <c r="BT72" s="49"/>
      <c r="BU72" s="50"/>
      <c r="BV72" s="49" t="s">
        <v>5</v>
      </c>
      <c r="BW72" s="50" t="s">
        <v>602</v>
      </c>
      <c r="BX72" s="49" t="s">
        <v>5</v>
      </c>
      <c r="BY72" s="50" t="s">
        <v>206</v>
      </c>
      <c r="BZ72" s="49"/>
      <c r="CA72" s="50"/>
    </row>
    <row r="73" spans="1:79" x14ac:dyDescent="0.25">
      <c r="A73" s="76">
        <v>151550</v>
      </c>
      <c r="B73" s="77" t="s">
        <v>794</v>
      </c>
      <c r="C73" s="78" t="s">
        <v>713</v>
      </c>
      <c r="D73" s="76" t="s">
        <v>12</v>
      </c>
      <c r="E73" s="79" t="s">
        <v>14</v>
      </c>
      <c r="F73" s="79" t="s">
        <v>71</v>
      </c>
      <c r="G73" s="79" t="s">
        <v>14</v>
      </c>
      <c r="H73" s="79" t="s">
        <v>14</v>
      </c>
      <c r="I73" s="78" t="s">
        <v>14</v>
      </c>
      <c r="J73" s="79" t="s">
        <v>14</v>
      </c>
      <c r="K73" s="142" t="s">
        <v>1850</v>
      </c>
      <c r="L73" s="149" t="s">
        <v>1846</v>
      </c>
      <c r="M73" s="150" t="s">
        <v>1853</v>
      </c>
      <c r="N73" s="151">
        <v>9</v>
      </c>
      <c r="O73" s="151">
        <v>0</v>
      </c>
      <c r="P73" s="152">
        <v>0</v>
      </c>
      <c r="Q73" s="153">
        <v>100</v>
      </c>
      <c r="R73" s="154">
        <v>0</v>
      </c>
      <c r="S73" s="38">
        <f t="shared" si="12"/>
        <v>3</v>
      </c>
      <c r="T73" s="39">
        <f t="shared" si="13"/>
        <v>6</v>
      </c>
      <c r="U73" s="40">
        <f t="shared" si="14"/>
        <v>0</v>
      </c>
      <c r="V73" s="40">
        <f t="shared" si="15"/>
        <v>0</v>
      </c>
      <c r="W73" s="40">
        <f t="shared" si="16"/>
        <v>0</v>
      </c>
      <c r="X73" s="40">
        <f t="shared" si="17"/>
        <v>0</v>
      </c>
      <c r="Y73" s="40">
        <f t="shared" si="18"/>
        <v>0</v>
      </c>
      <c r="Z73" s="40">
        <f t="shared" si="19"/>
        <v>0</v>
      </c>
      <c r="AA73" s="40">
        <f t="shared" si="20"/>
        <v>0</v>
      </c>
      <c r="AB73" s="40">
        <f t="shared" si="21"/>
        <v>0</v>
      </c>
      <c r="AC73" s="41">
        <f t="shared" si="22"/>
        <v>0</v>
      </c>
      <c r="AD73" s="49"/>
      <c r="AE73" s="50"/>
      <c r="AF73" s="49" t="s">
        <v>5</v>
      </c>
      <c r="AG73" s="50" t="s">
        <v>133</v>
      </c>
      <c r="AH73" s="49"/>
      <c r="AI73" s="50"/>
      <c r="AJ73" s="49" t="s">
        <v>5</v>
      </c>
      <c r="AK73" s="50" t="s">
        <v>137</v>
      </c>
      <c r="AL73" s="49"/>
      <c r="AM73" s="50"/>
      <c r="AN73" s="49" t="s">
        <v>1</v>
      </c>
      <c r="AO73" s="50" t="s">
        <v>163</v>
      </c>
      <c r="AP73" s="49"/>
      <c r="AQ73" s="50"/>
      <c r="AR73" s="49" t="s">
        <v>5</v>
      </c>
      <c r="AS73" s="50" t="s">
        <v>722</v>
      </c>
      <c r="AT73" s="49"/>
      <c r="AU73" s="50"/>
      <c r="AV73" s="49"/>
      <c r="AW73" s="50"/>
      <c r="AX73" s="49" t="s">
        <v>5</v>
      </c>
      <c r="AY73" s="50" t="s">
        <v>103</v>
      </c>
      <c r="AZ73" s="49"/>
      <c r="BA73" s="50"/>
      <c r="BB73" s="49"/>
      <c r="BC73" s="50"/>
      <c r="BD73" s="49"/>
      <c r="BE73" s="50"/>
      <c r="BF73" s="49"/>
      <c r="BG73" s="50"/>
      <c r="BH73" s="49" t="s">
        <v>1</v>
      </c>
      <c r="BI73" s="50" t="s">
        <v>106</v>
      </c>
      <c r="BJ73" s="49"/>
      <c r="BK73" s="50"/>
      <c r="BL73" s="49"/>
      <c r="BM73" s="50"/>
      <c r="BN73" s="49" t="s">
        <v>1</v>
      </c>
      <c r="BO73" s="50" t="s">
        <v>96</v>
      </c>
      <c r="BP73" s="49"/>
      <c r="BQ73" s="50"/>
      <c r="BR73" s="49" t="s">
        <v>5</v>
      </c>
      <c r="BS73" s="50" t="s">
        <v>98</v>
      </c>
      <c r="BT73" s="49"/>
      <c r="BU73" s="50"/>
      <c r="BV73" s="49" t="s">
        <v>5</v>
      </c>
      <c r="BW73" s="50" t="s">
        <v>108</v>
      </c>
      <c r="BX73" s="49"/>
      <c r="BY73" s="50"/>
      <c r="BZ73" s="49" t="s">
        <v>5</v>
      </c>
      <c r="CA73" s="50" t="s">
        <v>124</v>
      </c>
    </row>
    <row r="74" spans="1:79" x14ac:dyDescent="0.25">
      <c r="A74" s="76">
        <v>151523</v>
      </c>
      <c r="B74" s="77" t="s">
        <v>795</v>
      </c>
      <c r="C74" s="78" t="s">
        <v>725</v>
      </c>
      <c r="D74" s="76" t="s">
        <v>70</v>
      </c>
      <c r="E74" s="79" t="s">
        <v>87</v>
      </c>
      <c r="F74" s="77" t="s">
        <v>71</v>
      </c>
      <c r="G74" s="79" t="s">
        <v>14</v>
      </c>
      <c r="H74" s="79" t="s">
        <v>87</v>
      </c>
      <c r="I74" s="78" t="s">
        <v>14</v>
      </c>
      <c r="J74" s="79" t="s">
        <v>14</v>
      </c>
      <c r="K74" s="142" t="s">
        <v>1850</v>
      </c>
      <c r="L74" s="149" t="s">
        <v>1842</v>
      </c>
      <c r="M74" s="150" t="s">
        <v>12</v>
      </c>
      <c r="N74" s="151">
        <v>17</v>
      </c>
      <c r="O74" s="151">
        <v>0</v>
      </c>
      <c r="P74" s="152">
        <v>1</v>
      </c>
      <c r="Q74" s="153">
        <v>84.78</v>
      </c>
      <c r="R74" s="154">
        <v>0</v>
      </c>
      <c r="S74" s="38">
        <f t="shared" si="12"/>
        <v>1</v>
      </c>
      <c r="T74" s="39">
        <f t="shared" si="13"/>
        <v>7</v>
      </c>
      <c r="U74" s="40">
        <f t="shared" si="14"/>
        <v>0</v>
      </c>
      <c r="V74" s="40">
        <f t="shared" si="15"/>
        <v>0</v>
      </c>
      <c r="W74" s="40">
        <f t="shared" si="16"/>
        <v>1</v>
      </c>
      <c r="X74" s="40">
        <f t="shared" si="17"/>
        <v>1</v>
      </c>
      <c r="Y74" s="40">
        <f t="shared" si="18"/>
        <v>0</v>
      </c>
      <c r="Z74" s="40">
        <f t="shared" si="19"/>
        <v>0</v>
      </c>
      <c r="AA74" s="40">
        <f t="shared" si="20"/>
        <v>0</v>
      </c>
      <c r="AB74" s="40">
        <f t="shared" si="21"/>
        <v>0</v>
      </c>
      <c r="AC74" s="41">
        <f t="shared" si="22"/>
        <v>0</v>
      </c>
      <c r="AD74" s="49" t="s">
        <v>5</v>
      </c>
      <c r="AE74" s="50" t="s">
        <v>116</v>
      </c>
      <c r="AF74" s="49"/>
      <c r="AG74" s="50"/>
      <c r="AH74" s="49"/>
      <c r="AI74" s="50"/>
      <c r="AJ74" s="49"/>
      <c r="AK74" s="50"/>
      <c r="AL74" s="49" t="s">
        <v>32</v>
      </c>
      <c r="AM74" s="50" t="s">
        <v>425</v>
      </c>
      <c r="AN74" s="49"/>
      <c r="AO74" s="50"/>
      <c r="AP74" s="49"/>
      <c r="AQ74" s="50"/>
      <c r="AR74" s="49" t="s">
        <v>5</v>
      </c>
      <c r="AS74" s="50" t="s">
        <v>74</v>
      </c>
      <c r="AT74" s="49"/>
      <c r="AU74" s="50"/>
      <c r="AV74" s="49"/>
      <c r="AW74" s="50"/>
      <c r="AX74" s="49" t="s">
        <v>5</v>
      </c>
      <c r="AY74" s="50" t="s">
        <v>109</v>
      </c>
      <c r="AZ74" s="49" t="s">
        <v>5</v>
      </c>
      <c r="BA74" s="50" t="s">
        <v>143</v>
      </c>
      <c r="BB74" s="49"/>
      <c r="BC74" s="50"/>
      <c r="BD74" s="49"/>
      <c r="BE74" s="50"/>
      <c r="BF74" s="49"/>
      <c r="BG74" s="50"/>
      <c r="BH74" s="49" t="s">
        <v>1</v>
      </c>
      <c r="BI74" s="50" t="s">
        <v>94</v>
      </c>
      <c r="BJ74" s="49"/>
      <c r="BK74" s="50"/>
      <c r="BL74" s="49"/>
      <c r="BM74" s="50"/>
      <c r="BN74" s="49" t="s">
        <v>5</v>
      </c>
      <c r="BO74" s="50" t="s">
        <v>152</v>
      </c>
      <c r="BP74" s="49"/>
      <c r="BQ74" s="50"/>
      <c r="BR74" s="49"/>
      <c r="BS74" s="50"/>
      <c r="BT74" s="49"/>
      <c r="BU74" s="50"/>
      <c r="BV74" s="49" t="s">
        <v>5</v>
      </c>
      <c r="BW74" s="50" t="s">
        <v>97</v>
      </c>
      <c r="BX74" s="49" t="s">
        <v>5</v>
      </c>
      <c r="BY74" s="50" t="s">
        <v>206</v>
      </c>
      <c r="BZ74" s="49"/>
      <c r="CA74" s="50"/>
    </row>
    <row r="75" spans="1:79" x14ac:dyDescent="0.25">
      <c r="A75" s="76">
        <v>151608</v>
      </c>
      <c r="B75" s="77" t="s">
        <v>796</v>
      </c>
      <c r="C75" s="78" t="s">
        <v>736</v>
      </c>
      <c r="D75" s="76" t="s">
        <v>70</v>
      </c>
      <c r="E75" s="79" t="s">
        <v>14</v>
      </c>
      <c r="F75" s="79" t="s">
        <v>71</v>
      </c>
      <c r="G75" s="79" t="s">
        <v>14</v>
      </c>
      <c r="H75" s="79" t="s">
        <v>14</v>
      </c>
      <c r="I75" s="78" t="s">
        <v>14</v>
      </c>
      <c r="J75" s="79" t="s">
        <v>14</v>
      </c>
      <c r="K75" s="142" t="s">
        <v>1851</v>
      </c>
      <c r="L75" s="149" t="s">
        <v>1843</v>
      </c>
      <c r="M75" s="150" t="s">
        <v>1852</v>
      </c>
      <c r="N75" s="151">
        <v>11</v>
      </c>
      <c r="O75" s="151">
        <v>0</v>
      </c>
      <c r="P75" s="152">
        <v>1</v>
      </c>
      <c r="Q75" s="153">
        <v>97.83</v>
      </c>
      <c r="R75" s="154">
        <v>1</v>
      </c>
      <c r="S75" s="38">
        <f t="shared" si="12"/>
        <v>1</v>
      </c>
      <c r="T75" s="39">
        <f t="shared" si="13"/>
        <v>7</v>
      </c>
      <c r="U75" s="40">
        <f t="shared" si="14"/>
        <v>0</v>
      </c>
      <c r="V75" s="40">
        <f t="shared" si="15"/>
        <v>0</v>
      </c>
      <c r="W75" s="40">
        <f t="shared" si="16"/>
        <v>0</v>
      </c>
      <c r="X75" s="40">
        <f t="shared" si="17"/>
        <v>0</v>
      </c>
      <c r="Y75" s="40">
        <f t="shared" si="18"/>
        <v>0</v>
      </c>
      <c r="Z75" s="40">
        <f t="shared" si="19"/>
        <v>0</v>
      </c>
      <c r="AA75" s="40">
        <f t="shared" si="20"/>
        <v>0</v>
      </c>
      <c r="AB75" s="40">
        <f t="shared" si="21"/>
        <v>0</v>
      </c>
      <c r="AC75" s="41">
        <f t="shared" si="22"/>
        <v>0</v>
      </c>
      <c r="AD75" s="49"/>
      <c r="AE75" s="50"/>
      <c r="AF75" s="49"/>
      <c r="AG75" s="50"/>
      <c r="AH75" s="49"/>
      <c r="AI75" s="50"/>
      <c r="AJ75" s="49"/>
      <c r="AK75" s="50"/>
      <c r="AL75" s="49" t="s">
        <v>5</v>
      </c>
      <c r="AM75" s="50" t="s">
        <v>425</v>
      </c>
      <c r="AN75" s="49"/>
      <c r="AO75" s="50"/>
      <c r="AP75" s="49" t="s">
        <v>5</v>
      </c>
      <c r="AQ75" s="50" t="s">
        <v>101</v>
      </c>
      <c r="AR75" s="49" t="s">
        <v>5</v>
      </c>
      <c r="AS75" s="50" t="s">
        <v>111</v>
      </c>
      <c r="AT75" s="49"/>
      <c r="AU75" s="50"/>
      <c r="AV75" s="49"/>
      <c r="AW75" s="50"/>
      <c r="AX75" s="49" t="s">
        <v>5</v>
      </c>
      <c r="AY75" s="50" t="s">
        <v>91</v>
      </c>
      <c r="AZ75" s="49"/>
      <c r="BA75" s="50"/>
      <c r="BB75" s="49"/>
      <c r="BC75" s="50"/>
      <c r="BD75" s="49"/>
      <c r="BE75" s="50"/>
      <c r="BF75" s="49"/>
      <c r="BG75" s="50"/>
      <c r="BH75" s="49" t="s">
        <v>5</v>
      </c>
      <c r="BI75" s="50" t="s">
        <v>505</v>
      </c>
      <c r="BJ75" s="49"/>
      <c r="BK75" s="50"/>
      <c r="BL75" s="49"/>
      <c r="BM75" s="50"/>
      <c r="BN75" s="49" t="s">
        <v>1</v>
      </c>
      <c r="BO75" s="50" t="s">
        <v>81</v>
      </c>
      <c r="BP75" s="49"/>
      <c r="BQ75" s="50"/>
      <c r="BR75" s="49"/>
      <c r="BS75" s="50"/>
      <c r="BT75" s="49"/>
      <c r="BU75" s="50"/>
      <c r="BV75" s="49" t="s">
        <v>5</v>
      </c>
      <c r="BW75" s="50" t="s">
        <v>602</v>
      </c>
      <c r="BX75" s="49" t="s">
        <v>5</v>
      </c>
      <c r="BY75" s="50" t="s">
        <v>419</v>
      </c>
      <c r="BZ75" s="49" t="s">
        <v>5</v>
      </c>
      <c r="CA75" s="50" t="s">
        <v>124</v>
      </c>
    </row>
    <row r="76" spans="1:79" x14ac:dyDescent="0.25">
      <c r="A76" s="76">
        <v>151709</v>
      </c>
      <c r="B76" s="77" t="s">
        <v>797</v>
      </c>
      <c r="C76" s="78" t="s">
        <v>732</v>
      </c>
      <c r="D76" s="76" t="s">
        <v>70</v>
      </c>
      <c r="E76" s="79" t="s">
        <v>14</v>
      </c>
      <c r="F76" s="79" t="s">
        <v>71</v>
      </c>
      <c r="G76" s="79" t="s">
        <v>14</v>
      </c>
      <c r="H76" s="79" t="s">
        <v>14</v>
      </c>
      <c r="I76" s="78" t="s">
        <v>14</v>
      </c>
      <c r="J76" s="79" t="s">
        <v>14</v>
      </c>
      <c r="K76" s="142" t="s">
        <v>1850</v>
      </c>
      <c r="L76" s="149" t="s">
        <v>1842</v>
      </c>
      <c r="M76" s="150" t="s">
        <v>12</v>
      </c>
      <c r="N76" s="151">
        <v>10</v>
      </c>
      <c r="O76" s="151">
        <v>1</v>
      </c>
      <c r="P76" s="152">
        <v>1</v>
      </c>
      <c r="Q76" s="153">
        <v>89.13</v>
      </c>
      <c r="R76" s="154">
        <v>1</v>
      </c>
      <c r="S76" s="38">
        <f t="shared" si="12"/>
        <v>0</v>
      </c>
      <c r="T76" s="39">
        <f t="shared" si="13"/>
        <v>8</v>
      </c>
      <c r="U76" s="40">
        <f t="shared" si="14"/>
        <v>0</v>
      </c>
      <c r="V76" s="40">
        <f t="shared" si="15"/>
        <v>0</v>
      </c>
      <c r="W76" s="40">
        <f t="shared" si="16"/>
        <v>0</v>
      </c>
      <c r="X76" s="40">
        <f t="shared" si="17"/>
        <v>0</v>
      </c>
      <c r="Y76" s="40">
        <f t="shared" si="18"/>
        <v>0</v>
      </c>
      <c r="Z76" s="40">
        <f t="shared" si="19"/>
        <v>0</v>
      </c>
      <c r="AA76" s="40">
        <f t="shared" si="20"/>
        <v>0</v>
      </c>
      <c r="AB76" s="40">
        <f t="shared" si="21"/>
        <v>0</v>
      </c>
      <c r="AC76" s="41">
        <f t="shared" si="22"/>
        <v>0</v>
      </c>
      <c r="AD76" s="49"/>
      <c r="AE76" s="50"/>
      <c r="AF76" s="49"/>
      <c r="AG76" s="50"/>
      <c r="AH76" s="49"/>
      <c r="AI76" s="50"/>
      <c r="AJ76" s="49"/>
      <c r="AK76" s="50"/>
      <c r="AL76" s="49"/>
      <c r="AM76" s="50"/>
      <c r="AN76" s="49" t="s">
        <v>5</v>
      </c>
      <c r="AO76" s="50" t="s">
        <v>163</v>
      </c>
      <c r="AP76" s="49"/>
      <c r="AQ76" s="50"/>
      <c r="AR76" s="49" t="s">
        <v>5</v>
      </c>
      <c r="AS76" s="50" t="s">
        <v>459</v>
      </c>
      <c r="AT76" s="49"/>
      <c r="AU76" s="50"/>
      <c r="AV76" s="49"/>
      <c r="AW76" s="50"/>
      <c r="AX76" s="49" t="s">
        <v>5</v>
      </c>
      <c r="AY76" s="50" t="s">
        <v>124</v>
      </c>
      <c r="AZ76" s="49"/>
      <c r="BA76" s="50"/>
      <c r="BB76" s="49"/>
      <c r="BC76" s="50"/>
      <c r="BD76" s="49"/>
      <c r="BE76" s="50"/>
      <c r="BF76" s="49"/>
      <c r="BG76" s="50"/>
      <c r="BH76" s="49" t="s">
        <v>5</v>
      </c>
      <c r="BI76" s="50" t="s">
        <v>136</v>
      </c>
      <c r="BJ76" s="49"/>
      <c r="BK76" s="50"/>
      <c r="BL76" s="49" t="s">
        <v>5</v>
      </c>
      <c r="BM76" s="50" t="s">
        <v>89</v>
      </c>
      <c r="BN76" s="49" t="s">
        <v>5</v>
      </c>
      <c r="BO76" s="50" t="s">
        <v>741</v>
      </c>
      <c r="BP76" s="49"/>
      <c r="BQ76" s="50"/>
      <c r="BR76" s="49"/>
      <c r="BS76" s="50"/>
      <c r="BT76" s="49"/>
      <c r="BU76" s="50"/>
      <c r="BV76" s="49" t="s">
        <v>5</v>
      </c>
      <c r="BW76" s="50" t="s">
        <v>495</v>
      </c>
      <c r="BX76" s="49" t="s">
        <v>5</v>
      </c>
      <c r="BY76" s="50" t="s">
        <v>206</v>
      </c>
      <c r="BZ76" s="49" t="s">
        <v>5</v>
      </c>
      <c r="CA76" s="50" t="s">
        <v>124</v>
      </c>
    </row>
    <row r="77" spans="1:79" x14ac:dyDescent="0.25">
      <c r="A77" s="76">
        <v>151639</v>
      </c>
      <c r="B77" s="77" t="s">
        <v>798</v>
      </c>
      <c r="C77" s="78" t="s">
        <v>713</v>
      </c>
      <c r="D77" s="76" t="s">
        <v>70</v>
      </c>
      <c r="E77" s="79" t="s">
        <v>14</v>
      </c>
      <c r="F77" s="79" t="s">
        <v>88</v>
      </c>
      <c r="G77" s="79" t="s">
        <v>14</v>
      </c>
      <c r="H77" s="79" t="s">
        <v>14</v>
      </c>
      <c r="I77" s="78" t="s">
        <v>14</v>
      </c>
      <c r="J77" s="79" t="s">
        <v>14</v>
      </c>
      <c r="K77" s="142" t="s">
        <v>1850</v>
      </c>
      <c r="L77" s="149" t="s">
        <v>1844</v>
      </c>
      <c r="M77" s="150" t="s">
        <v>12</v>
      </c>
      <c r="N77" s="151">
        <v>23</v>
      </c>
      <c r="O77" s="151">
        <v>0</v>
      </c>
      <c r="P77" s="152">
        <v>2</v>
      </c>
      <c r="Q77" s="153">
        <v>93.48</v>
      </c>
      <c r="R77" s="154">
        <v>3</v>
      </c>
      <c r="S77" s="38">
        <f t="shared" si="12"/>
        <v>2</v>
      </c>
      <c r="T77" s="39">
        <f t="shared" si="13"/>
        <v>7</v>
      </c>
      <c r="U77" s="40">
        <f t="shared" si="14"/>
        <v>0</v>
      </c>
      <c r="V77" s="40">
        <f t="shared" si="15"/>
        <v>0</v>
      </c>
      <c r="W77" s="40">
        <f t="shared" si="16"/>
        <v>0</v>
      </c>
      <c r="X77" s="40">
        <f t="shared" si="17"/>
        <v>0</v>
      </c>
      <c r="Y77" s="40">
        <f t="shared" si="18"/>
        <v>0</v>
      </c>
      <c r="Z77" s="40">
        <f t="shared" si="19"/>
        <v>0</v>
      </c>
      <c r="AA77" s="40">
        <f t="shared" si="20"/>
        <v>0</v>
      </c>
      <c r="AB77" s="40">
        <f t="shared" si="21"/>
        <v>0</v>
      </c>
      <c r="AC77" s="41">
        <f t="shared" si="22"/>
        <v>0</v>
      </c>
      <c r="AD77" s="49"/>
      <c r="AE77" s="50"/>
      <c r="AF77" s="49" t="s">
        <v>5</v>
      </c>
      <c r="AG77" s="50" t="s">
        <v>438</v>
      </c>
      <c r="AH77" s="49"/>
      <c r="AI77" s="50"/>
      <c r="AJ77" s="49" t="s">
        <v>5</v>
      </c>
      <c r="AK77" s="50" t="s">
        <v>83</v>
      </c>
      <c r="AL77" s="49"/>
      <c r="AM77" s="50"/>
      <c r="AN77" s="49"/>
      <c r="AO77" s="50"/>
      <c r="AP77" s="49"/>
      <c r="AQ77" s="50"/>
      <c r="AR77" s="49" t="s">
        <v>5</v>
      </c>
      <c r="AS77" s="50" t="s">
        <v>194</v>
      </c>
      <c r="AT77" s="49"/>
      <c r="AU77" s="50"/>
      <c r="AV77" s="49"/>
      <c r="AW77" s="50"/>
      <c r="AX77" s="49" t="s">
        <v>5</v>
      </c>
      <c r="AY77" s="50" t="s">
        <v>103</v>
      </c>
      <c r="AZ77" s="49"/>
      <c r="BA77" s="50"/>
      <c r="BB77" s="49"/>
      <c r="BC77" s="50"/>
      <c r="BD77" s="49" t="s">
        <v>5</v>
      </c>
      <c r="BE77" s="50" t="s">
        <v>436</v>
      </c>
      <c r="BF77" s="49"/>
      <c r="BG77" s="50"/>
      <c r="BH77" s="49" t="s">
        <v>5</v>
      </c>
      <c r="BI77" s="50" t="s">
        <v>136</v>
      </c>
      <c r="BJ77" s="49"/>
      <c r="BK77" s="50"/>
      <c r="BL77" s="49"/>
      <c r="BM77" s="50"/>
      <c r="BN77" s="49" t="s">
        <v>1</v>
      </c>
      <c r="BO77" s="50" t="s">
        <v>81</v>
      </c>
      <c r="BP77" s="49"/>
      <c r="BQ77" s="50"/>
      <c r="BR77" s="49" t="s">
        <v>5</v>
      </c>
      <c r="BS77" s="50" t="s">
        <v>123</v>
      </c>
      <c r="BT77" s="49"/>
      <c r="BU77" s="50"/>
      <c r="BV77" s="49" t="s">
        <v>1</v>
      </c>
      <c r="BW77" s="50" t="s">
        <v>715</v>
      </c>
      <c r="BX77" s="49"/>
      <c r="BY77" s="50"/>
      <c r="BZ77" s="49" t="s">
        <v>5</v>
      </c>
      <c r="CA77" s="50" t="s">
        <v>124</v>
      </c>
    </row>
    <row r="78" spans="1:79" x14ac:dyDescent="0.25">
      <c r="A78" s="76">
        <v>151538</v>
      </c>
      <c r="B78" s="77" t="s">
        <v>799</v>
      </c>
      <c r="C78" s="78" t="s">
        <v>721</v>
      </c>
      <c r="D78" s="76" t="s">
        <v>12</v>
      </c>
      <c r="E78" s="79" t="s">
        <v>87</v>
      </c>
      <c r="F78" s="79" t="s">
        <v>71</v>
      </c>
      <c r="G78" s="79" t="s">
        <v>87</v>
      </c>
      <c r="H78" s="79" t="s">
        <v>87</v>
      </c>
      <c r="I78" s="78" t="s">
        <v>14</v>
      </c>
      <c r="J78" s="79" t="s">
        <v>14</v>
      </c>
      <c r="K78" s="142" t="s">
        <v>1850</v>
      </c>
      <c r="L78" s="149" t="s">
        <v>1842</v>
      </c>
      <c r="M78" s="150" t="s">
        <v>12</v>
      </c>
      <c r="N78" s="151">
        <v>10</v>
      </c>
      <c r="O78" s="151">
        <v>3</v>
      </c>
      <c r="P78" s="152">
        <v>5</v>
      </c>
      <c r="Q78" s="153">
        <v>84.78</v>
      </c>
      <c r="R78" s="154">
        <v>10</v>
      </c>
      <c r="S78" s="38">
        <f t="shared" si="12"/>
        <v>0</v>
      </c>
      <c r="T78" s="39">
        <f t="shared" si="13"/>
        <v>5</v>
      </c>
      <c r="U78" s="40">
        <f t="shared" si="14"/>
        <v>4</v>
      </c>
      <c r="V78" s="40">
        <f t="shared" si="15"/>
        <v>0</v>
      </c>
      <c r="W78" s="40">
        <f t="shared" si="16"/>
        <v>0</v>
      </c>
      <c r="X78" s="40">
        <f t="shared" si="17"/>
        <v>4</v>
      </c>
      <c r="Y78" s="40">
        <f t="shared" si="18"/>
        <v>0</v>
      </c>
      <c r="Z78" s="40">
        <f t="shared" si="19"/>
        <v>0</v>
      </c>
      <c r="AA78" s="40">
        <f t="shared" si="20"/>
        <v>0</v>
      </c>
      <c r="AB78" s="40">
        <f t="shared" si="21"/>
        <v>0</v>
      </c>
      <c r="AC78" s="41">
        <f t="shared" si="22"/>
        <v>0</v>
      </c>
      <c r="AD78" s="49"/>
      <c r="AE78" s="50"/>
      <c r="AF78" s="49"/>
      <c r="AG78" s="50"/>
      <c r="AH78" s="49"/>
      <c r="AI78" s="50"/>
      <c r="AJ78" s="49"/>
      <c r="AK78" s="50"/>
      <c r="AL78" s="49"/>
      <c r="AM78" s="50"/>
      <c r="AN78" s="49"/>
      <c r="AO78" s="50"/>
      <c r="AP78" s="49"/>
      <c r="AQ78" s="50"/>
      <c r="AR78" s="49" t="s">
        <v>5</v>
      </c>
      <c r="AS78" s="50" t="s">
        <v>194</v>
      </c>
      <c r="AT78" s="49"/>
      <c r="AU78" s="50"/>
      <c r="AV78" s="49" t="s">
        <v>30</v>
      </c>
      <c r="AW78" s="50" t="s">
        <v>73</v>
      </c>
      <c r="AX78" s="49" t="s">
        <v>5</v>
      </c>
      <c r="AY78" s="50" t="s">
        <v>101</v>
      </c>
      <c r="AZ78" s="49" t="s">
        <v>5</v>
      </c>
      <c r="BA78" s="50" t="s">
        <v>143</v>
      </c>
      <c r="BB78" s="49"/>
      <c r="BC78" s="50"/>
      <c r="BD78" s="49"/>
      <c r="BE78" s="50"/>
      <c r="BF78" s="49"/>
      <c r="BG78" s="50"/>
      <c r="BH78" s="49" t="s">
        <v>30</v>
      </c>
      <c r="BI78" s="50" t="s">
        <v>505</v>
      </c>
      <c r="BJ78" s="49"/>
      <c r="BK78" s="50"/>
      <c r="BL78" s="49" t="s">
        <v>5</v>
      </c>
      <c r="BM78" s="50" t="s">
        <v>89</v>
      </c>
      <c r="BN78" s="49" t="s">
        <v>5</v>
      </c>
      <c r="BO78" s="50" t="s">
        <v>96</v>
      </c>
      <c r="BP78" s="49"/>
      <c r="BQ78" s="50"/>
      <c r="BR78" s="49"/>
      <c r="BS78" s="50"/>
      <c r="BT78" s="49"/>
      <c r="BU78" s="50"/>
      <c r="BV78" s="49" t="s">
        <v>30</v>
      </c>
      <c r="BW78" s="50" t="s">
        <v>122</v>
      </c>
      <c r="BX78" s="49" t="s">
        <v>30</v>
      </c>
      <c r="BY78" s="50" t="s">
        <v>206</v>
      </c>
      <c r="BZ78" s="49"/>
      <c r="CA78" s="50"/>
    </row>
    <row r="79" spans="1:79" x14ac:dyDescent="0.25">
      <c r="A79" s="76">
        <v>151634</v>
      </c>
      <c r="B79" s="77" t="s">
        <v>800</v>
      </c>
      <c r="C79" s="78" t="s">
        <v>721</v>
      </c>
      <c r="D79" s="76" t="s">
        <v>70</v>
      </c>
      <c r="E79" s="79" t="s">
        <v>14</v>
      </c>
      <c r="F79" s="79" t="s">
        <v>71</v>
      </c>
      <c r="G79" s="79" t="s">
        <v>14</v>
      </c>
      <c r="H79" s="79" t="s">
        <v>14</v>
      </c>
      <c r="I79" s="78" t="s">
        <v>14</v>
      </c>
      <c r="J79" s="79" t="s">
        <v>14</v>
      </c>
      <c r="K79" s="142" t="s">
        <v>1850</v>
      </c>
      <c r="L79" s="149" t="s">
        <v>1844</v>
      </c>
      <c r="M79" s="150" t="s">
        <v>12</v>
      </c>
      <c r="N79" s="151">
        <v>19</v>
      </c>
      <c r="O79" s="151">
        <v>0</v>
      </c>
      <c r="P79" s="152">
        <v>3</v>
      </c>
      <c r="Q79" s="153">
        <v>95.65</v>
      </c>
      <c r="R79" s="154">
        <v>1</v>
      </c>
      <c r="S79" s="38">
        <f t="shared" si="12"/>
        <v>0</v>
      </c>
      <c r="T79" s="39">
        <f t="shared" si="13"/>
        <v>9</v>
      </c>
      <c r="U79" s="40">
        <f t="shared" si="14"/>
        <v>0</v>
      </c>
      <c r="V79" s="40">
        <f t="shared" si="15"/>
        <v>0</v>
      </c>
      <c r="W79" s="40">
        <f t="shared" si="16"/>
        <v>0</v>
      </c>
      <c r="X79" s="40">
        <f t="shared" si="17"/>
        <v>0</v>
      </c>
      <c r="Y79" s="40">
        <f t="shared" si="18"/>
        <v>0</v>
      </c>
      <c r="Z79" s="40">
        <f t="shared" si="19"/>
        <v>0</v>
      </c>
      <c r="AA79" s="40">
        <f t="shared" si="20"/>
        <v>0</v>
      </c>
      <c r="AB79" s="40">
        <f t="shared" si="21"/>
        <v>0</v>
      </c>
      <c r="AC79" s="41">
        <f t="shared" si="22"/>
        <v>0</v>
      </c>
      <c r="AD79" s="49"/>
      <c r="AE79" s="50"/>
      <c r="AF79" s="49"/>
      <c r="AG79" s="50"/>
      <c r="AH79" s="49"/>
      <c r="AI79" s="50"/>
      <c r="AJ79" s="49"/>
      <c r="AK79" s="50"/>
      <c r="AL79" s="49"/>
      <c r="AM79" s="50"/>
      <c r="AN79" s="49"/>
      <c r="AO79" s="50"/>
      <c r="AP79" s="49"/>
      <c r="AQ79" s="50"/>
      <c r="AR79" s="49" t="s">
        <v>5</v>
      </c>
      <c r="AS79" s="50" t="s">
        <v>74</v>
      </c>
      <c r="AT79" s="49"/>
      <c r="AU79" s="50"/>
      <c r="AV79" s="49" t="s">
        <v>5</v>
      </c>
      <c r="AW79" s="50" t="s">
        <v>73</v>
      </c>
      <c r="AX79" s="49" t="s">
        <v>5</v>
      </c>
      <c r="AY79" s="50" t="s">
        <v>101</v>
      </c>
      <c r="AZ79" s="49" t="s">
        <v>5</v>
      </c>
      <c r="BA79" s="50" t="s">
        <v>143</v>
      </c>
      <c r="BB79" s="49"/>
      <c r="BC79" s="50"/>
      <c r="BD79" s="49"/>
      <c r="BE79" s="50"/>
      <c r="BF79" s="49" t="s">
        <v>5</v>
      </c>
      <c r="BG79" s="50" t="s">
        <v>93</v>
      </c>
      <c r="BH79" s="49" t="s">
        <v>5</v>
      </c>
      <c r="BI79" s="50" t="s">
        <v>505</v>
      </c>
      <c r="BJ79" s="49"/>
      <c r="BK79" s="50"/>
      <c r="BL79" s="49"/>
      <c r="BM79" s="50"/>
      <c r="BN79" s="49" t="s">
        <v>5</v>
      </c>
      <c r="BO79" s="50" t="s">
        <v>741</v>
      </c>
      <c r="BP79" s="49"/>
      <c r="BQ79" s="50"/>
      <c r="BR79" s="49"/>
      <c r="BS79" s="50"/>
      <c r="BT79" s="49"/>
      <c r="BU79" s="50"/>
      <c r="BV79" s="49" t="s">
        <v>5</v>
      </c>
      <c r="BW79" s="50" t="s">
        <v>82</v>
      </c>
      <c r="BX79" s="49" t="s">
        <v>5</v>
      </c>
      <c r="BY79" s="50" t="s">
        <v>206</v>
      </c>
      <c r="BZ79" s="49"/>
      <c r="CA79" s="50"/>
    </row>
    <row r="80" spans="1:79" x14ac:dyDescent="0.25">
      <c r="A80" s="76">
        <v>151525</v>
      </c>
      <c r="B80" s="77" t="s">
        <v>801</v>
      </c>
      <c r="C80" s="78" t="s">
        <v>710</v>
      </c>
      <c r="D80" s="76" t="s">
        <v>12</v>
      </c>
      <c r="E80" s="79" t="s">
        <v>14</v>
      </c>
      <c r="F80" s="79" t="s">
        <v>71</v>
      </c>
      <c r="G80" s="79" t="s">
        <v>14</v>
      </c>
      <c r="H80" s="79" t="s">
        <v>14</v>
      </c>
      <c r="I80" s="78" t="s">
        <v>14</v>
      </c>
      <c r="J80" s="79" t="s">
        <v>14</v>
      </c>
      <c r="K80" s="142" t="s">
        <v>1851</v>
      </c>
      <c r="L80" s="149" t="s">
        <v>1843</v>
      </c>
      <c r="M80" s="150" t="s">
        <v>1852</v>
      </c>
      <c r="N80" s="151">
        <v>19</v>
      </c>
      <c r="O80" s="151">
        <v>1</v>
      </c>
      <c r="P80" s="152">
        <v>1</v>
      </c>
      <c r="Q80" s="153">
        <v>89.13</v>
      </c>
      <c r="R80" s="154">
        <v>6</v>
      </c>
      <c r="S80" s="38">
        <f t="shared" si="12"/>
        <v>1</v>
      </c>
      <c r="T80" s="39">
        <f t="shared" si="13"/>
        <v>8</v>
      </c>
      <c r="U80" s="40">
        <f t="shared" si="14"/>
        <v>0</v>
      </c>
      <c r="V80" s="40">
        <f t="shared" si="15"/>
        <v>0</v>
      </c>
      <c r="W80" s="40">
        <f t="shared" si="16"/>
        <v>0</v>
      </c>
      <c r="X80" s="40">
        <f t="shared" si="17"/>
        <v>0</v>
      </c>
      <c r="Y80" s="40">
        <f t="shared" si="18"/>
        <v>0</v>
      </c>
      <c r="Z80" s="40">
        <f t="shared" si="19"/>
        <v>0</v>
      </c>
      <c r="AA80" s="40">
        <f t="shared" si="20"/>
        <v>0</v>
      </c>
      <c r="AB80" s="40">
        <f t="shared" si="21"/>
        <v>0</v>
      </c>
      <c r="AC80" s="41">
        <f t="shared" si="22"/>
        <v>0</v>
      </c>
      <c r="AD80" s="49"/>
      <c r="AE80" s="50"/>
      <c r="AF80" s="49" t="s">
        <v>5</v>
      </c>
      <c r="AG80" s="50" t="s">
        <v>154</v>
      </c>
      <c r="AH80" s="49"/>
      <c r="AI80" s="50"/>
      <c r="AJ80" s="49" t="s">
        <v>5</v>
      </c>
      <c r="AK80" s="50" t="s">
        <v>83</v>
      </c>
      <c r="AL80" s="49"/>
      <c r="AM80" s="50"/>
      <c r="AN80" s="49"/>
      <c r="AO80" s="50"/>
      <c r="AP80" s="49"/>
      <c r="AQ80" s="50"/>
      <c r="AR80" s="49" t="s">
        <v>5</v>
      </c>
      <c r="AS80" s="50" t="s">
        <v>169</v>
      </c>
      <c r="AT80" s="49"/>
      <c r="AU80" s="50"/>
      <c r="AV80" s="49" t="s">
        <v>5</v>
      </c>
      <c r="AW80" s="50" t="s">
        <v>73</v>
      </c>
      <c r="AX80" s="49" t="s">
        <v>5</v>
      </c>
      <c r="AY80" s="50" t="s">
        <v>711</v>
      </c>
      <c r="AZ80" s="49"/>
      <c r="BA80" s="50"/>
      <c r="BB80" s="49"/>
      <c r="BC80" s="50"/>
      <c r="BD80" s="49"/>
      <c r="BE80" s="50"/>
      <c r="BF80" s="49"/>
      <c r="BG80" s="50"/>
      <c r="BH80" s="49" t="s">
        <v>5</v>
      </c>
      <c r="BI80" s="50" t="s">
        <v>505</v>
      </c>
      <c r="BJ80" s="49"/>
      <c r="BK80" s="50"/>
      <c r="BL80" s="49"/>
      <c r="BM80" s="50"/>
      <c r="BN80" s="49" t="s">
        <v>1</v>
      </c>
      <c r="BO80" s="50" t="s">
        <v>96</v>
      </c>
      <c r="BP80" s="49"/>
      <c r="BQ80" s="50"/>
      <c r="BR80" s="49" t="s">
        <v>5</v>
      </c>
      <c r="BS80" s="50" t="s">
        <v>170</v>
      </c>
      <c r="BT80" s="49"/>
      <c r="BU80" s="50"/>
      <c r="BV80" s="49" t="s">
        <v>5</v>
      </c>
      <c r="BW80" s="50" t="s">
        <v>715</v>
      </c>
      <c r="BX80" s="49"/>
      <c r="BY80" s="50"/>
      <c r="BZ80" s="49" t="s">
        <v>32</v>
      </c>
      <c r="CA80" s="50" t="s">
        <v>124</v>
      </c>
    </row>
    <row r="81" spans="1:79" x14ac:dyDescent="0.25">
      <c r="A81" s="76">
        <v>151674</v>
      </c>
      <c r="B81" s="77" t="s">
        <v>802</v>
      </c>
      <c r="C81" s="78" t="s">
        <v>718</v>
      </c>
      <c r="D81" s="76" t="s">
        <v>12</v>
      </c>
      <c r="E81" s="79" t="s">
        <v>14</v>
      </c>
      <c r="F81" s="79" t="s">
        <v>115</v>
      </c>
      <c r="G81" s="79" t="s">
        <v>14</v>
      </c>
      <c r="H81" s="79" t="s">
        <v>14</v>
      </c>
      <c r="I81" s="78" t="s">
        <v>14</v>
      </c>
      <c r="J81" s="79" t="s">
        <v>14</v>
      </c>
      <c r="K81" s="142" t="s">
        <v>1850</v>
      </c>
      <c r="L81" s="149" t="s">
        <v>1844</v>
      </c>
      <c r="M81" s="150" t="s">
        <v>12</v>
      </c>
      <c r="N81" s="151">
        <v>18</v>
      </c>
      <c r="O81" s="151">
        <v>6</v>
      </c>
      <c r="P81" s="152">
        <v>2</v>
      </c>
      <c r="Q81" s="153">
        <v>91.3</v>
      </c>
      <c r="R81" s="154">
        <v>8</v>
      </c>
      <c r="S81" s="38">
        <f t="shared" si="12"/>
        <v>0</v>
      </c>
      <c r="T81" s="39">
        <f t="shared" si="13"/>
        <v>10</v>
      </c>
      <c r="U81" s="40">
        <f t="shared" si="14"/>
        <v>0</v>
      </c>
      <c r="V81" s="40">
        <f t="shared" si="15"/>
        <v>0</v>
      </c>
      <c r="W81" s="40">
        <f t="shared" si="16"/>
        <v>0</v>
      </c>
      <c r="X81" s="40">
        <f t="shared" si="17"/>
        <v>0</v>
      </c>
      <c r="Y81" s="40">
        <f t="shared" si="18"/>
        <v>0</v>
      </c>
      <c r="Z81" s="40">
        <f t="shared" si="19"/>
        <v>0</v>
      </c>
      <c r="AA81" s="40">
        <f t="shared" si="20"/>
        <v>0</v>
      </c>
      <c r="AB81" s="40">
        <f t="shared" si="21"/>
        <v>0</v>
      </c>
      <c r="AC81" s="41">
        <f t="shared" si="22"/>
        <v>0</v>
      </c>
      <c r="AD81" s="49"/>
      <c r="AE81" s="50"/>
      <c r="AF81" s="49" t="s">
        <v>5</v>
      </c>
      <c r="AG81" s="50" t="s">
        <v>133</v>
      </c>
      <c r="AH81" s="49"/>
      <c r="AI81" s="50"/>
      <c r="AJ81" s="49" t="s">
        <v>5</v>
      </c>
      <c r="AK81" s="50" t="s">
        <v>164</v>
      </c>
      <c r="AL81" s="49"/>
      <c r="AM81" s="50"/>
      <c r="AN81" s="49"/>
      <c r="AO81" s="50"/>
      <c r="AP81" s="49"/>
      <c r="AQ81" s="50"/>
      <c r="AR81" s="49" t="s">
        <v>5</v>
      </c>
      <c r="AS81" s="50" t="s">
        <v>194</v>
      </c>
      <c r="AT81" s="49"/>
      <c r="AU81" s="50"/>
      <c r="AV81" s="49"/>
      <c r="AW81" s="50"/>
      <c r="AX81" s="49" t="s">
        <v>5</v>
      </c>
      <c r="AY81" s="50" t="s">
        <v>169</v>
      </c>
      <c r="AZ81" s="49" t="s">
        <v>5</v>
      </c>
      <c r="BA81" s="50" t="s">
        <v>103</v>
      </c>
      <c r="BB81" s="49"/>
      <c r="BC81" s="50"/>
      <c r="BD81" s="49"/>
      <c r="BE81" s="50"/>
      <c r="BF81" s="49"/>
      <c r="BG81" s="50"/>
      <c r="BH81" s="49" t="s">
        <v>5</v>
      </c>
      <c r="BI81" s="50" t="s">
        <v>136</v>
      </c>
      <c r="BJ81" s="49"/>
      <c r="BK81" s="50"/>
      <c r="BL81" s="49"/>
      <c r="BM81" s="50"/>
      <c r="BN81" s="49" t="s">
        <v>5</v>
      </c>
      <c r="BO81" s="50" t="s">
        <v>96</v>
      </c>
      <c r="BP81" s="49"/>
      <c r="BQ81" s="50"/>
      <c r="BR81" s="49" t="s">
        <v>5</v>
      </c>
      <c r="BS81" s="50" t="s">
        <v>140</v>
      </c>
      <c r="BT81" s="49" t="s">
        <v>5</v>
      </c>
      <c r="BU81" s="50" t="s">
        <v>117</v>
      </c>
      <c r="BV81" s="49" t="s">
        <v>5</v>
      </c>
      <c r="BW81" s="50" t="s">
        <v>82</v>
      </c>
      <c r="BX81" s="49"/>
      <c r="BY81" s="50"/>
      <c r="BZ81" s="49"/>
      <c r="CA81" s="50"/>
    </row>
    <row r="82" spans="1:79" x14ac:dyDescent="0.25">
      <c r="A82" s="76">
        <v>151592</v>
      </c>
      <c r="B82" s="77" t="s">
        <v>803</v>
      </c>
      <c r="C82" s="78" t="s">
        <v>713</v>
      </c>
      <c r="D82" s="76" t="s">
        <v>70</v>
      </c>
      <c r="E82" s="79" t="s">
        <v>14</v>
      </c>
      <c r="F82" s="79" t="s">
        <v>450</v>
      </c>
      <c r="G82" s="79" t="s">
        <v>14</v>
      </c>
      <c r="H82" s="79" t="s">
        <v>14</v>
      </c>
      <c r="I82" s="78" t="s">
        <v>14</v>
      </c>
      <c r="J82" s="79" t="s">
        <v>14</v>
      </c>
      <c r="K82" s="142" t="s">
        <v>1850</v>
      </c>
      <c r="L82" s="149" t="s">
        <v>1846</v>
      </c>
      <c r="M82" s="150" t="s">
        <v>1853</v>
      </c>
      <c r="N82" s="151">
        <v>10</v>
      </c>
      <c r="O82" s="151">
        <v>0</v>
      </c>
      <c r="P82" s="152">
        <v>0</v>
      </c>
      <c r="Q82" s="153">
        <v>100</v>
      </c>
      <c r="R82" s="154">
        <v>0</v>
      </c>
      <c r="S82" s="38">
        <f t="shared" si="12"/>
        <v>2</v>
      </c>
      <c r="T82" s="39">
        <f t="shared" si="13"/>
        <v>7</v>
      </c>
      <c r="U82" s="40">
        <f t="shared" si="14"/>
        <v>0</v>
      </c>
      <c r="V82" s="40">
        <f t="shared" si="15"/>
        <v>0</v>
      </c>
      <c r="W82" s="40">
        <f t="shared" si="16"/>
        <v>0</v>
      </c>
      <c r="X82" s="40">
        <f t="shared" si="17"/>
        <v>0</v>
      </c>
      <c r="Y82" s="40">
        <f t="shared" si="18"/>
        <v>0</v>
      </c>
      <c r="Z82" s="40">
        <f t="shared" si="19"/>
        <v>0</v>
      </c>
      <c r="AA82" s="40">
        <f t="shared" si="20"/>
        <v>0</v>
      </c>
      <c r="AB82" s="40">
        <f t="shared" si="21"/>
        <v>0</v>
      </c>
      <c r="AC82" s="41">
        <f t="shared" si="22"/>
        <v>0</v>
      </c>
      <c r="AD82" s="49"/>
      <c r="AE82" s="50"/>
      <c r="AF82" s="49" t="s">
        <v>5</v>
      </c>
      <c r="AG82" s="50" t="s">
        <v>133</v>
      </c>
      <c r="AH82" s="49"/>
      <c r="AI82" s="50"/>
      <c r="AJ82" s="49" t="s">
        <v>5</v>
      </c>
      <c r="AK82" s="50" t="s">
        <v>137</v>
      </c>
      <c r="AL82" s="49"/>
      <c r="AM82" s="50"/>
      <c r="AN82" s="49" t="s">
        <v>5</v>
      </c>
      <c r="AO82" s="50" t="s">
        <v>163</v>
      </c>
      <c r="AP82" s="49"/>
      <c r="AQ82" s="50"/>
      <c r="AR82" s="49" t="s">
        <v>5</v>
      </c>
      <c r="AS82" s="50" t="s">
        <v>722</v>
      </c>
      <c r="AT82" s="49"/>
      <c r="AU82" s="50"/>
      <c r="AV82" s="49"/>
      <c r="AW82" s="50"/>
      <c r="AX82" s="49" t="s">
        <v>5</v>
      </c>
      <c r="AY82" s="50" t="s">
        <v>103</v>
      </c>
      <c r="AZ82" s="49"/>
      <c r="BA82" s="50"/>
      <c r="BB82" s="49"/>
      <c r="BC82" s="50"/>
      <c r="BD82" s="49"/>
      <c r="BE82" s="50"/>
      <c r="BF82" s="49"/>
      <c r="BG82" s="50"/>
      <c r="BH82" s="49" t="s">
        <v>1</v>
      </c>
      <c r="BI82" s="50" t="s">
        <v>106</v>
      </c>
      <c r="BJ82" s="49"/>
      <c r="BK82" s="50"/>
      <c r="BL82" s="49"/>
      <c r="BM82" s="50"/>
      <c r="BN82" s="49" t="s">
        <v>5</v>
      </c>
      <c r="BO82" s="50" t="s">
        <v>741</v>
      </c>
      <c r="BP82" s="49"/>
      <c r="BQ82" s="50"/>
      <c r="BR82" s="49" t="s">
        <v>1</v>
      </c>
      <c r="BS82" s="50" t="s">
        <v>98</v>
      </c>
      <c r="BT82" s="49"/>
      <c r="BU82" s="50"/>
      <c r="BV82" s="49" t="s">
        <v>5</v>
      </c>
      <c r="BW82" s="50" t="s">
        <v>108</v>
      </c>
      <c r="BX82" s="49"/>
      <c r="BY82" s="50"/>
      <c r="BZ82" s="49" t="s">
        <v>5</v>
      </c>
      <c r="CA82" s="50" t="s">
        <v>124</v>
      </c>
    </row>
    <row r="83" spans="1:79" x14ac:dyDescent="0.25">
      <c r="A83" s="76">
        <v>151655</v>
      </c>
      <c r="B83" s="77" t="s">
        <v>804</v>
      </c>
      <c r="C83" s="78" t="s">
        <v>732</v>
      </c>
      <c r="D83" s="76" t="s">
        <v>70</v>
      </c>
      <c r="E83" s="79" t="s">
        <v>14</v>
      </c>
      <c r="F83" s="79" t="s">
        <v>71</v>
      </c>
      <c r="G83" s="79" t="s">
        <v>14</v>
      </c>
      <c r="H83" s="79" t="s">
        <v>14</v>
      </c>
      <c r="I83" s="78" t="s">
        <v>14</v>
      </c>
      <c r="J83" s="79" t="s">
        <v>14</v>
      </c>
      <c r="K83" s="142" t="s">
        <v>1851</v>
      </c>
      <c r="L83" s="149" t="s">
        <v>1841</v>
      </c>
      <c r="M83" s="150" t="s">
        <v>1853</v>
      </c>
      <c r="N83" s="151">
        <v>13</v>
      </c>
      <c r="O83" s="151">
        <v>0</v>
      </c>
      <c r="P83" s="152">
        <v>0</v>
      </c>
      <c r="Q83" s="153">
        <v>100</v>
      </c>
      <c r="R83" s="154">
        <v>2</v>
      </c>
      <c r="S83" s="38">
        <f t="shared" si="12"/>
        <v>6</v>
      </c>
      <c r="T83" s="39">
        <f t="shared" si="13"/>
        <v>2</v>
      </c>
      <c r="U83" s="40">
        <f t="shared" si="14"/>
        <v>0</v>
      </c>
      <c r="V83" s="40">
        <f t="shared" si="15"/>
        <v>0</v>
      </c>
      <c r="W83" s="40">
        <f t="shared" si="16"/>
        <v>0</v>
      </c>
      <c r="X83" s="40">
        <f t="shared" si="17"/>
        <v>0</v>
      </c>
      <c r="Y83" s="40">
        <f t="shared" si="18"/>
        <v>0</v>
      </c>
      <c r="Z83" s="40">
        <f t="shared" si="19"/>
        <v>0</v>
      </c>
      <c r="AA83" s="40">
        <f t="shared" si="20"/>
        <v>0</v>
      </c>
      <c r="AB83" s="40">
        <f t="shared" si="21"/>
        <v>0</v>
      </c>
      <c r="AC83" s="41">
        <f t="shared" si="22"/>
        <v>0</v>
      </c>
      <c r="AD83" s="49"/>
      <c r="AE83" s="50"/>
      <c r="AF83" s="49"/>
      <c r="AG83" s="50"/>
      <c r="AH83" s="49"/>
      <c r="AI83" s="50"/>
      <c r="AJ83" s="49"/>
      <c r="AK83" s="50"/>
      <c r="AL83" s="49"/>
      <c r="AM83" s="50"/>
      <c r="AN83" s="49"/>
      <c r="AO83" s="50"/>
      <c r="AP83" s="49" t="s">
        <v>1</v>
      </c>
      <c r="AQ83" s="50" t="s">
        <v>101</v>
      </c>
      <c r="AR83" s="49" t="s">
        <v>1</v>
      </c>
      <c r="AS83" s="50" t="s">
        <v>459</v>
      </c>
      <c r="AT83" s="49"/>
      <c r="AU83" s="50"/>
      <c r="AV83" s="49"/>
      <c r="AW83" s="50"/>
      <c r="AX83" s="49" t="s">
        <v>1</v>
      </c>
      <c r="AY83" s="50" t="s">
        <v>124</v>
      </c>
      <c r="AZ83" s="49"/>
      <c r="BA83" s="50"/>
      <c r="BB83" s="49"/>
      <c r="BC83" s="50"/>
      <c r="BD83" s="49"/>
      <c r="BE83" s="50"/>
      <c r="BF83" s="49" t="s">
        <v>5</v>
      </c>
      <c r="BG83" s="50" t="s">
        <v>93</v>
      </c>
      <c r="BH83" s="49" t="s">
        <v>1</v>
      </c>
      <c r="BI83" s="50" t="s">
        <v>136</v>
      </c>
      <c r="BJ83" s="49"/>
      <c r="BK83" s="50"/>
      <c r="BL83" s="49"/>
      <c r="BM83" s="50"/>
      <c r="BN83" s="49" t="s">
        <v>1</v>
      </c>
      <c r="BO83" s="50" t="s">
        <v>741</v>
      </c>
      <c r="BP83" s="49"/>
      <c r="BQ83" s="50"/>
      <c r="BR83" s="49"/>
      <c r="BS83" s="50"/>
      <c r="BT83" s="49"/>
      <c r="BU83" s="50"/>
      <c r="BV83" s="49" t="s">
        <v>5</v>
      </c>
      <c r="BW83" s="50" t="s">
        <v>108</v>
      </c>
      <c r="BX83" s="49" t="s">
        <v>1</v>
      </c>
      <c r="BY83" s="50" t="s">
        <v>206</v>
      </c>
      <c r="BZ83" s="49" t="s">
        <v>5</v>
      </c>
      <c r="CA83" s="50" t="s">
        <v>75</v>
      </c>
    </row>
    <row r="84" spans="1:79" x14ac:dyDescent="0.25">
      <c r="A84" s="76">
        <v>151555</v>
      </c>
      <c r="B84" s="77" t="s">
        <v>805</v>
      </c>
      <c r="C84" s="78" t="s">
        <v>718</v>
      </c>
      <c r="D84" s="76" t="s">
        <v>12</v>
      </c>
      <c r="E84" s="79" t="s">
        <v>14</v>
      </c>
      <c r="F84" s="79" t="s">
        <v>198</v>
      </c>
      <c r="G84" s="79" t="s">
        <v>14</v>
      </c>
      <c r="H84" s="79" t="s">
        <v>14</v>
      </c>
      <c r="I84" s="78" t="s">
        <v>14</v>
      </c>
      <c r="J84" s="79" t="s">
        <v>14</v>
      </c>
      <c r="K84" s="142" t="s">
        <v>1850</v>
      </c>
      <c r="L84" s="149" t="s">
        <v>1845</v>
      </c>
      <c r="M84" s="150" t="s">
        <v>12</v>
      </c>
      <c r="N84" s="151">
        <v>5</v>
      </c>
      <c r="O84" s="151">
        <v>0</v>
      </c>
      <c r="P84" s="152">
        <v>2</v>
      </c>
      <c r="Q84" s="153">
        <v>100</v>
      </c>
      <c r="R84" s="154">
        <v>7</v>
      </c>
      <c r="S84" s="38">
        <f t="shared" si="12"/>
        <v>1</v>
      </c>
      <c r="T84" s="39">
        <f t="shared" si="13"/>
        <v>7</v>
      </c>
      <c r="U84" s="40">
        <f t="shared" si="14"/>
        <v>0</v>
      </c>
      <c r="V84" s="40">
        <f t="shared" si="15"/>
        <v>0</v>
      </c>
      <c r="W84" s="40">
        <f t="shared" si="16"/>
        <v>2</v>
      </c>
      <c r="X84" s="40">
        <f t="shared" si="17"/>
        <v>2</v>
      </c>
      <c r="Y84" s="40">
        <f t="shared" si="18"/>
        <v>0</v>
      </c>
      <c r="Z84" s="40">
        <f t="shared" si="19"/>
        <v>0</v>
      </c>
      <c r="AA84" s="40">
        <f t="shared" si="20"/>
        <v>0</v>
      </c>
      <c r="AB84" s="40">
        <f t="shared" si="21"/>
        <v>0</v>
      </c>
      <c r="AC84" s="41">
        <f t="shared" si="22"/>
        <v>0</v>
      </c>
      <c r="AD84" s="49"/>
      <c r="AE84" s="50"/>
      <c r="AF84" s="49" t="s">
        <v>32</v>
      </c>
      <c r="AG84" s="50" t="s">
        <v>433</v>
      </c>
      <c r="AH84" s="49"/>
      <c r="AI84" s="50"/>
      <c r="AJ84" s="49" t="s">
        <v>5</v>
      </c>
      <c r="AK84" s="50" t="s">
        <v>714</v>
      </c>
      <c r="AL84" s="49"/>
      <c r="AM84" s="50"/>
      <c r="AN84" s="49" t="s">
        <v>5</v>
      </c>
      <c r="AO84" s="50" t="s">
        <v>163</v>
      </c>
      <c r="AP84" s="49"/>
      <c r="AQ84" s="50"/>
      <c r="AR84" s="49" t="s">
        <v>5</v>
      </c>
      <c r="AS84" s="50" t="s">
        <v>459</v>
      </c>
      <c r="AT84" s="49"/>
      <c r="AU84" s="50"/>
      <c r="AV84" s="49"/>
      <c r="AW84" s="50"/>
      <c r="AX84" s="49" t="s">
        <v>32</v>
      </c>
      <c r="AY84" s="50" t="s">
        <v>169</v>
      </c>
      <c r="AZ84" s="49" t="s">
        <v>5</v>
      </c>
      <c r="BA84" s="50" t="s">
        <v>103</v>
      </c>
      <c r="BB84" s="49"/>
      <c r="BC84" s="50"/>
      <c r="BD84" s="49"/>
      <c r="BE84" s="50"/>
      <c r="BF84" s="49"/>
      <c r="BG84" s="50"/>
      <c r="BH84" s="49" t="s">
        <v>5</v>
      </c>
      <c r="BI84" s="50" t="s">
        <v>430</v>
      </c>
      <c r="BJ84" s="49"/>
      <c r="BK84" s="50"/>
      <c r="BL84" s="49"/>
      <c r="BM84" s="50"/>
      <c r="BN84" s="49" t="s">
        <v>5</v>
      </c>
      <c r="BO84" s="50" t="s">
        <v>96</v>
      </c>
      <c r="BP84" s="49"/>
      <c r="BQ84" s="50"/>
      <c r="BR84" s="49" t="s">
        <v>5</v>
      </c>
      <c r="BS84" s="50" t="s">
        <v>123</v>
      </c>
      <c r="BT84" s="49"/>
      <c r="BU84" s="50"/>
      <c r="BV84" s="49" t="s">
        <v>1</v>
      </c>
      <c r="BW84" s="50" t="s">
        <v>602</v>
      </c>
      <c r="BX84" s="49"/>
      <c r="BY84" s="50"/>
      <c r="BZ84" s="49"/>
      <c r="CA84" s="50"/>
    </row>
    <row r="85" spans="1:79" x14ac:dyDescent="0.25">
      <c r="A85" s="76">
        <v>151590</v>
      </c>
      <c r="B85" s="77" t="s">
        <v>806</v>
      </c>
      <c r="C85" s="78" t="s">
        <v>713</v>
      </c>
      <c r="D85" s="76" t="s">
        <v>12</v>
      </c>
      <c r="E85" s="79" t="s">
        <v>14</v>
      </c>
      <c r="F85" s="79" t="s">
        <v>71</v>
      </c>
      <c r="G85" s="79" t="s">
        <v>14</v>
      </c>
      <c r="H85" s="79" t="s">
        <v>87</v>
      </c>
      <c r="I85" s="78" t="s">
        <v>14</v>
      </c>
      <c r="J85" s="79" t="s">
        <v>14</v>
      </c>
      <c r="K85" s="142" t="s">
        <v>1850</v>
      </c>
      <c r="L85" s="149" t="s">
        <v>1842</v>
      </c>
      <c r="M85" s="150" t="s">
        <v>12</v>
      </c>
      <c r="N85" s="151">
        <v>13</v>
      </c>
      <c r="O85" s="151">
        <v>0</v>
      </c>
      <c r="P85" s="152">
        <v>6</v>
      </c>
      <c r="Q85" s="153">
        <v>84.78</v>
      </c>
      <c r="R85" s="154">
        <v>0</v>
      </c>
      <c r="S85" s="38">
        <f t="shared" si="12"/>
        <v>1</v>
      </c>
      <c r="T85" s="39">
        <f t="shared" si="13"/>
        <v>6</v>
      </c>
      <c r="U85" s="40">
        <f t="shared" si="14"/>
        <v>0</v>
      </c>
      <c r="V85" s="40">
        <f t="shared" si="15"/>
        <v>0</v>
      </c>
      <c r="W85" s="40">
        <f t="shared" si="16"/>
        <v>1</v>
      </c>
      <c r="X85" s="40">
        <f t="shared" si="17"/>
        <v>1</v>
      </c>
      <c r="Y85" s="40">
        <f t="shared" si="18"/>
        <v>0</v>
      </c>
      <c r="Z85" s="40">
        <f t="shared" si="19"/>
        <v>0</v>
      </c>
      <c r="AA85" s="40">
        <f t="shared" si="20"/>
        <v>0</v>
      </c>
      <c r="AB85" s="40">
        <f t="shared" si="21"/>
        <v>0</v>
      </c>
      <c r="AC85" s="41">
        <f t="shared" si="22"/>
        <v>0</v>
      </c>
      <c r="AD85" s="49" t="s">
        <v>5</v>
      </c>
      <c r="AE85" s="50" t="s">
        <v>116</v>
      </c>
      <c r="AF85" s="49"/>
      <c r="AG85" s="50"/>
      <c r="AH85" s="49"/>
      <c r="AI85" s="50"/>
      <c r="AJ85" s="49"/>
      <c r="AK85" s="50"/>
      <c r="AL85" s="49" t="s">
        <v>5</v>
      </c>
      <c r="AM85" s="50" t="s">
        <v>425</v>
      </c>
      <c r="AN85" s="49"/>
      <c r="AO85" s="50"/>
      <c r="AP85" s="49"/>
      <c r="AQ85" s="50"/>
      <c r="AR85" s="49" t="s">
        <v>5</v>
      </c>
      <c r="AS85" s="50" t="s">
        <v>459</v>
      </c>
      <c r="AT85" s="49"/>
      <c r="AU85" s="50"/>
      <c r="AV85" s="49"/>
      <c r="AW85" s="50"/>
      <c r="AX85" s="49" t="s">
        <v>5</v>
      </c>
      <c r="AY85" s="50" t="s">
        <v>103</v>
      </c>
      <c r="AZ85" s="49"/>
      <c r="BA85" s="50"/>
      <c r="BB85" s="49"/>
      <c r="BC85" s="50"/>
      <c r="BD85" s="49"/>
      <c r="BE85" s="50"/>
      <c r="BF85" s="49"/>
      <c r="BG85" s="50"/>
      <c r="BH85" s="49" t="s">
        <v>1</v>
      </c>
      <c r="BI85" s="50" t="s">
        <v>94</v>
      </c>
      <c r="BJ85" s="49"/>
      <c r="BK85" s="50"/>
      <c r="BL85" s="49"/>
      <c r="BM85" s="50"/>
      <c r="BN85" s="49" t="s">
        <v>5</v>
      </c>
      <c r="BO85" s="50" t="s">
        <v>96</v>
      </c>
      <c r="BP85" s="49"/>
      <c r="BQ85" s="50"/>
      <c r="BR85" s="49"/>
      <c r="BS85" s="50"/>
      <c r="BT85" s="49"/>
      <c r="BU85" s="50"/>
      <c r="BV85" s="49" t="s">
        <v>32</v>
      </c>
      <c r="BW85" s="50" t="s">
        <v>495</v>
      </c>
      <c r="BX85" s="49" t="s">
        <v>5</v>
      </c>
      <c r="BY85" s="50" t="s">
        <v>206</v>
      </c>
      <c r="BZ85" s="49" t="s">
        <v>32</v>
      </c>
      <c r="CA85" s="50" t="s">
        <v>75</v>
      </c>
    </row>
    <row r="86" spans="1:79" x14ac:dyDescent="0.25">
      <c r="A86" s="76">
        <v>151577</v>
      </c>
      <c r="B86" s="77" t="s">
        <v>807</v>
      </c>
      <c r="C86" s="78" t="s">
        <v>732</v>
      </c>
      <c r="D86" s="76" t="s">
        <v>12</v>
      </c>
      <c r="E86" s="79" t="s">
        <v>14</v>
      </c>
      <c r="F86" s="79" t="s">
        <v>71</v>
      </c>
      <c r="G86" s="79" t="s">
        <v>14</v>
      </c>
      <c r="H86" s="79" t="s">
        <v>14</v>
      </c>
      <c r="I86" s="78" t="s">
        <v>14</v>
      </c>
      <c r="J86" s="79" t="s">
        <v>14</v>
      </c>
      <c r="K86" s="142" t="s">
        <v>1850</v>
      </c>
      <c r="L86" s="149" t="s">
        <v>1844</v>
      </c>
      <c r="M86" s="150" t="s">
        <v>12</v>
      </c>
      <c r="N86" s="151">
        <v>8</v>
      </c>
      <c r="O86" s="151">
        <v>3</v>
      </c>
      <c r="P86" s="152">
        <v>2</v>
      </c>
      <c r="Q86" s="153">
        <v>95.65</v>
      </c>
      <c r="R86" s="154">
        <v>3</v>
      </c>
      <c r="S86" s="38">
        <f t="shared" si="12"/>
        <v>0</v>
      </c>
      <c r="T86" s="39">
        <f t="shared" si="13"/>
        <v>8</v>
      </c>
      <c r="U86" s="40">
        <f t="shared" si="14"/>
        <v>0</v>
      </c>
      <c r="V86" s="40">
        <f t="shared" si="15"/>
        <v>0</v>
      </c>
      <c r="W86" s="40">
        <f t="shared" si="16"/>
        <v>0</v>
      </c>
      <c r="X86" s="40">
        <f t="shared" si="17"/>
        <v>0</v>
      </c>
      <c r="Y86" s="40">
        <f t="shared" si="18"/>
        <v>0</v>
      </c>
      <c r="Z86" s="40">
        <f t="shared" si="19"/>
        <v>0</v>
      </c>
      <c r="AA86" s="40">
        <f t="shared" si="20"/>
        <v>0</v>
      </c>
      <c r="AB86" s="40">
        <f t="shared" si="21"/>
        <v>0</v>
      </c>
      <c r="AC86" s="41">
        <f t="shared" si="22"/>
        <v>0</v>
      </c>
      <c r="AD86" s="49" t="s">
        <v>5</v>
      </c>
      <c r="AE86" s="50" t="s">
        <v>116</v>
      </c>
      <c r="AF86" s="49"/>
      <c r="AG86" s="50"/>
      <c r="AH86" s="49"/>
      <c r="AI86" s="50"/>
      <c r="AJ86" s="49"/>
      <c r="AK86" s="50"/>
      <c r="AL86" s="49"/>
      <c r="AM86" s="50"/>
      <c r="AN86" s="49"/>
      <c r="AO86" s="50"/>
      <c r="AP86" s="49"/>
      <c r="AQ86" s="50"/>
      <c r="AR86" s="49" t="s">
        <v>5</v>
      </c>
      <c r="AS86" s="50" t="s">
        <v>102</v>
      </c>
      <c r="AT86" s="49"/>
      <c r="AU86" s="50"/>
      <c r="AV86" s="49"/>
      <c r="AW86" s="50"/>
      <c r="AX86" s="49" t="s">
        <v>5</v>
      </c>
      <c r="AY86" s="50" t="s">
        <v>124</v>
      </c>
      <c r="AZ86" s="49"/>
      <c r="BA86" s="50"/>
      <c r="BB86" s="49"/>
      <c r="BC86" s="50"/>
      <c r="BD86" s="49"/>
      <c r="BE86" s="50"/>
      <c r="BF86" s="49" t="s">
        <v>5</v>
      </c>
      <c r="BG86" s="50" t="s">
        <v>93</v>
      </c>
      <c r="BH86" s="49" t="s">
        <v>5</v>
      </c>
      <c r="BI86" s="50" t="s">
        <v>430</v>
      </c>
      <c r="BJ86" s="49"/>
      <c r="BK86" s="50"/>
      <c r="BL86" s="49"/>
      <c r="BM86" s="50"/>
      <c r="BN86" s="49" t="s">
        <v>5</v>
      </c>
      <c r="BO86" s="50" t="s">
        <v>107</v>
      </c>
      <c r="BP86" s="49"/>
      <c r="BQ86" s="50"/>
      <c r="BR86" s="49"/>
      <c r="BS86" s="50"/>
      <c r="BT86" s="49"/>
      <c r="BU86" s="50"/>
      <c r="BV86" s="49" t="s">
        <v>5</v>
      </c>
      <c r="BW86" s="50" t="s">
        <v>97</v>
      </c>
      <c r="BX86" s="49" t="s">
        <v>5</v>
      </c>
      <c r="BY86" s="50" t="s">
        <v>206</v>
      </c>
      <c r="BZ86" s="49" t="s">
        <v>32</v>
      </c>
      <c r="CA86" s="50" t="s">
        <v>75</v>
      </c>
    </row>
    <row r="87" spans="1:79" x14ac:dyDescent="0.25">
      <c r="A87" s="76">
        <v>151650</v>
      </c>
      <c r="B87" s="77" t="s">
        <v>808</v>
      </c>
      <c r="C87" s="78" t="s">
        <v>732</v>
      </c>
      <c r="D87" s="76" t="s">
        <v>12</v>
      </c>
      <c r="E87" s="79" t="s">
        <v>14</v>
      </c>
      <c r="F87" s="79" t="s">
        <v>88</v>
      </c>
      <c r="G87" s="79" t="s">
        <v>14</v>
      </c>
      <c r="H87" s="79" t="s">
        <v>14</v>
      </c>
      <c r="I87" s="78" t="s">
        <v>14</v>
      </c>
      <c r="J87" s="79" t="s">
        <v>14</v>
      </c>
      <c r="K87" s="142" t="s">
        <v>1850</v>
      </c>
      <c r="L87" s="149" t="s">
        <v>1844</v>
      </c>
      <c r="M87" s="150" t="s">
        <v>12</v>
      </c>
      <c r="N87" s="151">
        <v>13</v>
      </c>
      <c r="O87" s="151">
        <v>0</v>
      </c>
      <c r="P87" s="152">
        <v>0</v>
      </c>
      <c r="Q87" s="153">
        <v>97.83</v>
      </c>
      <c r="R87" s="154">
        <v>2</v>
      </c>
      <c r="S87" s="38">
        <f t="shared" si="12"/>
        <v>3</v>
      </c>
      <c r="T87" s="39">
        <f t="shared" si="13"/>
        <v>6</v>
      </c>
      <c r="U87" s="40">
        <f t="shared" si="14"/>
        <v>0</v>
      </c>
      <c r="V87" s="40">
        <f t="shared" si="15"/>
        <v>0</v>
      </c>
      <c r="W87" s="40">
        <f t="shared" si="16"/>
        <v>0</v>
      </c>
      <c r="X87" s="40">
        <f t="shared" si="17"/>
        <v>0</v>
      </c>
      <c r="Y87" s="40">
        <f t="shared" si="18"/>
        <v>0</v>
      </c>
      <c r="Z87" s="40">
        <f t="shared" si="19"/>
        <v>0</v>
      </c>
      <c r="AA87" s="40">
        <f t="shared" si="20"/>
        <v>0</v>
      </c>
      <c r="AB87" s="40">
        <f t="shared" si="21"/>
        <v>0</v>
      </c>
      <c r="AC87" s="41">
        <f t="shared" si="22"/>
        <v>0</v>
      </c>
      <c r="AD87" s="49"/>
      <c r="AE87" s="50"/>
      <c r="AF87" s="49" t="s">
        <v>5</v>
      </c>
      <c r="AG87" s="50" t="s">
        <v>438</v>
      </c>
      <c r="AH87" s="49"/>
      <c r="AI87" s="50"/>
      <c r="AJ87" s="49" t="s">
        <v>5</v>
      </c>
      <c r="AK87" s="50" t="s">
        <v>83</v>
      </c>
      <c r="AL87" s="49"/>
      <c r="AM87" s="50"/>
      <c r="AN87" s="49" t="s">
        <v>5</v>
      </c>
      <c r="AO87" s="50" t="s">
        <v>163</v>
      </c>
      <c r="AP87" s="49"/>
      <c r="AQ87" s="50"/>
      <c r="AR87" s="49" t="s">
        <v>5</v>
      </c>
      <c r="AS87" s="50" t="s">
        <v>74</v>
      </c>
      <c r="AT87" s="49"/>
      <c r="AU87" s="50"/>
      <c r="AV87" s="49"/>
      <c r="AW87" s="50"/>
      <c r="AX87" s="49" t="s">
        <v>5</v>
      </c>
      <c r="AY87" s="50" t="s">
        <v>124</v>
      </c>
      <c r="AZ87" s="49"/>
      <c r="BA87" s="50"/>
      <c r="BB87" s="49"/>
      <c r="BC87" s="50"/>
      <c r="BD87" s="49"/>
      <c r="BE87" s="50"/>
      <c r="BF87" s="49"/>
      <c r="BG87" s="50"/>
      <c r="BH87" s="49" t="s">
        <v>1</v>
      </c>
      <c r="BI87" s="50" t="s">
        <v>136</v>
      </c>
      <c r="BJ87" s="49"/>
      <c r="BK87" s="50"/>
      <c r="BL87" s="49"/>
      <c r="BM87" s="50"/>
      <c r="BN87" s="49" t="s">
        <v>1</v>
      </c>
      <c r="BO87" s="50" t="s">
        <v>107</v>
      </c>
      <c r="BP87" s="49"/>
      <c r="BQ87" s="50"/>
      <c r="BR87" s="49" t="s">
        <v>5</v>
      </c>
      <c r="BS87" s="50" t="s">
        <v>123</v>
      </c>
      <c r="BT87" s="49"/>
      <c r="BU87" s="50"/>
      <c r="BV87" s="49" t="s">
        <v>1</v>
      </c>
      <c r="BW87" s="50" t="s">
        <v>97</v>
      </c>
      <c r="BX87" s="49"/>
      <c r="BY87" s="50"/>
      <c r="BZ87" s="49" t="s">
        <v>5</v>
      </c>
      <c r="CA87" s="50" t="s">
        <v>75</v>
      </c>
    </row>
    <row r="88" spans="1:79" x14ac:dyDescent="0.25">
      <c r="A88" s="76">
        <v>151665</v>
      </c>
      <c r="B88" s="77" t="s">
        <v>809</v>
      </c>
      <c r="C88" s="78" t="s">
        <v>732</v>
      </c>
      <c r="D88" s="76" t="s">
        <v>12</v>
      </c>
      <c r="E88" s="79" t="s">
        <v>14</v>
      </c>
      <c r="F88" s="79" t="s">
        <v>146</v>
      </c>
      <c r="G88" s="79" t="s">
        <v>14</v>
      </c>
      <c r="H88" s="79" t="s">
        <v>14</v>
      </c>
      <c r="I88" s="78" t="s">
        <v>14</v>
      </c>
      <c r="J88" s="79" t="s">
        <v>14</v>
      </c>
      <c r="K88" s="142" t="s">
        <v>1850</v>
      </c>
      <c r="L88" s="149" t="s">
        <v>1841</v>
      </c>
      <c r="M88" s="150" t="s">
        <v>1853</v>
      </c>
      <c r="N88" s="151">
        <v>12</v>
      </c>
      <c r="O88" s="151">
        <v>2</v>
      </c>
      <c r="P88" s="152">
        <v>1</v>
      </c>
      <c r="Q88" s="153">
        <v>91.3</v>
      </c>
      <c r="R88" s="154">
        <v>0</v>
      </c>
      <c r="S88" s="38">
        <f t="shared" si="12"/>
        <v>1</v>
      </c>
      <c r="T88" s="39">
        <f t="shared" si="13"/>
        <v>7</v>
      </c>
      <c r="U88" s="40">
        <f t="shared" si="14"/>
        <v>0</v>
      </c>
      <c r="V88" s="40">
        <f t="shared" si="15"/>
        <v>0</v>
      </c>
      <c r="W88" s="40">
        <f t="shared" si="16"/>
        <v>0</v>
      </c>
      <c r="X88" s="40">
        <f t="shared" si="17"/>
        <v>0</v>
      </c>
      <c r="Y88" s="40">
        <f t="shared" si="18"/>
        <v>0</v>
      </c>
      <c r="Z88" s="40">
        <f t="shared" si="19"/>
        <v>0</v>
      </c>
      <c r="AA88" s="40">
        <f t="shared" si="20"/>
        <v>0</v>
      </c>
      <c r="AB88" s="40">
        <f t="shared" si="21"/>
        <v>0</v>
      </c>
      <c r="AC88" s="41">
        <f t="shared" si="22"/>
        <v>0</v>
      </c>
      <c r="AD88" s="49"/>
      <c r="AE88" s="50"/>
      <c r="AF88" s="49"/>
      <c r="AG88" s="50"/>
      <c r="AH88" s="49" t="s">
        <v>5</v>
      </c>
      <c r="AI88" s="50" t="s">
        <v>427</v>
      </c>
      <c r="AJ88" s="49"/>
      <c r="AK88" s="50"/>
      <c r="AL88" s="49"/>
      <c r="AM88" s="50"/>
      <c r="AN88" s="49"/>
      <c r="AO88" s="50"/>
      <c r="AP88" s="49"/>
      <c r="AQ88" s="50"/>
      <c r="AR88" s="49" t="s">
        <v>5</v>
      </c>
      <c r="AS88" s="50" t="s">
        <v>478</v>
      </c>
      <c r="AT88" s="49"/>
      <c r="AU88" s="50"/>
      <c r="AV88" s="49" t="s">
        <v>5</v>
      </c>
      <c r="AW88" s="50" t="s">
        <v>73</v>
      </c>
      <c r="AX88" s="49" t="s">
        <v>5</v>
      </c>
      <c r="AY88" s="50" t="s">
        <v>124</v>
      </c>
      <c r="AZ88" s="49"/>
      <c r="BA88" s="50"/>
      <c r="BB88" s="49"/>
      <c r="BC88" s="50"/>
      <c r="BD88" s="49"/>
      <c r="BE88" s="50"/>
      <c r="BF88" s="49"/>
      <c r="BG88" s="50"/>
      <c r="BH88" s="49" t="s">
        <v>5</v>
      </c>
      <c r="BI88" s="50" t="s">
        <v>139</v>
      </c>
      <c r="BJ88" s="49"/>
      <c r="BK88" s="50"/>
      <c r="BL88" s="49"/>
      <c r="BM88" s="50"/>
      <c r="BN88" s="49" t="s">
        <v>1</v>
      </c>
      <c r="BO88" s="50" t="s">
        <v>96</v>
      </c>
      <c r="BP88" s="49"/>
      <c r="BQ88" s="50"/>
      <c r="BR88" s="49"/>
      <c r="BS88" s="50"/>
      <c r="BT88" s="49"/>
      <c r="BU88" s="50"/>
      <c r="BV88" s="49" t="s">
        <v>5</v>
      </c>
      <c r="BW88" s="50" t="s">
        <v>495</v>
      </c>
      <c r="BX88" s="49" t="s">
        <v>5</v>
      </c>
      <c r="BY88" s="50" t="s">
        <v>206</v>
      </c>
      <c r="BZ88" s="49" t="s">
        <v>5</v>
      </c>
      <c r="CA88" s="50" t="s">
        <v>75</v>
      </c>
    </row>
    <row r="89" spans="1:79" x14ac:dyDescent="0.25">
      <c r="A89" s="76">
        <v>151546</v>
      </c>
      <c r="B89" s="77" t="s">
        <v>810</v>
      </c>
      <c r="C89" s="78" t="s">
        <v>713</v>
      </c>
      <c r="D89" s="76" t="s">
        <v>70</v>
      </c>
      <c r="E89" s="79" t="s">
        <v>14</v>
      </c>
      <c r="F89" s="79" t="s">
        <v>71</v>
      </c>
      <c r="G89" s="79" t="s">
        <v>14</v>
      </c>
      <c r="H89" s="79" t="s">
        <v>14</v>
      </c>
      <c r="I89" s="78" t="s">
        <v>14</v>
      </c>
      <c r="J89" s="79" t="s">
        <v>14</v>
      </c>
      <c r="K89" s="142" t="s">
        <v>1850</v>
      </c>
      <c r="L89" s="149" t="s">
        <v>1842</v>
      </c>
      <c r="M89" s="150" t="s">
        <v>1853</v>
      </c>
      <c r="N89" s="151">
        <v>7</v>
      </c>
      <c r="O89" s="151">
        <v>1</v>
      </c>
      <c r="P89" s="152">
        <v>2</v>
      </c>
      <c r="Q89" s="153">
        <v>97.83</v>
      </c>
      <c r="R89" s="154">
        <v>2</v>
      </c>
      <c r="S89" s="38">
        <f t="shared" si="12"/>
        <v>2</v>
      </c>
      <c r="T89" s="39">
        <f t="shared" si="13"/>
        <v>6</v>
      </c>
      <c r="U89" s="40">
        <f t="shared" si="14"/>
        <v>0</v>
      </c>
      <c r="V89" s="40">
        <f t="shared" si="15"/>
        <v>0</v>
      </c>
      <c r="W89" s="40">
        <f t="shared" si="16"/>
        <v>0</v>
      </c>
      <c r="X89" s="40">
        <f t="shared" si="17"/>
        <v>0</v>
      </c>
      <c r="Y89" s="40">
        <f t="shared" si="18"/>
        <v>0</v>
      </c>
      <c r="Z89" s="40">
        <f t="shared" si="19"/>
        <v>0</v>
      </c>
      <c r="AA89" s="40">
        <f t="shared" si="20"/>
        <v>0</v>
      </c>
      <c r="AB89" s="40">
        <f t="shared" si="21"/>
        <v>0</v>
      </c>
      <c r="AC89" s="41">
        <f t="shared" si="22"/>
        <v>0</v>
      </c>
      <c r="AD89" s="49"/>
      <c r="AE89" s="50"/>
      <c r="AF89" s="49"/>
      <c r="AG89" s="50"/>
      <c r="AH89" s="49" t="s">
        <v>5</v>
      </c>
      <c r="AI89" s="50" t="s">
        <v>427</v>
      </c>
      <c r="AJ89" s="49"/>
      <c r="AK89" s="50"/>
      <c r="AL89" s="49"/>
      <c r="AM89" s="50"/>
      <c r="AN89" s="49"/>
      <c r="AO89" s="50"/>
      <c r="AP89" s="49" t="s">
        <v>5</v>
      </c>
      <c r="AQ89" s="50" t="s">
        <v>101</v>
      </c>
      <c r="AR89" s="49" t="s">
        <v>1</v>
      </c>
      <c r="AS89" s="50" t="s">
        <v>478</v>
      </c>
      <c r="AT89" s="49"/>
      <c r="AU89" s="50"/>
      <c r="AV89" s="49"/>
      <c r="AW89" s="50"/>
      <c r="AX89" s="49" t="s">
        <v>5</v>
      </c>
      <c r="AY89" s="50" t="s">
        <v>103</v>
      </c>
      <c r="AZ89" s="49"/>
      <c r="BA89" s="50"/>
      <c r="BB89" s="49"/>
      <c r="BC89" s="50"/>
      <c r="BD89" s="49"/>
      <c r="BE89" s="50"/>
      <c r="BF89" s="49"/>
      <c r="BG89" s="50"/>
      <c r="BH89" s="49" t="s">
        <v>5</v>
      </c>
      <c r="BI89" s="50" t="s">
        <v>136</v>
      </c>
      <c r="BJ89" s="49"/>
      <c r="BK89" s="50"/>
      <c r="BL89" s="49"/>
      <c r="BM89" s="50"/>
      <c r="BN89" s="49" t="s">
        <v>1</v>
      </c>
      <c r="BO89" s="50" t="s">
        <v>81</v>
      </c>
      <c r="BP89" s="49"/>
      <c r="BQ89" s="50"/>
      <c r="BR89" s="49"/>
      <c r="BS89" s="50"/>
      <c r="BT89" s="49"/>
      <c r="BU89" s="50"/>
      <c r="BV89" s="49" t="s">
        <v>5</v>
      </c>
      <c r="BW89" s="50" t="s">
        <v>122</v>
      </c>
      <c r="BX89" s="49" t="s">
        <v>5</v>
      </c>
      <c r="BY89" s="50" t="s">
        <v>206</v>
      </c>
      <c r="BZ89" s="49" t="s">
        <v>5</v>
      </c>
      <c r="CA89" s="50" t="s">
        <v>124</v>
      </c>
    </row>
    <row r="90" spans="1:79" x14ac:dyDescent="0.25">
      <c r="A90" s="76">
        <v>151696</v>
      </c>
      <c r="B90" s="77" t="s">
        <v>811</v>
      </c>
      <c r="C90" s="78" t="s">
        <v>721</v>
      </c>
      <c r="D90" s="76" t="s">
        <v>70</v>
      </c>
      <c r="E90" s="79" t="s">
        <v>14</v>
      </c>
      <c r="F90" s="79" t="s">
        <v>71</v>
      </c>
      <c r="G90" s="79" t="s">
        <v>14</v>
      </c>
      <c r="H90" s="79" t="s">
        <v>14</v>
      </c>
      <c r="I90" s="78" t="s">
        <v>14</v>
      </c>
      <c r="J90" s="79" t="s">
        <v>14</v>
      </c>
      <c r="K90" s="142" t="s">
        <v>1850</v>
      </c>
      <c r="L90" s="149" t="s">
        <v>1842</v>
      </c>
      <c r="M90" s="150" t="s">
        <v>12</v>
      </c>
      <c r="N90" s="151">
        <v>18</v>
      </c>
      <c r="O90" s="151">
        <v>1</v>
      </c>
      <c r="P90" s="152">
        <v>1</v>
      </c>
      <c r="Q90" s="153">
        <v>100</v>
      </c>
      <c r="R90" s="154">
        <v>7</v>
      </c>
      <c r="S90" s="38">
        <f t="shared" si="12"/>
        <v>1</v>
      </c>
      <c r="T90" s="39">
        <f t="shared" si="13"/>
        <v>8</v>
      </c>
      <c r="U90" s="40">
        <f t="shared" si="14"/>
        <v>0</v>
      </c>
      <c r="V90" s="40">
        <f t="shared" si="15"/>
        <v>0</v>
      </c>
      <c r="W90" s="40">
        <f t="shared" si="16"/>
        <v>0</v>
      </c>
      <c r="X90" s="40">
        <f t="shared" si="17"/>
        <v>0</v>
      </c>
      <c r="Y90" s="40">
        <f t="shared" si="18"/>
        <v>0</v>
      </c>
      <c r="Z90" s="40">
        <f t="shared" si="19"/>
        <v>0</v>
      </c>
      <c r="AA90" s="40">
        <f t="shared" si="20"/>
        <v>0</v>
      </c>
      <c r="AB90" s="40">
        <f t="shared" si="21"/>
        <v>0</v>
      </c>
      <c r="AC90" s="41">
        <f t="shared" si="22"/>
        <v>0</v>
      </c>
      <c r="AD90" s="49"/>
      <c r="AE90" s="50"/>
      <c r="AF90" s="49"/>
      <c r="AG90" s="50"/>
      <c r="AH90" s="49"/>
      <c r="AI90" s="50"/>
      <c r="AJ90" s="49"/>
      <c r="AK90" s="50"/>
      <c r="AL90" s="49"/>
      <c r="AM90" s="50"/>
      <c r="AN90" s="49"/>
      <c r="AO90" s="50"/>
      <c r="AP90" s="49"/>
      <c r="AQ90" s="50"/>
      <c r="AR90" s="49" t="s">
        <v>5</v>
      </c>
      <c r="AS90" s="50" t="s">
        <v>722</v>
      </c>
      <c r="AT90" s="49"/>
      <c r="AU90" s="50"/>
      <c r="AV90" s="49" t="s">
        <v>5</v>
      </c>
      <c r="AW90" s="50" t="s">
        <v>73</v>
      </c>
      <c r="AX90" s="49" t="s">
        <v>5</v>
      </c>
      <c r="AY90" s="50" t="s">
        <v>101</v>
      </c>
      <c r="AZ90" s="49" t="s">
        <v>5</v>
      </c>
      <c r="BA90" s="50" t="s">
        <v>143</v>
      </c>
      <c r="BB90" s="49"/>
      <c r="BC90" s="50"/>
      <c r="BD90" s="49"/>
      <c r="BE90" s="50"/>
      <c r="BF90" s="49"/>
      <c r="BG90" s="50"/>
      <c r="BH90" s="49" t="s">
        <v>5</v>
      </c>
      <c r="BI90" s="50" t="s">
        <v>430</v>
      </c>
      <c r="BJ90" s="49"/>
      <c r="BK90" s="50"/>
      <c r="BL90" s="49"/>
      <c r="BM90" s="50"/>
      <c r="BN90" s="49" t="s">
        <v>1</v>
      </c>
      <c r="BO90" s="50" t="s">
        <v>121</v>
      </c>
      <c r="BP90" s="49" t="s">
        <v>5</v>
      </c>
      <c r="BQ90" s="50" t="s">
        <v>96</v>
      </c>
      <c r="BR90" s="49"/>
      <c r="BS90" s="50"/>
      <c r="BT90" s="49"/>
      <c r="BU90" s="50"/>
      <c r="BV90" s="49" t="s">
        <v>5</v>
      </c>
      <c r="BW90" s="50" t="s">
        <v>97</v>
      </c>
      <c r="BX90" s="49" t="s">
        <v>5</v>
      </c>
      <c r="BY90" s="50" t="s">
        <v>206</v>
      </c>
      <c r="BZ90" s="49"/>
      <c r="CA90" s="50"/>
    </row>
    <row r="91" spans="1:79" x14ac:dyDescent="0.25">
      <c r="A91" s="76">
        <v>151723</v>
      </c>
      <c r="B91" s="77" t="s">
        <v>812</v>
      </c>
      <c r="C91" s="78" t="s">
        <v>713</v>
      </c>
      <c r="D91" s="76" t="s">
        <v>70</v>
      </c>
      <c r="E91" s="79" t="s">
        <v>14</v>
      </c>
      <c r="F91" s="79" t="s">
        <v>150</v>
      </c>
      <c r="G91" s="79" t="s">
        <v>14</v>
      </c>
      <c r="H91" s="79" t="s">
        <v>14</v>
      </c>
      <c r="I91" s="78" t="s">
        <v>14</v>
      </c>
      <c r="J91" s="79" t="s">
        <v>14</v>
      </c>
      <c r="K91" s="142" t="s">
        <v>1850</v>
      </c>
      <c r="L91" s="149" t="s">
        <v>1845</v>
      </c>
      <c r="M91" s="150" t="s">
        <v>12</v>
      </c>
      <c r="N91" s="151">
        <v>7</v>
      </c>
      <c r="O91" s="151">
        <v>1</v>
      </c>
      <c r="P91" s="152">
        <v>3</v>
      </c>
      <c r="Q91" s="153">
        <v>86.96</v>
      </c>
      <c r="R91" s="154">
        <v>5</v>
      </c>
      <c r="S91" s="38">
        <f t="shared" si="12"/>
        <v>1</v>
      </c>
      <c r="T91" s="39">
        <f t="shared" si="13"/>
        <v>7</v>
      </c>
      <c r="U91" s="40">
        <f t="shared" si="14"/>
        <v>0</v>
      </c>
      <c r="V91" s="40">
        <f t="shared" si="15"/>
        <v>0</v>
      </c>
      <c r="W91" s="40">
        <f t="shared" si="16"/>
        <v>0</v>
      </c>
      <c r="X91" s="40">
        <f t="shared" si="17"/>
        <v>0</v>
      </c>
      <c r="Y91" s="40">
        <f t="shared" si="18"/>
        <v>0</v>
      </c>
      <c r="Z91" s="40">
        <f t="shared" si="19"/>
        <v>0</v>
      </c>
      <c r="AA91" s="40">
        <f t="shared" si="20"/>
        <v>0</v>
      </c>
      <c r="AB91" s="40">
        <f t="shared" si="21"/>
        <v>0</v>
      </c>
      <c r="AC91" s="41">
        <f t="shared" si="22"/>
        <v>0</v>
      </c>
      <c r="AD91" s="49"/>
      <c r="AE91" s="50"/>
      <c r="AF91" s="49"/>
      <c r="AG91" s="50"/>
      <c r="AH91" s="49" t="s">
        <v>5</v>
      </c>
      <c r="AI91" s="50" t="s">
        <v>427</v>
      </c>
      <c r="AJ91" s="49"/>
      <c r="AK91" s="50"/>
      <c r="AL91" s="49"/>
      <c r="AM91" s="50"/>
      <c r="AN91" s="49"/>
      <c r="AO91" s="50"/>
      <c r="AP91" s="49"/>
      <c r="AQ91" s="50"/>
      <c r="AR91" s="49" t="s">
        <v>5</v>
      </c>
      <c r="AS91" s="50" t="s">
        <v>169</v>
      </c>
      <c r="AT91" s="49"/>
      <c r="AU91" s="50"/>
      <c r="AV91" s="49"/>
      <c r="AW91" s="50"/>
      <c r="AX91" s="49" t="s">
        <v>5</v>
      </c>
      <c r="AY91" s="50" t="s">
        <v>103</v>
      </c>
      <c r="AZ91" s="49"/>
      <c r="BA91" s="50"/>
      <c r="BB91" s="49"/>
      <c r="BC91" s="50"/>
      <c r="BD91" s="49"/>
      <c r="BE91" s="50"/>
      <c r="BF91" s="49"/>
      <c r="BG91" s="50"/>
      <c r="BH91" s="49" t="s">
        <v>5</v>
      </c>
      <c r="BI91" s="50" t="s">
        <v>430</v>
      </c>
      <c r="BJ91" s="49"/>
      <c r="BK91" s="50"/>
      <c r="BL91" s="49" t="s">
        <v>5</v>
      </c>
      <c r="BM91" s="50" t="s">
        <v>89</v>
      </c>
      <c r="BN91" s="49" t="s">
        <v>1</v>
      </c>
      <c r="BO91" s="50" t="s">
        <v>81</v>
      </c>
      <c r="BP91" s="49"/>
      <c r="BQ91" s="50"/>
      <c r="BR91" s="49"/>
      <c r="BS91" s="50"/>
      <c r="BT91" s="49"/>
      <c r="BU91" s="50"/>
      <c r="BV91" s="49" t="s">
        <v>5</v>
      </c>
      <c r="BW91" s="50" t="s">
        <v>457</v>
      </c>
      <c r="BX91" s="49" t="s">
        <v>5</v>
      </c>
      <c r="BY91" s="50" t="s">
        <v>206</v>
      </c>
      <c r="BZ91" s="49" t="s">
        <v>5</v>
      </c>
      <c r="CA91" s="50" t="s">
        <v>75</v>
      </c>
    </row>
    <row r="92" spans="1:79" x14ac:dyDescent="0.25">
      <c r="A92" s="76">
        <v>151682</v>
      </c>
      <c r="B92" s="77" t="s">
        <v>813</v>
      </c>
      <c r="C92" s="78" t="s">
        <v>710</v>
      </c>
      <c r="D92" s="76" t="s">
        <v>70</v>
      </c>
      <c r="E92" s="79" t="s">
        <v>14</v>
      </c>
      <c r="F92" s="79" t="s">
        <v>88</v>
      </c>
      <c r="G92" s="79" t="s">
        <v>14</v>
      </c>
      <c r="H92" s="79" t="s">
        <v>14</v>
      </c>
      <c r="I92" s="78" t="s">
        <v>14</v>
      </c>
      <c r="J92" s="79" t="s">
        <v>14</v>
      </c>
      <c r="K92" s="142" t="s">
        <v>1850</v>
      </c>
      <c r="L92" s="149" t="s">
        <v>1845</v>
      </c>
      <c r="M92" s="150" t="s">
        <v>12</v>
      </c>
      <c r="N92" s="151">
        <v>4</v>
      </c>
      <c r="O92" s="151">
        <v>0</v>
      </c>
      <c r="P92" s="152">
        <v>2</v>
      </c>
      <c r="Q92" s="153">
        <v>89.13</v>
      </c>
      <c r="R92" s="154">
        <v>0</v>
      </c>
      <c r="S92" s="38">
        <f t="shared" si="12"/>
        <v>1</v>
      </c>
      <c r="T92" s="39">
        <f t="shared" si="13"/>
        <v>7</v>
      </c>
      <c r="U92" s="40">
        <f t="shared" si="14"/>
        <v>0</v>
      </c>
      <c r="V92" s="40">
        <f t="shared" si="15"/>
        <v>0</v>
      </c>
      <c r="W92" s="40">
        <f t="shared" si="16"/>
        <v>0</v>
      </c>
      <c r="X92" s="40">
        <f t="shared" si="17"/>
        <v>0</v>
      </c>
      <c r="Y92" s="40">
        <f t="shared" si="18"/>
        <v>0</v>
      </c>
      <c r="Z92" s="40">
        <f t="shared" si="19"/>
        <v>0</v>
      </c>
      <c r="AA92" s="40">
        <f t="shared" si="20"/>
        <v>0</v>
      </c>
      <c r="AB92" s="40">
        <f t="shared" si="21"/>
        <v>0</v>
      </c>
      <c r="AC92" s="41">
        <f t="shared" si="22"/>
        <v>0</v>
      </c>
      <c r="AD92" s="49" t="s">
        <v>5</v>
      </c>
      <c r="AE92" s="50" t="s">
        <v>116</v>
      </c>
      <c r="AF92" s="49"/>
      <c r="AG92" s="50"/>
      <c r="AH92" s="49" t="s">
        <v>5</v>
      </c>
      <c r="AI92" s="50" t="s">
        <v>427</v>
      </c>
      <c r="AJ92" s="49"/>
      <c r="AK92" s="50"/>
      <c r="AL92" s="49"/>
      <c r="AM92" s="50"/>
      <c r="AN92" s="49"/>
      <c r="AO92" s="50"/>
      <c r="AP92" s="49"/>
      <c r="AQ92" s="50"/>
      <c r="AR92" s="49" t="s">
        <v>5</v>
      </c>
      <c r="AS92" s="50" t="s">
        <v>478</v>
      </c>
      <c r="AT92" s="49"/>
      <c r="AU92" s="50"/>
      <c r="AV92" s="49"/>
      <c r="AW92" s="50"/>
      <c r="AX92" s="49" t="s">
        <v>5</v>
      </c>
      <c r="AY92" s="50" t="s">
        <v>711</v>
      </c>
      <c r="AZ92" s="49"/>
      <c r="BA92" s="50"/>
      <c r="BB92" s="49"/>
      <c r="BC92" s="50"/>
      <c r="BD92" s="49"/>
      <c r="BE92" s="50"/>
      <c r="BF92" s="49"/>
      <c r="BG92" s="50"/>
      <c r="BH92" s="49" t="s">
        <v>5</v>
      </c>
      <c r="BI92" s="50" t="s">
        <v>430</v>
      </c>
      <c r="BJ92" s="49"/>
      <c r="BK92" s="50"/>
      <c r="BL92" s="49"/>
      <c r="BM92" s="50"/>
      <c r="BN92" s="49" t="s">
        <v>1</v>
      </c>
      <c r="BO92" s="50" t="s">
        <v>81</v>
      </c>
      <c r="BP92" s="49"/>
      <c r="BQ92" s="50"/>
      <c r="BR92" s="49"/>
      <c r="BS92" s="50"/>
      <c r="BT92" s="49"/>
      <c r="BU92" s="50"/>
      <c r="BV92" s="49" t="s">
        <v>5</v>
      </c>
      <c r="BW92" s="50" t="s">
        <v>97</v>
      </c>
      <c r="BX92" s="49" t="s">
        <v>5</v>
      </c>
      <c r="BY92" s="50" t="s">
        <v>206</v>
      </c>
      <c r="BZ92" s="49" t="s">
        <v>5</v>
      </c>
      <c r="CA92" s="50" t="s">
        <v>75</v>
      </c>
    </row>
    <row r="93" spans="1:79" x14ac:dyDescent="0.25">
      <c r="A93" s="76">
        <v>151575</v>
      </c>
      <c r="B93" s="77" t="s">
        <v>814</v>
      </c>
      <c r="C93" s="78" t="s">
        <v>736</v>
      </c>
      <c r="D93" s="76" t="s">
        <v>12</v>
      </c>
      <c r="E93" s="79" t="s">
        <v>14</v>
      </c>
      <c r="F93" s="79" t="s">
        <v>126</v>
      </c>
      <c r="G93" s="79" t="s">
        <v>14</v>
      </c>
      <c r="H93" s="79" t="s">
        <v>14</v>
      </c>
      <c r="I93" s="78" t="s">
        <v>14</v>
      </c>
      <c r="J93" s="79" t="s">
        <v>14</v>
      </c>
      <c r="K93" s="142" t="s">
        <v>1850</v>
      </c>
      <c r="L93" s="149" t="s">
        <v>1844</v>
      </c>
      <c r="M93" s="150" t="s">
        <v>12</v>
      </c>
      <c r="N93" s="151">
        <v>17</v>
      </c>
      <c r="O93" s="151">
        <v>0</v>
      </c>
      <c r="P93" s="152">
        <v>2</v>
      </c>
      <c r="Q93" s="153">
        <v>97.83</v>
      </c>
      <c r="R93" s="154">
        <v>0</v>
      </c>
      <c r="S93" s="38">
        <f t="shared" si="12"/>
        <v>1</v>
      </c>
      <c r="T93" s="39">
        <f t="shared" si="13"/>
        <v>7</v>
      </c>
      <c r="U93" s="40">
        <f t="shared" si="14"/>
        <v>0</v>
      </c>
      <c r="V93" s="40">
        <f t="shared" si="15"/>
        <v>0</v>
      </c>
      <c r="W93" s="40">
        <f t="shared" si="16"/>
        <v>0</v>
      </c>
      <c r="X93" s="40">
        <f t="shared" si="17"/>
        <v>0</v>
      </c>
      <c r="Y93" s="40">
        <f t="shared" si="18"/>
        <v>0</v>
      </c>
      <c r="Z93" s="40">
        <f t="shared" si="19"/>
        <v>0</v>
      </c>
      <c r="AA93" s="40">
        <f t="shared" si="20"/>
        <v>0</v>
      </c>
      <c r="AB93" s="40">
        <f t="shared" si="21"/>
        <v>0</v>
      </c>
      <c r="AC93" s="41">
        <f t="shared" si="22"/>
        <v>0</v>
      </c>
      <c r="AD93" s="49"/>
      <c r="AE93" s="50"/>
      <c r="AF93" s="49"/>
      <c r="AG93" s="50"/>
      <c r="AH93" s="49"/>
      <c r="AI93" s="50"/>
      <c r="AJ93" s="49"/>
      <c r="AK93" s="50"/>
      <c r="AL93" s="49"/>
      <c r="AM93" s="50"/>
      <c r="AN93" s="49" t="s">
        <v>5</v>
      </c>
      <c r="AO93" s="50" t="s">
        <v>163</v>
      </c>
      <c r="AP93" s="49"/>
      <c r="AQ93" s="50"/>
      <c r="AR93" s="49" t="s">
        <v>5</v>
      </c>
      <c r="AS93" s="50" t="s">
        <v>194</v>
      </c>
      <c r="AT93" s="49"/>
      <c r="AU93" s="50"/>
      <c r="AV93" s="49"/>
      <c r="AW93" s="50"/>
      <c r="AX93" s="49" t="s">
        <v>5</v>
      </c>
      <c r="AY93" s="50" t="s">
        <v>91</v>
      </c>
      <c r="AZ93" s="49"/>
      <c r="BA93" s="50"/>
      <c r="BB93" s="49"/>
      <c r="BC93" s="50"/>
      <c r="BD93" s="49"/>
      <c r="BE93" s="50"/>
      <c r="BF93" s="49"/>
      <c r="BG93" s="50"/>
      <c r="BH93" s="49" t="s">
        <v>5</v>
      </c>
      <c r="BI93" s="50" t="s">
        <v>430</v>
      </c>
      <c r="BJ93" s="49"/>
      <c r="BK93" s="50"/>
      <c r="BL93" s="49" t="s">
        <v>5</v>
      </c>
      <c r="BM93" s="50" t="s">
        <v>89</v>
      </c>
      <c r="BN93" s="49" t="s">
        <v>5</v>
      </c>
      <c r="BO93" s="50" t="s">
        <v>107</v>
      </c>
      <c r="BP93" s="49"/>
      <c r="BQ93" s="50"/>
      <c r="BR93" s="49"/>
      <c r="BS93" s="50"/>
      <c r="BT93" s="49"/>
      <c r="BU93" s="50"/>
      <c r="BV93" s="49" t="s">
        <v>1</v>
      </c>
      <c r="BW93" s="50" t="s">
        <v>715</v>
      </c>
      <c r="BX93" s="49" t="s">
        <v>5</v>
      </c>
      <c r="BY93" s="50" t="s">
        <v>206</v>
      </c>
      <c r="BZ93" s="49" t="s">
        <v>32</v>
      </c>
      <c r="CA93" s="50" t="s">
        <v>75</v>
      </c>
    </row>
    <row r="94" spans="1:79" x14ac:dyDescent="0.25">
      <c r="A94" s="76">
        <v>151694</v>
      </c>
      <c r="B94" s="77" t="s">
        <v>815</v>
      </c>
      <c r="C94" s="78" t="s">
        <v>736</v>
      </c>
      <c r="D94" s="76" t="s">
        <v>70</v>
      </c>
      <c r="E94" s="79" t="s">
        <v>14</v>
      </c>
      <c r="F94" s="79" t="s">
        <v>71</v>
      </c>
      <c r="G94" s="79" t="s">
        <v>14</v>
      </c>
      <c r="H94" s="79" t="s">
        <v>14</v>
      </c>
      <c r="I94" s="78" t="s">
        <v>14</v>
      </c>
      <c r="J94" s="79" t="s">
        <v>14</v>
      </c>
      <c r="K94" s="142" t="s">
        <v>1850</v>
      </c>
      <c r="L94" s="149" t="s">
        <v>1846</v>
      </c>
      <c r="M94" s="150" t="s">
        <v>1853</v>
      </c>
      <c r="N94" s="151">
        <v>9</v>
      </c>
      <c r="O94" s="151">
        <v>0</v>
      </c>
      <c r="P94" s="152">
        <v>0</v>
      </c>
      <c r="Q94" s="153">
        <v>100</v>
      </c>
      <c r="R94" s="154">
        <v>0</v>
      </c>
      <c r="S94" s="38">
        <f t="shared" si="12"/>
        <v>4</v>
      </c>
      <c r="T94" s="39">
        <f t="shared" si="13"/>
        <v>5</v>
      </c>
      <c r="U94" s="40">
        <f t="shared" si="14"/>
        <v>0</v>
      </c>
      <c r="V94" s="40">
        <f t="shared" si="15"/>
        <v>0</v>
      </c>
      <c r="W94" s="40">
        <f t="shared" si="16"/>
        <v>0</v>
      </c>
      <c r="X94" s="40">
        <f t="shared" si="17"/>
        <v>0</v>
      </c>
      <c r="Y94" s="40">
        <f t="shared" si="18"/>
        <v>0</v>
      </c>
      <c r="Z94" s="40">
        <f t="shared" si="19"/>
        <v>0</v>
      </c>
      <c r="AA94" s="40">
        <f t="shared" si="20"/>
        <v>0</v>
      </c>
      <c r="AB94" s="40">
        <f t="shared" si="21"/>
        <v>0</v>
      </c>
      <c r="AC94" s="41">
        <f t="shared" si="22"/>
        <v>0</v>
      </c>
      <c r="AD94" s="49"/>
      <c r="AE94" s="50"/>
      <c r="AF94" s="49" t="s">
        <v>1</v>
      </c>
      <c r="AG94" s="50" t="s">
        <v>133</v>
      </c>
      <c r="AH94" s="49"/>
      <c r="AI94" s="50"/>
      <c r="AJ94" s="49" t="s">
        <v>5</v>
      </c>
      <c r="AK94" s="50" t="s">
        <v>137</v>
      </c>
      <c r="AL94" s="49"/>
      <c r="AM94" s="50"/>
      <c r="AN94" s="49" t="s">
        <v>5</v>
      </c>
      <c r="AO94" s="50" t="s">
        <v>163</v>
      </c>
      <c r="AP94" s="49"/>
      <c r="AQ94" s="50"/>
      <c r="AR94" s="49" t="s">
        <v>1</v>
      </c>
      <c r="AS94" s="50" t="s">
        <v>722</v>
      </c>
      <c r="AT94" s="49"/>
      <c r="AU94" s="50"/>
      <c r="AV94" s="49"/>
      <c r="AW94" s="50"/>
      <c r="AX94" s="49" t="s">
        <v>5</v>
      </c>
      <c r="AY94" s="50" t="s">
        <v>91</v>
      </c>
      <c r="AZ94" s="49"/>
      <c r="BA94" s="50"/>
      <c r="BB94" s="49"/>
      <c r="BC94" s="50"/>
      <c r="BD94" s="49"/>
      <c r="BE94" s="50"/>
      <c r="BF94" s="49"/>
      <c r="BG94" s="50"/>
      <c r="BH94" s="49" t="s">
        <v>1</v>
      </c>
      <c r="BI94" s="50" t="s">
        <v>106</v>
      </c>
      <c r="BJ94" s="49"/>
      <c r="BK94" s="50"/>
      <c r="BL94" s="49"/>
      <c r="BM94" s="50"/>
      <c r="BN94" s="49" t="s">
        <v>5</v>
      </c>
      <c r="BO94" s="50" t="s">
        <v>152</v>
      </c>
      <c r="BP94" s="49"/>
      <c r="BQ94" s="50"/>
      <c r="BR94" s="49" t="s">
        <v>1</v>
      </c>
      <c r="BS94" s="50" t="s">
        <v>98</v>
      </c>
      <c r="BT94" s="49"/>
      <c r="BU94" s="50"/>
      <c r="BV94" s="49" t="s">
        <v>5</v>
      </c>
      <c r="BW94" s="50" t="s">
        <v>108</v>
      </c>
      <c r="BX94" s="49"/>
      <c r="BY94" s="50"/>
      <c r="BZ94" s="49" t="s">
        <v>1</v>
      </c>
      <c r="CA94" s="50" t="s">
        <v>124</v>
      </c>
    </row>
    <row r="95" spans="1:79" x14ac:dyDescent="0.25">
      <c r="A95" s="76">
        <v>151528</v>
      </c>
      <c r="B95" s="77" t="s">
        <v>816</v>
      </c>
      <c r="C95" s="78" t="s">
        <v>721</v>
      </c>
      <c r="D95" s="76" t="s">
        <v>12</v>
      </c>
      <c r="E95" s="79" t="s">
        <v>14</v>
      </c>
      <c r="F95" s="79" t="s">
        <v>71</v>
      </c>
      <c r="G95" s="79" t="s">
        <v>14</v>
      </c>
      <c r="H95" s="79" t="s">
        <v>14</v>
      </c>
      <c r="I95" s="78" t="s">
        <v>14</v>
      </c>
      <c r="J95" s="79" t="s">
        <v>14</v>
      </c>
      <c r="K95" s="142" t="s">
        <v>1850</v>
      </c>
      <c r="L95" s="149" t="s">
        <v>1842</v>
      </c>
      <c r="M95" s="150" t="s">
        <v>1853</v>
      </c>
      <c r="N95" s="151">
        <v>17</v>
      </c>
      <c r="O95" s="151">
        <v>0</v>
      </c>
      <c r="P95" s="152">
        <v>0</v>
      </c>
      <c r="Q95" s="153">
        <v>100</v>
      </c>
      <c r="R95" s="154">
        <v>0</v>
      </c>
      <c r="S95" s="38">
        <f t="shared" si="12"/>
        <v>2</v>
      </c>
      <c r="T95" s="39">
        <f t="shared" si="13"/>
        <v>7</v>
      </c>
      <c r="U95" s="40">
        <f t="shared" si="14"/>
        <v>0</v>
      </c>
      <c r="V95" s="40">
        <f t="shared" si="15"/>
        <v>0</v>
      </c>
      <c r="W95" s="40">
        <f t="shared" si="16"/>
        <v>0</v>
      </c>
      <c r="X95" s="40">
        <f t="shared" si="17"/>
        <v>0</v>
      </c>
      <c r="Y95" s="40">
        <f t="shared" si="18"/>
        <v>0</v>
      </c>
      <c r="Z95" s="40">
        <f t="shared" si="19"/>
        <v>0</v>
      </c>
      <c r="AA95" s="40">
        <f t="shared" si="20"/>
        <v>0</v>
      </c>
      <c r="AB95" s="40">
        <f t="shared" si="21"/>
        <v>0</v>
      </c>
      <c r="AC95" s="41">
        <f t="shared" si="22"/>
        <v>0</v>
      </c>
      <c r="AD95" s="49" t="s">
        <v>5</v>
      </c>
      <c r="AE95" s="50" t="s">
        <v>116</v>
      </c>
      <c r="AF95" s="49"/>
      <c r="AG95" s="50"/>
      <c r="AH95" s="49" t="s">
        <v>5</v>
      </c>
      <c r="AI95" s="50" t="s">
        <v>427</v>
      </c>
      <c r="AJ95" s="49"/>
      <c r="AK95" s="50"/>
      <c r="AL95" s="49"/>
      <c r="AM95" s="50"/>
      <c r="AN95" s="49"/>
      <c r="AO95" s="50"/>
      <c r="AP95" s="49"/>
      <c r="AQ95" s="50"/>
      <c r="AR95" s="49" t="s">
        <v>5</v>
      </c>
      <c r="AS95" s="50" t="s">
        <v>722</v>
      </c>
      <c r="AT95" s="49"/>
      <c r="AU95" s="50"/>
      <c r="AV95" s="49"/>
      <c r="AW95" s="50"/>
      <c r="AX95" s="49" t="s">
        <v>5</v>
      </c>
      <c r="AY95" s="50" t="s">
        <v>101</v>
      </c>
      <c r="AZ95" s="49" t="s">
        <v>5</v>
      </c>
      <c r="BA95" s="50" t="s">
        <v>84</v>
      </c>
      <c r="BB95" s="49"/>
      <c r="BC95" s="50"/>
      <c r="BD95" s="49"/>
      <c r="BE95" s="50"/>
      <c r="BF95" s="49"/>
      <c r="BG95" s="50"/>
      <c r="BH95" s="49" t="s">
        <v>1</v>
      </c>
      <c r="BI95" s="50" t="s">
        <v>139</v>
      </c>
      <c r="BJ95" s="49"/>
      <c r="BK95" s="50"/>
      <c r="BL95" s="49"/>
      <c r="BM95" s="50"/>
      <c r="BN95" s="49" t="s">
        <v>1</v>
      </c>
      <c r="BO95" s="50" t="s">
        <v>107</v>
      </c>
      <c r="BP95" s="49"/>
      <c r="BQ95" s="50"/>
      <c r="BR95" s="49"/>
      <c r="BS95" s="50"/>
      <c r="BT95" s="49"/>
      <c r="BU95" s="50"/>
      <c r="BV95" s="49" t="s">
        <v>5</v>
      </c>
      <c r="BW95" s="50" t="s">
        <v>122</v>
      </c>
      <c r="BX95" s="49" t="s">
        <v>5</v>
      </c>
      <c r="BY95" s="50" t="s">
        <v>206</v>
      </c>
      <c r="BZ95" s="49"/>
      <c r="CA95" s="50"/>
    </row>
    <row r="96" spans="1:79" x14ac:dyDescent="0.25">
      <c r="A96" s="76">
        <v>151539</v>
      </c>
      <c r="B96" s="77" t="s">
        <v>817</v>
      </c>
      <c r="C96" s="78" t="s">
        <v>710</v>
      </c>
      <c r="D96" s="76" t="s">
        <v>70</v>
      </c>
      <c r="E96" s="79" t="s">
        <v>14</v>
      </c>
      <c r="F96" s="79" t="s">
        <v>71</v>
      </c>
      <c r="G96" s="79" t="s">
        <v>14</v>
      </c>
      <c r="H96" s="79" t="s">
        <v>14</v>
      </c>
      <c r="I96" s="78" t="s">
        <v>14</v>
      </c>
      <c r="J96" s="79" t="s">
        <v>14</v>
      </c>
      <c r="K96" s="142" t="s">
        <v>1851</v>
      </c>
      <c r="L96" s="149" t="s">
        <v>1842</v>
      </c>
      <c r="M96" s="150" t="s">
        <v>12</v>
      </c>
      <c r="N96" s="151">
        <v>11</v>
      </c>
      <c r="O96" s="151">
        <v>0</v>
      </c>
      <c r="P96" s="152">
        <v>2</v>
      </c>
      <c r="Q96" s="153">
        <v>100</v>
      </c>
      <c r="R96" s="154">
        <v>0</v>
      </c>
      <c r="S96" s="38">
        <f t="shared" si="12"/>
        <v>1</v>
      </c>
      <c r="T96" s="39">
        <f t="shared" si="13"/>
        <v>7</v>
      </c>
      <c r="U96" s="40">
        <f t="shared" si="14"/>
        <v>0</v>
      </c>
      <c r="V96" s="40">
        <f t="shared" si="15"/>
        <v>0</v>
      </c>
      <c r="W96" s="40">
        <f t="shared" si="16"/>
        <v>0</v>
      </c>
      <c r="X96" s="40">
        <f t="shared" si="17"/>
        <v>0</v>
      </c>
      <c r="Y96" s="40">
        <f t="shared" si="18"/>
        <v>0</v>
      </c>
      <c r="Z96" s="40">
        <f t="shared" si="19"/>
        <v>0</v>
      </c>
      <c r="AA96" s="40">
        <f t="shared" si="20"/>
        <v>0</v>
      </c>
      <c r="AB96" s="40">
        <f t="shared" si="21"/>
        <v>0</v>
      </c>
      <c r="AC96" s="41">
        <f t="shared" si="22"/>
        <v>0</v>
      </c>
      <c r="AD96" s="49"/>
      <c r="AE96" s="50"/>
      <c r="AF96" s="49"/>
      <c r="AG96" s="50"/>
      <c r="AH96" s="49" t="s">
        <v>5</v>
      </c>
      <c r="AI96" s="50" t="s">
        <v>427</v>
      </c>
      <c r="AJ96" s="49"/>
      <c r="AK96" s="50"/>
      <c r="AL96" s="49"/>
      <c r="AM96" s="50"/>
      <c r="AN96" s="49"/>
      <c r="AO96" s="50"/>
      <c r="AP96" s="49"/>
      <c r="AQ96" s="50"/>
      <c r="AR96" s="49" t="s">
        <v>5</v>
      </c>
      <c r="AS96" s="50" t="s">
        <v>74</v>
      </c>
      <c r="AT96" s="49"/>
      <c r="AU96" s="50"/>
      <c r="AV96" s="49"/>
      <c r="AW96" s="50"/>
      <c r="AX96" s="49" t="s">
        <v>5</v>
      </c>
      <c r="AY96" s="50" t="s">
        <v>711</v>
      </c>
      <c r="AZ96" s="49"/>
      <c r="BA96" s="50"/>
      <c r="BB96" s="49"/>
      <c r="BC96" s="50"/>
      <c r="BD96" s="49"/>
      <c r="BE96" s="50"/>
      <c r="BF96" s="49"/>
      <c r="BG96" s="50"/>
      <c r="BH96" s="49" t="s">
        <v>5</v>
      </c>
      <c r="BI96" s="50" t="s">
        <v>430</v>
      </c>
      <c r="BJ96" s="49"/>
      <c r="BK96" s="50"/>
      <c r="BL96" s="49" t="s">
        <v>1</v>
      </c>
      <c r="BM96" s="50" t="s">
        <v>89</v>
      </c>
      <c r="BN96" s="49" t="s">
        <v>5</v>
      </c>
      <c r="BO96" s="50" t="s">
        <v>121</v>
      </c>
      <c r="BP96" s="49"/>
      <c r="BQ96" s="50"/>
      <c r="BR96" s="49"/>
      <c r="BS96" s="50"/>
      <c r="BT96" s="49"/>
      <c r="BU96" s="50"/>
      <c r="BV96" s="49" t="s">
        <v>5</v>
      </c>
      <c r="BW96" s="50" t="s">
        <v>122</v>
      </c>
      <c r="BX96" s="49" t="s">
        <v>5</v>
      </c>
      <c r="BY96" s="50" t="s">
        <v>206</v>
      </c>
      <c r="BZ96" s="49" t="s">
        <v>32</v>
      </c>
      <c r="CA96" s="50" t="s">
        <v>124</v>
      </c>
    </row>
    <row r="97" spans="1:79" x14ac:dyDescent="0.25">
      <c r="A97" s="76">
        <v>151522</v>
      </c>
      <c r="B97" s="77" t="s">
        <v>818</v>
      </c>
      <c r="C97" s="78" t="s">
        <v>736</v>
      </c>
      <c r="D97" s="76" t="s">
        <v>12</v>
      </c>
      <c r="E97" s="79" t="s">
        <v>14</v>
      </c>
      <c r="F97" s="79" t="s">
        <v>71</v>
      </c>
      <c r="G97" s="79" t="s">
        <v>14</v>
      </c>
      <c r="H97" s="79" t="s">
        <v>14</v>
      </c>
      <c r="I97" s="78" t="s">
        <v>14</v>
      </c>
      <c r="J97" s="79" t="s">
        <v>14</v>
      </c>
      <c r="K97" s="142" t="s">
        <v>1851</v>
      </c>
      <c r="L97" s="149" t="s">
        <v>1844</v>
      </c>
      <c r="M97" s="150" t="s">
        <v>12</v>
      </c>
      <c r="N97" s="151">
        <v>9</v>
      </c>
      <c r="O97" s="151">
        <v>0</v>
      </c>
      <c r="P97" s="152">
        <v>0</v>
      </c>
      <c r="Q97" s="153">
        <v>100</v>
      </c>
      <c r="R97" s="154">
        <v>0</v>
      </c>
      <c r="S97" s="38">
        <f t="shared" si="12"/>
        <v>1</v>
      </c>
      <c r="T97" s="39">
        <f t="shared" si="13"/>
        <v>8</v>
      </c>
      <c r="U97" s="40">
        <f t="shared" si="14"/>
        <v>0</v>
      </c>
      <c r="V97" s="40">
        <f t="shared" si="15"/>
        <v>0</v>
      </c>
      <c r="W97" s="40">
        <f t="shared" si="16"/>
        <v>0</v>
      </c>
      <c r="X97" s="40">
        <f t="shared" si="17"/>
        <v>0</v>
      </c>
      <c r="Y97" s="40">
        <f t="shared" si="18"/>
        <v>0</v>
      </c>
      <c r="Z97" s="40">
        <f t="shared" si="19"/>
        <v>0</v>
      </c>
      <c r="AA97" s="40">
        <f t="shared" si="20"/>
        <v>0</v>
      </c>
      <c r="AB97" s="40">
        <f t="shared" si="21"/>
        <v>0</v>
      </c>
      <c r="AC97" s="41">
        <f t="shared" si="22"/>
        <v>0</v>
      </c>
      <c r="AD97" s="49"/>
      <c r="AE97" s="50"/>
      <c r="AF97" s="49" t="s">
        <v>5</v>
      </c>
      <c r="AG97" s="50" t="s">
        <v>438</v>
      </c>
      <c r="AH97" s="49"/>
      <c r="AI97" s="50"/>
      <c r="AJ97" s="49" t="s">
        <v>5</v>
      </c>
      <c r="AK97" s="50" t="s">
        <v>83</v>
      </c>
      <c r="AL97" s="49"/>
      <c r="AM97" s="50"/>
      <c r="AN97" s="49"/>
      <c r="AO97" s="50"/>
      <c r="AP97" s="49"/>
      <c r="AQ97" s="50"/>
      <c r="AR97" s="49" t="s">
        <v>5</v>
      </c>
      <c r="AS97" s="50" t="s">
        <v>102</v>
      </c>
      <c r="AT97" s="49"/>
      <c r="AU97" s="50"/>
      <c r="AV97" s="49"/>
      <c r="AW97" s="50"/>
      <c r="AX97" s="49" t="s">
        <v>5</v>
      </c>
      <c r="AY97" s="50" t="s">
        <v>91</v>
      </c>
      <c r="AZ97" s="49"/>
      <c r="BA97" s="50"/>
      <c r="BB97" s="49"/>
      <c r="BC97" s="50"/>
      <c r="BD97" s="49"/>
      <c r="BE97" s="50"/>
      <c r="BF97" s="49"/>
      <c r="BG97" s="50"/>
      <c r="BH97" s="49" t="s">
        <v>5</v>
      </c>
      <c r="BI97" s="50" t="s">
        <v>430</v>
      </c>
      <c r="BJ97" s="49"/>
      <c r="BK97" s="50"/>
      <c r="BL97" s="49"/>
      <c r="BM97" s="50"/>
      <c r="BN97" s="49" t="s">
        <v>1</v>
      </c>
      <c r="BO97" s="50" t="s">
        <v>96</v>
      </c>
      <c r="BP97" s="49"/>
      <c r="BQ97" s="50"/>
      <c r="BR97" s="49" t="s">
        <v>5</v>
      </c>
      <c r="BS97" s="50" t="s">
        <v>123</v>
      </c>
      <c r="BT97" s="49" t="s">
        <v>5</v>
      </c>
      <c r="BU97" s="50" t="s">
        <v>117</v>
      </c>
      <c r="BV97" s="49" t="s">
        <v>5</v>
      </c>
      <c r="BW97" s="50" t="s">
        <v>457</v>
      </c>
      <c r="BX97" s="49"/>
      <c r="BY97" s="50"/>
      <c r="BZ97" s="49" t="s">
        <v>32</v>
      </c>
      <c r="CA97" s="50" t="s">
        <v>124</v>
      </c>
    </row>
    <row r="98" spans="1:79" x14ac:dyDescent="0.25">
      <c r="A98" s="76">
        <v>151589</v>
      </c>
      <c r="B98" s="77" t="s">
        <v>819</v>
      </c>
      <c r="C98" s="78" t="s">
        <v>721</v>
      </c>
      <c r="D98" s="76" t="s">
        <v>70</v>
      </c>
      <c r="E98" s="79" t="s">
        <v>14</v>
      </c>
      <c r="F98" s="79" t="s">
        <v>455</v>
      </c>
      <c r="G98" s="79" t="s">
        <v>14</v>
      </c>
      <c r="H98" s="79" t="s">
        <v>14</v>
      </c>
      <c r="I98" s="78" t="s">
        <v>14</v>
      </c>
      <c r="J98" s="79" t="s">
        <v>14</v>
      </c>
      <c r="K98" s="142" t="s">
        <v>1850</v>
      </c>
      <c r="L98" s="149" t="s">
        <v>1842</v>
      </c>
      <c r="M98" s="150" t="s">
        <v>1853</v>
      </c>
      <c r="N98" s="151">
        <v>19</v>
      </c>
      <c r="O98" s="151">
        <v>1</v>
      </c>
      <c r="P98" s="152">
        <v>0</v>
      </c>
      <c r="Q98" s="153">
        <v>95.65</v>
      </c>
      <c r="R98" s="154">
        <v>0</v>
      </c>
      <c r="S98" s="38">
        <f t="shared" si="12"/>
        <v>0</v>
      </c>
      <c r="T98" s="39">
        <f t="shared" si="13"/>
        <v>10</v>
      </c>
      <c r="U98" s="40">
        <f t="shared" si="14"/>
        <v>0</v>
      </c>
      <c r="V98" s="40">
        <f t="shared" si="15"/>
        <v>0</v>
      </c>
      <c r="W98" s="40">
        <f t="shared" si="16"/>
        <v>0</v>
      </c>
      <c r="X98" s="40">
        <f t="shared" si="17"/>
        <v>0</v>
      </c>
      <c r="Y98" s="40">
        <f t="shared" si="18"/>
        <v>0</v>
      </c>
      <c r="Z98" s="40">
        <f t="shared" si="19"/>
        <v>0</v>
      </c>
      <c r="AA98" s="40">
        <f t="shared" si="20"/>
        <v>0</v>
      </c>
      <c r="AB98" s="40">
        <f t="shared" si="21"/>
        <v>0</v>
      </c>
      <c r="AC98" s="41">
        <f t="shared" si="22"/>
        <v>0</v>
      </c>
      <c r="AD98" s="49"/>
      <c r="AE98" s="50"/>
      <c r="AF98" s="49" t="s">
        <v>5</v>
      </c>
      <c r="AG98" s="50" t="s">
        <v>133</v>
      </c>
      <c r="AH98" s="49" t="s">
        <v>5</v>
      </c>
      <c r="AI98" s="50" t="s">
        <v>427</v>
      </c>
      <c r="AJ98" s="49" t="s">
        <v>5</v>
      </c>
      <c r="AK98" s="50" t="s">
        <v>164</v>
      </c>
      <c r="AL98" s="49"/>
      <c r="AM98" s="50"/>
      <c r="AN98" s="49"/>
      <c r="AO98" s="50"/>
      <c r="AP98" s="49"/>
      <c r="AQ98" s="50"/>
      <c r="AR98" s="49" t="s">
        <v>5</v>
      </c>
      <c r="AS98" s="50" t="s">
        <v>478</v>
      </c>
      <c r="AT98" s="49"/>
      <c r="AU98" s="50"/>
      <c r="AV98" s="49"/>
      <c r="AW98" s="50"/>
      <c r="AX98" s="49" t="s">
        <v>5</v>
      </c>
      <c r="AY98" s="50" t="s">
        <v>101</v>
      </c>
      <c r="AZ98" s="49" t="s">
        <v>5</v>
      </c>
      <c r="BA98" s="50" t="s">
        <v>143</v>
      </c>
      <c r="BB98" s="49"/>
      <c r="BC98" s="50"/>
      <c r="BD98" s="49"/>
      <c r="BE98" s="50"/>
      <c r="BF98" s="49"/>
      <c r="BG98" s="50"/>
      <c r="BH98" s="49" t="s">
        <v>5</v>
      </c>
      <c r="BI98" s="50" t="s">
        <v>430</v>
      </c>
      <c r="BJ98" s="49"/>
      <c r="BK98" s="50"/>
      <c r="BL98" s="49"/>
      <c r="BM98" s="50"/>
      <c r="BN98" s="49" t="s">
        <v>5</v>
      </c>
      <c r="BO98" s="50" t="s">
        <v>152</v>
      </c>
      <c r="BP98" s="49"/>
      <c r="BQ98" s="50"/>
      <c r="BR98" s="49" t="s">
        <v>5</v>
      </c>
      <c r="BS98" s="50" t="s">
        <v>140</v>
      </c>
      <c r="BT98" s="49"/>
      <c r="BU98" s="50"/>
      <c r="BV98" s="49" t="s">
        <v>5</v>
      </c>
      <c r="BW98" s="50" t="s">
        <v>82</v>
      </c>
      <c r="BX98" s="49"/>
      <c r="BY98" s="50"/>
      <c r="BZ98" s="49"/>
      <c r="CA98" s="50"/>
    </row>
    <row r="99" spans="1:79" x14ac:dyDescent="0.25">
      <c r="A99" s="76">
        <v>151705</v>
      </c>
      <c r="B99" s="77" t="s">
        <v>820</v>
      </c>
      <c r="C99" s="78" t="s">
        <v>725</v>
      </c>
      <c r="D99" s="76" t="s">
        <v>70</v>
      </c>
      <c r="E99" s="79" t="s">
        <v>14</v>
      </c>
      <c r="F99" s="79" t="s">
        <v>71</v>
      </c>
      <c r="G99" s="79" t="s">
        <v>14</v>
      </c>
      <c r="H99" s="79" t="s">
        <v>14</v>
      </c>
      <c r="I99" s="78" t="s">
        <v>14</v>
      </c>
      <c r="J99" s="79" t="s">
        <v>14</v>
      </c>
      <c r="K99" s="142" t="s">
        <v>1850</v>
      </c>
      <c r="L99" s="149" t="s">
        <v>1842</v>
      </c>
      <c r="M99" s="150" t="s">
        <v>1853</v>
      </c>
      <c r="N99" s="151">
        <v>16</v>
      </c>
      <c r="O99" s="151">
        <v>1</v>
      </c>
      <c r="P99" s="152">
        <v>1</v>
      </c>
      <c r="Q99" s="153">
        <v>86.96</v>
      </c>
      <c r="R99" s="154">
        <v>8</v>
      </c>
      <c r="S99" s="38">
        <f t="shared" si="12"/>
        <v>0</v>
      </c>
      <c r="T99" s="39">
        <f t="shared" si="13"/>
        <v>9</v>
      </c>
      <c r="U99" s="40">
        <f t="shared" si="14"/>
        <v>0</v>
      </c>
      <c r="V99" s="40">
        <f t="shared" si="15"/>
        <v>0</v>
      </c>
      <c r="W99" s="40">
        <f t="shared" si="16"/>
        <v>1</v>
      </c>
      <c r="X99" s="40">
        <f t="shared" si="17"/>
        <v>1</v>
      </c>
      <c r="Y99" s="40">
        <f t="shared" si="18"/>
        <v>0</v>
      </c>
      <c r="Z99" s="40">
        <f t="shared" si="19"/>
        <v>0</v>
      </c>
      <c r="AA99" s="40">
        <f t="shared" si="20"/>
        <v>0</v>
      </c>
      <c r="AB99" s="40">
        <f t="shared" si="21"/>
        <v>0</v>
      </c>
      <c r="AC99" s="41">
        <f t="shared" si="22"/>
        <v>0</v>
      </c>
      <c r="AD99" s="49"/>
      <c r="AE99" s="50"/>
      <c r="AF99" s="49" t="s">
        <v>5</v>
      </c>
      <c r="AG99" s="50" t="s">
        <v>133</v>
      </c>
      <c r="AH99" s="49"/>
      <c r="AI99" s="50"/>
      <c r="AJ99" s="49" t="s">
        <v>5</v>
      </c>
      <c r="AK99" s="50" t="s">
        <v>164</v>
      </c>
      <c r="AL99" s="49"/>
      <c r="AM99" s="50"/>
      <c r="AN99" s="49"/>
      <c r="AO99" s="50"/>
      <c r="AP99" s="49"/>
      <c r="AQ99" s="50"/>
      <c r="AR99" s="49" t="s">
        <v>5</v>
      </c>
      <c r="AS99" s="50" t="s">
        <v>194</v>
      </c>
      <c r="AT99" s="49"/>
      <c r="AU99" s="50"/>
      <c r="AV99" s="49" t="s">
        <v>5</v>
      </c>
      <c r="AW99" s="50" t="s">
        <v>73</v>
      </c>
      <c r="AX99" s="49" t="s">
        <v>5</v>
      </c>
      <c r="AY99" s="50" t="s">
        <v>109</v>
      </c>
      <c r="AZ99" s="49" t="s">
        <v>5</v>
      </c>
      <c r="BA99" s="50" t="s">
        <v>143</v>
      </c>
      <c r="BB99" s="49"/>
      <c r="BC99" s="50"/>
      <c r="BD99" s="49"/>
      <c r="BE99" s="50"/>
      <c r="BF99" s="49"/>
      <c r="BG99" s="50"/>
      <c r="BH99" s="49" t="s">
        <v>5</v>
      </c>
      <c r="BI99" s="50" t="s">
        <v>139</v>
      </c>
      <c r="BJ99" s="49"/>
      <c r="BK99" s="50"/>
      <c r="BL99" s="49"/>
      <c r="BM99" s="50"/>
      <c r="BN99" s="49" t="s">
        <v>5</v>
      </c>
      <c r="BO99" s="50" t="s">
        <v>152</v>
      </c>
      <c r="BP99" s="49"/>
      <c r="BQ99" s="50"/>
      <c r="BR99" s="49" t="s">
        <v>5</v>
      </c>
      <c r="BS99" s="50" t="s">
        <v>140</v>
      </c>
      <c r="BT99" s="49"/>
      <c r="BU99" s="50"/>
      <c r="BV99" s="49" t="s">
        <v>32</v>
      </c>
      <c r="BW99" s="50" t="s">
        <v>495</v>
      </c>
      <c r="BX99" s="49"/>
      <c r="BY99" s="50"/>
      <c r="BZ99" s="49"/>
      <c r="CA99" s="50"/>
    </row>
    <row r="100" spans="1:79" x14ac:dyDescent="0.25">
      <c r="A100" s="76">
        <v>151524</v>
      </c>
      <c r="B100" s="77" t="s">
        <v>821</v>
      </c>
      <c r="C100" s="78" t="s">
        <v>725</v>
      </c>
      <c r="D100" s="76" t="s">
        <v>12</v>
      </c>
      <c r="E100" s="79" t="s">
        <v>14</v>
      </c>
      <c r="F100" s="79" t="s">
        <v>71</v>
      </c>
      <c r="G100" s="79" t="s">
        <v>14</v>
      </c>
      <c r="H100" s="79" t="s">
        <v>14</v>
      </c>
      <c r="I100" s="78" t="s">
        <v>14</v>
      </c>
      <c r="J100" s="79" t="s">
        <v>14</v>
      </c>
      <c r="K100" s="142" t="s">
        <v>1850</v>
      </c>
      <c r="L100" s="149" t="s">
        <v>1845</v>
      </c>
      <c r="M100" s="150" t="s">
        <v>12</v>
      </c>
      <c r="N100" s="151">
        <v>16</v>
      </c>
      <c r="O100" s="151">
        <v>0</v>
      </c>
      <c r="P100" s="152">
        <v>0</v>
      </c>
      <c r="Q100" s="153">
        <v>100</v>
      </c>
      <c r="R100" s="154">
        <v>0</v>
      </c>
      <c r="S100" s="38">
        <f t="shared" si="12"/>
        <v>3</v>
      </c>
      <c r="T100" s="39">
        <f t="shared" si="13"/>
        <v>7</v>
      </c>
      <c r="U100" s="40">
        <f t="shared" si="14"/>
        <v>0</v>
      </c>
      <c r="V100" s="40">
        <f t="shared" si="15"/>
        <v>0</v>
      </c>
      <c r="W100" s="40">
        <f t="shared" si="16"/>
        <v>0</v>
      </c>
      <c r="X100" s="40">
        <f t="shared" si="17"/>
        <v>0</v>
      </c>
      <c r="Y100" s="40">
        <f t="shared" si="18"/>
        <v>0</v>
      </c>
      <c r="Z100" s="40">
        <f t="shared" si="19"/>
        <v>0</v>
      </c>
      <c r="AA100" s="40">
        <f t="shared" si="20"/>
        <v>0</v>
      </c>
      <c r="AB100" s="40">
        <f t="shared" si="21"/>
        <v>0</v>
      </c>
      <c r="AC100" s="41">
        <f t="shared" si="22"/>
        <v>0</v>
      </c>
      <c r="AD100" s="49"/>
      <c r="AE100" s="50"/>
      <c r="AF100" s="49" t="s">
        <v>5</v>
      </c>
      <c r="AG100" s="50" t="s">
        <v>433</v>
      </c>
      <c r="AH100" s="49"/>
      <c r="AI100" s="50"/>
      <c r="AJ100" s="49" t="s">
        <v>5</v>
      </c>
      <c r="AK100" s="50" t="s">
        <v>714</v>
      </c>
      <c r="AL100" s="49"/>
      <c r="AM100" s="50"/>
      <c r="AN100" s="49"/>
      <c r="AO100" s="50"/>
      <c r="AP100" s="49"/>
      <c r="AQ100" s="50"/>
      <c r="AR100" s="49" t="s">
        <v>5</v>
      </c>
      <c r="AS100" s="50" t="s">
        <v>102</v>
      </c>
      <c r="AT100" s="49"/>
      <c r="AU100" s="50"/>
      <c r="AV100" s="49"/>
      <c r="AW100" s="50"/>
      <c r="AX100" s="49" t="s">
        <v>5</v>
      </c>
      <c r="AY100" s="50" t="s">
        <v>109</v>
      </c>
      <c r="AZ100" s="49" t="s">
        <v>5</v>
      </c>
      <c r="BA100" s="50" t="s">
        <v>84</v>
      </c>
      <c r="BB100" s="49"/>
      <c r="BC100" s="50"/>
      <c r="BD100" s="49"/>
      <c r="BE100" s="50"/>
      <c r="BF100" s="49"/>
      <c r="BG100" s="50"/>
      <c r="BH100" s="49" t="s">
        <v>5</v>
      </c>
      <c r="BI100" s="50" t="s">
        <v>430</v>
      </c>
      <c r="BJ100" s="49"/>
      <c r="BK100" s="50"/>
      <c r="BL100" s="49"/>
      <c r="BM100" s="50"/>
      <c r="BN100" s="49" t="s">
        <v>1</v>
      </c>
      <c r="BO100" s="50" t="s">
        <v>107</v>
      </c>
      <c r="BP100" s="49" t="s">
        <v>1</v>
      </c>
      <c r="BQ100" s="50" t="s">
        <v>96</v>
      </c>
      <c r="BR100" s="49" t="s">
        <v>5</v>
      </c>
      <c r="BS100" s="50" t="s">
        <v>123</v>
      </c>
      <c r="BT100" s="49"/>
      <c r="BU100" s="50"/>
      <c r="BV100" s="49" t="s">
        <v>1</v>
      </c>
      <c r="BW100" s="50" t="s">
        <v>97</v>
      </c>
      <c r="BX100" s="49"/>
      <c r="BY100" s="50"/>
      <c r="BZ100" s="49"/>
      <c r="CA100" s="50"/>
    </row>
    <row r="101" spans="1:79" x14ac:dyDescent="0.25">
      <c r="A101" s="76">
        <v>151543</v>
      </c>
      <c r="B101" s="77" t="s">
        <v>822</v>
      </c>
      <c r="C101" s="78" t="s">
        <v>713</v>
      </c>
      <c r="D101" s="76" t="s">
        <v>70</v>
      </c>
      <c r="E101" s="79" t="s">
        <v>14</v>
      </c>
      <c r="F101" s="77" t="s">
        <v>71</v>
      </c>
      <c r="G101" s="79" t="s">
        <v>14</v>
      </c>
      <c r="H101" s="79" t="s">
        <v>14</v>
      </c>
      <c r="I101" s="78" t="s">
        <v>14</v>
      </c>
      <c r="J101" s="79" t="s">
        <v>14</v>
      </c>
      <c r="K101" s="142" t="s">
        <v>1850</v>
      </c>
      <c r="L101" s="149" t="s">
        <v>1842</v>
      </c>
      <c r="M101" s="150" t="s">
        <v>12</v>
      </c>
      <c r="N101" s="151">
        <v>16</v>
      </c>
      <c r="O101" s="151">
        <v>0</v>
      </c>
      <c r="P101" s="152">
        <v>0</v>
      </c>
      <c r="Q101" s="153">
        <v>93.48</v>
      </c>
      <c r="R101" s="154">
        <v>2</v>
      </c>
      <c r="S101" s="38">
        <f t="shared" si="12"/>
        <v>6</v>
      </c>
      <c r="T101" s="39">
        <f t="shared" si="13"/>
        <v>3</v>
      </c>
      <c r="U101" s="40">
        <f t="shared" si="14"/>
        <v>0</v>
      </c>
      <c r="V101" s="40">
        <f t="shared" si="15"/>
        <v>0</v>
      </c>
      <c r="W101" s="40">
        <f t="shared" si="16"/>
        <v>0</v>
      </c>
      <c r="X101" s="40">
        <f t="shared" si="17"/>
        <v>0</v>
      </c>
      <c r="Y101" s="40">
        <f t="shared" si="18"/>
        <v>0</v>
      </c>
      <c r="Z101" s="40">
        <f t="shared" si="19"/>
        <v>0</v>
      </c>
      <c r="AA101" s="40">
        <f t="shared" si="20"/>
        <v>0</v>
      </c>
      <c r="AB101" s="40">
        <f t="shared" si="21"/>
        <v>0</v>
      </c>
      <c r="AC101" s="41">
        <f t="shared" si="22"/>
        <v>0</v>
      </c>
      <c r="AD101" s="49"/>
      <c r="AE101" s="50"/>
      <c r="AF101" s="49" t="s">
        <v>1</v>
      </c>
      <c r="AG101" s="50" t="s">
        <v>133</v>
      </c>
      <c r="AH101" s="49"/>
      <c r="AI101" s="50"/>
      <c r="AJ101" s="49" t="s">
        <v>5</v>
      </c>
      <c r="AK101" s="50" t="s">
        <v>164</v>
      </c>
      <c r="AL101" s="49"/>
      <c r="AM101" s="50"/>
      <c r="AN101" s="49"/>
      <c r="AO101" s="50"/>
      <c r="AP101" s="49"/>
      <c r="AQ101" s="50"/>
      <c r="AR101" s="49" t="s">
        <v>1</v>
      </c>
      <c r="AS101" s="50" t="s">
        <v>478</v>
      </c>
      <c r="AT101" s="49"/>
      <c r="AU101" s="50"/>
      <c r="AV101" s="49"/>
      <c r="AW101" s="50"/>
      <c r="AX101" s="49" t="s">
        <v>5</v>
      </c>
      <c r="AY101" s="50" t="s">
        <v>103</v>
      </c>
      <c r="AZ101" s="49"/>
      <c r="BA101" s="50"/>
      <c r="BB101" s="49"/>
      <c r="BC101" s="50"/>
      <c r="BD101" s="49"/>
      <c r="BE101" s="50"/>
      <c r="BF101" s="49" t="s">
        <v>5</v>
      </c>
      <c r="BG101" s="50" t="s">
        <v>93</v>
      </c>
      <c r="BH101" s="49" t="s">
        <v>1</v>
      </c>
      <c r="BI101" s="50" t="s">
        <v>136</v>
      </c>
      <c r="BJ101" s="49"/>
      <c r="BK101" s="50"/>
      <c r="BL101" s="49"/>
      <c r="BM101" s="50"/>
      <c r="BN101" s="49" t="s">
        <v>1</v>
      </c>
      <c r="BO101" s="50" t="s">
        <v>81</v>
      </c>
      <c r="BP101" s="49"/>
      <c r="BQ101" s="50"/>
      <c r="BR101" s="49" t="s">
        <v>1</v>
      </c>
      <c r="BS101" s="50" t="s">
        <v>140</v>
      </c>
      <c r="BT101" s="49"/>
      <c r="BU101" s="50"/>
      <c r="BV101" s="49" t="s">
        <v>1</v>
      </c>
      <c r="BW101" s="50" t="s">
        <v>122</v>
      </c>
      <c r="BX101" s="49"/>
      <c r="BY101" s="50"/>
      <c r="BZ101" s="49" t="s">
        <v>1</v>
      </c>
      <c r="CA101" s="50" t="s">
        <v>75</v>
      </c>
    </row>
    <row r="102" spans="1:79" x14ac:dyDescent="0.25">
      <c r="A102" s="76">
        <v>151646</v>
      </c>
      <c r="B102" s="77" t="s">
        <v>823</v>
      </c>
      <c r="C102" s="78" t="s">
        <v>710</v>
      </c>
      <c r="D102" s="76" t="s">
        <v>12</v>
      </c>
      <c r="E102" s="79" t="s">
        <v>14</v>
      </c>
      <c r="F102" s="79" t="s">
        <v>450</v>
      </c>
      <c r="G102" s="79" t="s">
        <v>14</v>
      </c>
      <c r="H102" s="79" t="s">
        <v>14</v>
      </c>
      <c r="I102" s="78" t="s">
        <v>14</v>
      </c>
      <c r="J102" s="79" t="s">
        <v>14</v>
      </c>
      <c r="K102" s="142" t="s">
        <v>1851</v>
      </c>
      <c r="L102" s="149" t="s">
        <v>1843</v>
      </c>
      <c r="M102" s="150" t="s">
        <v>1852</v>
      </c>
      <c r="N102" s="151">
        <v>3</v>
      </c>
      <c r="O102" s="151">
        <v>10</v>
      </c>
      <c r="P102" s="152">
        <v>5</v>
      </c>
      <c r="Q102" s="153">
        <v>84.78</v>
      </c>
      <c r="R102" s="154">
        <v>13</v>
      </c>
      <c r="S102" s="38">
        <f t="shared" si="12"/>
        <v>0</v>
      </c>
      <c r="T102" s="39">
        <f t="shared" si="13"/>
        <v>2</v>
      </c>
      <c r="U102" s="40">
        <f t="shared" si="14"/>
        <v>2</v>
      </c>
      <c r="V102" s="40">
        <f t="shared" si="15"/>
        <v>1</v>
      </c>
      <c r="W102" s="40">
        <f t="shared" si="16"/>
        <v>2</v>
      </c>
      <c r="X102" s="40">
        <f t="shared" si="17"/>
        <v>5</v>
      </c>
      <c r="Y102" s="40">
        <f t="shared" si="18"/>
        <v>0</v>
      </c>
      <c r="Z102" s="40">
        <f t="shared" si="19"/>
        <v>1</v>
      </c>
      <c r="AA102" s="40">
        <f t="shared" si="20"/>
        <v>0</v>
      </c>
      <c r="AB102" s="40">
        <f t="shared" si="21"/>
        <v>1</v>
      </c>
      <c r="AC102" s="41">
        <f t="shared" si="22"/>
        <v>0</v>
      </c>
      <c r="AD102" s="49"/>
      <c r="AE102" s="50"/>
      <c r="AF102" s="49"/>
      <c r="AG102" s="50"/>
      <c r="AH102" s="49" t="s">
        <v>30</v>
      </c>
      <c r="AI102" s="50" t="s">
        <v>427</v>
      </c>
      <c r="AJ102" s="49"/>
      <c r="AK102" s="50"/>
      <c r="AL102" s="49"/>
      <c r="AM102" s="50"/>
      <c r="AN102" s="49"/>
      <c r="AO102" s="50"/>
      <c r="AP102" s="49"/>
      <c r="AQ102" s="50"/>
      <c r="AR102" s="49" t="s">
        <v>32</v>
      </c>
      <c r="AS102" s="50" t="s">
        <v>169</v>
      </c>
      <c r="AT102" s="49"/>
      <c r="AU102" s="50"/>
      <c r="AV102" s="49" t="s">
        <v>31</v>
      </c>
      <c r="AW102" s="50" t="s">
        <v>73</v>
      </c>
      <c r="AX102" s="49" t="s">
        <v>32</v>
      </c>
      <c r="AY102" s="50" t="s">
        <v>711</v>
      </c>
      <c r="AZ102" s="49"/>
      <c r="BA102" s="50"/>
      <c r="BB102" s="49"/>
      <c r="BC102" s="50"/>
      <c r="BD102" s="49"/>
      <c r="BE102" s="50"/>
      <c r="BF102" s="49"/>
      <c r="BG102" s="50"/>
      <c r="BH102" s="49" t="s">
        <v>5</v>
      </c>
      <c r="BI102" s="50" t="s">
        <v>505</v>
      </c>
      <c r="BJ102" s="49"/>
      <c r="BK102" s="50"/>
      <c r="BL102" s="49"/>
      <c r="BM102" s="50"/>
      <c r="BN102" s="49" t="s">
        <v>5</v>
      </c>
      <c r="BO102" s="50" t="s">
        <v>96</v>
      </c>
      <c r="BP102" s="49"/>
      <c r="BQ102" s="50"/>
      <c r="BR102" s="49"/>
      <c r="BS102" s="50"/>
      <c r="BT102" s="49"/>
      <c r="BU102" s="50"/>
      <c r="BV102" s="49" t="s">
        <v>30</v>
      </c>
      <c r="BW102" s="50" t="s">
        <v>715</v>
      </c>
      <c r="BX102" s="49" t="s">
        <v>35</v>
      </c>
      <c r="BY102" s="50" t="s">
        <v>419</v>
      </c>
      <c r="BZ102" s="49" t="s">
        <v>34</v>
      </c>
      <c r="CA102" s="50" t="s">
        <v>75</v>
      </c>
    </row>
    <row r="103" spans="1:79" x14ac:dyDescent="0.25">
      <c r="A103" s="76">
        <v>151553</v>
      </c>
      <c r="B103" s="77" t="s">
        <v>824</v>
      </c>
      <c r="C103" s="78" t="s">
        <v>713</v>
      </c>
      <c r="D103" s="76" t="s">
        <v>12</v>
      </c>
      <c r="E103" s="79" t="s">
        <v>14</v>
      </c>
      <c r="F103" s="79" t="s">
        <v>71</v>
      </c>
      <c r="G103" s="79" t="s">
        <v>14</v>
      </c>
      <c r="H103" s="79" t="s">
        <v>14</v>
      </c>
      <c r="I103" s="78" t="s">
        <v>14</v>
      </c>
      <c r="J103" s="79" t="s">
        <v>14</v>
      </c>
      <c r="K103" s="142" t="s">
        <v>1850</v>
      </c>
      <c r="L103" s="149" t="s">
        <v>1842</v>
      </c>
      <c r="M103" s="150" t="s">
        <v>1853</v>
      </c>
      <c r="N103" s="151">
        <v>10</v>
      </c>
      <c r="O103" s="151">
        <v>0</v>
      </c>
      <c r="P103" s="152">
        <v>1</v>
      </c>
      <c r="Q103" s="153">
        <v>100</v>
      </c>
      <c r="R103" s="154">
        <v>2</v>
      </c>
      <c r="S103" s="38">
        <f t="shared" si="12"/>
        <v>1</v>
      </c>
      <c r="T103" s="39">
        <f t="shared" si="13"/>
        <v>8</v>
      </c>
      <c r="U103" s="40">
        <f t="shared" si="14"/>
        <v>0</v>
      </c>
      <c r="V103" s="40">
        <f t="shared" si="15"/>
        <v>0</v>
      </c>
      <c r="W103" s="40">
        <f t="shared" si="16"/>
        <v>0</v>
      </c>
      <c r="X103" s="40">
        <f t="shared" si="17"/>
        <v>0</v>
      </c>
      <c r="Y103" s="40">
        <f t="shared" si="18"/>
        <v>0</v>
      </c>
      <c r="Z103" s="40">
        <f t="shared" si="19"/>
        <v>0</v>
      </c>
      <c r="AA103" s="40">
        <f t="shared" si="20"/>
        <v>0</v>
      </c>
      <c r="AB103" s="40">
        <f t="shared" si="21"/>
        <v>0</v>
      </c>
      <c r="AC103" s="41">
        <f t="shared" si="22"/>
        <v>0</v>
      </c>
      <c r="AD103" s="49"/>
      <c r="AE103" s="50"/>
      <c r="AF103" s="49" t="s">
        <v>5</v>
      </c>
      <c r="AG103" s="50" t="s">
        <v>133</v>
      </c>
      <c r="AH103" s="49"/>
      <c r="AI103" s="50"/>
      <c r="AJ103" s="49" t="s">
        <v>5</v>
      </c>
      <c r="AK103" s="50" t="s">
        <v>137</v>
      </c>
      <c r="AL103" s="49"/>
      <c r="AM103" s="50"/>
      <c r="AN103" s="49" t="s">
        <v>5</v>
      </c>
      <c r="AO103" s="50" t="s">
        <v>163</v>
      </c>
      <c r="AP103" s="49"/>
      <c r="AQ103" s="50"/>
      <c r="AR103" s="49" t="s">
        <v>5</v>
      </c>
      <c r="AS103" s="50" t="s">
        <v>478</v>
      </c>
      <c r="AT103" s="49"/>
      <c r="AU103" s="50"/>
      <c r="AV103" s="49"/>
      <c r="AW103" s="50"/>
      <c r="AX103" s="49" t="s">
        <v>5</v>
      </c>
      <c r="AY103" s="50" t="s">
        <v>103</v>
      </c>
      <c r="AZ103" s="49"/>
      <c r="BA103" s="50"/>
      <c r="BB103" s="49"/>
      <c r="BC103" s="50"/>
      <c r="BD103" s="49"/>
      <c r="BE103" s="50"/>
      <c r="BF103" s="49"/>
      <c r="BG103" s="50"/>
      <c r="BH103" s="49" t="s">
        <v>5</v>
      </c>
      <c r="BI103" s="50" t="s">
        <v>106</v>
      </c>
      <c r="BJ103" s="49"/>
      <c r="BK103" s="50"/>
      <c r="BL103" s="49"/>
      <c r="BM103" s="50"/>
      <c r="BN103" s="49" t="s">
        <v>1</v>
      </c>
      <c r="BO103" s="50" t="s">
        <v>96</v>
      </c>
      <c r="BP103" s="49"/>
      <c r="BQ103" s="50"/>
      <c r="BR103" s="49" t="s">
        <v>5</v>
      </c>
      <c r="BS103" s="50" t="s">
        <v>98</v>
      </c>
      <c r="BT103" s="49"/>
      <c r="BU103" s="50"/>
      <c r="BV103" s="49" t="s">
        <v>5</v>
      </c>
      <c r="BW103" s="50" t="s">
        <v>495</v>
      </c>
      <c r="BX103" s="49"/>
      <c r="BY103" s="50"/>
      <c r="BZ103" s="49" t="s">
        <v>5</v>
      </c>
      <c r="CA103" s="50" t="s">
        <v>124</v>
      </c>
    </row>
    <row r="104" spans="1:79" x14ac:dyDescent="0.25">
      <c r="A104" s="76">
        <v>151544</v>
      </c>
      <c r="B104" s="77" t="s">
        <v>825</v>
      </c>
      <c r="C104" s="78" t="s">
        <v>721</v>
      </c>
      <c r="D104" s="76" t="s">
        <v>70</v>
      </c>
      <c r="E104" s="79" t="s">
        <v>14</v>
      </c>
      <c r="F104" s="79" t="s">
        <v>88</v>
      </c>
      <c r="G104" s="79" t="s">
        <v>87</v>
      </c>
      <c r="H104" s="79" t="s">
        <v>14</v>
      </c>
      <c r="I104" s="78" t="s">
        <v>14</v>
      </c>
      <c r="J104" s="79" t="s">
        <v>14</v>
      </c>
      <c r="K104" s="142" t="s">
        <v>1850</v>
      </c>
      <c r="L104" s="149" t="s">
        <v>1842</v>
      </c>
      <c r="M104" s="150" t="s">
        <v>12</v>
      </c>
      <c r="N104" s="151">
        <v>13</v>
      </c>
      <c r="O104" s="151">
        <v>2</v>
      </c>
      <c r="P104" s="152">
        <v>1</v>
      </c>
      <c r="Q104" s="153">
        <v>86.96</v>
      </c>
      <c r="R104" s="154">
        <v>9</v>
      </c>
      <c r="S104" s="38">
        <f t="shared" si="12"/>
        <v>0</v>
      </c>
      <c r="T104" s="39">
        <f t="shared" si="13"/>
        <v>8</v>
      </c>
      <c r="U104" s="40">
        <f t="shared" si="14"/>
        <v>0</v>
      </c>
      <c r="V104" s="40">
        <f t="shared" si="15"/>
        <v>2</v>
      </c>
      <c r="W104" s="40">
        <f t="shared" si="16"/>
        <v>0</v>
      </c>
      <c r="X104" s="40">
        <f t="shared" si="17"/>
        <v>2</v>
      </c>
      <c r="Y104" s="40">
        <f t="shared" si="18"/>
        <v>0</v>
      </c>
      <c r="Z104" s="40">
        <f t="shared" si="19"/>
        <v>0</v>
      </c>
      <c r="AA104" s="40">
        <f t="shared" si="20"/>
        <v>0</v>
      </c>
      <c r="AB104" s="40">
        <f t="shared" si="21"/>
        <v>0</v>
      </c>
      <c r="AC104" s="41">
        <f t="shared" si="22"/>
        <v>0</v>
      </c>
      <c r="AD104" s="49"/>
      <c r="AE104" s="50"/>
      <c r="AF104" s="49" t="s">
        <v>5</v>
      </c>
      <c r="AG104" s="50" t="s">
        <v>433</v>
      </c>
      <c r="AH104" s="49"/>
      <c r="AI104" s="50"/>
      <c r="AJ104" s="49" t="s">
        <v>31</v>
      </c>
      <c r="AK104" s="50" t="s">
        <v>714</v>
      </c>
      <c r="AL104" s="49"/>
      <c r="AM104" s="50"/>
      <c r="AN104" s="49"/>
      <c r="AO104" s="50"/>
      <c r="AP104" s="49"/>
      <c r="AQ104" s="50"/>
      <c r="AR104" s="49" t="s">
        <v>5</v>
      </c>
      <c r="AS104" s="50" t="s">
        <v>194</v>
      </c>
      <c r="AT104" s="49"/>
      <c r="AU104" s="50"/>
      <c r="AV104" s="49" t="s">
        <v>5</v>
      </c>
      <c r="AW104" s="50" t="s">
        <v>73</v>
      </c>
      <c r="AX104" s="49" t="s">
        <v>5</v>
      </c>
      <c r="AY104" s="50" t="s">
        <v>101</v>
      </c>
      <c r="AZ104" s="49" t="s">
        <v>5</v>
      </c>
      <c r="BA104" s="50" t="s">
        <v>103</v>
      </c>
      <c r="BB104" s="49"/>
      <c r="BC104" s="50"/>
      <c r="BD104" s="49"/>
      <c r="BE104" s="50"/>
      <c r="BF104" s="49"/>
      <c r="BG104" s="50"/>
      <c r="BH104" s="49" t="s">
        <v>5</v>
      </c>
      <c r="BI104" s="50" t="s">
        <v>136</v>
      </c>
      <c r="BJ104" s="49"/>
      <c r="BK104" s="50"/>
      <c r="BL104" s="49"/>
      <c r="BM104" s="50"/>
      <c r="BN104" s="49" t="s">
        <v>5</v>
      </c>
      <c r="BO104" s="50" t="s">
        <v>152</v>
      </c>
      <c r="BP104" s="49"/>
      <c r="BQ104" s="50"/>
      <c r="BR104" s="49" t="s">
        <v>31</v>
      </c>
      <c r="BS104" s="50" t="s">
        <v>123</v>
      </c>
      <c r="BT104" s="49"/>
      <c r="BU104" s="50"/>
      <c r="BV104" s="49" t="s">
        <v>5</v>
      </c>
      <c r="BW104" s="50" t="s">
        <v>82</v>
      </c>
      <c r="BX104" s="49"/>
      <c r="BY104" s="50"/>
      <c r="BZ104" s="49"/>
      <c r="CA104" s="50"/>
    </row>
    <row r="105" spans="1:79" x14ac:dyDescent="0.25">
      <c r="A105" s="76">
        <v>151571</v>
      </c>
      <c r="B105" s="77" t="s">
        <v>826</v>
      </c>
      <c r="C105" s="78" t="s">
        <v>736</v>
      </c>
      <c r="D105" s="76" t="s">
        <v>12</v>
      </c>
      <c r="E105" s="79" t="s">
        <v>14</v>
      </c>
      <c r="F105" s="79" t="s">
        <v>88</v>
      </c>
      <c r="G105" s="79" t="s">
        <v>14</v>
      </c>
      <c r="H105" s="79" t="s">
        <v>14</v>
      </c>
      <c r="I105" s="78" t="s">
        <v>14</v>
      </c>
      <c r="J105" s="79" t="s">
        <v>14</v>
      </c>
      <c r="K105" s="142" t="s">
        <v>1850</v>
      </c>
      <c r="L105" s="149" t="s">
        <v>1842</v>
      </c>
      <c r="M105" s="150" t="s">
        <v>12</v>
      </c>
      <c r="N105" s="151">
        <v>13</v>
      </c>
      <c r="O105" s="151">
        <v>0</v>
      </c>
      <c r="P105" s="152">
        <v>1</v>
      </c>
      <c r="Q105" s="153">
        <v>100</v>
      </c>
      <c r="R105" s="154">
        <v>1</v>
      </c>
      <c r="S105" s="38">
        <f t="shared" si="12"/>
        <v>1</v>
      </c>
      <c r="T105" s="39">
        <f t="shared" si="13"/>
        <v>8</v>
      </c>
      <c r="U105" s="40">
        <f t="shared" si="14"/>
        <v>0</v>
      </c>
      <c r="V105" s="40">
        <f t="shared" si="15"/>
        <v>0</v>
      </c>
      <c r="W105" s="40">
        <f t="shared" si="16"/>
        <v>0</v>
      </c>
      <c r="X105" s="40">
        <f t="shared" si="17"/>
        <v>0</v>
      </c>
      <c r="Y105" s="40">
        <f t="shared" si="18"/>
        <v>0</v>
      </c>
      <c r="Z105" s="40">
        <f t="shared" si="19"/>
        <v>0</v>
      </c>
      <c r="AA105" s="40">
        <f t="shared" si="20"/>
        <v>0</v>
      </c>
      <c r="AB105" s="40">
        <f t="shared" si="21"/>
        <v>0</v>
      </c>
      <c r="AC105" s="41">
        <f t="shared" si="22"/>
        <v>0</v>
      </c>
      <c r="AD105" s="49"/>
      <c r="AE105" s="50"/>
      <c r="AF105" s="49" t="s">
        <v>5</v>
      </c>
      <c r="AG105" s="50" t="s">
        <v>438</v>
      </c>
      <c r="AH105" s="49"/>
      <c r="AI105" s="50"/>
      <c r="AJ105" s="49" t="s">
        <v>5</v>
      </c>
      <c r="AK105" s="50" t="s">
        <v>83</v>
      </c>
      <c r="AL105" s="49"/>
      <c r="AM105" s="50"/>
      <c r="AN105" s="49" t="s">
        <v>5</v>
      </c>
      <c r="AO105" s="50" t="s">
        <v>163</v>
      </c>
      <c r="AP105" s="49"/>
      <c r="AQ105" s="50"/>
      <c r="AR105" s="49" t="s">
        <v>5</v>
      </c>
      <c r="AS105" s="50" t="s">
        <v>459</v>
      </c>
      <c r="AT105" s="49"/>
      <c r="AU105" s="50"/>
      <c r="AV105" s="49"/>
      <c r="AW105" s="50"/>
      <c r="AX105" s="49" t="s">
        <v>5</v>
      </c>
      <c r="AY105" s="50" t="s">
        <v>91</v>
      </c>
      <c r="AZ105" s="49"/>
      <c r="BA105" s="50"/>
      <c r="BB105" s="49"/>
      <c r="BC105" s="50"/>
      <c r="BD105" s="49"/>
      <c r="BE105" s="50"/>
      <c r="BF105" s="49"/>
      <c r="BG105" s="50"/>
      <c r="BH105" s="49" t="s">
        <v>5</v>
      </c>
      <c r="BI105" s="50" t="s">
        <v>139</v>
      </c>
      <c r="BJ105" s="49"/>
      <c r="BK105" s="50"/>
      <c r="BL105" s="49"/>
      <c r="BM105" s="50"/>
      <c r="BN105" s="49" t="s">
        <v>1</v>
      </c>
      <c r="BO105" s="50" t="s">
        <v>96</v>
      </c>
      <c r="BP105" s="49"/>
      <c r="BQ105" s="50"/>
      <c r="BR105" s="49" t="s">
        <v>5</v>
      </c>
      <c r="BS105" s="50" t="s">
        <v>123</v>
      </c>
      <c r="BT105" s="49"/>
      <c r="BU105" s="50"/>
      <c r="BV105" s="49" t="s">
        <v>5</v>
      </c>
      <c r="BW105" s="50" t="s">
        <v>122</v>
      </c>
      <c r="BX105" s="49"/>
      <c r="BY105" s="50"/>
      <c r="BZ105" s="49" t="s">
        <v>5</v>
      </c>
      <c r="CA105" s="50" t="s">
        <v>75</v>
      </c>
    </row>
    <row r="106" spans="1:79" x14ac:dyDescent="0.25">
      <c r="A106" s="76">
        <v>151586</v>
      </c>
      <c r="B106" s="77" t="s">
        <v>827</v>
      </c>
      <c r="C106" s="78" t="s">
        <v>721</v>
      </c>
      <c r="D106" s="76" t="s">
        <v>12</v>
      </c>
      <c r="E106" s="79" t="s">
        <v>14</v>
      </c>
      <c r="F106" s="77" t="s">
        <v>88</v>
      </c>
      <c r="G106" s="79" t="s">
        <v>14</v>
      </c>
      <c r="H106" s="79" t="s">
        <v>14</v>
      </c>
      <c r="I106" s="78" t="s">
        <v>14</v>
      </c>
      <c r="J106" s="79" t="s">
        <v>14</v>
      </c>
      <c r="K106" s="142" t="s">
        <v>1851</v>
      </c>
      <c r="L106" s="149" t="s">
        <v>1845</v>
      </c>
      <c r="M106" s="150" t="s">
        <v>12</v>
      </c>
      <c r="N106" s="151">
        <v>16</v>
      </c>
      <c r="O106" s="151">
        <v>4</v>
      </c>
      <c r="P106" s="152">
        <v>4</v>
      </c>
      <c r="Q106" s="153">
        <v>97.83</v>
      </c>
      <c r="R106" s="154">
        <v>3</v>
      </c>
      <c r="S106" s="38">
        <f t="shared" si="12"/>
        <v>1</v>
      </c>
      <c r="T106" s="39">
        <f t="shared" si="13"/>
        <v>6</v>
      </c>
      <c r="U106" s="40">
        <f t="shared" si="14"/>
        <v>1</v>
      </c>
      <c r="V106" s="40">
        <f t="shared" si="15"/>
        <v>0</v>
      </c>
      <c r="W106" s="40">
        <f t="shared" si="16"/>
        <v>1</v>
      </c>
      <c r="X106" s="40">
        <f t="shared" si="17"/>
        <v>2</v>
      </c>
      <c r="Y106" s="40">
        <f t="shared" si="18"/>
        <v>0</v>
      </c>
      <c r="Z106" s="40">
        <f t="shared" si="19"/>
        <v>0</v>
      </c>
      <c r="AA106" s="40">
        <f t="shared" si="20"/>
        <v>0</v>
      </c>
      <c r="AB106" s="40">
        <f t="shared" si="21"/>
        <v>0</v>
      </c>
      <c r="AC106" s="41">
        <f t="shared" si="22"/>
        <v>0</v>
      </c>
      <c r="AD106" s="49"/>
      <c r="AE106" s="50"/>
      <c r="AF106" s="49"/>
      <c r="AG106" s="50"/>
      <c r="AH106" s="49"/>
      <c r="AI106" s="50"/>
      <c r="AJ106" s="49"/>
      <c r="AK106" s="50"/>
      <c r="AL106" s="49"/>
      <c r="AM106" s="50"/>
      <c r="AN106" s="49"/>
      <c r="AO106" s="50"/>
      <c r="AP106" s="49"/>
      <c r="AQ106" s="50"/>
      <c r="AR106" s="49" t="s">
        <v>32</v>
      </c>
      <c r="AS106" s="50" t="s">
        <v>169</v>
      </c>
      <c r="AT106" s="49"/>
      <c r="AU106" s="50"/>
      <c r="AV106" s="49" t="s">
        <v>5</v>
      </c>
      <c r="AW106" s="50" t="s">
        <v>73</v>
      </c>
      <c r="AX106" s="49" t="s">
        <v>5</v>
      </c>
      <c r="AY106" s="50" t="s">
        <v>101</v>
      </c>
      <c r="AZ106" s="49" t="s">
        <v>5</v>
      </c>
      <c r="BA106" s="50" t="s">
        <v>103</v>
      </c>
      <c r="BB106" s="49"/>
      <c r="BC106" s="50"/>
      <c r="BD106" s="49"/>
      <c r="BE106" s="50"/>
      <c r="BF106" s="49"/>
      <c r="BG106" s="50"/>
      <c r="BH106" s="49" t="s">
        <v>5</v>
      </c>
      <c r="BI106" s="50" t="s">
        <v>505</v>
      </c>
      <c r="BJ106" s="49"/>
      <c r="BK106" s="50"/>
      <c r="BL106" s="49" t="s">
        <v>5</v>
      </c>
      <c r="BM106" s="50" t="s">
        <v>89</v>
      </c>
      <c r="BN106" s="49" t="s">
        <v>1</v>
      </c>
      <c r="BO106" s="50" t="s">
        <v>107</v>
      </c>
      <c r="BP106" s="49"/>
      <c r="BQ106" s="50"/>
      <c r="BR106" s="49"/>
      <c r="BS106" s="50"/>
      <c r="BT106" s="49"/>
      <c r="BU106" s="50"/>
      <c r="BV106" s="49" t="s">
        <v>5</v>
      </c>
      <c r="BW106" s="50" t="s">
        <v>602</v>
      </c>
      <c r="BX106" s="49" t="s">
        <v>30</v>
      </c>
      <c r="BY106" s="50" t="s">
        <v>206</v>
      </c>
      <c r="BZ106" s="49"/>
      <c r="CA106" s="50"/>
    </row>
    <row r="107" spans="1:79" x14ac:dyDescent="0.25">
      <c r="A107" s="76">
        <v>151628</v>
      </c>
      <c r="B107" s="77" t="s">
        <v>828</v>
      </c>
      <c r="C107" s="78" t="s">
        <v>736</v>
      </c>
      <c r="D107" s="76" t="s">
        <v>12</v>
      </c>
      <c r="E107" s="79" t="s">
        <v>14</v>
      </c>
      <c r="F107" s="79" t="s">
        <v>88</v>
      </c>
      <c r="G107" s="79" t="s">
        <v>14</v>
      </c>
      <c r="H107" s="79" t="s">
        <v>14</v>
      </c>
      <c r="I107" s="78" t="s">
        <v>14</v>
      </c>
      <c r="J107" s="79" t="s">
        <v>14</v>
      </c>
      <c r="K107" s="142" t="s">
        <v>1851</v>
      </c>
      <c r="L107" s="149" t="s">
        <v>1845</v>
      </c>
      <c r="M107" s="150" t="s">
        <v>12</v>
      </c>
      <c r="N107" s="151">
        <v>4</v>
      </c>
      <c r="O107" s="151">
        <v>0</v>
      </c>
      <c r="P107" s="152">
        <v>4</v>
      </c>
      <c r="Q107" s="153">
        <v>100</v>
      </c>
      <c r="R107" s="154">
        <v>2</v>
      </c>
      <c r="S107" s="38">
        <f t="shared" si="12"/>
        <v>1</v>
      </c>
      <c r="T107" s="39">
        <f t="shared" si="13"/>
        <v>7</v>
      </c>
      <c r="U107" s="40">
        <f t="shared" si="14"/>
        <v>0</v>
      </c>
      <c r="V107" s="40">
        <f t="shared" si="15"/>
        <v>0</v>
      </c>
      <c r="W107" s="40">
        <f t="shared" si="16"/>
        <v>1</v>
      </c>
      <c r="X107" s="40">
        <f t="shared" si="17"/>
        <v>1</v>
      </c>
      <c r="Y107" s="40">
        <f t="shared" si="18"/>
        <v>0</v>
      </c>
      <c r="Z107" s="40">
        <f t="shared" si="19"/>
        <v>0</v>
      </c>
      <c r="AA107" s="40">
        <f t="shared" si="20"/>
        <v>0</v>
      </c>
      <c r="AB107" s="40">
        <f t="shared" si="21"/>
        <v>0</v>
      </c>
      <c r="AC107" s="41">
        <f t="shared" si="22"/>
        <v>0</v>
      </c>
      <c r="AD107" s="49"/>
      <c r="AE107" s="50"/>
      <c r="AF107" s="49" t="s">
        <v>32</v>
      </c>
      <c r="AG107" s="50" t="s">
        <v>433</v>
      </c>
      <c r="AH107" s="49"/>
      <c r="AI107" s="50"/>
      <c r="AJ107" s="49" t="s">
        <v>5</v>
      </c>
      <c r="AK107" s="50" t="s">
        <v>714</v>
      </c>
      <c r="AL107" s="49"/>
      <c r="AM107" s="50"/>
      <c r="AN107" s="49" t="s">
        <v>5</v>
      </c>
      <c r="AO107" s="50" t="s">
        <v>163</v>
      </c>
      <c r="AP107" s="49"/>
      <c r="AQ107" s="50"/>
      <c r="AR107" s="49" t="s">
        <v>5</v>
      </c>
      <c r="AS107" s="50" t="s">
        <v>478</v>
      </c>
      <c r="AT107" s="49"/>
      <c r="AU107" s="50"/>
      <c r="AV107" s="49"/>
      <c r="AW107" s="50"/>
      <c r="AX107" s="49" t="s">
        <v>5</v>
      </c>
      <c r="AY107" s="50" t="s">
        <v>91</v>
      </c>
      <c r="AZ107" s="49"/>
      <c r="BA107" s="50"/>
      <c r="BB107" s="49"/>
      <c r="BC107" s="50"/>
      <c r="BD107" s="49"/>
      <c r="BE107" s="50"/>
      <c r="BF107" s="49"/>
      <c r="BG107" s="50"/>
      <c r="BH107" s="49" t="s">
        <v>5</v>
      </c>
      <c r="BI107" s="50" t="s">
        <v>139</v>
      </c>
      <c r="BJ107" s="49"/>
      <c r="BK107" s="50"/>
      <c r="BL107" s="49"/>
      <c r="BM107" s="50"/>
      <c r="BN107" s="49" t="s">
        <v>1</v>
      </c>
      <c r="BO107" s="50" t="s">
        <v>96</v>
      </c>
      <c r="BP107" s="49"/>
      <c r="BQ107" s="50"/>
      <c r="BR107" s="49" t="s">
        <v>5</v>
      </c>
      <c r="BS107" s="50" t="s">
        <v>123</v>
      </c>
      <c r="BT107" s="49"/>
      <c r="BU107" s="50"/>
      <c r="BV107" s="49" t="s">
        <v>5</v>
      </c>
      <c r="BW107" s="50" t="s">
        <v>602</v>
      </c>
      <c r="BX107" s="49"/>
      <c r="BY107" s="50"/>
      <c r="BZ107" s="49" t="s">
        <v>5</v>
      </c>
      <c r="CA107" s="50" t="s">
        <v>75</v>
      </c>
    </row>
    <row r="108" spans="1:79" x14ac:dyDescent="0.25">
      <c r="A108" s="76">
        <v>160026</v>
      </c>
      <c r="B108" s="77" t="s">
        <v>829</v>
      </c>
      <c r="C108" s="78" t="s">
        <v>732</v>
      </c>
      <c r="D108" s="76" t="s">
        <v>70</v>
      </c>
      <c r="E108" s="79" t="s">
        <v>87</v>
      </c>
      <c r="F108" s="79" t="s">
        <v>115</v>
      </c>
      <c r="G108" s="79" t="s">
        <v>87</v>
      </c>
      <c r="H108" s="79" t="s">
        <v>87</v>
      </c>
      <c r="I108" s="78" t="s">
        <v>14</v>
      </c>
      <c r="J108" s="79" t="s">
        <v>14</v>
      </c>
      <c r="K108" s="142" t="s">
        <v>1850</v>
      </c>
      <c r="L108" s="149" t="s">
        <v>1406</v>
      </c>
      <c r="M108" s="150" t="s">
        <v>1406</v>
      </c>
      <c r="N108" s="151">
        <v>15</v>
      </c>
      <c r="O108" s="151">
        <v>1</v>
      </c>
      <c r="P108" s="152">
        <v>0</v>
      </c>
      <c r="Q108" s="153">
        <v>91.3</v>
      </c>
      <c r="R108" s="154">
        <v>0</v>
      </c>
      <c r="S108" s="38">
        <f t="shared" si="12"/>
        <v>2</v>
      </c>
      <c r="T108" s="39">
        <f t="shared" si="13"/>
        <v>7</v>
      </c>
      <c r="U108" s="40">
        <f t="shared" si="14"/>
        <v>0</v>
      </c>
      <c r="V108" s="40">
        <f t="shared" si="15"/>
        <v>0</v>
      </c>
      <c r="W108" s="40">
        <f t="shared" si="16"/>
        <v>0</v>
      </c>
      <c r="X108" s="40">
        <f t="shared" si="17"/>
        <v>0</v>
      </c>
      <c r="Y108" s="40">
        <f t="shared" si="18"/>
        <v>0</v>
      </c>
      <c r="Z108" s="40">
        <f t="shared" si="19"/>
        <v>0</v>
      </c>
      <c r="AA108" s="40">
        <f t="shared" si="20"/>
        <v>0</v>
      </c>
      <c r="AB108" s="40">
        <f t="shared" si="21"/>
        <v>0</v>
      </c>
      <c r="AC108" s="41">
        <f t="shared" si="22"/>
        <v>0</v>
      </c>
      <c r="AD108" s="49"/>
      <c r="AE108" s="50"/>
      <c r="AF108" s="49" t="s">
        <v>5</v>
      </c>
      <c r="AG108" s="50" t="s">
        <v>438</v>
      </c>
      <c r="AH108" s="49"/>
      <c r="AI108" s="50"/>
      <c r="AJ108" s="49" t="s">
        <v>5</v>
      </c>
      <c r="AK108" s="50" t="s">
        <v>83</v>
      </c>
      <c r="AL108" s="49"/>
      <c r="AM108" s="50"/>
      <c r="AN108" s="49"/>
      <c r="AO108" s="50"/>
      <c r="AP108" s="49"/>
      <c r="AQ108" s="50"/>
      <c r="AR108" s="49" t="s">
        <v>5</v>
      </c>
      <c r="AS108" s="50" t="s">
        <v>459</v>
      </c>
      <c r="AT108" s="49"/>
      <c r="AU108" s="50"/>
      <c r="AV108" s="49"/>
      <c r="AW108" s="50"/>
      <c r="AX108" s="49" t="s">
        <v>5</v>
      </c>
      <c r="AY108" s="50" t="s">
        <v>124</v>
      </c>
      <c r="AZ108" s="49"/>
      <c r="BA108" s="50"/>
      <c r="BB108" s="49"/>
      <c r="BC108" s="50"/>
      <c r="BD108" s="49"/>
      <c r="BE108" s="50"/>
      <c r="BF108" s="49" t="s">
        <v>5</v>
      </c>
      <c r="BG108" s="50" t="s">
        <v>93</v>
      </c>
      <c r="BH108" s="49" t="s">
        <v>5</v>
      </c>
      <c r="BI108" s="50" t="s">
        <v>139</v>
      </c>
      <c r="BJ108" s="49"/>
      <c r="BK108" s="50"/>
      <c r="BL108" s="49"/>
      <c r="BM108" s="50"/>
      <c r="BN108" s="49" t="s">
        <v>1</v>
      </c>
      <c r="BO108" s="50" t="s">
        <v>81</v>
      </c>
      <c r="BP108" s="49"/>
      <c r="BQ108" s="50"/>
      <c r="BR108" s="49" t="s">
        <v>5</v>
      </c>
      <c r="BS108" s="50" t="s">
        <v>123</v>
      </c>
      <c r="BT108" s="49"/>
      <c r="BU108" s="50"/>
      <c r="BV108" s="49" t="s">
        <v>1</v>
      </c>
      <c r="BW108" s="50" t="s">
        <v>495</v>
      </c>
      <c r="BX108" s="49"/>
      <c r="BY108" s="50"/>
      <c r="BZ108" s="49" t="s">
        <v>5</v>
      </c>
      <c r="CA108" s="50" t="s">
        <v>124</v>
      </c>
    </row>
    <row r="109" spans="1:79" x14ac:dyDescent="0.25">
      <c r="A109" s="76">
        <v>151610</v>
      </c>
      <c r="B109" s="77" t="s">
        <v>830</v>
      </c>
      <c r="C109" s="78" t="s">
        <v>736</v>
      </c>
      <c r="D109" s="76" t="s">
        <v>12</v>
      </c>
      <c r="E109" s="79" t="s">
        <v>14</v>
      </c>
      <c r="F109" s="79" t="s">
        <v>71</v>
      </c>
      <c r="G109" s="79" t="s">
        <v>14</v>
      </c>
      <c r="H109" s="79" t="s">
        <v>14</v>
      </c>
      <c r="I109" s="78" t="s">
        <v>14</v>
      </c>
      <c r="J109" s="79" t="s">
        <v>14</v>
      </c>
      <c r="K109" s="142" t="s">
        <v>1850</v>
      </c>
      <c r="L109" s="149" t="s">
        <v>1846</v>
      </c>
      <c r="M109" s="150" t="s">
        <v>1853</v>
      </c>
      <c r="N109" s="151">
        <v>10</v>
      </c>
      <c r="O109" s="151">
        <v>0</v>
      </c>
      <c r="P109" s="152">
        <v>0</v>
      </c>
      <c r="Q109" s="153">
        <v>100</v>
      </c>
      <c r="R109" s="154">
        <v>0</v>
      </c>
      <c r="S109" s="38">
        <f t="shared" si="12"/>
        <v>4</v>
      </c>
      <c r="T109" s="39">
        <f t="shared" si="13"/>
        <v>4</v>
      </c>
      <c r="U109" s="40">
        <f t="shared" si="14"/>
        <v>0</v>
      </c>
      <c r="V109" s="40">
        <f t="shared" si="15"/>
        <v>0</v>
      </c>
      <c r="W109" s="40">
        <f t="shared" si="16"/>
        <v>0</v>
      </c>
      <c r="X109" s="40">
        <f t="shared" si="17"/>
        <v>0</v>
      </c>
      <c r="Y109" s="40">
        <f t="shared" si="18"/>
        <v>0</v>
      </c>
      <c r="Z109" s="40">
        <f t="shared" si="19"/>
        <v>0</v>
      </c>
      <c r="AA109" s="40">
        <f t="shared" si="20"/>
        <v>0</v>
      </c>
      <c r="AB109" s="40">
        <f t="shared" si="21"/>
        <v>0</v>
      </c>
      <c r="AC109" s="41">
        <f t="shared" si="22"/>
        <v>0</v>
      </c>
      <c r="AD109" s="49"/>
      <c r="AE109" s="50"/>
      <c r="AF109" s="49"/>
      <c r="AG109" s="50"/>
      <c r="AH109" s="49"/>
      <c r="AI109" s="50"/>
      <c r="AJ109" s="49"/>
      <c r="AK109" s="50"/>
      <c r="AL109" s="49"/>
      <c r="AM109" s="50"/>
      <c r="AN109" s="49" t="s">
        <v>5</v>
      </c>
      <c r="AO109" s="50" t="s">
        <v>163</v>
      </c>
      <c r="AP109" s="49" t="s">
        <v>1</v>
      </c>
      <c r="AQ109" s="50" t="s">
        <v>101</v>
      </c>
      <c r="AR109" s="49" t="s">
        <v>5</v>
      </c>
      <c r="AS109" s="50" t="s">
        <v>722</v>
      </c>
      <c r="AT109" s="49"/>
      <c r="AU109" s="50"/>
      <c r="AV109" s="49"/>
      <c r="AW109" s="50"/>
      <c r="AX109" s="49" t="s">
        <v>5</v>
      </c>
      <c r="AY109" s="50" t="s">
        <v>91</v>
      </c>
      <c r="AZ109" s="49"/>
      <c r="BA109" s="50"/>
      <c r="BB109" s="49"/>
      <c r="BC109" s="50"/>
      <c r="BD109" s="49"/>
      <c r="BE109" s="50"/>
      <c r="BF109" s="49"/>
      <c r="BG109" s="50"/>
      <c r="BH109" s="49" t="s">
        <v>1</v>
      </c>
      <c r="BI109" s="50" t="s">
        <v>106</v>
      </c>
      <c r="BJ109" s="49"/>
      <c r="BK109" s="50"/>
      <c r="BL109" s="49"/>
      <c r="BM109" s="50"/>
      <c r="BN109" s="49" t="s">
        <v>1</v>
      </c>
      <c r="BO109" s="50" t="s">
        <v>107</v>
      </c>
      <c r="BP109" s="49"/>
      <c r="BQ109" s="50"/>
      <c r="BR109" s="49"/>
      <c r="BS109" s="50"/>
      <c r="BT109" s="49"/>
      <c r="BU109" s="50"/>
      <c r="BV109" s="49" t="s">
        <v>5</v>
      </c>
      <c r="BW109" s="50" t="s">
        <v>108</v>
      </c>
      <c r="BX109" s="49" t="s">
        <v>1</v>
      </c>
      <c r="BY109" s="50" t="s">
        <v>206</v>
      </c>
      <c r="BZ109" s="49" t="s">
        <v>5</v>
      </c>
      <c r="CA109" s="50" t="s">
        <v>75</v>
      </c>
    </row>
    <row r="110" spans="1:79" x14ac:dyDescent="0.25">
      <c r="A110" s="76">
        <v>151584</v>
      </c>
      <c r="B110" s="77" t="s">
        <v>831</v>
      </c>
      <c r="C110" s="78" t="s">
        <v>730</v>
      </c>
      <c r="D110" s="76" t="s">
        <v>12</v>
      </c>
      <c r="E110" s="79" t="s">
        <v>14</v>
      </c>
      <c r="F110" s="79" t="s">
        <v>71</v>
      </c>
      <c r="G110" s="79" t="s">
        <v>14</v>
      </c>
      <c r="H110" s="79" t="s">
        <v>14</v>
      </c>
      <c r="I110" s="78" t="s">
        <v>14</v>
      </c>
      <c r="J110" s="79" t="s">
        <v>14</v>
      </c>
      <c r="K110" s="142" t="s">
        <v>1850</v>
      </c>
      <c r="L110" s="149" t="s">
        <v>1842</v>
      </c>
      <c r="M110" s="150" t="s">
        <v>1853</v>
      </c>
      <c r="N110" s="151">
        <v>25</v>
      </c>
      <c r="O110" s="151">
        <v>0</v>
      </c>
      <c r="P110" s="152">
        <v>0</v>
      </c>
      <c r="Q110" s="153">
        <v>78.260000000000005</v>
      </c>
      <c r="R110" s="154">
        <v>2</v>
      </c>
      <c r="S110" s="38">
        <f t="shared" si="12"/>
        <v>1</v>
      </c>
      <c r="T110" s="39">
        <f t="shared" si="13"/>
        <v>9</v>
      </c>
      <c r="U110" s="40">
        <f t="shared" si="14"/>
        <v>0</v>
      </c>
      <c r="V110" s="40">
        <f t="shared" si="15"/>
        <v>0</v>
      </c>
      <c r="W110" s="40">
        <f t="shared" si="16"/>
        <v>0</v>
      </c>
      <c r="X110" s="40">
        <f t="shared" si="17"/>
        <v>0</v>
      </c>
      <c r="Y110" s="40">
        <f t="shared" si="18"/>
        <v>0</v>
      </c>
      <c r="Z110" s="40">
        <f t="shared" si="19"/>
        <v>0</v>
      </c>
      <c r="AA110" s="40">
        <f t="shared" si="20"/>
        <v>0</v>
      </c>
      <c r="AB110" s="40">
        <f t="shared" si="21"/>
        <v>0</v>
      </c>
      <c r="AC110" s="41">
        <f t="shared" si="22"/>
        <v>0</v>
      </c>
      <c r="AD110" s="49"/>
      <c r="AE110" s="50"/>
      <c r="AF110" s="49" t="s">
        <v>5</v>
      </c>
      <c r="AG110" s="50" t="s">
        <v>438</v>
      </c>
      <c r="AH110" s="49" t="s">
        <v>5</v>
      </c>
      <c r="AI110" s="50" t="s">
        <v>427</v>
      </c>
      <c r="AJ110" s="49" t="s">
        <v>5</v>
      </c>
      <c r="AK110" s="50" t="s">
        <v>83</v>
      </c>
      <c r="AL110" s="49"/>
      <c r="AM110" s="50"/>
      <c r="AN110" s="49"/>
      <c r="AO110" s="50"/>
      <c r="AP110" s="49"/>
      <c r="AQ110" s="50"/>
      <c r="AR110" s="49" t="s">
        <v>5</v>
      </c>
      <c r="AS110" s="50" t="s">
        <v>118</v>
      </c>
      <c r="AT110" s="49"/>
      <c r="AU110" s="50"/>
      <c r="AV110" s="49"/>
      <c r="AW110" s="50"/>
      <c r="AX110" s="49" t="s">
        <v>5</v>
      </c>
      <c r="AY110" s="50" t="s">
        <v>133</v>
      </c>
      <c r="AZ110" s="49" t="s">
        <v>5</v>
      </c>
      <c r="BA110" s="50" t="s">
        <v>143</v>
      </c>
      <c r="BB110" s="49"/>
      <c r="BC110" s="50"/>
      <c r="BD110" s="49"/>
      <c r="BE110" s="50"/>
      <c r="BF110" s="49"/>
      <c r="BG110" s="50"/>
      <c r="BH110" s="49" t="s">
        <v>5</v>
      </c>
      <c r="BI110" s="50" t="s">
        <v>139</v>
      </c>
      <c r="BJ110" s="49"/>
      <c r="BK110" s="50"/>
      <c r="BL110" s="49"/>
      <c r="BM110" s="50"/>
      <c r="BN110" s="49" t="s">
        <v>1</v>
      </c>
      <c r="BO110" s="50" t="s">
        <v>107</v>
      </c>
      <c r="BP110" s="49"/>
      <c r="BQ110" s="50"/>
      <c r="BR110" s="49" t="s">
        <v>5</v>
      </c>
      <c r="BS110" s="50" t="s">
        <v>123</v>
      </c>
      <c r="BT110" s="49"/>
      <c r="BU110" s="50"/>
      <c r="BV110" s="49" t="s">
        <v>5</v>
      </c>
      <c r="BW110" s="50" t="s">
        <v>715</v>
      </c>
      <c r="BX110" s="49"/>
      <c r="BY110" s="50"/>
      <c r="BZ110" s="49"/>
      <c r="CA110" s="50"/>
    </row>
    <row r="111" spans="1:79" x14ac:dyDescent="0.25">
      <c r="A111" s="76">
        <v>151595</v>
      </c>
      <c r="B111" s="77" t="s">
        <v>832</v>
      </c>
      <c r="C111" s="78" t="s">
        <v>730</v>
      </c>
      <c r="D111" s="76" t="s">
        <v>12</v>
      </c>
      <c r="E111" s="79" t="s">
        <v>14</v>
      </c>
      <c r="F111" s="79" t="s">
        <v>126</v>
      </c>
      <c r="G111" s="79" t="s">
        <v>14</v>
      </c>
      <c r="H111" s="79" t="s">
        <v>14</v>
      </c>
      <c r="I111" s="78" t="s">
        <v>14</v>
      </c>
      <c r="J111" s="79" t="s">
        <v>14</v>
      </c>
      <c r="K111" s="142" t="s">
        <v>1850</v>
      </c>
      <c r="L111" s="149" t="s">
        <v>1842</v>
      </c>
      <c r="M111" s="150" t="s">
        <v>12</v>
      </c>
      <c r="N111" s="151">
        <v>9</v>
      </c>
      <c r="O111" s="151">
        <v>0</v>
      </c>
      <c r="P111" s="152">
        <v>0</v>
      </c>
      <c r="Q111" s="153">
        <v>100</v>
      </c>
      <c r="R111" s="154">
        <v>1</v>
      </c>
      <c r="S111" s="38">
        <f t="shared" si="12"/>
        <v>2</v>
      </c>
      <c r="T111" s="39">
        <f t="shared" si="13"/>
        <v>8</v>
      </c>
      <c r="U111" s="40">
        <f t="shared" si="14"/>
        <v>0</v>
      </c>
      <c r="V111" s="40">
        <f t="shared" si="15"/>
        <v>0</v>
      </c>
      <c r="W111" s="40">
        <f t="shared" si="16"/>
        <v>0</v>
      </c>
      <c r="X111" s="40">
        <f t="shared" si="17"/>
        <v>0</v>
      </c>
      <c r="Y111" s="40">
        <f t="shared" si="18"/>
        <v>0</v>
      </c>
      <c r="Z111" s="40">
        <f t="shared" si="19"/>
        <v>0</v>
      </c>
      <c r="AA111" s="40">
        <f t="shared" si="20"/>
        <v>0</v>
      </c>
      <c r="AB111" s="40">
        <f t="shared" si="21"/>
        <v>0</v>
      </c>
      <c r="AC111" s="41">
        <f t="shared" si="22"/>
        <v>0</v>
      </c>
      <c r="AD111" s="49"/>
      <c r="AE111" s="50"/>
      <c r="AF111" s="49" t="s">
        <v>5</v>
      </c>
      <c r="AG111" s="50" t="s">
        <v>438</v>
      </c>
      <c r="AH111" s="49"/>
      <c r="AI111" s="50"/>
      <c r="AJ111" s="49" t="s">
        <v>5</v>
      </c>
      <c r="AK111" s="50" t="s">
        <v>83</v>
      </c>
      <c r="AL111" s="49"/>
      <c r="AM111" s="50"/>
      <c r="AN111" s="49" t="s">
        <v>5</v>
      </c>
      <c r="AO111" s="50" t="s">
        <v>163</v>
      </c>
      <c r="AP111" s="49"/>
      <c r="AQ111" s="50"/>
      <c r="AR111" s="49" t="s">
        <v>5</v>
      </c>
      <c r="AS111" s="50" t="s">
        <v>722</v>
      </c>
      <c r="AT111" s="49"/>
      <c r="AU111" s="50"/>
      <c r="AV111" s="49"/>
      <c r="AW111" s="50"/>
      <c r="AX111" s="49" t="s">
        <v>5</v>
      </c>
      <c r="AY111" s="50" t="s">
        <v>133</v>
      </c>
      <c r="AZ111" s="49" t="s">
        <v>5</v>
      </c>
      <c r="BA111" s="50" t="s">
        <v>84</v>
      </c>
      <c r="BB111" s="49"/>
      <c r="BC111" s="50"/>
      <c r="BD111" s="49"/>
      <c r="BE111" s="50"/>
      <c r="BF111" s="49"/>
      <c r="BG111" s="50"/>
      <c r="BH111" s="49" t="s">
        <v>1</v>
      </c>
      <c r="BI111" s="50" t="s">
        <v>139</v>
      </c>
      <c r="BJ111" s="49"/>
      <c r="BK111" s="50"/>
      <c r="BL111" s="49"/>
      <c r="BM111" s="50"/>
      <c r="BN111" s="49" t="s">
        <v>1</v>
      </c>
      <c r="BO111" s="50" t="s">
        <v>96</v>
      </c>
      <c r="BP111" s="49"/>
      <c r="BQ111" s="50"/>
      <c r="BR111" s="49" t="s">
        <v>5</v>
      </c>
      <c r="BS111" s="50" t="s">
        <v>123</v>
      </c>
      <c r="BT111" s="49"/>
      <c r="BU111" s="50"/>
      <c r="BV111" s="49" t="s">
        <v>5</v>
      </c>
      <c r="BW111" s="50" t="s">
        <v>97</v>
      </c>
      <c r="BX111" s="49"/>
      <c r="BY111" s="50"/>
      <c r="BZ111" s="49"/>
      <c r="CA111" s="50"/>
    </row>
    <row r="112" spans="1:79" x14ac:dyDescent="0.25">
      <c r="A112" s="76">
        <v>151685</v>
      </c>
      <c r="B112" s="77" t="s">
        <v>833</v>
      </c>
      <c r="C112" s="78" t="s">
        <v>725</v>
      </c>
      <c r="D112" s="76" t="s">
        <v>12</v>
      </c>
      <c r="E112" s="79" t="s">
        <v>14</v>
      </c>
      <c r="F112" s="79" t="s">
        <v>71</v>
      </c>
      <c r="G112" s="79" t="s">
        <v>14</v>
      </c>
      <c r="H112" s="79" t="s">
        <v>14</v>
      </c>
      <c r="I112" s="78" t="s">
        <v>14</v>
      </c>
      <c r="J112" s="79" t="s">
        <v>14</v>
      </c>
      <c r="K112" s="142" t="s">
        <v>1851</v>
      </c>
      <c r="L112" s="149" t="s">
        <v>1842</v>
      </c>
      <c r="M112" s="150" t="s">
        <v>12</v>
      </c>
      <c r="N112" s="151">
        <v>12</v>
      </c>
      <c r="O112" s="151">
        <v>7</v>
      </c>
      <c r="P112" s="152">
        <v>2</v>
      </c>
      <c r="Q112" s="153">
        <v>100</v>
      </c>
      <c r="R112" s="154">
        <v>2</v>
      </c>
      <c r="S112" s="38">
        <f t="shared" si="12"/>
        <v>0</v>
      </c>
      <c r="T112" s="39">
        <f t="shared" si="13"/>
        <v>4</v>
      </c>
      <c r="U112" s="40">
        <f t="shared" si="14"/>
        <v>5</v>
      </c>
      <c r="V112" s="40">
        <f t="shared" si="15"/>
        <v>0</v>
      </c>
      <c r="W112" s="40">
        <f t="shared" si="16"/>
        <v>1</v>
      </c>
      <c r="X112" s="40">
        <f t="shared" si="17"/>
        <v>6</v>
      </c>
      <c r="Y112" s="40">
        <f t="shared" si="18"/>
        <v>0</v>
      </c>
      <c r="Z112" s="40">
        <f t="shared" si="19"/>
        <v>0</v>
      </c>
      <c r="AA112" s="40">
        <f t="shared" si="20"/>
        <v>0</v>
      </c>
      <c r="AB112" s="40">
        <f t="shared" si="21"/>
        <v>0</v>
      </c>
      <c r="AC112" s="41">
        <f t="shared" si="22"/>
        <v>0</v>
      </c>
      <c r="AD112" s="49"/>
      <c r="AE112" s="50"/>
      <c r="AF112" s="49" t="s">
        <v>30</v>
      </c>
      <c r="AG112" s="50" t="s">
        <v>133</v>
      </c>
      <c r="AH112" s="49"/>
      <c r="AI112" s="50"/>
      <c r="AJ112" s="49" t="s">
        <v>30</v>
      </c>
      <c r="AK112" s="50" t="s">
        <v>164</v>
      </c>
      <c r="AL112" s="49"/>
      <c r="AM112" s="50"/>
      <c r="AN112" s="49"/>
      <c r="AO112" s="50"/>
      <c r="AP112" s="49"/>
      <c r="AQ112" s="50"/>
      <c r="AR112" s="49" t="s">
        <v>5</v>
      </c>
      <c r="AS112" s="50" t="s">
        <v>102</v>
      </c>
      <c r="AT112" s="49"/>
      <c r="AU112" s="50"/>
      <c r="AV112" s="49" t="s">
        <v>30</v>
      </c>
      <c r="AW112" s="50" t="s">
        <v>73</v>
      </c>
      <c r="AX112" s="49" t="s">
        <v>5</v>
      </c>
      <c r="AY112" s="50" t="s">
        <v>109</v>
      </c>
      <c r="AZ112" s="49" t="s">
        <v>5</v>
      </c>
      <c r="BA112" s="50" t="s">
        <v>143</v>
      </c>
      <c r="BB112" s="49"/>
      <c r="BC112" s="50"/>
      <c r="BD112" s="49"/>
      <c r="BE112" s="50"/>
      <c r="BF112" s="49"/>
      <c r="BG112" s="50"/>
      <c r="BH112" s="49" t="s">
        <v>30</v>
      </c>
      <c r="BI112" s="50" t="s">
        <v>505</v>
      </c>
      <c r="BJ112" s="49"/>
      <c r="BK112" s="50"/>
      <c r="BL112" s="49"/>
      <c r="BM112" s="50"/>
      <c r="BN112" s="49" t="s">
        <v>5</v>
      </c>
      <c r="BO112" s="50" t="s">
        <v>107</v>
      </c>
      <c r="BP112" s="49"/>
      <c r="BQ112" s="50"/>
      <c r="BR112" s="49" t="s">
        <v>30</v>
      </c>
      <c r="BS112" s="50" t="s">
        <v>140</v>
      </c>
      <c r="BT112" s="49"/>
      <c r="BU112" s="50"/>
      <c r="BV112" s="49" t="s">
        <v>32</v>
      </c>
      <c r="BW112" s="50" t="s">
        <v>122</v>
      </c>
      <c r="BX112" s="49"/>
      <c r="BY112" s="50"/>
      <c r="BZ112" s="49"/>
      <c r="CA112" s="50"/>
    </row>
    <row r="113" spans="1:79" x14ac:dyDescent="0.25">
      <c r="A113" s="76">
        <v>151641</v>
      </c>
      <c r="B113" s="77" t="s">
        <v>834</v>
      </c>
      <c r="C113" s="78" t="s">
        <v>710</v>
      </c>
      <c r="D113" s="76" t="s">
        <v>70</v>
      </c>
      <c r="E113" s="79" t="s">
        <v>14</v>
      </c>
      <c r="F113" s="79" t="s">
        <v>71</v>
      </c>
      <c r="G113" s="79" t="s">
        <v>14</v>
      </c>
      <c r="H113" s="79" t="s">
        <v>14</v>
      </c>
      <c r="I113" s="78" t="s">
        <v>14</v>
      </c>
      <c r="J113" s="79" t="s">
        <v>14</v>
      </c>
      <c r="K113" s="142" t="s">
        <v>1850</v>
      </c>
      <c r="L113" s="149" t="s">
        <v>1846</v>
      </c>
      <c r="M113" s="150" t="s">
        <v>1853</v>
      </c>
      <c r="N113" s="151">
        <v>3</v>
      </c>
      <c r="O113" s="151">
        <v>0</v>
      </c>
      <c r="P113" s="152">
        <v>0</v>
      </c>
      <c r="Q113" s="153">
        <v>43.48</v>
      </c>
      <c r="R113" s="154">
        <v>1</v>
      </c>
      <c r="S113" s="38">
        <f t="shared" si="12"/>
        <v>0</v>
      </c>
      <c r="T113" s="39">
        <f t="shared" si="13"/>
        <v>7</v>
      </c>
      <c r="U113" s="40">
        <f t="shared" si="14"/>
        <v>0</v>
      </c>
      <c r="V113" s="40">
        <f t="shared" si="15"/>
        <v>0</v>
      </c>
      <c r="W113" s="40">
        <f t="shared" si="16"/>
        <v>1</v>
      </c>
      <c r="X113" s="40">
        <f t="shared" si="17"/>
        <v>1</v>
      </c>
      <c r="Y113" s="40">
        <f t="shared" si="18"/>
        <v>0</v>
      </c>
      <c r="Z113" s="40">
        <f t="shared" si="19"/>
        <v>0</v>
      </c>
      <c r="AA113" s="40">
        <f t="shared" si="20"/>
        <v>0</v>
      </c>
      <c r="AB113" s="40">
        <f t="shared" si="21"/>
        <v>0</v>
      </c>
      <c r="AC113" s="41">
        <f t="shared" si="22"/>
        <v>0</v>
      </c>
      <c r="AD113" s="49" t="s">
        <v>32</v>
      </c>
      <c r="AE113" s="50" t="s">
        <v>116</v>
      </c>
      <c r="AF113" s="49"/>
      <c r="AG113" s="50"/>
      <c r="AH113" s="49"/>
      <c r="AI113" s="50"/>
      <c r="AJ113" s="49"/>
      <c r="AK113" s="50"/>
      <c r="AL113" s="49"/>
      <c r="AM113" s="50"/>
      <c r="AN113" s="49"/>
      <c r="AO113" s="50"/>
      <c r="AP113" s="49"/>
      <c r="AQ113" s="50"/>
      <c r="AR113" s="49" t="s">
        <v>5</v>
      </c>
      <c r="AS113" s="50" t="s">
        <v>459</v>
      </c>
      <c r="AT113" s="49"/>
      <c r="AU113" s="50"/>
      <c r="AV113" s="49"/>
      <c r="AW113" s="50"/>
      <c r="AX113" s="49" t="s">
        <v>5</v>
      </c>
      <c r="AY113" s="50" t="s">
        <v>711</v>
      </c>
      <c r="AZ113" s="49"/>
      <c r="BA113" s="50"/>
      <c r="BB113" s="49"/>
      <c r="BC113" s="50"/>
      <c r="BD113" s="49"/>
      <c r="BE113" s="50"/>
      <c r="BF113" s="49" t="s">
        <v>5</v>
      </c>
      <c r="BG113" s="50" t="s">
        <v>93</v>
      </c>
      <c r="BH113" s="49" t="s">
        <v>5</v>
      </c>
      <c r="BI113" s="50" t="s">
        <v>106</v>
      </c>
      <c r="BJ113" s="49"/>
      <c r="BK113" s="50"/>
      <c r="BL113" s="49"/>
      <c r="BM113" s="50"/>
      <c r="BN113" s="49" t="s">
        <v>5</v>
      </c>
      <c r="BO113" s="50" t="s">
        <v>152</v>
      </c>
      <c r="BP113" s="49"/>
      <c r="BQ113" s="50"/>
      <c r="BR113" s="49"/>
      <c r="BS113" s="50"/>
      <c r="BT113" s="49"/>
      <c r="BU113" s="50"/>
      <c r="BV113" s="49" t="s">
        <v>5</v>
      </c>
      <c r="BW113" s="50" t="s">
        <v>108</v>
      </c>
      <c r="BX113" s="49" t="s">
        <v>5</v>
      </c>
      <c r="BY113" s="50" t="s">
        <v>206</v>
      </c>
      <c r="BZ113" s="49" t="s">
        <v>5</v>
      </c>
      <c r="CA113" s="50" t="s">
        <v>124</v>
      </c>
    </row>
    <row r="114" spans="1:79" x14ac:dyDescent="0.25">
      <c r="A114" s="76">
        <v>151570</v>
      </c>
      <c r="B114" s="77" t="s">
        <v>835</v>
      </c>
      <c r="C114" s="78" t="s">
        <v>721</v>
      </c>
      <c r="D114" s="76" t="s">
        <v>70</v>
      </c>
      <c r="E114" s="79" t="s">
        <v>14</v>
      </c>
      <c r="F114" s="79" t="s">
        <v>71</v>
      </c>
      <c r="G114" s="79" t="s">
        <v>14</v>
      </c>
      <c r="H114" s="79" t="s">
        <v>14</v>
      </c>
      <c r="I114" s="78" t="s">
        <v>14</v>
      </c>
      <c r="J114" s="79" t="s">
        <v>14</v>
      </c>
      <c r="K114" s="142" t="s">
        <v>1850</v>
      </c>
      <c r="L114" s="149" t="s">
        <v>1842</v>
      </c>
      <c r="M114" s="150" t="s">
        <v>1853</v>
      </c>
      <c r="N114" s="151">
        <v>14</v>
      </c>
      <c r="O114" s="151">
        <v>2</v>
      </c>
      <c r="P114" s="152">
        <v>4</v>
      </c>
      <c r="Q114" s="153">
        <v>100</v>
      </c>
      <c r="R114" s="154">
        <v>2</v>
      </c>
      <c r="S114" s="38">
        <f t="shared" si="12"/>
        <v>0</v>
      </c>
      <c r="T114" s="39">
        <f t="shared" si="13"/>
        <v>10</v>
      </c>
      <c r="U114" s="40">
        <f t="shared" si="14"/>
        <v>0</v>
      </c>
      <c r="V114" s="40">
        <f t="shared" si="15"/>
        <v>0</v>
      </c>
      <c r="W114" s="40">
        <f t="shared" si="16"/>
        <v>0</v>
      </c>
      <c r="X114" s="40">
        <f t="shared" si="17"/>
        <v>0</v>
      </c>
      <c r="Y114" s="40">
        <f t="shared" si="18"/>
        <v>0</v>
      </c>
      <c r="Z114" s="40">
        <f t="shared" si="19"/>
        <v>0</v>
      </c>
      <c r="AA114" s="40">
        <f t="shared" si="20"/>
        <v>0</v>
      </c>
      <c r="AB114" s="40">
        <f t="shared" si="21"/>
        <v>0</v>
      </c>
      <c r="AC114" s="41">
        <f t="shared" si="22"/>
        <v>0</v>
      </c>
      <c r="AD114" s="49"/>
      <c r="AE114" s="50"/>
      <c r="AF114" s="49" t="s">
        <v>5</v>
      </c>
      <c r="AG114" s="50" t="s">
        <v>133</v>
      </c>
      <c r="AH114" s="49"/>
      <c r="AI114" s="50"/>
      <c r="AJ114" s="49" t="s">
        <v>5</v>
      </c>
      <c r="AK114" s="50" t="s">
        <v>164</v>
      </c>
      <c r="AL114" s="49"/>
      <c r="AM114" s="50"/>
      <c r="AN114" s="49"/>
      <c r="AO114" s="50"/>
      <c r="AP114" s="49"/>
      <c r="AQ114" s="50"/>
      <c r="AR114" s="49" t="s">
        <v>5</v>
      </c>
      <c r="AS114" s="50" t="s">
        <v>194</v>
      </c>
      <c r="AT114" s="49"/>
      <c r="AU114" s="50"/>
      <c r="AV114" s="49"/>
      <c r="AW114" s="50"/>
      <c r="AX114" s="49" t="s">
        <v>5</v>
      </c>
      <c r="AY114" s="50" t="s">
        <v>101</v>
      </c>
      <c r="AZ114" s="49" t="s">
        <v>5</v>
      </c>
      <c r="BA114" s="50" t="s">
        <v>143</v>
      </c>
      <c r="BB114" s="49"/>
      <c r="BC114" s="50"/>
      <c r="BD114" s="49"/>
      <c r="BE114" s="50"/>
      <c r="BF114" s="49" t="s">
        <v>5</v>
      </c>
      <c r="BG114" s="50" t="s">
        <v>93</v>
      </c>
      <c r="BH114" s="49" t="s">
        <v>5</v>
      </c>
      <c r="BI114" s="50" t="s">
        <v>430</v>
      </c>
      <c r="BJ114" s="49"/>
      <c r="BK114" s="50"/>
      <c r="BL114" s="49"/>
      <c r="BM114" s="50"/>
      <c r="BN114" s="49" t="s">
        <v>5</v>
      </c>
      <c r="BO114" s="50" t="s">
        <v>152</v>
      </c>
      <c r="BP114" s="49"/>
      <c r="BQ114" s="50"/>
      <c r="BR114" s="49" t="s">
        <v>5</v>
      </c>
      <c r="BS114" s="50" t="s">
        <v>140</v>
      </c>
      <c r="BT114" s="49"/>
      <c r="BU114" s="50"/>
      <c r="BV114" s="49" t="s">
        <v>5</v>
      </c>
      <c r="BW114" s="50" t="s">
        <v>122</v>
      </c>
      <c r="BX114" s="49"/>
      <c r="BY114" s="50"/>
      <c r="BZ114" s="49"/>
      <c r="CA114" s="50"/>
    </row>
    <row r="115" spans="1:79" x14ac:dyDescent="0.25">
      <c r="A115" s="76">
        <v>151675</v>
      </c>
      <c r="B115" s="77" t="s">
        <v>836</v>
      </c>
      <c r="C115" s="78" t="s">
        <v>713</v>
      </c>
      <c r="D115" s="76" t="s">
        <v>12</v>
      </c>
      <c r="E115" s="79" t="s">
        <v>14</v>
      </c>
      <c r="F115" s="79" t="s">
        <v>71</v>
      </c>
      <c r="G115" s="79" t="s">
        <v>14</v>
      </c>
      <c r="H115" s="79" t="s">
        <v>14</v>
      </c>
      <c r="I115" s="78" t="s">
        <v>14</v>
      </c>
      <c r="J115" s="79" t="s">
        <v>14</v>
      </c>
      <c r="K115" s="142" t="s">
        <v>1850</v>
      </c>
      <c r="L115" s="149" t="s">
        <v>1845</v>
      </c>
      <c r="M115" s="150" t="s">
        <v>12</v>
      </c>
      <c r="N115" s="151">
        <v>17</v>
      </c>
      <c r="O115" s="151">
        <v>0</v>
      </c>
      <c r="P115" s="152">
        <v>1</v>
      </c>
      <c r="Q115" s="153">
        <v>93.48</v>
      </c>
      <c r="R115" s="154">
        <v>1</v>
      </c>
      <c r="S115" s="38">
        <f t="shared" si="12"/>
        <v>3</v>
      </c>
      <c r="T115" s="39">
        <f t="shared" si="13"/>
        <v>5</v>
      </c>
      <c r="U115" s="40">
        <f t="shared" si="14"/>
        <v>0</v>
      </c>
      <c r="V115" s="40">
        <f t="shared" si="15"/>
        <v>0</v>
      </c>
      <c r="W115" s="40">
        <f t="shared" si="16"/>
        <v>0</v>
      </c>
      <c r="X115" s="40">
        <f t="shared" si="17"/>
        <v>0</v>
      </c>
      <c r="Y115" s="40">
        <f t="shared" si="18"/>
        <v>0</v>
      </c>
      <c r="Z115" s="40">
        <f t="shared" si="19"/>
        <v>0</v>
      </c>
      <c r="AA115" s="40">
        <f t="shared" si="20"/>
        <v>0</v>
      </c>
      <c r="AB115" s="40">
        <f t="shared" si="21"/>
        <v>0</v>
      </c>
      <c r="AC115" s="41">
        <f t="shared" si="22"/>
        <v>0</v>
      </c>
      <c r="AD115" s="49"/>
      <c r="AE115" s="50"/>
      <c r="AF115" s="49"/>
      <c r="AG115" s="50"/>
      <c r="AH115" s="49"/>
      <c r="AI115" s="50"/>
      <c r="AJ115" s="49"/>
      <c r="AK115" s="50"/>
      <c r="AL115" s="49"/>
      <c r="AM115" s="50"/>
      <c r="AN115" s="49"/>
      <c r="AO115" s="50"/>
      <c r="AP115" s="49"/>
      <c r="AQ115" s="50"/>
      <c r="AR115" s="49" t="s">
        <v>5</v>
      </c>
      <c r="AS115" s="50" t="s">
        <v>169</v>
      </c>
      <c r="AT115" s="49"/>
      <c r="AU115" s="50"/>
      <c r="AV115" s="49" t="s">
        <v>5</v>
      </c>
      <c r="AW115" s="50" t="s">
        <v>73</v>
      </c>
      <c r="AX115" s="49" t="s">
        <v>5</v>
      </c>
      <c r="AY115" s="50" t="s">
        <v>103</v>
      </c>
      <c r="AZ115" s="49"/>
      <c r="BA115" s="50"/>
      <c r="BB115" s="49"/>
      <c r="BC115" s="50"/>
      <c r="BD115" s="49"/>
      <c r="BE115" s="50"/>
      <c r="BF115" s="49"/>
      <c r="BG115" s="50"/>
      <c r="BH115" s="49" t="s">
        <v>5</v>
      </c>
      <c r="BI115" s="50" t="s">
        <v>430</v>
      </c>
      <c r="BJ115" s="49"/>
      <c r="BK115" s="50"/>
      <c r="BL115" s="49" t="s">
        <v>1</v>
      </c>
      <c r="BM115" s="50" t="s">
        <v>89</v>
      </c>
      <c r="BN115" s="49" t="s">
        <v>1</v>
      </c>
      <c r="BO115" s="50" t="s">
        <v>96</v>
      </c>
      <c r="BP115" s="49"/>
      <c r="BQ115" s="50"/>
      <c r="BR115" s="49"/>
      <c r="BS115" s="50"/>
      <c r="BT115" s="49"/>
      <c r="BU115" s="50"/>
      <c r="BV115" s="49" t="s">
        <v>1</v>
      </c>
      <c r="BW115" s="50" t="s">
        <v>715</v>
      </c>
      <c r="BX115" s="49" t="s">
        <v>5</v>
      </c>
      <c r="BY115" s="50" t="s">
        <v>206</v>
      </c>
      <c r="BZ115" s="49" t="s">
        <v>5</v>
      </c>
      <c r="CA115" s="50" t="s">
        <v>75</v>
      </c>
    </row>
    <row r="116" spans="1:79" ht="30" x14ac:dyDescent="0.25">
      <c r="A116" s="76">
        <v>151558</v>
      </c>
      <c r="B116" s="77" t="s">
        <v>837</v>
      </c>
      <c r="C116" s="78" t="s">
        <v>713</v>
      </c>
      <c r="D116" s="76" t="s">
        <v>12</v>
      </c>
      <c r="E116" s="79" t="s">
        <v>14</v>
      </c>
      <c r="F116" s="79" t="s">
        <v>508</v>
      </c>
      <c r="G116" s="79" t="s">
        <v>14</v>
      </c>
      <c r="H116" s="79" t="s">
        <v>14</v>
      </c>
      <c r="I116" s="78" t="s">
        <v>14</v>
      </c>
      <c r="J116" s="79" t="s">
        <v>14</v>
      </c>
      <c r="K116" s="142" t="s">
        <v>1850</v>
      </c>
      <c r="L116" s="149" t="s">
        <v>1846</v>
      </c>
      <c r="M116" s="150" t="s">
        <v>1853</v>
      </c>
      <c r="N116" s="151">
        <v>9</v>
      </c>
      <c r="O116" s="151">
        <v>0</v>
      </c>
      <c r="P116" s="152">
        <v>0</v>
      </c>
      <c r="Q116" s="153">
        <v>95.65</v>
      </c>
      <c r="R116" s="154">
        <v>0</v>
      </c>
      <c r="S116" s="38">
        <f t="shared" si="12"/>
        <v>1</v>
      </c>
      <c r="T116" s="39">
        <f t="shared" si="13"/>
        <v>8</v>
      </c>
      <c r="U116" s="40">
        <f t="shared" si="14"/>
        <v>0</v>
      </c>
      <c r="V116" s="40">
        <f t="shared" si="15"/>
        <v>0</v>
      </c>
      <c r="W116" s="40">
        <f t="shared" si="16"/>
        <v>0</v>
      </c>
      <c r="X116" s="40">
        <f t="shared" si="17"/>
        <v>0</v>
      </c>
      <c r="Y116" s="40">
        <f t="shared" si="18"/>
        <v>0</v>
      </c>
      <c r="Z116" s="40">
        <f t="shared" si="19"/>
        <v>0</v>
      </c>
      <c r="AA116" s="40">
        <f t="shared" si="20"/>
        <v>0</v>
      </c>
      <c r="AB116" s="40">
        <f t="shared" si="21"/>
        <v>0</v>
      </c>
      <c r="AC116" s="41">
        <f t="shared" si="22"/>
        <v>0</v>
      </c>
      <c r="AD116" s="49"/>
      <c r="AE116" s="50"/>
      <c r="AF116" s="49" t="s">
        <v>5</v>
      </c>
      <c r="AG116" s="50" t="s">
        <v>133</v>
      </c>
      <c r="AH116" s="49" t="s">
        <v>5</v>
      </c>
      <c r="AI116" s="50" t="s">
        <v>427</v>
      </c>
      <c r="AJ116" s="49" t="s">
        <v>5</v>
      </c>
      <c r="AK116" s="50" t="s">
        <v>137</v>
      </c>
      <c r="AL116" s="49"/>
      <c r="AM116" s="50"/>
      <c r="AN116" s="49"/>
      <c r="AO116" s="50"/>
      <c r="AP116" s="49"/>
      <c r="AQ116" s="50"/>
      <c r="AR116" s="49" t="s">
        <v>5</v>
      </c>
      <c r="AS116" s="50" t="s">
        <v>459</v>
      </c>
      <c r="AT116" s="49"/>
      <c r="AU116" s="50"/>
      <c r="AV116" s="49"/>
      <c r="AW116" s="50"/>
      <c r="AX116" s="49" t="s">
        <v>5</v>
      </c>
      <c r="AY116" s="50" t="s">
        <v>103</v>
      </c>
      <c r="AZ116" s="49"/>
      <c r="BA116" s="50"/>
      <c r="BB116" s="49"/>
      <c r="BC116" s="50"/>
      <c r="BD116" s="49"/>
      <c r="BE116" s="50"/>
      <c r="BF116" s="49"/>
      <c r="BG116" s="50"/>
      <c r="BH116" s="49" t="s">
        <v>5</v>
      </c>
      <c r="BI116" s="50" t="s">
        <v>106</v>
      </c>
      <c r="BJ116" s="49"/>
      <c r="BK116" s="50"/>
      <c r="BL116" s="49"/>
      <c r="BM116" s="50"/>
      <c r="BN116" s="49" t="s">
        <v>1</v>
      </c>
      <c r="BO116" s="50" t="s">
        <v>96</v>
      </c>
      <c r="BP116" s="49"/>
      <c r="BQ116" s="50"/>
      <c r="BR116" s="49" t="s">
        <v>5</v>
      </c>
      <c r="BS116" s="50" t="s">
        <v>98</v>
      </c>
      <c r="BT116" s="49"/>
      <c r="BU116" s="50"/>
      <c r="BV116" s="49" t="s">
        <v>5</v>
      </c>
      <c r="BW116" s="50" t="s">
        <v>108</v>
      </c>
      <c r="BX116" s="49"/>
      <c r="BY116" s="50"/>
      <c r="BZ116" s="49" t="s">
        <v>5</v>
      </c>
      <c r="CA116" s="50" t="s">
        <v>124</v>
      </c>
    </row>
    <row r="117" spans="1:79" x14ac:dyDescent="0.25">
      <c r="A117" s="76">
        <v>151647</v>
      </c>
      <c r="B117" s="77" t="s">
        <v>838</v>
      </c>
      <c r="C117" s="78" t="s">
        <v>730</v>
      </c>
      <c r="D117" s="76" t="s">
        <v>70</v>
      </c>
      <c r="E117" s="79" t="s">
        <v>14</v>
      </c>
      <c r="F117" s="79" t="s">
        <v>71</v>
      </c>
      <c r="G117" s="79" t="s">
        <v>14</v>
      </c>
      <c r="H117" s="79" t="s">
        <v>14</v>
      </c>
      <c r="I117" s="78" t="s">
        <v>14</v>
      </c>
      <c r="J117" s="79" t="s">
        <v>14</v>
      </c>
      <c r="K117" s="142" t="s">
        <v>1850</v>
      </c>
      <c r="L117" s="149" t="s">
        <v>1845</v>
      </c>
      <c r="M117" s="150" t="s">
        <v>12</v>
      </c>
      <c r="N117" s="151">
        <v>16</v>
      </c>
      <c r="O117" s="151">
        <v>0</v>
      </c>
      <c r="P117" s="152">
        <v>0</v>
      </c>
      <c r="Q117" s="153">
        <v>100</v>
      </c>
      <c r="R117" s="154">
        <v>0</v>
      </c>
      <c r="S117" s="38">
        <f t="shared" si="12"/>
        <v>0</v>
      </c>
      <c r="T117" s="39">
        <f t="shared" si="13"/>
        <v>10</v>
      </c>
      <c r="U117" s="40">
        <f t="shared" si="14"/>
        <v>0</v>
      </c>
      <c r="V117" s="40">
        <f t="shared" si="15"/>
        <v>0</v>
      </c>
      <c r="W117" s="40">
        <f t="shared" si="16"/>
        <v>0</v>
      </c>
      <c r="X117" s="40">
        <f t="shared" si="17"/>
        <v>0</v>
      </c>
      <c r="Y117" s="40">
        <f t="shared" si="18"/>
        <v>0</v>
      </c>
      <c r="Z117" s="40">
        <f t="shared" si="19"/>
        <v>0</v>
      </c>
      <c r="AA117" s="40">
        <f t="shared" si="20"/>
        <v>0</v>
      </c>
      <c r="AB117" s="40">
        <f t="shared" si="21"/>
        <v>0</v>
      </c>
      <c r="AC117" s="41">
        <f t="shared" si="22"/>
        <v>0</v>
      </c>
      <c r="AD117" s="49"/>
      <c r="AE117" s="50"/>
      <c r="AF117" s="49" t="s">
        <v>5</v>
      </c>
      <c r="AG117" s="50" t="s">
        <v>133</v>
      </c>
      <c r="AH117" s="49"/>
      <c r="AI117" s="50"/>
      <c r="AJ117" s="49" t="s">
        <v>5</v>
      </c>
      <c r="AK117" s="50" t="s">
        <v>164</v>
      </c>
      <c r="AL117" s="49"/>
      <c r="AM117" s="50"/>
      <c r="AN117" s="49"/>
      <c r="AO117" s="50"/>
      <c r="AP117" s="49"/>
      <c r="AQ117" s="50"/>
      <c r="AR117" s="49" t="s">
        <v>5</v>
      </c>
      <c r="AS117" s="50" t="s">
        <v>102</v>
      </c>
      <c r="AT117" s="49"/>
      <c r="AU117" s="50"/>
      <c r="AV117" s="49"/>
      <c r="AW117" s="50"/>
      <c r="AX117" s="49" t="s">
        <v>5</v>
      </c>
      <c r="AY117" s="50" t="s">
        <v>133</v>
      </c>
      <c r="AZ117" s="49" t="s">
        <v>5</v>
      </c>
      <c r="BA117" s="50" t="s">
        <v>84</v>
      </c>
      <c r="BB117" s="49"/>
      <c r="BC117" s="50"/>
      <c r="BD117" s="49"/>
      <c r="BE117" s="50"/>
      <c r="BF117" s="49" t="s">
        <v>5</v>
      </c>
      <c r="BG117" s="50" t="s">
        <v>93</v>
      </c>
      <c r="BH117" s="49" t="s">
        <v>5</v>
      </c>
      <c r="BI117" s="50" t="s">
        <v>505</v>
      </c>
      <c r="BJ117" s="49"/>
      <c r="BK117" s="50"/>
      <c r="BL117" s="49"/>
      <c r="BM117" s="50"/>
      <c r="BN117" s="49" t="s">
        <v>5</v>
      </c>
      <c r="BO117" s="50" t="s">
        <v>121</v>
      </c>
      <c r="BP117" s="49"/>
      <c r="BQ117" s="50"/>
      <c r="BR117" s="49" t="s">
        <v>5</v>
      </c>
      <c r="BS117" s="50" t="s">
        <v>140</v>
      </c>
      <c r="BT117" s="49"/>
      <c r="BU117" s="50"/>
      <c r="BV117" s="49" t="s">
        <v>5</v>
      </c>
      <c r="BW117" s="50" t="s">
        <v>82</v>
      </c>
      <c r="BX117" s="49"/>
      <c r="BY117" s="50"/>
      <c r="BZ117" s="49"/>
      <c r="CA117" s="50"/>
    </row>
    <row r="118" spans="1:79" x14ac:dyDescent="0.25">
      <c r="A118" s="76">
        <v>151688</v>
      </c>
      <c r="B118" s="77" t="s">
        <v>839</v>
      </c>
      <c r="C118" s="78" t="s">
        <v>718</v>
      </c>
      <c r="D118" s="76" t="s">
        <v>70</v>
      </c>
      <c r="E118" s="79" t="s">
        <v>14</v>
      </c>
      <c r="F118" s="79" t="s">
        <v>115</v>
      </c>
      <c r="G118" s="79" t="s">
        <v>14</v>
      </c>
      <c r="H118" s="79" t="s">
        <v>14</v>
      </c>
      <c r="I118" s="78" t="s">
        <v>14</v>
      </c>
      <c r="J118" s="79" t="s">
        <v>14</v>
      </c>
      <c r="K118" s="142" t="s">
        <v>1850</v>
      </c>
      <c r="L118" s="149" t="s">
        <v>1846</v>
      </c>
      <c r="M118" s="150" t="s">
        <v>1853</v>
      </c>
      <c r="N118" s="151">
        <v>9</v>
      </c>
      <c r="O118" s="151">
        <v>0</v>
      </c>
      <c r="P118" s="152">
        <v>0</v>
      </c>
      <c r="Q118" s="153">
        <v>56.52</v>
      </c>
      <c r="R118" s="154">
        <v>0</v>
      </c>
      <c r="S118" s="38">
        <f t="shared" si="12"/>
        <v>0</v>
      </c>
      <c r="T118" s="39">
        <f t="shared" si="13"/>
        <v>10</v>
      </c>
      <c r="U118" s="40">
        <f t="shared" si="14"/>
        <v>0</v>
      </c>
      <c r="V118" s="40">
        <f t="shared" si="15"/>
        <v>0</v>
      </c>
      <c r="W118" s="40">
        <f t="shared" si="16"/>
        <v>0</v>
      </c>
      <c r="X118" s="40">
        <f t="shared" si="17"/>
        <v>0</v>
      </c>
      <c r="Y118" s="40">
        <f t="shared" si="18"/>
        <v>0</v>
      </c>
      <c r="Z118" s="40">
        <f t="shared" si="19"/>
        <v>0</v>
      </c>
      <c r="AA118" s="40">
        <f t="shared" si="20"/>
        <v>0</v>
      </c>
      <c r="AB118" s="40">
        <f t="shared" si="21"/>
        <v>0</v>
      </c>
      <c r="AC118" s="41">
        <f t="shared" si="22"/>
        <v>0</v>
      </c>
      <c r="AD118" s="49"/>
      <c r="AE118" s="50"/>
      <c r="AF118" s="49" t="s">
        <v>5</v>
      </c>
      <c r="AG118" s="50" t="s">
        <v>133</v>
      </c>
      <c r="AH118" s="49"/>
      <c r="AI118" s="50"/>
      <c r="AJ118" s="49" t="s">
        <v>5</v>
      </c>
      <c r="AK118" s="50" t="s">
        <v>137</v>
      </c>
      <c r="AL118" s="49"/>
      <c r="AM118" s="50"/>
      <c r="AN118" s="49"/>
      <c r="AO118" s="50"/>
      <c r="AP118" s="49"/>
      <c r="AQ118" s="50"/>
      <c r="AR118" s="49" t="s">
        <v>5</v>
      </c>
      <c r="AS118" s="50" t="s">
        <v>722</v>
      </c>
      <c r="AT118" s="49"/>
      <c r="AU118" s="50"/>
      <c r="AV118" s="49"/>
      <c r="AW118" s="50"/>
      <c r="AX118" s="49" t="s">
        <v>5</v>
      </c>
      <c r="AY118" s="50" t="s">
        <v>169</v>
      </c>
      <c r="AZ118" s="49" t="s">
        <v>5</v>
      </c>
      <c r="BA118" s="50" t="s">
        <v>84</v>
      </c>
      <c r="BB118" s="49"/>
      <c r="BC118" s="50"/>
      <c r="BD118" s="49" t="s">
        <v>5</v>
      </c>
      <c r="BE118" s="50" t="s">
        <v>436</v>
      </c>
      <c r="BF118" s="49"/>
      <c r="BG118" s="50"/>
      <c r="BH118" s="49" t="s">
        <v>5</v>
      </c>
      <c r="BI118" s="50" t="s">
        <v>139</v>
      </c>
      <c r="BJ118" s="49"/>
      <c r="BK118" s="50"/>
      <c r="BL118" s="49"/>
      <c r="BM118" s="50"/>
      <c r="BN118" s="49" t="s">
        <v>5</v>
      </c>
      <c r="BO118" s="50" t="s">
        <v>152</v>
      </c>
      <c r="BP118" s="49"/>
      <c r="BQ118" s="50"/>
      <c r="BR118" s="49" t="s">
        <v>5</v>
      </c>
      <c r="BS118" s="50" t="s">
        <v>98</v>
      </c>
      <c r="BT118" s="49"/>
      <c r="BU118" s="50"/>
      <c r="BV118" s="49" t="s">
        <v>5</v>
      </c>
      <c r="BW118" s="50" t="s">
        <v>108</v>
      </c>
      <c r="BX118" s="49"/>
      <c r="BY118" s="50"/>
      <c r="BZ118" s="49"/>
      <c r="CA118" s="50"/>
    </row>
    <row r="119" spans="1:79" ht="30" x14ac:dyDescent="0.25">
      <c r="A119" s="76">
        <v>151652</v>
      </c>
      <c r="B119" s="77" t="s">
        <v>840</v>
      </c>
      <c r="C119" s="78" t="s">
        <v>710</v>
      </c>
      <c r="D119" s="76" t="s">
        <v>12</v>
      </c>
      <c r="E119" s="79" t="s">
        <v>14</v>
      </c>
      <c r="F119" s="79" t="s">
        <v>71</v>
      </c>
      <c r="G119" s="79" t="s">
        <v>14</v>
      </c>
      <c r="H119" s="79" t="s">
        <v>14</v>
      </c>
      <c r="I119" s="78" t="s">
        <v>14</v>
      </c>
      <c r="J119" s="79" t="s">
        <v>14</v>
      </c>
      <c r="K119" s="142" t="s">
        <v>1851</v>
      </c>
      <c r="L119" s="149" t="s">
        <v>1843</v>
      </c>
      <c r="M119" s="150" t="s">
        <v>1852</v>
      </c>
      <c r="N119" s="151">
        <v>15</v>
      </c>
      <c r="O119" s="151">
        <v>0</v>
      </c>
      <c r="P119" s="152">
        <v>2</v>
      </c>
      <c r="Q119" s="153">
        <v>100</v>
      </c>
      <c r="R119" s="154">
        <v>0</v>
      </c>
      <c r="S119" s="38">
        <f t="shared" si="12"/>
        <v>1</v>
      </c>
      <c r="T119" s="39">
        <f t="shared" si="13"/>
        <v>6</v>
      </c>
      <c r="U119" s="40">
        <f t="shared" si="14"/>
        <v>0</v>
      </c>
      <c r="V119" s="40">
        <f t="shared" si="15"/>
        <v>0</v>
      </c>
      <c r="W119" s="40">
        <f t="shared" si="16"/>
        <v>0</v>
      </c>
      <c r="X119" s="40">
        <f t="shared" si="17"/>
        <v>0</v>
      </c>
      <c r="Y119" s="40">
        <f t="shared" si="18"/>
        <v>0</v>
      </c>
      <c r="Z119" s="40">
        <f t="shared" si="19"/>
        <v>0</v>
      </c>
      <c r="AA119" s="40">
        <f t="shared" si="20"/>
        <v>0</v>
      </c>
      <c r="AB119" s="40">
        <f t="shared" si="21"/>
        <v>0</v>
      </c>
      <c r="AC119" s="41">
        <f t="shared" si="22"/>
        <v>0</v>
      </c>
      <c r="AD119" s="49"/>
      <c r="AE119" s="50"/>
      <c r="AF119" s="49"/>
      <c r="AG119" s="50"/>
      <c r="AH119" s="49"/>
      <c r="AI119" s="50"/>
      <c r="AJ119" s="49"/>
      <c r="AK119" s="50"/>
      <c r="AL119" s="49"/>
      <c r="AM119" s="50"/>
      <c r="AN119" s="49"/>
      <c r="AO119" s="50"/>
      <c r="AP119" s="49"/>
      <c r="AQ119" s="50"/>
      <c r="AR119" s="49" t="s">
        <v>5</v>
      </c>
      <c r="AS119" s="50" t="s">
        <v>118</v>
      </c>
      <c r="AT119" s="49"/>
      <c r="AU119" s="50"/>
      <c r="AV119" s="49" t="s">
        <v>5</v>
      </c>
      <c r="AW119" s="50" t="s">
        <v>73</v>
      </c>
      <c r="AX119" s="49" t="s">
        <v>5</v>
      </c>
      <c r="AY119" s="50" t="s">
        <v>117</v>
      </c>
      <c r="AZ119" s="49"/>
      <c r="BA119" s="50"/>
      <c r="BB119" s="49"/>
      <c r="BC119" s="50"/>
      <c r="BD119" s="49"/>
      <c r="BE119" s="50"/>
      <c r="BF119" s="49"/>
      <c r="BG119" s="50"/>
      <c r="BH119" s="49" t="s">
        <v>1</v>
      </c>
      <c r="BI119" s="50" t="s">
        <v>94</v>
      </c>
      <c r="BJ119" s="49"/>
      <c r="BK119" s="50"/>
      <c r="BL119" s="49"/>
      <c r="BM119" s="50"/>
      <c r="BN119" s="49" t="s">
        <v>5</v>
      </c>
      <c r="BO119" s="50" t="s">
        <v>96</v>
      </c>
      <c r="BP119" s="49"/>
      <c r="BQ119" s="50"/>
      <c r="BR119" s="49"/>
      <c r="BS119" s="50"/>
      <c r="BT119" s="49"/>
      <c r="BU119" s="50"/>
      <c r="BV119" s="49" t="s">
        <v>5</v>
      </c>
      <c r="BW119" s="50" t="s">
        <v>457</v>
      </c>
      <c r="BX119" s="49" t="s">
        <v>5</v>
      </c>
      <c r="BY119" s="50" t="s">
        <v>206</v>
      </c>
      <c r="BZ119" s="49" t="s">
        <v>32</v>
      </c>
      <c r="CA119" s="50" t="s">
        <v>124</v>
      </c>
    </row>
    <row r="120" spans="1:79" x14ac:dyDescent="0.25">
      <c r="A120" s="76">
        <v>151627</v>
      </c>
      <c r="B120" s="77" t="s">
        <v>841</v>
      </c>
      <c r="C120" s="78" t="s">
        <v>713</v>
      </c>
      <c r="D120" s="76" t="s">
        <v>12</v>
      </c>
      <c r="E120" s="79" t="s">
        <v>87</v>
      </c>
      <c r="F120" s="79" t="s">
        <v>88</v>
      </c>
      <c r="G120" s="79" t="s">
        <v>14</v>
      </c>
      <c r="H120" s="79" t="s">
        <v>87</v>
      </c>
      <c r="I120" s="78" t="s">
        <v>14</v>
      </c>
      <c r="J120" s="79" t="s">
        <v>14</v>
      </c>
      <c r="K120" s="142" t="s">
        <v>1850</v>
      </c>
      <c r="L120" s="149" t="s">
        <v>1842</v>
      </c>
      <c r="M120" s="150" t="s">
        <v>12</v>
      </c>
      <c r="N120" s="151">
        <v>23</v>
      </c>
      <c r="O120" s="151">
        <v>0</v>
      </c>
      <c r="P120" s="152">
        <v>1</v>
      </c>
      <c r="Q120" s="153">
        <v>97.83</v>
      </c>
      <c r="R120" s="154">
        <v>3</v>
      </c>
      <c r="S120" s="38">
        <f t="shared" si="12"/>
        <v>3</v>
      </c>
      <c r="T120" s="39">
        <f t="shared" si="13"/>
        <v>6</v>
      </c>
      <c r="U120" s="40">
        <f t="shared" si="14"/>
        <v>0</v>
      </c>
      <c r="V120" s="40">
        <f t="shared" si="15"/>
        <v>0</v>
      </c>
      <c r="W120" s="40">
        <f t="shared" si="16"/>
        <v>0</v>
      </c>
      <c r="X120" s="40">
        <f t="shared" si="17"/>
        <v>0</v>
      </c>
      <c r="Y120" s="40">
        <f t="shared" si="18"/>
        <v>0</v>
      </c>
      <c r="Z120" s="40">
        <f t="shared" si="19"/>
        <v>0</v>
      </c>
      <c r="AA120" s="40">
        <f t="shared" si="20"/>
        <v>0</v>
      </c>
      <c r="AB120" s="40">
        <f t="shared" si="21"/>
        <v>0</v>
      </c>
      <c r="AC120" s="41">
        <f t="shared" si="22"/>
        <v>0</v>
      </c>
      <c r="AD120" s="49"/>
      <c r="AE120" s="50"/>
      <c r="AF120" s="49" t="s">
        <v>5</v>
      </c>
      <c r="AG120" s="50" t="s">
        <v>438</v>
      </c>
      <c r="AH120" s="49"/>
      <c r="AI120" s="50"/>
      <c r="AJ120" s="49" t="s">
        <v>5</v>
      </c>
      <c r="AK120" s="50" t="s">
        <v>83</v>
      </c>
      <c r="AL120" s="49"/>
      <c r="AM120" s="50"/>
      <c r="AN120" s="49"/>
      <c r="AO120" s="50"/>
      <c r="AP120" s="49"/>
      <c r="AQ120" s="50"/>
      <c r="AR120" s="49" t="s">
        <v>5</v>
      </c>
      <c r="AS120" s="50" t="s">
        <v>722</v>
      </c>
      <c r="AT120" s="49"/>
      <c r="AU120" s="50"/>
      <c r="AV120" s="49"/>
      <c r="AW120" s="50"/>
      <c r="AX120" s="49" t="s">
        <v>5</v>
      </c>
      <c r="AY120" s="50" t="s">
        <v>103</v>
      </c>
      <c r="AZ120" s="49"/>
      <c r="BA120" s="50"/>
      <c r="BB120" s="49"/>
      <c r="BC120" s="50"/>
      <c r="BD120" s="49"/>
      <c r="BE120" s="50"/>
      <c r="BF120" s="49"/>
      <c r="BG120" s="50"/>
      <c r="BH120" s="49" t="s">
        <v>5</v>
      </c>
      <c r="BI120" s="50" t="s">
        <v>139</v>
      </c>
      <c r="BJ120" s="49"/>
      <c r="BK120" s="50"/>
      <c r="BL120" s="49"/>
      <c r="BM120" s="50"/>
      <c r="BN120" s="49" t="s">
        <v>1</v>
      </c>
      <c r="BO120" s="50" t="s">
        <v>107</v>
      </c>
      <c r="BP120" s="49" t="s">
        <v>1</v>
      </c>
      <c r="BQ120" s="50" t="s">
        <v>96</v>
      </c>
      <c r="BR120" s="49" t="s">
        <v>5</v>
      </c>
      <c r="BS120" s="50" t="s">
        <v>123</v>
      </c>
      <c r="BT120" s="49"/>
      <c r="BU120" s="50"/>
      <c r="BV120" s="49" t="s">
        <v>1</v>
      </c>
      <c r="BW120" s="50" t="s">
        <v>495</v>
      </c>
      <c r="BX120" s="49"/>
      <c r="BY120" s="50"/>
      <c r="BZ120" s="49" t="s">
        <v>5</v>
      </c>
      <c r="CA120" s="50" t="s">
        <v>75</v>
      </c>
    </row>
    <row r="121" spans="1:79" x14ac:dyDescent="0.25">
      <c r="A121" s="76">
        <v>151711</v>
      </c>
      <c r="B121" s="77" t="s">
        <v>842</v>
      </c>
      <c r="C121" s="78" t="s">
        <v>725</v>
      </c>
      <c r="D121" s="76" t="s">
        <v>12</v>
      </c>
      <c r="E121" s="79" t="s">
        <v>14</v>
      </c>
      <c r="F121" s="79" t="s">
        <v>71</v>
      </c>
      <c r="G121" s="79" t="s">
        <v>14</v>
      </c>
      <c r="H121" s="79" t="s">
        <v>14</v>
      </c>
      <c r="I121" s="78" t="s">
        <v>14</v>
      </c>
      <c r="J121" s="79" t="s">
        <v>14</v>
      </c>
      <c r="K121" s="142" t="s">
        <v>1850</v>
      </c>
      <c r="L121" s="149" t="s">
        <v>1844</v>
      </c>
      <c r="M121" s="150" t="s">
        <v>12</v>
      </c>
      <c r="N121" s="151">
        <v>21</v>
      </c>
      <c r="O121" s="151">
        <v>1</v>
      </c>
      <c r="P121" s="152">
        <v>1</v>
      </c>
      <c r="Q121" s="153">
        <v>95.65</v>
      </c>
      <c r="R121" s="154">
        <v>1</v>
      </c>
      <c r="S121" s="38">
        <f t="shared" si="12"/>
        <v>3</v>
      </c>
      <c r="T121" s="39">
        <f t="shared" si="13"/>
        <v>7</v>
      </c>
      <c r="U121" s="40">
        <f t="shared" si="14"/>
        <v>0</v>
      </c>
      <c r="V121" s="40">
        <f t="shared" si="15"/>
        <v>0</v>
      </c>
      <c r="W121" s="40">
        <f t="shared" si="16"/>
        <v>0</v>
      </c>
      <c r="X121" s="40">
        <f t="shared" si="17"/>
        <v>0</v>
      </c>
      <c r="Y121" s="40">
        <f t="shared" si="18"/>
        <v>0</v>
      </c>
      <c r="Z121" s="40">
        <f t="shared" si="19"/>
        <v>0</v>
      </c>
      <c r="AA121" s="40">
        <f t="shared" si="20"/>
        <v>0</v>
      </c>
      <c r="AB121" s="40">
        <f t="shared" si="21"/>
        <v>0</v>
      </c>
      <c r="AC121" s="41">
        <f t="shared" si="22"/>
        <v>0</v>
      </c>
      <c r="AD121" s="49"/>
      <c r="AE121" s="50"/>
      <c r="AF121" s="49" t="s">
        <v>5</v>
      </c>
      <c r="AG121" s="50" t="s">
        <v>133</v>
      </c>
      <c r="AH121" s="49"/>
      <c r="AI121" s="50"/>
      <c r="AJ121" s="49" t="s">
        <v>5</v>
      </c>
      <c r="AK121" s="50" t="s">
        <v>164</v>
      </c>
      <c r="AL121" s="49"/>
      <c r="AM121" s="50"/>
      <c r="AN121" s="49"/>
      <c r="AO121" s="50"/>
      <c r="AP121" s="49"/>
      <c r="AQ121" s="50"/>
      <c r="AR121" s="49" t="s">
        <v>5</v>
      </c>
      <c r="AS121" s="50" t="s">
        <v>194</v>
      </c>
      <c r="AT121" s="49"/>
      <c r="AU121" s="50"/>
      <c r="AV121" s="49"/>
      <c r="AW121" s="50"/>
      <c r="AX121" s="49" t="s">
        <v>5</v>
      </c>
      <c r="AY121" s="50" t="s">
        <v>109</v>
      </c>
      <c r="AZ121" s="49" t="s">
        <v>5</v>
      </c>
      <c r="BA121" s="50" t="s">
        <v>143</v>
      </c>
      <c r="BB121" s="49"/>
      <c r="BC121" s="50"/>
      <c r="BD121" s="49"/>
      <c r="BE121" s="50"/>
      <c r="BF121" s="49"/>
      <c r="BG121" s="50"/>
      <c r="BH121" s="49" t="s">
        <v>5</v>
      </c>
      <c r="BI121" s="50" t="s">
        <v>430</v>
      </c>
      <c r="BJ121" s="49"/>
      <c r="BK121" s="50"/>
      <c r="BL121" s="49"/>
      <c r="BM121" s="50"/>
      <c r="BN121" s="49" t="s">
        <v>1</v>
      </c>
      <c r="BO121" s="50" t="s">
        <v>96</v>
      </c>
      <c r="BP121" s="49" t="s">
        <v>1</v>
      </c>
      <c r="BQ121" s="50" t="s">
        <v>96</v>
      </c>
      <c r="BR121" s="49" t="s">
        <v>5</v>
      </c>
      <c r="BS121" s="50" t="s">
        <v>140</v>
      </c>
      <c r="BT121" s="49"/>
      <c r="BU121" s="50"/>
      <c r="BV121" s="49" t="s">
        <v>1</v>
      </c>
      <c r="BW121" s="50" t="s">
        <v>715</v>
      </c>
      <c r="BX121" s="49"/>
      <c r="BY121" s="50"/>
      <c r="BZ121" s="49"/>
      <c r="CA121" s="50"/>
    </row>
    <row r="122" spans="1:79" x14ac:dyDescent="0.25">
      <c r="A122" s="76">
        <v>151612</v>
      </c>
      <c r="B122" s="77" t="s">
        <v>843</v>
      </c>
      <c r="C122" s="78" t="s">
        <v>736</v>
      </c>
      <c r="D122" s="76" t="s">
        <v>70</v>
      </c>
      <c r="E122" s="79" t="s">
        <v>87</v>
      </c>
      <c r="F122" s="79" t="s">
        <v>88</v>
      </c>
      <c r="G122" s="79" t="s">
        <v>87</v>
      </c>
      <c r="H122" s="79" t="s">
        <v>87</v>
      </c>
      <c r="I122" s="78" t="s">
        <v>14</v>
      </c>
      <c r="J122" s="79" t="s">
        <v>14</v>
      </c>
      <c r="K122" s="142" t="s">
        <v>1850</v>
      </c>
      <c r="L122" s="149" t="s">
        <v>1844</v>
      </c>
      <c r="M122" s="150" t="s">
        <v>12</v>
      </c>
      <c r="N122" s="151">
        <v>10</v>
      </c>
      <c r="O122" s="151">
        <v>1</v>
      </c>
      <c r="P122" s="152">
        <v>0</v>
      </c>
      <c r="Q122" s="153">
        <v>100</v>
      </c>
      <c r="R122" s="154">
        <v>1</v>
      </c>
      <c r="S122" s="38">
        <f t="shared" si="12"/>
        <v>0</v>
      </c>
      <c r="T122" s="39">
        <f t="shared" si="13"/>
        <v>9</v>
      </c>
      <c r="U122" s="40">
        <f t="shared" si="14"/>
        <v>0</v>
      </c>
      <c r="V122" s="40">
        <f t="shared" si="15"/>
        <v>0</v>
      </c>
      <c r="W122" s="40">
        <f t="shared" si="16"/>
        <v>0</v>
      </c>
      <c r="X122" s="40">
        <f t="shared" si="17"/>
        <v>0</v>
      </c>
      <c r="Y122" s="40">
        <f t="shared" si="18"/>
        <v>0</v>
      </c>
      <c r="Z122" s="40">
        <f t="shared" si="19"/>
        <v>0</v>
      </c>
      <c r="AA122" s="40">
        <f t="shared" si="20"/>
        <v>0</v>
      </c>
      <c r="AB122" s="40">
        <f t="shared" si="21"/>
        <v>0</v>
      </c>
      <c r="AC122" s="41">
        <f t="shared" si="22"/>
        <v>0</v>
      </c>
      <c r="AD122" s="49"/>
      <c r="AE122" s="50"/>
      <c r="AF122" s="49" t="s">
        <v>5</v>
      </c>
      <c r="AG122" s="50" t="s">
        <v>433</v>
      </c>
      <c r="AH122" s="49"/>
      <c r="AI122" s="50"/>
      <c r="AJ122" s="49" t="s">
        <v>5</v>
      </c>
      <c r="AK122" s="50" t="s">
        <v>714</v>
      </c>
      <c r="AL122" s="49"/>
      <c r="AM122" s="50"/>
      <c r="AN122" s="49"/>
      <c r="AO122" s="50"/>
      <c r="AP122" s="49"/>
      <c r="AQ122" s="50"/>
      <c r="AR122" s="49" t="s">
        <v>5</v>
      </c>
      <c r="AS122" s="50" t="s">
        <v>74</v>
      </c>
      <c r="AT122" s="49"/>
      <c r="AU122" s="50"/>
      <c r="AV122" s="49"/>
      <c r="AW122" s="50"/>
      <c r="AX122" s="49" t="s">
        <v>5</v>
      </c>
      <c r="AY122" s="50" t="s">
        <v>91</v>
      </c>
      <c r="AZ122" s="49"/>
      <c r="BA122" s="50"/>
      <c r="BB122" s="49"/>
      <c r="BC122" s="50"/>
      <c r="BD122" s="49" t="s">
        <v>5</v>
      </c>
      <c r="BE122" s="50" t="s">
        <v>436</v>
      </c>
      <c r="BF122" s="49"/>
      <c r="BG122" s="50"/>
      <c r="BH122" s="49" t="s">
        <v>5</v>
      </c>
      <c r="BI122" s="50" t="s">
        <v>430</v>
      </c>
      <c r="BJ122" s="49"/>
      <c r="BK122" s="50"/>
      <c r="BL122" s="49"/>
      <c r="BM122" s="50"/>
      <c r="BN122" s="49" t="s">
        <v>5</v>
      </c>
      <c r="BO122" s="50" t="s">
        <v>152</v>
      </c>
      <c r="BP122" s="49"/>
      <c r="BQ122" s="50"/>
      <c r="BR122" s="49" t="s">
        <v>5</v>
      </c>
      <c r="BS122" s="50" t="s">
        <v>123</v>
      </c>
      <c r="BT122" s="49"/>
      <c r="BU122" s="50"/>
      <c r="BV122" s="49" t="s">
        <v>5</v>
      </c>
      <c r="BW122" s="50" t="s">
        <v>97</v>
      </c>
      <c r="BX122" s="49"/>
      <c r="BY122" s="50"/>
      <c r="BZ122" s="49" t="s">
        <v>5</v>
      </c>
      <c r="CA122" s="50" t="s">
        <v>75</v>
      </c>
    </row>
    <row r="123" spans="1:79" x14ac:dyDescent="0.25">
      <c r="A123" s="76">
        <v>151533</v>
      </c>
      <c r="B123" s="77" t="s">
        <v>844</v>
      </c>
      <c r="C123" s="78" t="s">
        <v>710</v>
      </c>
      <c r="D123" s="76" t="s">
        <v>12</v>
      </c>
      <c r="E123" s="79" t="s">
        <v>14</v>
      </c>
      <c r="F123" s="79" t="s">
        <v>71</v>
      </c>
      <c r="G123" s="79" t="s">
        <v>14</v>
      </c>
      <c r="H123" s="79" t="s">
        <v>14</v>
      </c>
      <c r="I123" s="78" t="s">
        <v>14</v>
      </c>
      <c r="J123" s="79" t="s">
        <v>14</v>
      </c>
      <c r="K123" s="142" t="s">
        <v>1850</v>
      </c>
      <c r="L123" s="149" t="s">
        <v>1842</v>
      </c>
      <c r="M123" s="150" t="s">
        <v>1853</v>
      </c>
      <c r="N123" s="151">
        <v>9</v>
      </c>
      <c r="O123" s="151">
        <v>0</v>
      </c>
      <c r="P123" s="152">
        <v>0</v>
      </c>
      <c r="Q123" s="153">
        <v>97.83</v>
      </c>
      <c r="R123" s="154">
        <v>0</v>
      </c>
      <c r="S123" s="38">
        <f t="shared" si="12"/>
        <v>3</v>
      </c>
      <c r="T123" s="39">
        <f t="shared" si="13"/>
        <v>6</v>
      </c>
      <c r="U123" s="40">
        <f t="shared" si="14"/>
        <v>0</v>
      </c>
      <c r="V123" s="40">
        <f t="shared" si="15"/>
        <v>0</v>
      </c>
      <c r="W123" s="40">
        <f t="shared" si="16"/>
        <v>0</v>
      </c>
      <c r="X123" s="40">
        <f t="shared" si="17"/>
        <v>0</v>
      </c>
      <c r="Y123" s="40">
        <f t="shared" si="18"/>
        <v>0</v>
      </c>
      <c r="Z123" s="40">
        <f t="shared" si="19"/>
        <v>0</v>
      </c>
      <c r="AA123" s="40">
        <f t="shared" si="20"/>
        <v>0</v>
      </c>
      <c r="AB123" s="40">
        <f t="shared" si="21"/>
        <v>0</v>
      </c>
      <c r="AC123" s="41">
        <f t="shared" si="22"/>
        <v>0</v>
      </c>
      <c r="AD123" s="49"/>
      <c r="AE123" s="50"/>
      <c r="AF123" s="49" t="s">
        <v>5</v>
      </c>
      <c r="AG123" s="50" t="s">
        <v>438</v>
      </c>
      <c r="AH123" s="49"/>
      <c r="AI123" s="50"/>
      <c r="AJ123" s="49" t="s">
        <v>5</v>
      </c>
      <c r="AK123" s="50" t="s">
        <v>83</v>
      </c>
      <c r="AL123" s="49"/>
      <c r="AM123" s="50"/>
      <c r="AN123" s="49" t="s">
        <v>5</v>
      </c>
      <c r="AO123" s="50" t="s">
        <v>163</v>
      </c>
      <c r="AP123" s="49"/>
      <c r="AQ123" s="50"/>
      <c r="AR123" s="49" t="s">
        <v>1</v>
      </c>
      <c r="AS123" s="50" t="s">
        <v>478</v>
      </c>
      <c r="AT123" s="49"/>
      <c r="AU123" s="50"/>
      <c r="AV123" s="49"/>
      <c r="AW123" s="50"/>
      <c r="AX123" s="49" t="s">
        <v>5</v>
      </c>
      <c r="AY123" s="50" t="s">
        <v>711</v>
      </c>
      <c r="AZ123" s="49"/>
      <c r="BA123" s="50"/>
      <c r="BB123" s="49"/>
      <c r="BC123" s="50"/>
      <c r="BD123" s="49"/>
      <c r="BE123" s="50"/>
      <c r="BF123" s="49"/>
      <c r="BG123" s="50"/>
      <c r="BH123" s="49" t="s">
        <v>1</v>
      </c>
      <c r="BI123" s="50" t="s">
        <v>136</v>
      </c>
      <c r="BJ123" s="49"/>
      <c r="BK123" s="50"/>
      <c r="BL123" s="49"/>
      <c r="BM123" s="50"/>
      <c r="BN123" s="49" t="s">
        <v>1</v>
      </c>
      <c r="BO123" s="50" t="s">
        <v>96</v>
      </c>
      <c r="BP123" s="49"/>
      <c r="BQ123" s="50"/>
      <c r="BR123" s="49" t="s">
        <v>5</v>
      </c>
      <c r="BS123" s="50" t="s">
        <v>123</v>
      </c>
      <c r="BT123" s="49"/>
      <c r="BU123" s="50"/>
      <c r="BV123" s="49" t="s">
        <v>5</v>
      </c>
      <c r="BW123" s="50" t="s">
        <v>108</v>
      </c>
      <c r="BX123" s="49"/>
      <c r="BY123" s="50"/>
      <c r="BZ123" s="49" t="s">
        <v>5</v>
      </c>
      <c r="CA123" s="50" t="s">
        <v>75</v>
      </c>
    </row>
    <row r="124" spans="1:79" x14ac:dyDescent="0.25">
      <c r="A124" s="76">
        <v>151739</v>
      </c>
      <c r="B124" s="77" t="s">
        <v>845</v>
      </c>
      <c r="C124" s="78" t="s">
        <v>710</v>
      </c>
      <c r="D124" s="76" t="s">
        <v>70</v>
      </c>
      <c r="E124" s="79" t="s">
        <v>14</v>
      </c>
      <c r="F124" s="79" t="s">
        <v>71</v>
      </c>
      <c r="G124" s="79" t="s">
        <v>14</v>
      </c>
      <c r="H124" s="79" t="s">
        <v>14</v>
      </c>
      <c r="I124" s="78" t="s">
        <v>14</v>
      </c>
      <c r="J124" s="79" t="s">
        <v>6</v>
      </c>
      <c r="K124" s="142" t="s">
        <v>1851</v>
      </c>
      <c r="L124" s="149" t="s">
        <v>1848</v>
      </c>
      <c r="M124" s="150" t="s">
        <v>1852</v>
      </c>
      <c r="N124" s="151">
        <v>11</v>
      </c>
      <c r="O124" s="151">
        <v>9</v>
      </c>
      <c r="P124" s="152">
        <v>3</v>
      </c>
      <c r="Q124" s="153">
        <v>52.17</v>
      </c>
      <c r="R124" s="154">
        <v>13</v>
      </c>
      <c r="S124" s="38">
        <f t="shared" si="12"/>
        <v>0</v>
      </c>
      <c r="T124" s="39">
        <f t="shared" si="13"/>
        <v>4</v>
      </c>
      <c r="U124" s="40">
        <f t="shared" si="14"/>
        <v>0</v>
      </c>
      <c r="V124" s="40">
        <f t="shared" si="15"/>
        <v>0</v>
      </c>
      <c r="W124" s="40">
        <f t="shared" si="16"/>
        <v>1</v>
      </c>
      <c r="X124" s="40">
        <f t="shared" si="17"/>
        <v>1</v>
      </c>
      <c r="Y124" s="40">
        <f t="shared" si="18"/>
        <v>3</v>
      </c>
      <c r="Z124" s="40">
        <f t="shared" si="19"/>
        <v>0</v>
      </c>
      <c r="AA124" s="40">
        <f t="shared" si="20"/>
        <v>0</v>
      </c>
      <c r="AB124" s="40">
        <f t="shared" si="21"/>
        <v>3</v>
      </c>
      <c r="AC124" s="41">
        <f t="shared" si="22"/>
        <v>0</v>
      </c>
      <c r="AD124" s="49"/>
      <c r="AE124" s="50"/>
      <c r="AF124" s="49"/>
      <c r="AG124" s="50"/>
      <c r="AH124" s="49"/>
      <c r="AI124" s="50"/>
      <c r="AJ124" s="49"/>
      <c r="AK124" s="50"/>
      <c r="AL124" s="49" t="s">
        <v>34</v>
      </c>
      <c r="AM124" s="50" t="s">
        <v>425</v>
      </c>
      <c r="AN124" s="49"/>
      <c r="AO124" s="50"/>
      <c r="AP124" s="49"/>
      <c r="AQ124" s="50"/>
      <c r="AR124" s="49" t="s">
        <v>34</v>
      </c>
      <c r="AS124" s="50" t="s">
        <v>118</v>
      </c>
      <c r="AT124" s="49"/>
      <c r="AU124" s="50"/>
      <c r="AV124" s="49"/>
      <c r="AW124" s="50"/>
      <c r="AX124" s="49" t="s">
        <v>32</v>
      </c>
      <c r="AY124" s="50" t="s">
        <v>711</v>
      </c>
      <c r="AZ124" s="49"/>
      <c r="BA124" s="50"/>
      <c r="BB124" s="49"/>
      <c r="BC124" s="50"/>
      <c r="BD124" s="49"/>
      <c r="BE124" s="50"/>
      <c r="BF124" s="49"/>
      <c r="BG124" s="50"/>
      <c r="BH124" s="49" t="s">
        <v>5</v>
      </c>
      <c r="BI124" s="50" t="s">
        <v>505</v>
      </c>
      <c r="BJ124" s="49"/>
      <c r="BK124" s="50"/>
      <c r="BL124" s="49" t="s">
        <v>5</v>
      </c>
      <c r="BM124" s="50" t="s">
        <v>89</v>
      </c>
      <c r="BN124" s="49" t="s">
        <v>34</v>
      </c>
      <c r="BO124" s="50" t="s">
        <v>152</v>
      </c>
      <c r="BP124" s="49"/>
      <c r="BQ124" s="50"/>
      <c r="BR124" s="49"/>
      <c r="BS124" s="50"/>
      <c r="BT124" s="49"/>
      <c r="BU124" s="50"/>
      <c r="BV124" s="49" t="s">
        <v>5</v>
      </c>
      <c r="BW124" s="50" t="s">
        <v>457</v>
      </c>
      <c r="BX124" s="49" t="s">
        <v>5</v>
      </c>
      <c r="BY124" s="50" t="s">
        <v>419</v>
      </c>
      <c r="BZ124" s="49" t="s">
        <v>34</v>
      </c>
      <c r="CA124" s="50" t="s">
        <v>124</v>
      </c>
    </row>
    <row r="125" spans="1:79" x14ac:dyDescent="0.25">
      <c r="A125" s="76">
        <v>151565</v>
      </c>
      <c r="B125" s="77" t="s">
        <v>846</v>
      </c>
      <c r="C125" s="78" t="s">
        <v>730</v>
      </c>
      <c r="D125" s="76" t="s">
        <v>12</v>
      </c>
      <c r="E125" s="79" t="s">
        <v>87</v>
      </c>
      <c r="F125" s="79" t="s">
        <v>88</v>
      </c>
      <c r="G125" s="79" t="s">
        <v>87</v>
      </c>
      <c r="H125" s="79" t="s">
        <v>87</v>
      </c>
      <c r="I125" s="78" t="s">
        <v>14</v>
      </c>
      <c r="J125" s="79" t="s">
        <v>14</v>
      </c>
      <c r="K125" s="142" t="s">
        <v>1850</v>
      </c>
      <c r="L125" s="149" t="s">
        <v>1844</v>
      </c>
      <c r="M125" s="150" t="s">
        <v>12</v>
      </c>
      <c r="N125" s="151">
        <v>20</v>
      </c>
      <c r="O125" s="151">
        <v>1</v>
      </c>
      <c r="P125" s="152">
        <v>2</v>
      </c>
      <c r="Q125" s="153">
        <v>71.739999999999995</v>
      </c>
      <c r="R125" s="154">
        <v>8</v>
      </c>
      <c r="S125" s="38">
        <f t="shared" si="12"/>
        <v>3</v>
      </c>
      <c r="T125" s="39">
        <f t="shared" si="13"/>
        <v>5</v>
      </c>
      <c r="U125" s="40">
        <f t="shared" si="14"/>
        <v>2</v>
      </c>
      <c r="V125" s="40">
        <f t="shared" si="15"/>
        <v>0</v>
      </c>
      <c r="W125" s="40">
        <f t="shared" si="16"/>
        <v>0</v>
      </c>
      <c r="X125" s="40">
        <f t="shared" si="17"/>
        <v>2</v>
      </c>
      <c r="Y125" s="40">
        <f t="shared" si="18"/>
        <v>0</v>
      </c>
      <c r="Z125" s="40">
        <f t="shared" si="19"/>
        <v>0</v>
      </c>
      <c r="AA125" s="40">
        <f t="shared" si="20"/>
        <v>0</v>
      </c>
      <c r="AB125" s="40">
        <f t="shared" si="21"/>
        <v>0</v>
      </c>
      <c r="AC125" s="41">
        <f t="shared" si="22"/>
        <v>0</v>
      </c>
      <c r="AD125" s="49"/>
      <c r="AE125" s="50"/>
      <c r="AF125" s="49" t="s">
        <v>30</v>
      </c>
      <c r="AG125" s="50" t="s">
        <v>154</v>
      </c>
      <c r="AH125" s="49"/>
      <c r="AI125" s="50"/>
      <c r="AJ125" s="49" t="s">
        <v>30</v>
      </c>
      <c r="AK125" s="50" t="s">
        <v>83</v>
      </c>
      <c r="AL125" s="49"/>
      <c r="AM125" s="50"/>
      <c r="AN125" s="49"/>
      <c r="AO125" s="50"/>
      <c r="AP125" s="49"/>
      <c r="AQ125" s="50"/>
      <c r="AR125" s="49" t="s">
        <v>5</v>
      </c>
      <c r="AS125" s="50" t="s">
        <v>74</v>
      </c>
      <c r="AT125" s="49"/>
      <c r="AU125" s="50"/>
      <c r="AV125" s="49"/>
      <c r="AW125" s="50"/>
      <c r="AX125" s="49" t="s">
        <v>5</v>
      </c>
      <c r="AY125" s="50" t="s">
        <v>133</v>
      </c>
      <c r="AZ125" s="49" t="s">
        <v>5</v>
      </c>
      <c r="BA125" s="50" t="s">
        <v>143</v>
      </c>
      <c r="BB125" s="49" t="s">
        <v>5</v>
      </c>
      <c r="BC125" s="50" t="s">
        <v>92</v>
      </c>
      <c r="BD125" s="49"/>
      <c r="BE125" s="50"/>
      <c r="BF125" s="49"/>
      <c r="BG125" s="50"/>
      <c r="BH125" s="49" t="s">
        <v>5</v>
      </c>
      <c r="BI125" s="50" t="s">
        <v>136</v>
      </c>
      <c r="BJ125" s="49"/>
      <c r="BK125" s="50"/>
      <c r="BL125" s="49"/>
      <c r="BM125" s="50"/>
      <c r="BN125" s="49" t="s">
        <v>1</v>
      </c>
      <c r="BO125" s="50" t="s">
        <v>96</v>
      </c>
      <c r="BP125" s="49"/>
      <c r="BQ125" s="50"/>
      <c r="BR125" s="49" t="s">
        <v>1</v>
      </c>
      <c r="BS125" s="50" t="s">
        <v>170</v>
      </c>
      <c r="BT125" s="49"/>
      <c r="BU125" s="50"/>
      <c r="BV125" s="49" t="s">
        <v>1</v>
      </c>
      <c r="BW125" s="50" t="s">
        <v>715</v>
      </c>
      <c r="BX125" s="49"/>
      <c r="BY125" s="50"/>
      <c r="BZ125" s="49"/>
      <c r="CA125" s="50"/>
    </row>
    <row r="126" spans="1:79" x14ac:dyDescent="0.25">
      <c r="A126" s="76">
        <v>151582</v>
      </c>
      <c r="B126" s="77" t="s">
        <v>847</v>
      </c>
      <c r="C126" s="78" t="s">
        <v>721</v>
      </c>
      <c r="D126" s="76" t="s">
        <v>12</v>
      </c>
      <c r="E126" s="79" t="s">
        <v>14</v>
      </c>
      <c r="F126" s="79" t="s">
        <v>71</v>
      </c>
      <c r="G126" s="79" t="s">
        <v>14</v>
      </c>
      <c r="H126" s="79" t="s">
        <v>14</v>
      </c>
      <c r="I126" s="78" t="s">
        <v>14</v>
      </c>
      <c r="J126" s="79" t="s">
        <v>14</v>
      </c>
      <c r="K126" s="142" t="s">
        <v>1850</v>
      </c>
      <c r="L126" s="149" t="s">
        <v>1844</v>
      </c>
      <c r="M126" s="150" t="s">
        <v>12</v>
      </c>
      <c r="N126" s="151">
        <v>25</v>
      </c>
      <c r="O126" s="151">
        <v>0</v>
      </c>
      <c r="P126" s="152">
        <v>1</v>
      </c>
      <c r="Q126" s="153">
        <v>97.83</v>
      </c>
      <c r="R126" s="154">
        <v>2</v>
      </c>
      <c r="S126" s="38">
        <f t="shared" si="12"/>
        <v>0</v>
      </c>
      <c r="T126" s="39">
        <f t="shared" si="13"/>
        <v>10</v>
      </c>
      <c r="U126" s="40">
        <f t="shared" si="14"/>
        <v>0</v>
      </c>
      <c r="V126" s="40">
        <f t="shared" si="15"/>
        <v>0</v>
      </c>
      <c r="W126" s="40">
        <f t="shared" si="16"/>
        <v>0</v>
      </c>
      <c r="X126" s="40">
        <f t="shared" si="17"/>
        <v>0</v>
      </c>
      <c r="Y126" s="40">
        <f t="shared" si="18"/>
        <v>0</v>
      </c>
      <c r="Z126" s="40">
        <f t="shared" si="19"/>
        <v>0</v>
      </c>
      <c r="AA126" s="40">
        <f t="shared" si="20"/>
        <v>0</v>
      </c>
      <c r="AB126" s="40">
        <f t="shared" si="21"/>
        <v>0</v>
      </c>
      <c r="AC126" s="41">
        <f t="shared" si="22"/>
        <v>0</v>
      </c>
      <c r="AD126" s="49"/>
      <c r="AE126" s="50"/>
      <c r="AF126" s="49" t="s">
        <v>5</v>
      </c>
      <c r="AG126" s="50" t="s">
        <v>133</v>
      </c>
      <c r="AH126" s="49"/>
      <c r="AI126" s="50"/>
      <c r="AJ126" s="49" t="s">
        <v>5</v>
      </c>
      <c r="AK126" s="50" t="s">
        <v>164</v>
      </c>
      <c r="AL126" s="49"/>
      <c r="AM126" s="50"/>
      <c r="AN126" s="49" t="s">
        <v>5</v>
      </c>
      <c r="AO126" s="50" t="s">
        <v>163</v>
      </c>
      <c r="AP126" s="49"/>
      <c r="AQ126" s="50"/>
      <c r="AR126" s="49" t="s">
        <v>5</v>
      </c>
      <c r="AS126" s="50" t="s">
        <v>478</v>
      </c>
      <c r="AT126" s="49"/>
      <c r="AU126" s="50"/>
      <c r="AV126" s="49"/>
      <c r="AW126" s="50"/>
      <c r="AX126" s="49" t="s">
        <v>5</v>
      </c>
      <c r="AY126" s="50" t="s">
        <v>101</v>
      </c>
      <c r="AZ126" s="49" t="s">
        <v>5</v>
      </c>
      <c r="BA126" s="50" t="s">
        <v>143</v>
      </c>
      <c r="BB126" s="49"/>
      <c r="BC126" s="50"/>
      <c r="BD126" s="49"/>
      <c r="BE126" s="50"/>
      <c r="BF126" s="49"/>
      <c r="BG126" s="50"/>
      <c r="BH126" s="49" t="s">
        <v>5</v>
      </c>
      <c r="BI126" s="50" t="s">
        <v>139</v>
      </c>
      <c r="BJ126" s="49"/>
      <c r="BK126" s="50"/>
      <c r="BL126" s="49"/>
      <c r="BM126" s="50"/>
      <c r="BN126" s="49" t="s">
        <v>5</v>
      </c>
      <c r="BO126" s="50" t="s">
        <v>107</v>
      </c>
      <c r="BP126" s="49"/>
      <c r="BQ126" s="50"/>
      <c r="BR126" s="49" t="s">
        <v>5</v>
      </c>
      <c r="BS126" s="50" t="s">
        <v>140</v>
      </c>
      <c r="BT126" s="49"/>
      <c r="BU126" s="50"/>
      <c r="BV126" s="49" t="s">
        <v>5</v>
      </c>
      <c r="BW126" s="50" t="s">
        <v>82</v>
      </c>
      <c r="BX126" s="49"/>
      <c r="BY126" s="50"/>
      <c r="BZ126" s="49"/>
      <c r="CA126" s="50"/>
    </row>
    <row r="127" spans="1:79" x14ac:dyDescent="0.25">
      <c r="A127" s="76">
        <v>151614</v>
      </c>
      <c r="B127" s="77" t="s">
        <v>848</v>
      </c>
      <c r="C127" s="78" t="s">
        <v>710</v>
      </c>
      <c r="D127" s="76" t="s">
        <v>70</v>
      </c>
      <c r="E127" s="79" t="s">
        <v>14</v>
      </c>
      <c r="F127" s="79" t="s">
        <v>71</v>
      </c>
      <c r="G127" s="79" t="s">
        <v>14</v>
      </c>
      <c r="H127" s="79" t="s">
        <v>14</v>
      </c>
      <c r="I127" s="78" t="s">
        <v>14</v>
      </c>
      <c r="J127" s="79" t="s">
        <v>14</v>
      </c>
      <c r="K127" s="142" t="s">
        <v>1850</v>
      </c>
      <c r="L127" s="149" t="s">
        <v>1842</v>
      </c>
      <c r="M127" s="150" t="s">
        <v>1853</v>
      </c>
      <c r="N127" s="151">
        <v>9</v>
      </c>
      <c r="O127" s="151">
        <v>0</v>
      </c>
      <c r="P127" s="152">
        <v>1</v>
      </c>
      <c r="Q127" s="153">
        <v>100</v>
      </c>
      <c r="R127" s="154">
        <v>0</v>
      </c>
      <c r="S127" s="38">
        <f t="shared" si="12"/>
        <v>3</v>
      </c>
      <c r="T127" s="39">
        <f t="shared" si="13"/>
        <v>6</v>
      </c>
      <c r="U127" s="40">
        <f t="shared" si="14"/>
        <v>0</v>
      </c>
      <c r="V127" s="40">
        <f t="shared" si="15"/>
        <v>0</v>
      </c>
      <c r="W127" s="40">
        <f t="shared" si="16"/>
        <v>0</v>
      </c>
      <c r="X127" s="40">
        <f t="shared" si="17"/>
        <v>0</v>
      </c>
      <c r="Y127" s="40">
        <f t="shared" si="18"/>
        <v>0</v>
      </c>
      <c r="Z127" s="40">
        <f t="shared" si="19"/>
        <v>0</v>
      </c>
      <c r="AA127" s="40">
        <f t="shared" si="20"/>
        <v>0</v>
      </c>
      <c r="AB127" s="40">
        <f t="shared" si="21"/>
        <v>0</v>
      </c>
      <c r="AC127" s="41">
        <f t="shared" si="22"/>
        <v>0</v>
      </c>
      <c r="AD127" s="49"/>
      <c r="AE127" s="50"/>
      <c r="AF127" s="49" t="s">
        <v>5</v>
      </c>
      <c r="AG127" s="50" t="s">
        <v>133</v>
      </c>
      <c r="AH127" s="49"/>
      <c r="AI127" s="50"/>
      <c r="AJ127" s="49" t="s">
        <v>5</v>
      </c>
      <c r="AK127" s="50" t="s">
        <v>164</v>
      </c>
      <c r="AL127" s="49"/>
      <c r="AM127" s="50"/>
      <c r="AN127" s="49"/>
      <c r="AO127" s="50"/>
      <c r="AP127" s="49"/>
      <c r="AQ127" s="50"/>
      <c r="AR127" s="49" t="s">
        <v>1</v>
      </c>
      <c r="AS127" s="50" t="s">
        <v>478</v>
      </c>
      <c r="AT127" s="49"/>
      <c r="AU127" s="50"/>
      <c r="AV127" s="49"/>
      <c r="AW127" s="50"/>
      <c r="AX127" s="49" t="s">
        <v>5</v>
      </c>
      <c r="AY127" s="50" t="s">
        <v>711</v>
      </c>
      <c r="AZ127" s="49"/>
      <c r="BA127" s="50"/>
      <c r="BB127" s="49"/>
      <c r="BC127" s="50"/>
      <c r="BD127" s="49"/>
      <c r="BE127" s="50"/>
      <c r="BF127" s="49"/>
      <c r="BG127" s="50"/>
      <c r="BH127" s="49" t="s">
        <v>5</v>
      </c>
      <c r="BI127" s="50" t="s">
        <v>430</v>
      </c>
      <c r="BJ127" s="49" t="s">
        <v>1</v>
      </c>
      <c r="BK127" s="50" t="s">
        <v>95</v>
      </c>
      <c r="BL127" s="49"/>
      <c r="BM127" s="50"/>
      <c r="BN127" s="49" t="s">
        <v>1</v>
      </c>
      <c r="BO127" s="50" t="s">
        <v>81</v>
      </c>
      <c r="BP127" s="49"/>
      <c r="BQ127" s="50"/>
      <c r="BR127" s="49" t="s">
        <v>5</v>
      </c>
      <c r="BS127" s="50" t="s">
        <v>140</v>
      </c>
      <c r="BT127" s="49"/>
      <c r="BU127" s="50"/>
      <c r="BV127" s="49" t="s">
        <v>5</v>
      </c>
      <c r="BW127" s="50" t="s">
        <v>97</v>
      </c>
      <c r="BX127" s="49"/>
      <c r="BY127" s="50"/>
      <c r="BZ127" s="49" t="s">
        <v>5</v>
      </c>
      <c r="CA127" s="50" t="s">
        <v>75</v>
      </c>
    </row>
    <row r="128" spans="1:79" x14ac:dyDescent="0.25">
      <c r="A128" s="76">
        <v>151724</v>
      </c>
      <c r="B128" s="77" t="s">
        <v>849</v>
      </c>
      <c r="C128" s="78" t="s">
        <v>732</v>
      </c>
      <c r="D128" s="76" t="s">
        <v>70</v>
      </c>
      <c r="E128" s="79" t="s">
        <v>14</v>
      </c>
      <c r="F128" s="79" t="s">
        <v>71</v>
      </c>
      <c r="G128" s="79" t="s">
        <v>14</v>
      </c>
      <c r="H128" s="79" t="s">
        <v>14</v>
      </c>
      <c r="I128" s="78" t="s">
        <v>14</v>
      </c>
      <c r="J128" s="79" t="s">
        <v>14</v>
      </c>
      <c r="K128" s="142" t="s">
        <v>1850</v>
      </c>
      <c r="L128" s="149" t="s">
        <v>1845</v>
      </c>
      <c r="M128" s="150" t="s">
        <v>12</v>
      </c>
      <c r="N128" s="151">
        <v>12</v>
      </c>
      <c r="O128" s="151">
        <v>1</v>
      </c>
      <c r="P128" s="152">
        <v>0</v>
      </c>
      <c r="Q128" s="153">
        <v>95.65</v>
      </c>
      <c r="R128" s="154">
        <v>1</v>
      </c>
      <c r="S128" s="38">
        <f t="shared" si="12"/>
        <v>0</v>
      </c>
      <c r="T128" s="39">
        <f t="shared" si="13"/>
        <v>9</v>
      </c>
      <c r="U128" s="40">
        <f t="shared" si="14"/>
        <v>0</v>
      </c>
      <c r="V128" s="40">
        <f t="shared" si="15"/>
        <v>0</v>
      </c>
      <c r="W128" s="40">
        <f t="shared" si="16"/>
        <v>0</v>
      </c>
      <c r="X128" s="40">
        <f t="shared" si="17"/>
        <v>0</v>
      </c>
      <c r="Y128" s="40">
        <f t="shared" si="18"/>
        <v>0</v>
      </c>
      <c r="Z128" s="40">
        <f t="shared" si="19"/>
        <v>0</v>
      </c>
      <c r="AA128" s="40">
        <f t="shared" si="20"/>
        <v>0</v>
      </c>
      <c r="AB128" s="40">
        <f t="shared" si="21"/>
        <v>0</v>
      </c>
      <c r="AC128" s="41">
        <f t="shared" si="22"/>
        <v>0</v>
      </c>
      <c r="AD128" s="49"/>
      <c r="AE128" s="50"/>
      <c r="AF128" s="49" t="s">
        <v>5</v>
      </c>
      <c r="AG128" s="50" t="s">
        <v>438</v>
      </c>
      <c r="AH128" s="49" t="s">
        <v>5</v>
      </c>
      <c r="AI128" s="50" t="s">
        <v>427</v>
      </c>
      <c r="AJ128" s="49" t="s">
        <v>5</v>
      </c>
      <c r="AK128" s="50" t="s">
        <v>83</v>
      </c>
      <c r="AL128" s="49"/>
      <c r="AM128" s="50"/>
      <c r="AN128" s="49"/>
      <c r="AO128" s="50"/>
      <c r="AP128" s="49"/>
      <c r="AQ128" s="50"/>
      <c r="AR128" s="49" t="s">
        <v>5</v>
      </c>
      <c r="AS128" s="50" t="s">
        <v>102</v>
      </c>
      <c r="AT128" s="49"/>
      <c r="AU128" s="50"/>
      <c r="AV128" s="49"/>
      <c r="AW128" s="50"/>
      <c r="AX128" s="49" t="s">
        <v>5</v>
      </c>
      <c r="AY128" s="50" t="s">
        <v>124</v>
      </c>
      <c r="AZ128" s="49"/>
      <c r="BA128" s="50"/>
      <c r="BB128" s="49"/>
      <c r="BC128" s="50"/>
      <c r="BD128" s="49"/>
      <c r="BE128" s="50"/>
      <c r="BF128" s="49"/>
      <c r="BG128" s="50"/>
      <c r="BH128" s="49" t="s">
        <v>5</v>
      </c>
      <c r="BI128" s="50" t="s">
        <v>430</v>
      </c>
      <c r="BJ128" s="49"/>
      <c r="BK128" s="50"/>
      <c r="BL128" s="49"/>
      <c r="BM128" s="50"/>
      <c r="BN128" s="49" t="s">
        <v>5</v>
      </c>
      <c r="BO128" s="50" t="s">
        <v>121</v>
      </c>
      <c r="BP128" s="49"/>
      <c r="BQ128" s="50"/>
      <c r="BR128" s="49" t="s">
        <v>5</v>
      </c>
      <c r="BS128" s="50" t="s">
        <v>123</v>
      </c>
      <c r="BT128" s="49"/>
      <c r="BU128" s="50"/>
      <c r="BV128" s="49" t="s">
        <v>5</v>
      </c>
      <c r="BW128" s="50" t="s">
        <v>82</v>
      </c>
      <c r="BX128" s="49"/>
      <c r="BY128" s="50"/>
      <c r="BZ128" s="49" t="s">
        <v>5</v>
      </c>
      <c r="CA128" s="50" t="s">
        <v>75</v>
      </c>
    </row>
    <row r="129" spans="1:79" x14ac:dyDescent="0.25">
      <c r="A129" s="76">
        <v>160035</v>
      </c>
      <c r="B129" s="77" t="s">
        <v>850</v>
      </c>
      <c r="C129" s="78" t="s">
        <v>725</v>
      </c>
      <c r="D129" s="76" t="s">
        <v>12</v>
      </c>
      <c r="E129" s="79" t="s">
        <v>87</v>
      </c>
      <c r="F129" s="79" t="s">
        <v>126</v>
      </c>
      <c r="G129" s="79" t="s">
        <v>14</v>
      </c>
      <c r="H129" s="79" t="s">
        <v>87</v>
      </c>
      <c r="I129" s="78" t="s">
        <v>14</v>
      </c>
      <c r="J129" s="79" t="s">
        <v>14</v>
      </c>
      <c r="K129" s="142" t="s">
        <v>1850</v>
      </c>
      <c r="L129" s="149" t="s">
        <v>1406</v>
      </c>
      <c r="M129" s="150" t="s">
        <v>1406</v>
      </c>
      <c r="N129" s="151">
        <v>11</v>
      </c>
      <c r="O129" s="151">
        <v>0</v>
      </c>
      <c r="P129" s="152">
        <v>0</v>
      </c>
      <c r="Q129" s="153">
        <v>100</v>
      </c>
      <c r="R129" s="154">
        <v>0</v>
      </c>
      <c r="S129" s="38">
        <f t="shared" si="12"/>
        <v>1</v>
      </c>
      <c r="T129" s="39">
        <f t="shared" si="13"/>
        <v>8</v>
      </c>
      <c r="U129" s="40">
        <f t="shared" si="14"/>
        <v>0</v>
      </c>
      <c r="V129" s="40">
        <f t="shared" si="15"/>
        <v>0</v>
      </c>
      <c r="W129" s="40">
        <f t="shared" si="16"/>
        <v>0</v>
      </c>
      <c r="X129" s="40">
        <f t="shared" si="17"/>
        <v>0</v>
      </c>
      <c r="Y129" s="40">
        <f t="shared" si="18"/>
        <v>0</v>
      </c>
      <c r="Z129" s="40">
        <f t="shared" si="19"/>
        <v>0</v>
      </c>
      <c r="AA129" s="40">
        <f t="shared" si="20"/>
        <v>0</v>
      </c>
      <c r="AB129" s="40">
        <f t="shared" si="21"/>
        <v>0</v>
      </c>
      <c r="AC129" s="41">
        <f t="shared" si="22"/>
        <v>0</v>
      </c>
      <c r="AD129" s="49"/>
      <c r="AE129" s="50"/>
      <c r="AF129" s="49" t="s">
        <v>5</v>
      </c>
      <c r="AG129" s="50" t="s">
        <v>438</v>
      </c>
      <c r="AH129" s="49"/>
      <c r="AI129" s="50"/>
      <c r="AJ129" s="49" t="s">
        <v>5</v>
      </c>
      <c r="AK129" s="50" t="s">
        <v>83</v>
      </c>
      <c r="AL129" s="49"/>
      <c r="AM129" s="50"/>
      <c r="AN129" s="49"/>
      <c r="AO129" s="50"/>
      <c r="AP129" s="49"/>
      <c r="AQ129" s="50"/>
      <c r="AR129" s="49" t="s">
        <v>5</v>
      </c>
      <c r="AS129" s="50" t="s">
        <v>169</v>
      </c>
      <c r="AT129" s="49"/>
      <c r="AU129" s="50"/>
      <c r="AV129" s="49"/>
      <c r="AW129" s="50"/>
      <c r="AX129" s="49" t="s">
        <v>5</v>
      </c>
      <c r="AY129" s="50" t="s">
        <v>109</v>
      </c>
      <c r="AZ129" s="49"/>
      <c r="BA129" s="50"/>
      <c r="BB129" s="49"/>
      <c r="BC129" s="50"/>
      <c r="BD129" s="49"/>
      <c r="BE129" s="50"/>
      <c r="BF129" s="49" t="s">
        <v>5</v>
      </c>
      <c r="BG129" s="50" t="s">
        <v>93</v>
      </c>
      <c r="BH129" s="49" t="s">
        <v>1</v>
      </c>
      <c r="BI129" s="50" t="s">
        <v>139</v>
      </c>
      <c r="BJ129" s="49"/>
      <c r="BK129" s="50"/>
      <c r="BL129" s="49"/>
      <c r="BM129" s="50"/>
      <c r="BN129" s="49" t="s">
        <v>5</v>
      </c>
      <c r="BO129" s="50" t="s">
        <v>96</v>
      </c>
      <c r="BP129" s="49"/>
      <c r="BQ129" s="50"/>
      <c r="BR129" s="49" t="s">
        <v>5</v>
      </c>
      <c r="BS129" s="50" t="s">
        <v>123</v>
      </c>
      <c r="BT129" s="49"/>
      <c r="BU129" s="50"/>
      <c r="BV129" s="49" t="s">
        <v>5</v>
      </c>
      <c r="BW129" s="50" t="s">
        <v>457</v>
      </c>
      <c r="BX129" s="49"/>
      <c r="BY129" s="50"/>
      <c r="BZ129" s="49"/>
      <c r="CA129" s="50"/>
    </row>
    <row r="130" spans="1:79" x14ac:dyDescent="0.25">
      <c r="A130" s="76">
        <v>151548</v>
      </c>
      <c r="B130" s="77" t="s">
        <v>851</v>
      </c>
      <c r="C130" s="78" t="s">
        <v>710</v>
      </c>
      <c r="D130" s="76" t="s">
        <v>70</v>
      </c>
      <c r="E130" s="79" t="s">
        <v>14</v>
      </c>
      <c r="F130" s="79" t="s">
        <v>71</v>
      </c>
      <c r="G130" s="79" t="s">
        <v>14</v>
      </c>
      <c r="H130" s="79" t="s">
        <v>14</v>
      </c>
      <c r="I130" s="78" t="s">
        <v>14</v>
      </c>
      <c r="J130" s="79" t="s">
        <v>14</v>
      </c>
      <c r="K130" s="142" t="s">
        <v>1850</v>
      </c>
      <c r="L130" s="149" t="s">
        <v>1842</v>
      </c>
      <c r="M130" s="150" t="s">
        <v>12</v>
      </c>
      <c r="N130" s="151">
        <v>10</v>
      </c>
      <c r="O130" s="151">
        <v>0</v>
      </c>
      <c r="P130" s="152">
        <v>1</v>
      </c>
      <c r="Q130" s="153">
        <v>91.3</v>
      </c>
      <c r="R130" s="154">
        <v>0</v>
      </c>
      <c r="S130" s="38">
        <f t="shared" ref="S130:S193" si="23">COUNTIF($AD130:$BY130,"Outstanding")</f>
        <v>3</v>
      </c>
      <c r="T130" s="39">
        <f t="shared" ref="T130:T193" si="24">COUNTIF($AD130:$BY130,"Good")</f>
        <v>5</v>
      </c>
      <c r="U130" s="40">
        <f t="shared" ref="U130:U193" si="25">COUNTIF($AD130:$BY130,"N2Improve - Engagement")</f>
        <v>0</v>
      </c>
      <c r="V130" s="40">
        <f t="shared" ref="V130:V193" si="26">COUNTIF($AD130:$BY130,"N2Improve - Community Conduct")</f>
        <v>0</v>
      </c>
      <c r="W130" s="40">
        <f t="shared" ref="W130:W193" si="27">COUNTIF($AD130:$BY130,"N2Improve - Personal Org.")</f>
        <v>0</v>
      </c>
      <c r="X130" s="40">
        <f t="shared" ref="X130:X193" si="28">SUM(U130:W130)</f>
        <v>0</v>
      </c>
      <c r="Y130" s="40">
        <f t="shared" ref="Y130:Y193" si="29">COUNTIF($AD130:$BY130,"Serious Conc - Engagement")</f>
        <v>0</v>
      </c>
      <c r="Z130" s="40">
        <f t="shared" ref="Z130:Z193" si="30">COUNTIF($AD130:$BY130,"Serious Conc - Comm. Concern")</f>
        <v>0</v>
      </c>
      <c r="AA130" s="40">
        <f t="shared" ref="AA130:AA193" si="31">COUNTIF($AD130:$BY130,"Serious Conc - Personal Org.")</f>
        <v>0</v>
      </c>
      <c r="AB130" s="40">
        <f t="shared" si="21"/>
        <v>0</v>
      </c>
      <c r="AC130" s="41">
        <f t="shared" si="22"/>
        <v>0</v>
      </c>
      <c r="AD130" s="49"/>
      <c r="AE130" s="50"/>
      <c r="AF130" s="49"/>
      <c r="AG130" s="50"/>
      <c r="AH130" s="49" t="s">
        <v>5</v>
      </c>
      <c r="AI130" s="50" t="s">
        <v>427</v>
      </c>
      <c r="AJ130" s="49"/>
      <c r="AK130" s="50"/>
      <c r="AL130" s="49"/>
      <c r="AM130" s="50"/>
      <c r="AN130" s="49"/>
      <c r="AO130" s="50"/>
      <c r="AP130" s="49"/>
      <c r="AQ130" s="50"/>
      <c r="AR130" s="49" t="s">
        <v>1</v>
      </c>
      <c r="AS130" s="50" t="s">
        <v>478</v>
      </c>
      <c r="AT130" s="49"/>
      <c r="AU130" s="50"/>
      <c r="AV130" s="49"/>
      <c r="AW130" s="50"/>
      <c r="AX130" s="49" t="s">
        <v>5</v>
      </c>
      <c r="AY130" s="50" t="s">
        <v>711</v>
      </c>
      <c r="AZ130" s="49"/>
      <c r="BA130" s="50"/>
      <c r="BB130" s="49"/>
      <c r="BC130" s="50"/>
      <c r="BD130" s="49"/>
      <c r="BE130" s="50"/>
      <c r="BF130" s="49"/>
      <c r="BG130" s="50"/>
      <c r="BH130" s="49" t="s">
        <v>1</v>
      </c>
      <c r="BI130" s="50" t="s">
        <v>136</v>
      </c>
      <c r="BJ130" s="49"/>
      <c r="BK130" s="50"/>
      <c r="BL130" s="49" t="s">
        <v>1</v>
      </c>
      <c r="BM130" s="50" t="s">
        <v>89</v>
      </c>
      <c r="BN130" s="49" t="s">
        <v>5</v>
      </c>
      <c r="BO130" s="50" t="s">
        <v>152</v>
      </c>
      <c r="BP130" s="49"/>
      <c r="BQ130" s="50"/>
      <c r="BR130" s="49"/>
      <c r="BS130" s="50"/>
      <c r="BT130" s="49"/>
      <c r="BU130" s="50"/>
      <c r="BV130" s="49" t="s">
        <v>5</v>
      </c>
      <c r="BW130" s="50" t="s">
        <v>122</v>
      </c>
      <c r="BX130" s="49" t="s">
        <v>5</v>
      </c>
      <c r="BY130" s="50" t="s">
        <v>206</v>
      </c>
      <c r="BZ130" s="49" t="s">
        <v>5</v>
      </c>
      <c r="CA130" s="50" t="s">
        <v>75</v>
      </c>
    </row>
    <row r="131" spans="1:79" x14ac:dyDescent="0.25">
      <c r="A131" s="76">
        <v>151708</v>
      </c>
      <c r="B131" s="77" t="s">
        <v>852</v>
      </c>
      <c r="C131" s="78" t="s">
        <v>721</v>
      </c>
      <c r="D131" s="76" t="s">
        <v>70</v>
      </c>
      <c r="E131" s="79" t="s">
        <v>14</v>
      </c>
      <c r="F131" s="79" t="s">
        <v>71</v>
      </c>
      <c r="G131" s="79" t="s">
        <v>14</v>
      </c>
      <c r="H131" s="79" t="s">
        <v>14</v>
      </c>
      <c r="I131" s="78" t="s">
        <v>14</v>
      </c>
      <c r="J131" s="79" t="s">
        <v>14</v>
      </c>
      <c r="K131" s="142" t="s">
        <v>1850</v>
      </c>
      <c r="L131" s="149" t="s">
        <v>1845</v>
      </c>
      <c r="M131" s="150" t="s">
        <v>12</v>
      </c>
      <c r="N131" s="151">
        <v>13</v>
      </c>
      <c r="O131" s="151">
        <v>2</v>
      </c>
      <c r="P131" s="152">
        <v>1</v>
      </c>
      <c r="Q131" s="153">
        <v>97.83</v>
      </c>
      <c r="R131" s="154">
        <v>13</v>
      </c>
      <c r="S131" s="38">
        <f t="shared" si="23"/>
        <v>1</v>
      </c>
      <c r="T131" s="39">
        <f t="shared" si="24"/>
        <v>7</v>
      </c>
      <c r="U131" s="40">
        <f t="shared" si="25"/>
        <v>1</v>
      </c>
      <c r="V131" s="40">
        <f t="shared" si="26"/>
        <v>0</v>
      </c>
      <c r="W131" s="40">
        <f t="shared" si="27"/>
        <v>0</v>
      </c>
      <c r="X131" s="40">
        <f t="shared" si="28"/>
        <v>1</v>
      </c>
      <c r="Y131" s="40">
        <f t="shared" si="29"/>
        <v>0</v>
      </c>
      <c r="Z131" s="40">
        <f t="shared" si="30"/>
        <v>0</v>
      </c>
      <c r="AA131" s="40">
        <f t="shared" si="31"/>
        <v>0</v>
      </c>
      <c r="AB131" s="40">
        <f t="shared" ref="AB131:AB194" si="32">SUM(Y131:AA131)</f>
        <v>0</v>
      </c>
      <c r="AC131" s="41">
        <f t="shared" ref="AC131:AC194" si="33">COUNTIF(AD131:CA131,"*still*")</f>
        <v>0</v>
      </c>
      <c r="AD131" s="49"/>
      <c r="AE131" s="50"/>
      <c r="AF131" s="49"/>
      <c r="AG131" s="50"/>
      <c r="AH131" s="49"/>
      <c r="AI131" s="50"/>
      <c r="AJ131" s="49"/>
      <c r="AK131" s="50"/>
      <c r="AL131" s="49" t="s">
        <v>30</v>
      </c>
      <c r="AM131" s="50" t="s">
        <v>425</v>
      </c>
      <c r="AN131" s="49"/>
      <c r="AO131" s="50"/>
      <c r="AP131" s="49"/>
      <c r="AQ131" s="50"/>
      <c r="AR131" s="49" t="s">
        <v>5</v>
      </c>
      <c r="AS131" s="50" t="s">
        <v>102</v>
      </c>
      <c r="AT131" s="49"/>
      <c r="AU131" s="50"/>
      <c r="AV131" s="49"/>
      <c r="AW131" s="50"/>
      <c r="AX131" s="49" t="s">
        <v>5</v>
      </c>
      <c r="AY131" s="50" t="s">
        <v>101</v>
      </c>
      <c r="AZ131" s="49" t="s">
        <v>5</v>
      </c>
      <c r="BA131" s="50" t="s">
        <v>103</v>
      </c>
      <c r="BB131" s="49"/>
      <c r="BC131" s="50"/>
      <c r="BD131" s="49"/>
      <c r="BE131" s="50"/>
      <c r="BF131" s="49"/>
      <c r="BG131" s="50"/>
      <c r="BH131" s="49" t="s">
        <v>1</v>
      </c>
      <c r="BI131" s="50" t="s">
        <v>94</v>
      </c>
      <c r="BJ131" s="49"/>
      <c r="BK131" s="50"/>
      <c r="BL131" s="49" t="s">
        <v>5</v>
      </c>
      <c r="BM131" s="50" t="s">
        <v>89</v>
      </c>
      <c r="BN131" s="49" t="s">
        <v>5</v>
      </c>
      <c r="BO131" s="50" t="s">
        <v>741</v>
      </c>
      <c r="BP131" s="49"/>
      <c r="BQ131" s="50"/>
      <c r="BR131" s="49"/>
      <c r="BS131" s="50"/>
      <c r="BT131" s="49"/>
      <c r="BU131" s="50"/>
      <c r="BV131" s="49" t="s">
        <v>5</v>
      </c>
      <c r="BW131" s="50" t="s">
        <v>602</v>
      </c>
      <c r="BX131" s="49" t="s">
        <v>5</v>
      </c>
      <c r="BY131" s="50" t="s">
        <v>206</v>
      </c>
      <c r="BZ131" s="49"/>
      <c r="CA131" s="50"/>
    </row>
    <row r="132" spans="1:79" x14ac:dyDescent="0.25">
      <c r="A132" s="76">
        <v>151581</v>
      </c>
      <c r="B132" s="77" t="s">
        <v>853</v>
      </c>
      <c r="C132" s="78" t="s">
        <v>721</v>
      </c>
      <c r="D132" s="76" t="s">
        <v>70</v>
      </c>
      <c r="E132" s="79" t="s">
        <v>14</v>
      </c>
      <c r="F132" s="79" t="s">
        <v>71</v>
      </c>
      <c r="G132" s="79" t="s">
        <v>14</v>
      </c>
      <c r="H132" s="79" t="s">
        <v>14</v>
      </c>
      <c r="I132" s="78" t="s">
        <v>14</v>
      </c>
      <c r="J132" s="79" t="s">
        <v>14</v>
      </c>
      <c r="K132" s="142" t="s">
        <v>1850</v>
      </c>
      <c r="L132" s="149" t="s">
        <v>1848</v>
      </c>
      <c r="M132" s="150" t="s">
        <v>1852</v>
      </c>
      <c r="N132" s="151">
        <v>19</v>
      </c>
      <c r="O132" s="151">
        <v>4</v>
      </c>
      <c r="P132" s="152">
        <v>1</v>
      </c>
      <c r="Q132" s="153">
        <v>86.96</v>
      </c>
      <c r="R132" s="154">
        <v>8</v>
      </c>
      <c r="S132" s="38">
        <f t="shared" si="23"/>
        <v>2</v>
      </c>
      <c r="T132" s="39">
        <f t="shared" si="24"/>
        <v>6</v>
      </c>
      <c r="U132" s="40">
        <f t="shared" si="25"/>
        <v>1</v>
      </c>
      <c r="V132" s="40">
        <f t="shared" si="26"/>
        <v>0</v>
      </c>
      <c r="W132" s="40">
        <f t="shared" si="27"/>
        <v>0</v>
      </c>
      <c r="X132" s="40">
        <f t="shared" si="28"/>
        <v>1</v>
      </c>
      <c r="Y132" s="40">
        <f t="shared" si="29"/>
        <v>0</v>
      </c>
      <c r="Z132" s="40">
        <f t="shared" si="30"/>
        <v>0</v>
      </c>
      <c r="AA132" s="40">
        <f t="shared" si="31"/>
        <v>0</v>
      </c>
      <c r="AB132" s="40">
        <f t="shared" si="32"/>
        <v>0</v>
      </c>
      <c r="AC132" s="41">
        <f t="shared" si="33"/>
        <v>0</v>
      </c>
      <c r="AD132" s="49"/>
      <c r="AE132" s="50"/>
      <c r="AF132" s="49"/>
      <c r="AG132" s="50"/>
      <c r="AH132" s="49"/>
      <c r="AI132" s="50"/>
      <c r="AJ132" s="49"/>
      <c r="AK132" s="50"/>
      <c r="AL132" s="49"/>
      <c r="AM132" s="50"/>
      <c r="AN132" s="49"/>
      <c r="AO132" s="50"/>
      <c r="AP132" s="49"/>
      <c r="AQ132" s="50"/>
      <c r="AR132" s="49" t="s">
        <v>5</v>
      </c>
      <c r="AS132" s="50" t="s">
        <v>169</v>
      </c>
      <c r="AT132" s="49"/>
      <c r="AU132" s="50"/>
      <c r="AV132" s="49" t="s">
        <v>5</v>
      </c>
      <c r="AW132" s="50" t="s">
        <v>73</v>
      </c>
      <c r="AX132" s="49" t="s">
        <v>5</v>
      </c>
      <c r="AY132" s="50" t="s">
        <v>101</v>
      </c>
      <c r="AZ132" s="49" t="s">
        <v>5</v>
      </c>
      <c r="BA132" s="50" t="s">
        <v>143</v>
      </c>
      <c r="BB132" s="49"/>
      <c r="BC132" s="50"/>
      <c r="BD132" s="49" t="s">
        <v>1</v>
      </c>
      <c r="BE132" s="50" t="s">
        <v>436</v>
      </c>
      <c r="BF132" s="49"/>
      <c r="BG132" s="50"/>
      <c r="BH132" s="49" t="s">
        <v>5</v>
      </c>
      <c r="BI132" s="50" t="s">
        <v>505</v>
      </c>
      <c r="BJ132" s="49"/>
      <c r="BK132" s="50"/>
      <c r="BL132" s="49"/>
      <c r="BM132" s="50"/>
      <c r="BN132" s="49" t="s">
        <v>30</v>
      </c>
      <c r="BO132" s="50" t="s">
        <v>152</v>
      </c>
      <c r="BP132" s="49"/>
      <c r="BQ132" s="50"/>
      <c r="BR132" s="49"/>
      <c r="BS132" s="50"/>
      <c r="BT132" s="49"/>
      <c r="BU132" s="50"/>
      <c r="BV132" s="49" t="s">
        <v>1</v>
      </c>
      <c r="BW132" s="50" t="s">
        <v>715</v>
      </c>
      <c r="BX132" s="49" t="s">
        <v>5</v>
      </c>
      <c r="BY132" s="50" t="s">
        <v>206</v>
      </c>
      <c r="BZ132" s="49"/>
      <c r="CA132" s="50"/>
    </row>
    <row r="133" spans="1:79" x14ac:dyDescent="0.25">
      <c r="A133" s="76">
        <v>151689</v>
      </c>
      <c r="B133" s="77" t="s">
        <v>854</v>
      </c>
      <c r="C133" s="78" t="s">
        <v>730</v>
      </c>
      <c r="D133" s="76" t="s">
        <v>70</v>
      </c>
      <c r="E133" s="79" t="s">
        <v>14</v>
      </c>
      <c r="F133" s="79" t="s">
        <v>88</v>
      </c>
      <c r="G133" s="79" t="s">
        <v>14</v>
      </c>
      <c r="H133" s="79" t="s">
        <v>14</v>
      </c>
      <c r="I133" s="78" t="s">
        <v>14</v>
      </c>
      <c r="J133" s="79" t="s">
        <v>14</v>
      </c>
      <c r="K133" s="142" t="s">
        <v>1851</v>
      </c>
      <c r="L133" s="149" t="s">
        <v>1845</v>
      </c>
      <c r="M133" s="150" t="s">
        <v>1852</v>
      </c>
      <c r="N133" s="151">
        <v>16</v>
      </c>
      <c r="O133" s="151">
        <v>0</v>
      </c>
      <c r="P133" s="152">
        <v>1</v>
      </c>
      <c r="Q133" s="153">
        <v>97.83</v>
      </c>
      <c r="R133" s="154">
        <v>5</v>
      </c>
      <c r="S133" s="38">
        <f t="shared" si="23"/>
        <v>3</v>
      </c>
      <c r="T133" s="39">
        <f t="shared" si="24"/>
        <v>7</v>
      </c>
      <c r="U133" s="40">
        <f t="shared" si="25"/>
        <v>0</v>
      </c>
      <c r="V133" s="40">
        <f t="shared" si="26"/>
        <v>0</v>
      </c>
      <c r="W133" s="40">
        <f t="shared" si="27"/>
        <v>0</v>
      </c>
      <c r="X133" s="40">
        <f t="shared" si="28"/>
        <v>0</v>
      </c>
      <c r="Y133" s="40">
        <f t="shared" si="29"/>
        <v>0</v>
      </c>
      <c r="Z133" s="40">
        <f t="shared" si="30"/>
        <v>0</v>
      </c>
      <c r="AA133" s="40">
        <f t="shared" si="31"/>
        <v>0</v>
      </c>
      <c r="AB133" s="40">
        <f t="shared" si="32"/>
        <v>0</v>
      </c>
      <c r="AC133" s="41">
        <f t="shared" si="33"/>
        <v>0</v>
      </c>
      <c r="AD133" s="49"/>
      <c r="AE133" s="50"/>
      <c r="AF133" s="49" t="s">
        <v>5</v>
      </c>
      <c r="AG133" s="50" t="s">
        <v>154</v>
      </c>
      <c r="AH133" s="49"/>
      <c r="AI133" s="50"/>
      <c r="AJ133" s="49" t="s">
        <v>5</v>
      </c>
      <c r="AK133" s="50" t="s">
        <v>83</v>
      </c>
      <c r="AL133" s="49" t="s">
        <v>5</v>
      </c>
      <c r="AM133" s="50" t="s">
        <v>425</v>
      </c>
      <c r="AN133" s="49"/>
      <c r="AO133" s="50"/>
      <c r="AP133" s="49"/>
      <c r="AQ133" s="50"/>
      <c r="AR133" s="49" t="s">
        <v>5</v>
      </c>
      <c r="AS133" s="50" t="s">
        <v>111</v>
      </c>
      <c r="AT133" s="49"/>
      <c r="AU133" s="50"/>
      <c r="AV133" s="49"/>
      <c r="AW133" s="50"/>
      <c r="AX133" s="49" t="s">
        <v>5</v>
      </c>
      <c r="AY133" s="50" t="s">
        <v>133</v>
      </c>
      <c r="AZ133" s="49" t="s">
        <v>5</v>
      </c>
      <c r="BA133" s="50" t="s">
        <v>143</v>
      </c>
      <c r="BB133" s="49"/>
      <c r="BC133" s="50"/>
      <c r="BD133" s="49"/>
      <c r="BE133" s="50"/>
      <c r="BF133" s="49"/>
      <c r="BG133" s="50"/>
      <c r="BH133" s="49" t="s">
        <v>1</v>
      </c>
      <c r="BI133" s="50" t="s">
        <v>94</v>
      </c>
      <c r="BJ133" s="49"/>
      <c r="BK133" s="50"/>
      <c r="BL133" s="49"/>
      <c r="BM133" s="50"/>
      <c r="BN133" s="49" t="s">
        <v>1</v>
      </c>
      <c r="BO133" s="50" t="s">
        <v>81</v>
      </c>
      <c r="BP133" s="49"/>
      <c r="BQ133" s="50"/>
      <c r="BR133" s="49" t="s">
        <v>1</v>
      </c>
      <c r="BS133" s="50" t="s">
        <v>170</v>
      </c>
      <c r="BT133" s="49"/>
      <c r="BU133" s="50"/>
      <c r="BV133" s="49" t="s">
        <v>5</v>
      </c>
      <c r="BW133" s="50" t="s">
        <v>602</v>
      </c>
      <c r="BX133" s="49"/>
      <c r="BY133" s="50"/>
      <c r="BZ133" s="49"/>
      <c r="CA133" s="50"/>
    </row>
    <row r="134" spans="1:79" x14ac:dyDescent="0.25">
      <c r="A134" s="76">
        <v>151564</v>
      </c>
      <c r="B134" s="77" t="s">
        <v>855</v>
      </c>
      <c r="C134" s="78" t="s">
        <v>721</v>
      </c>
      <c r="D134" s="76" t="s">
        <v>70</v>
      </c>
      <c r="E134" s="79" t="s">
        <v>14</v>
      </c>
      <c r="F134" s="79" t="s">
        <v>71</v>
      </c>
      <c r="G134" s="79" t="s">
        <v>14</v>
      </c>
      <c r="H134" s="79" t="s">
        <v>14</v>
      </c>
      <c r="I134" s="78" t="s">
        <v>14</v>
      </c>
      <c r="J134" s="79" t="s">
        <v>14</v>
      </c>
      <c r="K134" s="142" t="s">
        <v>1850</v>
      </c>
      <c r="L134" s="149" t="s">
        <v>1844</v>
      </c>
      <c r="M134" s="150" t="s">
        <v>12</v>
      </c>
      <c r="N134" s="151">
        <v>20</v>
      </c>
      <c r="O134" s="151">
        <v>0</v>
      </c>
      <c r="P134" s="152">
        <v>1</v>
      </c>
      <c r="Q134" s="153">
        <v>91.3</v>
      </c>
      <c r="R134" s="154">
        <v>0</v>
      </c>
      <c r="S134" s="38">
        <f t="shared" si="23"/>
        <v>3</v>
      </c>
      <c r="T134" s="39">
        <f t="shared" si="24"/>
        <v>6</v>
      </c>
      <c r="U134" s="40">
        <f t="shared" si="25"/>
        <v>0</v>
      </c>
      <c r="V134" s="40">
        <f t="shared" si="26"/>
        <v>0</v>
      </c>
      <c r="W134" s="40">
        <f t="shared" si="27"/>
        <v>0</v>
      </c>
      <c r="X134" s="40">
        <f t="shared" si="28"/>
        <v>0</v>
      </c>
      <c r="Y134" s="40">
        <f t="shared" si="29"/>
        <v>0</v>
      </c>
      <c r="Z134" s="40">
        <f t="shared" si="30"/>
        <v>0</v>
      </c>
      <c r="AA134" s="40">
        <f t="shared" si="31"/>
        <v>0</v>
      </c>
      <c r="AB134" s="40">
        <f t="shared" si="32"/>
        <v>0</v>
      </c>
      <c r="AC134" s="41">
        <f t="shared" si="33"/>
        <v>0</v>
      </c>
      <c r="AD134" s="49"/>
      <c r="AE134" s="50"/>
      <c r="AF134" s="49"/>
      <c r="AG134" s="50"/>
      <c r="AH134" s="49"/>
      <c r="AI134" s="50"/>
      <c r="AJ134" s="49"/>
      <c r="AK134" s="50"/>
      <c r="AL134" s="49" t="s">
        <v>1</v>
      </c>
      <c r="AM134" s="50" t="s">
        <v>425</v>
      </c>
      <c r="AN134" s="49"/>
      <c r="AO134" s="50"/>
      <c r="AP134" s="49" t="s">
        <v>5</v>
      </c>
      <c r="AQ134" s="50" t="s">
        <v>101</v>
      </c>
      <c r="AR134" s="49" t="s">
        <v>1</v>
      </c>
      <c r="AS134" s="50" t="s">
        <v>74</v>
      </c>
      <c r="AT134" s="49"/>
      <c r="AU134" s="50"/>
      <c r="AV134" s="49"/>
      <c r="AW134" s="50"/>
      <c r="AX134" s="49" t="s">
        <v>5</v>
      </c>
      <c r="AY134" s="50" t="s">
        <v>101</v>
      </c>
      <c r="AZ134" s="49" t="s">
        <v>5</v>
      </c>
      <c r="BA134" s="50" t="s">
        <v>143</v>
      </c>
      <c r="BB134" s="49"/>
      <c r="BC134" s="50"/>
      <c r="BD134" s="49"/>
      <c r="BE134" s="50"/>
      <c r="BF134" s="49"/>
      <c r="BG134" s="50"/>
      <c r="BH134" s="49" t="s">
        <v>5</v>
      </c>
      <c r="BI134" s="50" t="s">
        <v>505</v>
      </c>
      <c r="BJ134" s="49"/>
      <c r="BK134" s="50"/>
      <c r="BL134" s="49"/>
      <c r="BM134" s="50"/>
      <c r="BN134" s="49" t="s">
        <v>5</v>
      </c>
      <c r="BO134" s="50" t="s">
        <v>741</v>
      </c>
      <c r="BP134" s="49"/>
      <c r="BQ134" s="50"/>
      <c r="BR134" s="49"/>
      <c r="BS134" s="50"/>
      <c r="BT134" s="49"/>
      <c r="BU134" s="50"/>
      <c r="BV134" s="49" t="s">
        <v>1</v>
      </c>
      <c r="BW134" s="50" t="s">
        <v>715</v>
      </c>
      <c r="BX134" s="49" t="s">
        <v>5</v>
      </c>
      <c r="BY134" s="50" t="s">
        <v>206</v>
      </c>
      <c r="BZ134" s="49"/>
      <c r="CA134" s="50"/>
    </row>
    <row r="135" spans="1:79" x14ac:dyDescent="0.25">
      <c r="A135" s="76">
        <v>151559</v>
      </c>
      <c r="B135" s="77" t="s">
        <v>856</v>
      </c>
      <c r="C135" s="78" t="s">
        <v>710</v>
      </c>
      <c r="D135" s="76" t="s">
        <v>70</v>
      </c>
      <c r="E135" s="79" t="s">
        <v>87</v>
      </c>
      <c r="F135" s="79" t="s">
        <v>88</v>
      </c>
      <c r="G135" s="79" t="s">
        <v>14</v>
      </c>
      <c r="H135" s="79" t="s">
        <v>87</v>
      </c>
      <c r="I135" s="78" t="s">
        <v>14</v>
      </c>
      <c r="J135" s="79" t="s">
        <v>14</v>
      </c>
      <c r="K135" s="142" t="s">
        <v>1850</v>
      </c>
      <c r="L135" s="149" t="s">
        <v>1845</v>
      </c>
      <c r="M135" s="150" t="s">
        <v>12</v>
      </c>
      <c r="N135" s="151">
        <v>14</v>
      </c>
      <c r="O135" s="151">
        <v>0</v>
      </c>
      <c r="P135" s="152">
        <v>1</v>
      </c>
      <c r="Q135" s="153">
        <v>100</v>
      </c>
      <c r="R135" s="154">
        <v>0</v>
      </c>
      <c r="S135" s="38">
        <f t="shared" si="23"/>
        <v>5</v>
      </c>
      <c r="T135" s="39">
        <f t="shared" si="24"/>
        <v>4</v>
      </c>
      <c r="U135" s="40">
        <f t="shared" si="25"/>
        <v>0</v>
      </c>
      <c r="V135" s="40">
        <f t="shared" si="26"/>
        <v>0</v>
      </c>
      <c r="W135" s="40">
        <f t="shared" si="27"/>
        <v>0</v>
      </c>
      <c r="X135" s="40">
        <f t="shared" si="28"/>
        <v>0</v>
      </c>
      <c r="Y135" s="40">
        <f t="shared" si="29"/>
        <v>0</v>
      </c>
      <c r="Z135" s="40">
        <f t="shared" si="30"/>
        <v>0</v>
      </c>
      <c r="AA135" s="40">
        <f t="shared" si="31"/>
        <v>0</v>
      </c>
      <c r="AB135" s="40">
        <f t="shared" si="32"/>
        <v>0</v>
      </c>
      <c r="AC135" s="41">
        <f t="shared" si="33"/>
        <v>0</v>
      </c>
      <c r="AD135" s="49"/>
      <c r="AE135" s="50"/>
      <c r="AF135" s="49" t="s">
        <v>5</v>
      </c>
      <c r="AG135" s="50" t="s">
        <v>154</v>
      </c>
      <c r="AH135" s="49"/>
      <c r="AI135" s="50"/>
      <c r="AJ135" s="49" t="s">
        <v>5</v>
      </c>
      <c r="AK135" s="50" t="s">
        <v>83</v>
      </c>
      <c r="AL135" s="49"/>
      <c r="AM135" s="50"/>
      <c r="AN135" s="49"/>
      <c r="AO135" s="50"/>
      <c r="AP135" s="49"/>
      <c r="AQ135" s="50"/>
      <c r="AR135" s="49" t="s">
        <v>5</v>
      </c>
      <c r="AS135" s="50" t="s">
        <v>102</v>
      </c>
      <c r="AT135" s="49"/>
      <c r="AU135" s="50"/>
      <c r="AV135" s="49"/>
      <c r="AW135" s="50"/>
      <c r="AX135" s="49" t="s">
        <v>5</v>
      </c>
      <c r="AY135" s="50" t="s">
        <v>711</v>
      </c>
      <c r="AZ135" s="49"/>
      <c r="BA135" s="50"/>
      <c r="BB135" s="49"/>
      <c r="BC135" s="50"/>
      <c r="BD135" s="49" t="s">
        <v>1</v>
      </c>
      <c r="BE135" s="50" t="s">
        <v>436</v>
      </c>
      <c r="BF135" s="49"/>
      <c r="BG135" s="50"/>
      <c r="BH135" s="49" t="s">
        <v>1</v>
      </c>
      <c r="BI135" s="50" t="s">
        <v>94</v>
      </c>
      <c r="BJ135" s="49"/>
      <c r="BK135" s="50"/>
      <c r="BL135" s="49"/>
      <c r="BM135" s="50"/>
      <c r="BN135" s="49" t="s">
        <v>1</v>
      </c>
      <c r="BO135" s="50" t="s">
        <v>741</v>
      </c>
      <c r="BP135" s="49"/>
      <c r="BQ135" s="50"/>
      <c r="BR135" s="49" t="s">
        <v>1</v>
      </c>
      <c r="BS135" s="50" t="s">
        <v>170</v>
      </c>
      <c r="BT135" s="49"/>
      <c r="BU135" s="50"/>
      <c r="BV135" s="49" t="s">
        <v>1</v>
      </c>
      <c r="BW135" s="50" t="s">
        <v>97</v>
      </c>
      <c r="BX135" s="49"/>
      <c r="BY135" s="50"/>
      <c r="BZ135" s="49" t="s">
        <v>5</v>
      </c>
      <c r="CA135" s="50" t="s">
        <v>75</v>
      </c>
    </row>
    <row r="136" spans="1:79" x14ac:dyDescent="0.25">
      <c r="A136" s="76">
        <v>151713</v>
      </c>
      <c r="B136" s="77" t="s">
        <v>857</v>
      </c>
      <c r="C136" s="78" t="s">
        <v>736</v>
      </c>
      <c r="D136" s="76" t="s">
        <v>12</v>
      </c>
      <c r="E136" s="79" t="s">
        <v>14</v>
      </c>
      <c r="F136" s="79" t="s">
        <v>71</v>
      </c>
      <c r="G136" s="79" t="s">
        <v>14</v>
      </c>
      <c r="H136" s="79" t="s">
        <v>14</v>
      </c>
      <c r="I136" s="78" t="s">
        <v>14</v>
      </c>
      <c r="J136" s="79" t="s">
        <v>14</v>
      </c>
      <c r="K136" s="142" t="s">
        <v>1851</v>
      </c>
      <c r="L136" s="149" t="s">
        <v>1844</v>
      </c>
      <c r="M136" s="150" t="s">
        <v>12</v>
      </c>
      <c r="N136" s="151">
        <v>9</v>
      </c>
      <c r="O136" s="151">
        <v>11</v>
      </c>
      <c r="P136" s="152">
        <v>4</v>
      </c>
      <c r="Q136" s="153">
        <v>95.65</v>
      </c>
      <c r="R136" s="154">
        <v>2</v>
      </c>
      <c r="S136" s="38">
        <f t="shared" si="23"/>
        <v>0</v>
      </c>
      <c r="T136" s="39">
        <f t="shared" si="24"/>
        <v>6</v>
      </c>
      <c r="U136" s="40">
        <f t="shared" si="25"/>
        <v>2</v>
      </c>
      <c r="V136" s="40">
        <f t="shared" si="26"/>
        <v>1</v>
      </c>
      <c r="W136" s="40">
        <f t="shared" si="27"/>
        <v>0</v>
      </c>
      <c r="X136" s="40">
        <f t="shared" si="28"/>
        <v>3</v>
      </c>
      <c r="Y136" s="40">
        <f t="shared" si="29"/>
        <v>0</v>
      </c>
      <c r="Z136" s="40">
        <f t="shared" si="30"/>
        <v>0</v>
      </c>
      <c r="AA136" s="40">
        <f t="shared" si="31"/>
        <v>0</v>
      </c>
      <c r="AB136" s="40">
        <f t="shared" si="32"/>
        <v>0</v>
      </c>
      <c r="AC136" s="41">
        <f t="shared" si="33"/>
        <v>0</v>
      </c>
      <c r="AD136" s="49"/>
      <c r="AE136" s="50"/>
      <c r="AF136" s="49" t="s">
        <v>31</v>
      </c>
      <c r="AG136" s="50" t="s">
        <v>433</v>
      </c>
      <c r="AH136" s="49"/>
      <c r="AI136" s="50"/>
      <c r="AJ136" s="49" t="s">
        <v>5</v>
      </c>
      <c r="AK136" s="50" t="s">
        <v>714</v>
      </c>
      <c r="AL136" s="49"/>
      <c r="AM136" s="50"/>
      <c r="AN136" s="49"/>
      <c r="AO136" s="50"/>
      <c r="AP136" s="49"/>
      <c r="AQ136" s="50"/>
      <c r="AR136" s="49" t="s">
        <v>5</v>
      </c>
      <c r="AS136" s="50" t="s">
        <v>74</v>
      </c>
      <c r="AT136" s="49"/>
      <c r="AU136" s="50"/>
      <c r="AV136" s="49"/>
      <c r="AW136" s="50"/>
      <c r="AX136" s="49" t="s">
        <v>5</v>
      </c>
      <c r="AY136" s="50" t="s">
        <v>91</v>
      </c>
      <c r="AZ136" s="49"/>
      <c r="BA136" s="50"/>
      <c r="BB136" s="49"/>
      <c r="BC136" s="50"/>
      <c r="BD136" s="49"/>
      <c r="BE136" s="50"/>
      <c r="BF136" s="49"/>
      <c r="BG136" s="50"/>
      <c r="BH136" s="49" t="s">
        <v>5</v>
      </c>
      <c r="BI136" s="50" t="s">
        <v>430</v>
      </c>
      <c r="BJ136" s="49"/>
      <c r="BK136" s="50"/>
      <c r="BL136" s="49"/>
      <c r="BM136" s="50"/>
      <c r="BN136" s="49" t="s">
        <v>30</v>
      </c>
      <c r="BO136" s="50" t="s">
        <v>96</v>
      </c>
      <c r="BP136" s="49" t="s">
        <v>30</v>
      </c>
      <c r="BQ136" s="50" t="s">
        <v>96</v>
      </c>
      <c r="BR136" s="49" t="s">
        <v>5</v>
      </c>
      <c r="BS136" s="50" t="s">
        <v>123</v>
      </c>
      <c r="BT136" s="49"/>
      <c r="BU136" s="50"/>
      <c r="BV136" s="49" t="s">
        <v>5</v>
      </c>
      <c r="BW136" s="50" t="s">
        <v>457</v>
      </c>
      <c r="BX136" s="49"/>
      <c r="BY136" s="50"/>
      <c r="BZ136" s="49" t="s">
        <v>32</v>
      </c>
      <c r="CA136" s="50" t="s">
        <v>124</v>
      </c>
    </row>
    <row r="137" spans="1:79" x14ac:dyDescent="0.25">
      <c r="A137" s="76">
        <v>151676</v>
      </c>
      <c r="B137" s="77" t="s">
        <v>858</v>
      </c>
      <c r="C137" s="78" t="s">
        <v>710</v>
      </c>
      <c r="D137" s="76" t="s">
        <v>70</v>
      </c>
      <c r="E137" s="79" t="s">
        <v>14</v>
      </c>
      <c r="F137" s="79" t="s">
        <v>71</v>
      </c>
      <c r="G137" s="79" t="s">
        <v>14</v>
      </c>
      <c r="H137" s="79" t="s">
        <v>14</v>
      </c>
      <c r="I137" s="78" t="s">
        <v>14</v>
      </c>
      <c r="J137" s="79" t="s">
        <v>14</v>
      </c>
      <c r="K137" s="142" t="s">
        <v>1850</v>
      </c>
      <c r="L137" s="149" t="s">
        <v>1842</v>
      </c>
      <c r="M137" s="150" t="s">
        <v>12</v>
      </c>
      <c r="N137" s="151">
        <v>7</v>
      </c>
      <c r="O137" s="151">
        <v>0</v>
      </c>
      <c r="P137" s="152">
        <v>0</v>
      </c>
      <c r="Q137" s="153">
        <v>100</v>
      </c>
      <c r="R137" s="154">
        <v>0</v>
      </c>
      <c r="S137" s="38">
        <f t="shared" si="23"/>
        <v>2</v>
      </c>
      <c r="T137" s="39">
        <f t="shared" si="24"/>
        <v>6</v>
      </c>
      <c r="U137" s="40">
        <f t="shared" si="25"/>
        <v>0</v>
      </c>
      <c r="V137" s="40">
        <f t="shared" si="26"/>
        <v>0</v>
      </c>
      <c r="W137" s="40">
        <f t="shared" si="27"/>
        <v>0</v>
      </c>
      <c r="X137" s="40">
        <f t="shared" si="28"/>
        <v>0</v>
      </c>
      <c r="Y137" s="40">
        <f t="shared" si="29"/>
        <v>0</v>
      </c>
      <c r="Z137" s="40">
        <f t="shared" si="30"/>
        <v>0</v>
      </c>
      <c r="AA137" s="40">
        <f t="shared" si="31"/>
        <v>0</v>
      </c>
      <c r="AB137" s="40">
        <f t="shared" si="32"/>
        <v>0</v>
      </c>
      <c r="AC137" s="41">
        <f t="shared" si="33"/>
        <v>0</v>
      </c>
      <c r="AD137" s="49"/>
      <c r="AE137" s="50"/>
      <c r="AF137" s="49"/>
      <c r="AG137" s="50"/>
      <c r="AH137" s="49"/>
      <c r="AI137" s="50"/>
      <c r="AJ137" s="49"/>
      <c r="AK137" s="50"/>
      <c r="AL137" s="49"/>
      <c r="AM137" s="50"/>
      <c r="AN137" s="49"/>
      <c r="AO137" s="50"/>
      <c r="AP137" s="49" t="s">
        <v>1</v>
      </c>
      <c r="AQ137" s="50" t="s">
        <v>101</v>
      </c>
      <c r="AR137" s="49" t="s">
        <v>5</v>
      </c>
      <c r="AS137" s="50" t="s">
        <v>478</v>
      </c>
      <c r="AT137" s="49"/>
      <c r="AU137" s="50"/>
      <c r="AV137" s="49"/>
      <c r="AW137" s="50"/>
      <c r="AX137" s="49" t="s">
        <v>5</v>
      </c>
      <c r="AY137" s="50" t="s">
        <v>711</v>
      </c>
      <c r="AZ137" s="49"/>
      <c r="BA137" s="50"/>
      <c r="BB137" s="49" t="s">
        <v>5</v>
      </c>
      <c r="BC137" s="50" t="s">
        <v>92</v>
      </c>
      <c r="BD137" s="49"/>
      <c r="BE137" s="50"/>
      <c r="BF137" s="49"/>
      <c r="BG137" s="50"/>
      <c r="BH137" s="49" t="s">
        <v>1</v>
      </c>
      <c r="BI137" s="50" t="s">
        <v>136</v>
      </c>
      <c r="BJ137" s="49"/>
      <c r="BK137" s="50"/>
      <c r="BL137" s="49"/>
      <c r="BM137" s="50"/>
      <c r="BN137" s="49" t="s">
        <v>5</v>
      </c>
      <c r="BO137" s="50" t="s">
        <v>741</v>
      </c>
      <c r="BP137" s="49"/>
      <c r="BQ137" s="50"/>
      <c r="BR137" s="49"/>
      <c r="BS137" s="50"/>
      <c r="BT137" s="49"/>
      <c r="BU137" s="50"/>
      <c r="BV137" s="49" t="s">
        <v>5</v>
      </c>
      <c r="BW137" s="50" t="s">
        <v>122</v>
      </c>
      <c r="BX137" s="49" t="s">
        <v>5</v>
      </c>
      <c r="BY137" s="50" t="s">
        <v>206</v>
      </c>
      <c r="BZ137" s="49" t="s">
        <v>5</v>
      </c>
      <c r="CA137" s="50" t="s">
        <v>75</v>
      </c>
    </row>
    <row r="138" spans="1:79" ht="30" x14ac:dyDescent="0.25">
      <c r="A138" s="76">
        <v>151717</v>
      </c>
      <c r="B138" s="77" t="s">
        <v>859</v>
      </c>
      <c r="C138" s="78" t="s">
        <v>721</v>
      </c>
      <c r="D138" s="76" t="s">
        <v>12</v>
      </c>
      <c r="E138" s="79" t="s">
        <v>14</v>
      </c>
      <c r="F138" s="79" t="s">
        <v>450</v>
      </c>
      <c r="G138" s="79" t="s">
        <v>87</v>
      </c>
      <c r="H138" s="79" t="s">
        <v>14</v>
      </c>
      <c r="I138" s="78" t="s">
        <v>14</v>
      </c>
      <c r="J138" s="79" t="s">
        <v>14</v>
      </c>
      <c r="K138" s="142" t="s">
        <v>1850</v>
      </c>
      <c r="L138" s="149" t="s">
        <v>1841</v>
      </c>
      <c r="M138" s="150" t="s">
        <v>1853</v>
      </c>
      <c r="N138" s="151">
        <v>13</v>
      </c>
      <c r="O138" s="151">
        <v>0</v>
      </c>
      <c r="P138" s="152">
        <v>2</v>
      </c>
      <c r="Q138" s="153">
        <v>100</v>
      </c>
      <c r="R138" s="154">
        <v>3</v>
      </c>
      <c r="S138" s="38">
        <f t="shared" si="23"/>
        <v>2</v>
      </c>
      <c r="T138" s="39">
        <f t="shared" si="24"/>
        <v>6</v>
      </c>
      <c r="U138" s="40">
        <f t="shared" si="25"/>
        <v>0</v>
      </c>
      <c r="V138" s="40">
        <f t="shared" si="26"/>
        <v>0</v>
      </c>
      <c r="W138" s="40">
        <f t="shared" si="27"/>
        <v>2</v>
      </c>
      <c r="X138" s="40">
        <f t="shared" si="28"/>
        <v>2</v>
      </c>
      <c r="Y138" s="40">
        <f t="shared" si="29"/>
        <v>0</v>
      </c>
      <c r="Z138" s="40">
        <f t="shared" si="30"/>
        <v>0</v>
      </c>
      <c r="AA138" s="40">
        <f t="shared" si="31"/>
        <v>0</v>
      </c>
      <c r="AB138" s="40">
        <f t="shared" si="32"/>
        <v>0</v>
      </c>
      <c r="AC138" s="41">
        <f t="shared" si="33"/>
        <v>0</v>
      </c>
      <c r="AD138" s="49"/>
      <c r="AE138" s="50"/>
      <c r="AF138" s="49" t="s">
        <v>5</v>
      </c>
      <c r="AG138" s="50" t="s">
        <v>438</v>
      </c>
      <c r="AH138" s="49"/>
      <c r="AI138" s="50"/>
      <c r="AJ138" s="49" t="s">
        <v>5</v>
      </c>
      <c r="AK138" s="50" t="s">
        <v>83</v>
      </c>
      <c r="AL138" s="49"/>
      <c r="AM138" s="50"/>
      <c r="AN138" s="49"/>
      <c r="AO138" s="50"/>
      <c r="AP138" s="49"/>
      <c r="AQ138" s="50"/>
      <c r="AR138" s="49" t="s">
        <v>32</v>
      </c>
      <c r="AS138" s="50" t="s">
        <v>459</v>
      </c>
      <c r="AT138" s="49"/>
      <c r="AU138" s="50"/>
      <c r="AV138" s="49"/>
      <c r="AW138" s="50"/>
      <c r="AX138" s="49" t="s">
        <v>5</v>
      </c>
      <c r="AY138" s="50" t="s">
        <v>101</v>
      </c>
      <c r="AZ138" s="49" t="s">
        <v>5</v>
      </c>
      <c r="BA138" s="50" t="s">
        <v>84</v>
      </c>
      <c r="BB138" s="49"/>
      <c r="BC138" s="50"/>
      <c r="BD138" s="49"/>
      <c r="BE138" s="50"/>
      <c r="BF138" s="49"/>
      <c r="BG138" s="50"/>
      <c r="BH138" s="49" t="s">
        <v>5</v>
      </c>
      <c r="BI138" s="50" t="s">
        <v>139</v>
      </c>
      <c r="BJ138" s="49" t="s">
        <v>1</v>
      </c>
      <c r="BK138" s="50" t="s">
        <v>95</v>
      </c>
      <c r="BL138" s="49"/>
      <c r="BM138" s="50"/>
      <c r="BN138" s="49" t="s">
        <v>1</v>
      </c>
      <c r="BO138" s="50" t="s">
        <v>96</v>
      </c>
      <c r="BP138" s="49"/>
      <c r="BQ138" s="50"/>
      <c r="BR138" s="49" t="s">
        <v>5</v>
      </c>
      <c r="BS138" s="50" t="s">
        <v>123</v>
      </c>
      <c r="BT138" s="49"/>
      <c r="BU138" s="50"/>
      <c r="BV138" s="49" t="s">
        <v>32</v>
      </c>
      <c r="BW138" s="50" t="s">
        <v>495</v>
      </c>
      <c r="BX138" s="49"/>
      <c r="BY138" s="50"/>
      <c r="BZ138" s="49"/>
      <c r="CA138" s="50"/>
    </row>
    <row r="139" spans="1:79" x14ac:dyDescent="0.25">
      <c r="A139" s="76">
        <v>151636</v>
      </c>
      <c r="B139" s="77" t="s">
        <v>860</v>
      </c>
      <c r="C139" s="78" t="s">
        <v>736</v>
      </c>
      <c r="D139" s="76" t="s">
        <v>70</v>
      </c>
      <c r="E139" s="79" t="s">
        <v>14</v>
      </c>
      <c r="F139" s="79" t="s">
        <v>71</v>
      </c>
      <c r="G139" s="79" t="s">
        <v>14</v>
      </c>
      <c r="H139" s="79" t="s">
        <v>14</v>
      </c>
      <c r="I139" s="78" t="s">
        <v>14</v>
      </c>
      <c r="J139" s="79" t="s">
        <v>14</v>
      </c>
      <c r="K139" s="142" t="s">
        <v>1850</v>
      </c>
      <c r="L139" s="149" t="s">
        <v>1845</v>
      </c>
      <c r="M139" s="150" t="s">
        <v>12</v>
      </c>
      <c r="N139" s="151">
        <v>17</v>
      </c>
      <c r="O139" s="151">
        <v>0</v>
      </c>
      <c r="P139" s="152">
        <v>0</v>
      </c>
      <c r="Q139" s="153">
        <v>100</v>
      </c>
      <c r="R139" s="154">
        <v>0</v>
      </c>
      <c r="S139" s="38">
        <f t="shared" si="23"/>
        <v>3</v>
      </c>
      <c r="T139" s="39">
        <f t="shared" si="24"/>
        <v>6</v>
      </c>
      <c r="U139" s="40">
        <f t="shared" si="25"/>
        <v>0</v>
      </c>
      <c r="V139" s="40">
        <f t="shared" si="26"/>
        <v>0</v>
      </c>
      <c r="W139" s="40">
        <f t="shared" si="27"/>
        <v>0</v>
      </c>
      <c r="X139" s="40">
        <f t="shared" si="28"/>
        <v>0</v>
      </c>
      <c r="Y139" s="40">
        <f t="shared" si="29"/>
        <v>0</v>
      </c>
      <c r="Z139" s="40">
        <f t="shared" si="30"/>
        <v>0</v>
      </c>
      <c r="AA139" s="40">
        <f t="shared" si="31"/>
        <v>0</v>
      </c>
      <c r="AB139" s="40">
        <f t="shared" si="32"/>
        <v>0</v>
      </c>
      <c r="AC139" s="41">
        <f t="shared" si="33"/>
        <v>0</v>
      </c>
      <c r="AD139" s="49"/>
      <c r="AE139" s="50"/>
      <c r="AF139" s="49" t="s">
        <v>5</v>
      </c>
      <c r="AG139" s="50" t="s">
        <v>133</v>
      </c>
      <c r="AH139" s="49"/>
      <c r="AI139" s="50"/>
      <c r="AJ139" s="49" t="s">
        <v>5</v>
      </c>
      <c r="AK139" s="50" t="s">
        <v>164</v>
      </c>
      <c r="AL139" s="49" t="s">
        <v>1</v>
      </c>
      <c r="AM139" s="50" t="s">
        <v>425</v>
      </c>
      <c r="AN139" s="49"/>
      <c r="AO139" s="50"/>
      <c r="AP139" s="49"/>
      <c r="AQ139" s="50"/>
      <c r="AR139" s="49" t="s">
        <v>1</v>
      </c>
      <c r="AS139" s="50" t="s">
        <v>74</v>
      </c>
      <c r="AT139" s="49"/>
      <c r="AU139" s="50"/>
      <c r="AV139" s="49"/>
      <c r="AW139" s="50"/>
      <c r="AX139" s="49" t="s">
        <v>5</v>
      </c>
      <c r="AY139" s="50" t="s">
        <v>91</v>
      </c>
      <c r="AZ139" s="49"/>
      <c r="BA139" s="50"/>
      <c r="BB139" s="49"/>
      <c r="BC139" s="50"/>
      <c r="BD139" s="49"/>
      <c r="BE139" s="50"/>
      <c r="BF139" s="49"/>
      <c r="BG139" s="50"/>
      <c r="BH139" s="49" t="s">
        <v>5</v>
      </c>
      <c r="BI139" s="50" t="s">
        <v>430</v>
      </c>
      <c r="BJ139" s="49"/>
      <c r="BK139" s="50"/>
      <c r="BL139" s="49"/>
      <c r="BM139" s="50"/>
      <c r="BN139" s="49" t="s">
        <v>1</v>
      </c>
      <c r="BO139" s="50" t="s">
        <v>81</v>
      </c>
      <c r="BP139" s="49"/>
      <c r="BQ139" s="50"/>
      <c r="BR139" s="49" t="s">
        <v>5</v>
      </c>
      <c r="BS139" s="50" t="s">
        <v>140</v>
      </c>
      <c r="BT139" s="49"/>
      <c r="BU139" s="50"/>
      <c r="BV139" s="49" t="s">
        <v>5</v>
      </c>
      <c r="BW139" s="50" t="s">
        <v>82</v>
      </c>
      <c r="BX139" s="49"/>
      <c r="BY139" s="50"/>
      <c r="BZ139" s="49" t="s">
        <v>5</v>
      </c>
      <c r="CA139" s="50" t="s">
        <v>75</v>
      </c>
    </row>
    <row r="140" spans="1:79" x14ac:dyDescent="0.25">
      <c r="A140" s="76">
        <v>152718</v>
      </c>
      <c r="B140" s="77" t="s">
        <v>861</v>
      </c>
      <c r="C140" s="78" t="s">
        <v>736</v>
      </c>
      <c r="D140" s="76" t="s">
        <v>70</v>
      </c>
      <c r="E140" s="79" t="s">
        <v>14</v>
      </c>
      <c r="F140" s="79" t="s">
        <v>220</v>
      </c>
      <c r="G140" s="79" t="s">
        <v>87</v>
      </c>
      <c r="H140" s="79" t="s">
        <v>14</v>
      </c>
      <c r="I140" s="78" t="s">
        <v>14</v>
      </c>
      <c r="J140" s="79" t="s">
        <v>14</v>
      </c>
      <c r="K140" s="142" t="s">
        <v>1850</v>
      </c>
      <c r="L140" s="149" t="s">
        <v>1846</v>
      </c>
      <c r="M140" s="150" t="s">
        <v>1853</v>
      </c>
      <c r="N140" s="151">
        <v>8</v>
      </c>
      <c r="O140" s="151">
        <v>0</v>
      </c>
      <c r="P140" s="152">
        <v>0</v>
      </c>
      <c r="Q140" s="153">
        <v>100</v>
      </c>
      <c r="R140" s="154">
        <v>2</v>
      </c>
      <c r="S140" s="38">
        <f t="shared" si="23"/>
        <v>0</v>
      </c>
      <c r="T140" s="39">
        <f t="shared" si="24"/>
        <v>9</v>
      </c>
      <c r="U140" s="40">
        <f t="shared" si="25"/>
        <v>0</v>
      </c>
      <c r="V140" s="40">
        <f t="shared" si="26"/>
        <v>0</v>
      </c>
      <c r="W140" s="40">
        <f t="shared" si="27"/>
        <v>0</v>
      </c>
      <c r="X140" s="40">
        <f t="shared" si="28"/>
        <v>0</v>
      </c>
      <c r="Y140" s="40">
        <f t="shared" si="29"/>
        <v>0</v>
      </c>
      <c r="Z140" s="40">
        <f t="shared" si="30"/>
        <v>0</v>
      </c>
      <c r="AA140" s="40">
        <f t="shared" si="31"/>
        <v>0</v>
      </c>
      <c r="AB140" s="40">
        <f t="shared" si="32"/>
        <v>0</v>
      </c>
      <c r="AC140" s="41">
        <f t="shared" si="33"/>
        <v>0</v>
      </c>
      <c r="AD140" s="49"/>
      <c r="AE140" s="50"/>
      <c r="AF140" s="49" t="s">
        <v>5</v>
      </c>
      <c r="AG140" s="50" t="s">
        <v>133</v>
      </c>
      <c r="AH140" s="49"/>
      <c r="AI140" s="50"/>
      <c r="AJ140" s="49" t="s">
        <v>5</v>
      </c>
      <c r="AK140" s="50" t="s">
        <v>137</v>
      </c>
      <c r="AL140" s="49"/>
      <c r="AM140" s="50"/>
      <c r="AN140" s="49"/>
      <c r="AO140" s="50"/>
      <c r="AP140" s="49"/>
      <c r="AQ140" s="50"/>
      <c r="AR140" s="49" t="s">
        <v>5</v>
      </c>
      <c r="AS140" s="50" t="s">
        <v>478</v>
      </c>
      <c r="AT140" s="49"/>
      <c r="AU140" s="50"/>
      <c r="AV140" s="49"/>
      <c r="AW140" s="50"/>
      <c r="AX140" s="49" t="s">
        <v>5</v>
      </c>
      <c r="AY140" s="50" t="s">
        <v>91</v>
      </c>
      <c r="AZ140" s="49"/>
      <c r="BA140" s="50"/>
      <c r="BB140" s="49"/>
      <c r="BC140" s="50"/>
      <c r="BD140" s="49" t="s">
        <v>5</v>
      </c>
      <c r="BE140" s="50" t="s">
        <v>436</v>
      </c>
      <c r="BF140" s="49"/>
      <c r="BG140" s="50"/>
      <c r="BH140" s="49" t="s">
        <v>5</v>
      </c>
      <c r="BI140" s="50" t="s">
        <v>430</v>
      </c>
      <c r="BJ140" s="49"/>
      <c r="BK140" s="50"/>
      <c r="BL140" s="49"/>
      <c r="BM140" s="50"/>
      <c r="BN140" s="49" t="s">
        <v>5</v>
      </c>
      <c r="BO140" s="50" t="s">
        <v>741</v>
      </c>
      <c r="BP140" s="49"/>
      <c r="BQ140" s="50"/>
      <c r="BR140" s="49" t="s">
        <v>5</v>
      </c>
      <c r="BS140" s="50" t="s">
        <v>98</v>
      </c>
      <c r="BT140" s="49"/>
      <c r="BU140" s="50"/>
      <c r="BV140" s="49" t="s">
        <v>5</v>
      </c>
      <c r="BW140" s="50" t="s">
        <v>108</v>
      </c>
      <c r="BX140" s="49"/>
      <c r="BY140" s="50"/>
      <c r="BZ140" s="49" t="s">
        <v>5</v>
      </c>
      <c r="CA140" s="50" t="s">
        <v>75</v>
      </c>
    </row>
    <row r="141" spans="1:79" x14ac:dyDescent="0.25">
      <c r="A141" s="76">
        <v>151686</v>
      </c>
      <c r="B141" s="77" t="s">
        <v>862</v>
      </c>
      <c r="C141" s="78" t="s">
        <v>718</v>
      </c>
      <c r="D141" s="76" t="s">
        <v>70</v>
      </c>
      <c r="E141" s="79" t="s">
        <v>87</v>
      </c>
      <c r="F141" s="79" t="s">
        <v>71</v>
      </c>
      <c r="G141" s="79" t="s">
        <v>14</v>
      </c>
      <c r="H141" s="79" t="s">
        <v>87</v>
      </c>
      <c r="I141" s="78" t="s">
        <v>14</v>
      </c>
      <c r="J141" s="79" t="s">
        <v>14</v>
      </c>
      <c r="K141" s="142" t="s">
        <v>1851</v>
      </c>
      <c r="L141" s="149" t="s">
        <v>1841</v>
      </c>
      <c r="M141" s="150" t="s">
        <v>1853</v>
      </c>
      <c r="N141" s="151">
        <v>16</v>
      </c>
      <c r="O141" s="151">
        <v>10</v>
      </c>
      <c r="P141" s="152">
        <v>4</v>
      </c>
      <c r="Q141" s="153">
        <v>97.83</v>
      </c>
      <c r="R141" s="154">
        <v>6</v>
      </c>
      <c r="S141" s="38">
        <f t="shared" si="23"/>
        <v>0</v>
      </c>
      <c r="T141" s="39">
        <f t="shared" si="24"/>
        <v>7</v>
      </c>
      <c r="U141" s="40">
        <f t="shared" si="25"/>
        <v>1</v>
      </c>
      <c r="V141" s="40">
        <f t="shared" si="26"/>
        <v>1</v>
      </c>
      <c r="W141" s="40">
        <f t="shared" si="27"/>
        <v>1</v>
      </c>
      <c r="X141" s="40">
        <f t="shared" si="28"/>
        <v>3</v>
      </c>
      <c r="Y141" s="40">
        <f t="shared" si="29"/>
        <v>0</v>
      </c>
      <c r="Z141" s="40">
        <f t="shared" si="30"/>
        <v>0</v>
      </c>
      <c r="AA141" s="40">
        <f t="shared" si="31"/>
        <v>0</v>
      </c>
      <c r="AB141" s="40">
        <f t="shared" si="32"/>
        <v>0</v>
      </c>
      <c r="AC141" s="41">
        <f t="shared" si="33"/>
        <v>0</v>
      </c>
      <c r="AD141" s="49"/>
      <c r="AE141" s="50"/>
      <c r="AF141" s="49" t="s">
        <v>5</v>
      </c>
      <c r="AG141" s="50" t="s">
        <v>438</v>
      </c>
      <c r="AH141" s="49"/>
      <c r="AI141" s="50"/>
      <c r="AJ141" s="49" t="s">
        <v>5</v>
      </c>
      <c r="AK141" s="50" t="s">
        <v>83</v>
      </c>
      <c r="AL141" s="49" t="s">
        <v>30</v>
      </c>
      <c r="AM141" s="50" t="s">
        <v>425</v>
      </c>
      <c r="AN141" s="49"/>
      <c r="AO141" s="50"/>
      <c r="AP141" s="49"/>
      <c r="AQ141" s="50"/>
      <c r="AR141" s="49" t="s">
        <v>5</v>
      </c>
      <c r="AS141" s="50" t="s">
        <v>74</v>
      </c>
      <c r="AT141" s="49"/>
      <c r="AU141" s="50"/>
      <c r="AV141" s="49"/>
      <c r="AW141" s="50"/>
      <c r="AX141" s="49" t="s">
        <v>5</v>
      </c>
      <c r="AY141" s="50" t="s">
        <v>169</v>
      </c>
      <c r="AZ141" s="49" t="s">
        <v>5</v>
      </c>
      <c r="BA141" s="50" t="s">
        <v>143</v>
      </c>
      <c r="BB141" s="49"/>
      <c r="BC141" s="50"/>
      <c r="BD141" s="49"/>
      <c r="BE141" s="50"/>
      <c r="BF141" s="49"/>
      <c r="BG141" s="50"/>
      <c r="BH141" s="49" t="s">
        <v>5</v>
      </c>
      <c r="BI141" s="50" t="s">
        <v>139</v>
      </c>
      <c r="BJ141" s="49"/>
      <c r="BK141" s="50"/>
      <c r="BL141" s="49"/>
      <c r="BM141" s="50"/>
      <c r="BN141" s="49" t="s">
        <v>5</v>
      </c>
      <c r="BO141" s="50" t="s">
        <v>121</v>
      </c>
      <c r="BP141" s="49"/>
      <c r="BQ141" s="50"/>
      <c r="BR141" s="49" t="s">
        <v>31</v>
      </c>
      <c r="BS141" s="50" t="s">
        <v>123</v>
      </c>
      <c r="BT141" s="49"/>
      <c r="BU141" s="50"/>
      <c r="BV141" s="49" t="s">
        <v>32</v>
      </c>
      <c r="BW141" s="50" t="s">
        <v>495</v>
      </c>
      <c r="BX141" s="49"/>
      <c r="BY141" s="50"/>
      <c r="BZ141" s="49"/>
      <c r="CA141" s="50"/>
    </row>
    <row r="142" spans="1:79" x14ac:dyDescent="0.25">
      <c r="A142" s="76">
        <v>151670</v>
      </c>
      <c r="B142" s="77" t="s">
        <v>863</v>
      </c>
      <c r="C142" s="78" t="s">
        <v>710</v>
      </c>
      <c r="D142" s="76" t="s">
        <v>70</v>
      </c>
      <c r="E142" s="79" t="s">
        <v>14</v>
      </c>
      <c r="F142" s="79" t="s">
        <v>71</v>
      </c>
      <c r="G142" s="79" t="s">
        <v>14</v>
      </c>
      <c r="H142" s="79" t="s">
        <v>14</v>
      </c>
      <c r="I142" s="78" t="s">
        <v>14</v>
      </c>
      <c r="J142" s="79" t="s">
        <v>4</v>
      </c>
      <c r="K142" s="142" t="s">
        <v>1851</v>
      </c>
      <c r="L142" s="149" t="s">
        <v>1843</v>
      </c>
      <c r="M142" s="150" t="s">
        <v>1852</v>
      </c>
      <c r="N142" s="151">
        <v>4</v>
      </c>
      <c r="O142" s="151">
        <v>0</v>
      </c>
      <c r="P142" s="152">
        <v>0</v>
      </c>
      <c r="Q142" s="153">
        <v>80.430000000000007</v>
      </c>
      <c r="R142" s="154">
        <v>2</v>
      </c>
      <c r="S142" s="38">
        <f t="shared" si="23"/>
        <v>0</v>
      </c>
      <c r="T142" s="39">
        <f t="shared" si="24"/>
        <v>5</v>
      </c>
      <c r="U142" s="40">
        <f t="shared" si="25"/>
        <v>0</v>
      </c>
      <c r="V142" s="40">
        <f t="shared" si="26"/>
        <v>0</v>
      </c>
      <c r="W142" s="40">
        <f t="shared" si="27"/>
        <v>1</v>
      </c>
      <c r="X142" s="40">
        <f t="shared" si="28"/>
        <v>1</v>
      </c>
      <c r="Y142" s="40">
        <f t="shared" si="29"/>
        <v>0</v>
      </c>
      <c r="Z142" s="40">
        <f t="shared" si="30"/>
        <v>0</v>
      </c>
      <c r="AA142" s="40">
        <f t="shared" si="31"/>
        <v>0</v>
      </c>
      <c r="AB142" s="40">
        <f t="shared" si="32"/>
        <v>0</v>
      </c>
      <c r="AC142" s="41">
        <f t="shared" si="33"/>
        <v>0</v>
      </c>
      <c r="AD142" s="49"/>
      <c r="AE142" s="50"/>
      <c r="AF142" s="49"/>
      <c r="AG142" s="50"/>
      <c r="AH142" s="49"/>
      <c r="AI142" s="50"/>
      <c r="AJ142" s="49"/>
      <c r="AK142" s="50"/>
      <c r="AL142" s="49" t="s">
        <v>32</v>
      </c>
      <c r="AM142" s="50" t="s">
        <v>425</v>
      </c>
      <c r="AN142" s="49"/>
      <c r="AO142" s="50"/>
      <c r="AP142" s="49"/>
      <c r="AQ142" s="50"/>
      <c r="AR142" s="49" t="s">
        <v>5</v>
      </c>
      <c r="AS142" s="50" t="s">
        <v>111</v>
      </c>
      <c r="AT142" s="49"/>
      <c r="AU142" s="50"/>
      <c r="AV142" s="49"/>
      <c r="AW142" s="50"/>
      <c r="AX142" s="49" t="s">
        <v>5</v>
      </c>
      <c r="AY142" s="50" t="s">
        <v>117</v>
      </c>
      <c r="AZ142" s="49"/>
      <c r="BA142" s="50" t="s">
        <v>103</v>
      </c>
      <c r="BB142" s="49"/>
      <c r="BC142" s="50"/>
      <c r="BD142" s="49"/>
      <c r="BE142" s="50"/>
      <c r="BF142" s="49"/>
      <c r="BG142" s="50"/>
      <c r="BH142" s="49" t="s">
        <v>5</v>
      </c>
      <c r="BI142" s="50" t="s">
        <v>505</v>
      </c>
      <c r="BJ142" s="49"/>
      <c r="BK142" s="50"/>
      <c r="BL142" s="49"/>
      <c r="BM142" s="50"/>
      <c r="BN142" s="49"/>
      <c r="BO142" s="50" t="s">
        <v>741</v>
      </c>
      <c r="BP142" s="49"/>
      <c r="BQ142" s="50"/>
      <c r="BR142" s="49"/>
      <c r="BS142" s="50"/>
      <c r="BT142" s="49"/>
      <c r="BU142" s="50"/>
      <c r="BV142" s="49" t="s">
        <v>5</v>
      </c>
      <c r="BW142" s="50" t="s">
        <v>457</v>
      </c>
      <c r="BX142" s="49" t="s">
        <v>5</v>
      </c>
      <c r="BY142" s="50" t="s">
        <v>419</v>
      </c>
      <c r="BZ142" s="49"/>
      <c r="CA142" s="50"/>
    </row>
    <row r="143" spans="1:79" x14ac:dyDescent="0.25">
      <c r="A143" s="76">
        <v>151715</v>
      </c>
      <c r="B143" s="77" t="s">
        <v>864</v>
      </c>
      <c r="C143" s="78" t="s">
        <v>718</v>
      </c>
      <c r="D143" s="76" t="s">
        <v>12</v>
      </c>
      <c r="E143" s="79" t="s">
        <v>14</v>
      </c>
      <c r="F143" s="79" t="s">
        <v>71</v>
      </c>
      <c r="G143" s="79" t="s">
        <v>14</v>
      </c>
      <c r="H143" s="79" t="s">
        <v>14</v>
      </c>
      <c r="I143" s="78" t="s">
        <v>14</v>
      </c>
      <c r="J143" s="79" t="s">
        <v>14</v>
      </c>
      <c r="K143" s="142" t="s">
        <v>1851</v>
      </c>
      <c r="L143" s="149" t="s">
        <v>1842</v>
      </c>
      <c r="M143" s="150" t="s">
        <v>1853</v>
      </c>
      <c r="N143" s="151">
        <v>12</v>
      </c>
      <c r="O143" s="151">
        <v>3</v>
      </c>
      <c r="P143" s="152">
        <v>3</v>
      </c>
      <c r="Q143" s="153">
        <v>93.48</v>
      </c>
      <c r="R143" s="154">
        <v>1</v>
      </c>
      <c r="S143" s="38">
        <f t="shared" si="23"/>
        <v>1</v>
      </c>
      <c r="T143" s="39">
        <f t="shared" si="24"/>
        <v>7</v>
      </c>
      <c r="U143" s="40">
        <f t="shared" si="25"/>
        <v>1</v>
      </c>
      <c r="V143" s="40">
        <f t="shared" si="26"/>
        <v>1</v>
      </c>
      <c r="W143" s="40">
        <f t="shared" si="27"/>
        <v>0</v>
      </c>
      <c r="X143" s="40">
        <f t="shared" si="28"/>
        <v>2</v>
      </c>
      <c r="Y143" s="40">
        <f t="shared" si="29"/>
        <v>0</v>
      </c>
      <c r="Z143" s="40">
        <f t="shared" si="30"/>
        <v>0</v>
      </c>
      <c r="AA143" s="40">
        <f t="shared" si="31"/>
        <v>0</v>
      </c>
      <c r="AB143" s="40">
        <f t="shared" si="32"/>
        <v>0</v>
      </c>
      <c r="AC143" s="41">
        <f t="shared" si="33"/>
        <v>0</v>
      </c>
      <c r="AD143" s="49"/>
      <c r="AE143" s="50"/>
      <c r="AF143" s="49" t="s">
        <v>30</v>
      </c>
      <c r="AG143" s="50" t="s">
        <v>133</v>
      </c>
      <c r="AH143" s="49"/>
      <c r="AI143" s="50"/>
      <c r="AJ143" s="49" t="s">
        <v>5</v>
      </c>
      <c r="AK143" s="50" t="s">
        <v>164</v>
      </c>
      <c r="AL143" s="49"/>
      <c r="AM143" s="50"/>
      <c r="AN143" s="49" t="s">
        <v>5</v>
      </c>
      <c r="AO143" s="50" t="s">
        <v>163</v>
      </c>
      <c r="AP143" s="49"/>
      <c r="AQ143" s="50"/>
      <c r="AR143" s="49" t="s">
        <v>5</v>
      </c>
      <c r="AS143" s="50" t="s">
        <v>722</v>
      </c>
      <c r="AT143" s="49"/>
      <c r="AU143" s="50"/>
      <c r="AV143" s="49"/>
      <c r="AW143" s="50"/>
      <c r="AX143" s="49" t="s">
        <v>5</v>
      </c>
      <c r="AY143" s="50" t="s">
        <v>169</v>
      </c>
      <c r="AZ143" s="49" t="s">
        <v>5</v>
      </c>
      <c r="BA143" s="50" t="s">
        <v>143</v>
      </c>
      <c r="BB143" s="49"/>
      <c r="BC143" s="50"/>
      <c r="BD143" s="49"/>
      <c r="BE143" s="50"/>
      <c r="BF143" s="49"/>
      <c r="BG143" s="50"/>
      <c r="BH143" s="49" t="s">
        <v>5</v>
      </c>
      <c r="BI143" s="50" t="s">
        <v>430</v>
      </c>
      <c r="BJ143" s="49"/>
      <c r="BK143" s="50"/>
      <c r="BL143" s="49"/>
      <c r="BM143" s="50"/>
      <c r="BN143" s="49" t="s">
        <v>1</v>
      </c>
      <c r="BO143" s="50" t="s">
        <v>96</v>
      </c>
      <c r="BP143" s="49"/>
      <c r="BQ143" s="50"/>
      <c r="BR143" s="49" t="s">
        <v>31</v>
      </c>
      <c r="BS143" s="50" t="s">
        <v>140</v>
      </c>
      <c r="BT143" s="49"/>
      <c r="BU143" s="50"/>
      <c r="BV143" s="49" t="s">
        <v>5</v>
      </c>
      <c r="BW143" s="50" t="s">
        <v>122</v>
      </c>
      <c r="BX143" s="49"/>
      <c r="BY143" s="50"/>
      <c r="BZ143" s="49"/>
      <c r="CA143" s="50"/>
    </row>
    <row r="144" spans="1:79" x14ac:dyDescent="0.25">
      <c r="A144" s="76">
        <v>151679</v>
      </c>
      <c r="B144" s="77" t="s">
        <v>865</v>
      </c>
      <c r="C144" s="78" t="s">
        <v>732</v>
      </c>
      <c r="D144" s="76" t="s">
        <v>70</v>
      </c>
      <c r="E144" s="79" t="s">
        <v>87</v>
      </c>
      <c r="F144" s="79" t="s">
        <v>71</v>
      </c>
      <c r="G144" s="79" t="s">
        <v>14</v>
      </c>
      <c r="H144" s="79" t="s">
        <v>87</v>
      </c>
      <c r="I144" s="78" t="s">
        <v>14</v>
      </c>
      <c r="J144" s="79" t="s">
        <v>14</v>
      </c>
      <c r="K144" s="142" t="s">
        <v>1850</v>
      </c>
      <c r="L144" s="149" t="s">
        <v>1842</v>
      </c>
      <c r="M144" s="150" t="s">
        <v>12</v>
      </c>
      <c r="N144" s="151">
        <v>10</v>
      </c>
      <c r="O144" s="151">
        <v>0</v>
      </c>
      <c r="P144" s="152">
        <v>0</v>
      </c>
      <c r="Q144" s="153">
        <v>100</v>
      </c>
      <c r="R144" s="154">
        <v>1</v>
      </c>
      <c r="S144" s="38">
        <f t="shared" si="23"/>
        <v>2</v>
      </c>
      <c r="T144" s="39">
        <f t="shared" si="24"/>
        <v>6</v>
      </c>
      <c r="U144" s="40">
        <f t="shared" si="25"/>
        <v>0</v>
      </c>
      <c r="V144" s="40">
        <f t="shared" si="26"/>
        <v>0</v>
      </c>
      <c r="W144" s="40">
        <f t="shared" si="27"/>
        <v>0</v>
      </c>
      <c r="X144" s="40">
        <f t="shared" si="28"/>
        <v>0</v>
      </c>
      <c r="Y144" s="40">
        <f t="shared" si="29"/>
        <v>0</v>
      </c>
      <c r="Z144" s="40">
        <f t="shared" si="30"/>
        <v>0</v>
      </c>
      <c r="AA144" s="40">
        <f t="shared" si="31"/>
        <v>0</v>
      </c>
      <c r="AB144" s="40">
        <f t="shared" si="32"/>
        <v>0</v>
      </c>
      <c r="AC144" s="41">
        <f t="shared" si="33"/>
        <v>0</v>
      </c>
      <c r="AD144" s="49"/>
      <c r="AE144" s="50"/>
      <c r="AF144" s="49"/>
      <c r="AG144" s="50"/>
      <c r="AH144" s="49"/>
      <c r="AI144" s="50"/>
      <c r="AJ144" s="49"/>
      <c r="AK144" s="50"/>
      <c r="AL144" s="49"/>
      <c r="AM144" s="50"/>
      <c r="AN144" s="49"/>
      <c r="AO144" s="50"/>
      <c r="AP144" s="49"/>
      <c r="AQ144" s="50"/>
      <c r="AR144" s="49" t="s">
        <v>1</v>
      </c>
      <c r="AS144" s="50" t="s">
        <v>169</v>
      </c>
      <c r="AT144" s="49"/>
      <c r="AU144" s="50"/>
      <c r="AV144" s="49" t="s">
        <v>5</v>
      </c>
      <c r="AW144" s="50" t="s">
        <v>73</v>
      </c>
      <c r="AX144" s="49" t="s">
        <v>5</v>
      </c>
      <c r="AY144" s="50" t="s">
        <v>124</v>
      </c>
      <c r="AZ144" s="49"/>
      <c r="BA144" s="50"/>
      <c r="BB144" s="49" t="s">
        <v>5</v>
      </c>
      <c r="BC144" s="50" t="s">
        <v>92</v>
      </c>
      <c r="BD144" s="49"/>
      <c r="BE144" s="50"/>
      <c r="BF144" s="49"/>
      <c r="BG144" s="50"/>
      <c r="BH144" s="49" t="s">
        <v>5</v>
      </c>
      <c r="BI144" s="50" t="s">
        <v>430</v>
      </c>
      <c r="BJ144" s="49"/>
      <c r="BK144" s="50"/>
      <c r="BL144" s="49"/>
      <c r="BM144" s="50"/>
      <c r="BN144" s="49" t="s">
        <v>1</v>
      </c>
      <c r="BO144" s="50" t="s">
        <v>81</v>
      </c>
      <c r="BP144" s="49"/>
      <c r="BQ144" s="50"/>
      <c r="BR144" s="49"/>
      <c r="BS144" s="50"/>
      <c r="BT144" s="49"/>
      <c r="BU144" s="50"/>
      <c r="BV144" s="49" t="s">
        <v>5</v>
      </c>
      <c r="BW144" s="50" t="s">
        <v>122</v>
      </c>
      <c r="BX144" s="49" t="s">
        <v>5</v>
      </c>
      <c r="BY144" s="50" t="s">
        <v>206</v>
      </c>
      <c r="BZ144" s="49" t="s">
        <v>5</v>
      </c>
      <c r="CA144" s="50" t="s">
        <v>75</v>
      </c>
    </row>
    <row r="145" spans="1:79" x14ac:dyDescent="0.25">
      <c r="A145" s="76">
        <v>151726</v>
      </c>
      <c r="B145" s="77" t="s">
        <v>866</v>
      </c>
      <c r="C145" s="78" t="s">
        <v>713</v>
      </c>
      <c r="D145" s="76" t="s">
        <v>70</v>
      </c>
      <c r="E145" s="79" t="s">
        <v>14</v>
      </c>
      <c r="F145" s="79" t="s">
        <v>71</v>
      </c>
      <c r="G145" s="79" t="s">
        <v>87</v>
      </c>
      <c r="H145" s="79" t="s">
        <v>14</v>
      </c>
      <c r="I145" s="78" t="s">
        <v>14</v>
      </c>
      <c r="J145" s="79" t="s">
        <v>14</v>
      </c>
      <c r="K145" s="142" t="s">
        <v>1850</v>
      </c>
      <c r="L145" s="149" t="s">
        <v>1846</v>
      </c>
      <c r="M145" s="150" t="s">
        <v>1853</v>
      </c>
      <c r="N145" s="151">
        <v>14</v>
      </c>
      <c r="O145" s="151">
        <v>0</v>
      </c>
      <c r="P145" s="152">
        <v>0</v>
      </c>
      <c r="Q145" s="153">
        <v>95.65</v>
      </c>
      <c r="R145" s="154">
        <v>1</v>
      </c>
      <c r="S145" s="38">
        <f t="shared" si="23"/>
        <v>3</v>
      </c>
      <c r="T145" s="39">
        <f t="shared" si="24"/>
        <v>6</v>
      </c>
      <c r="U145" s="40">
        <f t="shared" si="25"/>
        <v>0</v>
      </c>
      <c r="V145" s="40">
        <f t="shared" si="26"/>
        <v>0</v>
      </c>
      <c r="W145" s="40">
        <f t="shared" si="27"/>
        <v>0</v>
      </c>
      <c r="X145" s="40">
        <f t="shared" si="28"/>
        <v>0</v>
      </c>
      <c r="Y145" s="40">
        <f t="shared" si="29"/>
        <v>0</v>
      </c>
      <c r="Z145" s="40">
        <f t="shared" si="30"/>
        <v>0</v>
      </c>
      <c r="AA145" s="40">
        <f t="shared" si="31"/>
        <v>0</v>
      </c>
      <c r="AB145" s="40">
        <f t="shared" si="32"/>
        <v>0</v>
      </c>
      <c r="AC145" s="41">
        <f t="shared" si="33"/>
        <v>0</v>
      </c>
      <c r="AD145" s="49"/>
      <c r="AE145" s="50"/>
      <c r="AF145" s="49" t="s">
        <v>1</v>
      </c>
      <c r="AG145" s="50" t="s">
        <v>133</v>
      </c>
      <c r="AH145" s="49"/>
      <c r="AI145" s="50"/>
      <c r="AJ145" s="49" t="s">
        <v>5</v>
      </c>
      <c r="AK145" s="50" t="s">
        <v>137</v>
      </c>
      <c r="AL145" s="49"/>
      <c r="AM145" s="50"/>
      <c r="AN145" s="49"/>
      <c r="AO145" s="50"/>
      <c r="AP145" s="49"/>
      <c r="AQ145" s="50"/>
      <c r="AR145" s="49" t="s">
        <v>5</v>
      </c>
      <c r="AS145" s="50" t="s">
        <v>459</v>
      </c>
      <c r="AT145" s="49"/>
      <c r="AU145" s="50"/>
      <c r="AV145" s="49"/>
      <c r="AW145" s="50"/>
      <c r="AX145" s="49" t="s">
        <v>5</v>
      </c>
      <c r="AY145" s="50" t="s">
        <v>103</v>
      </c>
      <c r="AZ145" s="49"/>
      <c r="BA145" s="50"/>
      <c r="BB145" s="49"/>
      <c r="BC145" s="50"/>
      <c r="BD145" s="49" t="s">
        <v>1</v>
      </c>
      <c r="BE145" s="50" t="s">
        <v>436</v>
      </c>
      <c r="BF145" s="49"/>
      <c r="BG145" s="50"/>
      <c r="BH145" s="49" t="s">
        <v>5</v>
      </c>
      <c r="BI145" s="50" t="s">
        <v>139</v>
      </c>
      <c r="BJ145" s="49"/>
      <c r="BK145" s="50"/>
      <c r="BL145" s="49"/>
      <c r="BM145" s="50"/>
      <c r="BN145" s="49" t="s">
        <v>1</v>
      </c>
      <c r="BO145" s="50" t="s">
        <v>81</v>
      </c>
      <c r="BP145" s="49"/>
      <c r="BQ145" s="50"/>
      <c r="BR145" s="49" t="s">
        <v>5</v>
      </c>
      <c r="BS145" s="50" t="s">
        <v>98</v>
      </c>
      <c r="BT145" s="49"/>
      <c r="BU145" s="50"/>
      <c r="BV145" s="49" t="s">
        <v>5</v>
      </c>
      <c r="BW145" s="50" t="s">
        <v>108</v>
      </c>
      <c r="BX145" s="49"/>
      <c r="BY145" s="50"/>
      <c r="BZ145" s="49" t="s">
        <v>5</v>
      </c>
      <c r="CA145" s="50" t="s">
        <v>124</v>
      </c>
    </row>
    <row r="146" spans="1:79" x14ac:dyDescent="0.25">
      <c r="A146" s="76">
        <v>151719</v>
      </c>
      <c r="B146" s="77" t="s">
        <v>867</v>
      </c>
      <c r="C146" s="78" t="s">
        <v>725</v>
      </c>
      <c r="D146" s="76" t="s">
        <v>12</v>
      </c>
      <c r="E146" s="79" t="s">
        <v>87</v>
      </c>
      <c r="F146" s="79" t="s">
        <v>71</v>
      </c>
      <c r="G146" s="79" t="s">
        <v>14</v>
      </c>
      <c r="H146" s="79" t="s">
        <v>87</v>
      </c>
      <c r="I146" s="78" t="s">
        <v>14</v>
      </c>
      <c r="J146" s="79" t="s">
        <v>6</v>
      </c>
      <c r="K146" s="142" t="s">
        <v>1850</v>
      </c>
      <c r="L146" s="149" t="s">
        <v>1845</v>
      </c>
      <c r="M146" s="150" t="s">
        <v>1852</v>
      </c>
      <c r="N146" s="151">
        <v>8</v>
      </c>
      <c r="O146" s="151">
        <v>8</v>
      </c>
      <c r="P146" s="152">
        <v>4</v>
      </c>
      <c r="Q146" s="153">
        <v>56.52</v>
      </c>
      <c r="R146" s="154">
        <v>7</v>
      </c>
      <c r="S146" s="38">
        <f t="shared" si="23"/>
        <v>0</v>
      </c>
      <c r="T146" s="39">
        <f t="shared" si="24"/>
        <v>2</v>
      </c>
      <c r="U146" s="40">
        <f t="shared" si="25"/>
        <v>3</v>
      </c>
      <c r="V146" s="40">
        <f t="shared" si="26"/>
        <v>1</v>
      </c>
      <c r="W146" s="40">
        <f t="shared" si="27"/>
        <v>0</v>
      </c>
      <c r="X146" s="40">
        <f t="shared" si="28"/>
        <v>4</v>
      </c>
      <c r="Y146" s="40">
        <f t="shared" si="29"/>
        <v>0</v>
      </c>
      <c r="Z146" s="40">
        <f t="shared" si="30"/>
        <v>2</v>
      </c>
      <c r="AA146" s="40">
        <f t="shared" si="31"/>
        <v>0</v>
      </c>
      <c r="AB146" s="40">
        <f t="shared" si="32"/>
        <v>2</v>
      </c>
      <c r="AC146" s="41">
        <f t="shared" si="33"/>
        <v>0</v>
      </c>
      <c r="AD146" s="49"/>
      <c r="AE146" s="50"/>
      <c r="AF146" s="49"/>
      <c r="AG146" s="50"/>
      <c r="AH146" s="49"/>
      <c r="AI146" s="50"/>
      <c r="AJ146" s="49"/>
      <c r="AK146" s="50"/>
      <c r="AL146" s="49"/>
      <c r="AM146" s="50"/>
      <c r="AN146" s="49"/>
      <c r="AO146" s="50"/>
      <c r="AP146" s="49"/>
      <c r="AQ146" s="50"/>
      <c r="AR146" s="49" t="s">
        <v>35</v>
      </c>
      <c r="AS146" s="50" t="s">
        <v>118</v>
      </c>
      <c r="AT146" s="49"/>
      <c r="AU146" s="50"/>
      <c r="AV146" s="49" t="s">
        <v>30</v>
      </c>
      <c r="AW146" s="50" t="s">
        <v>73</v>
      </c>
      <c r="AX146" s="49" t="s">
        <v>31</v>
      </c>
      <c r="AY146" s="50" t="s">
        <v>117</v>
      </c>
      <c r="AZ146" s="49" t="s">
        <v>30</v>
      </c>
      <c r="BA146" s="50" t="s">
        <v>103</v>
      </c>
      <c r="BB146" s="49"/>
      <c r="BC146" s="50"/>
      <c r="BD146" s="49"/>
      <c r="BE146" s="50"/>
      <c r="BF146" s="49"/>
      <c r="BG146" s="50"/>
      <c r="BH146" s="49" t="s">
        <v>5</v>
      </c>
      <c r="BI146" s="50" t="s">
        <v>505</v>
      </c>
      <c r="BJ146" s="49"/>
      <c r="BK146" s="50"/>
      <c r="BL146" s="49"/>
      <c r="BM146" s="50"/>
      <c r="BN146" s="49" t="s">
        <v>5</v>
      </c>
      <c r="BO146" s="50" t="s">
        <v>107</v>
      </c>
      <c r="BP146" s="49"/>
      <c r="BQ146" s="50"/>
      <c r="BR146" s="49"/>
      <c r="BS146" s="50"/>
      <c r="BT146" s="49"/>
      <c r="BU146" s="50"/>
      <c r="BV146" s="49" t="s">
        <v>30</v>
      </c>
      <c r="BW146" s="50" t="s">
        <v>602</v>
      </c>
      <c r="BX146" s="49" t="s">
        <v>35</v>
      </c>
      <c r="BY146" s="50" t="s">
        <v>419</v>
      </c>
      <c r="BZ146" s="49"/>
      <c r="CA146" s="50"/>
    </row>
    <row r="147" spans="1:79" x14ac:dyDescent="0.25">
      <c r="A147" s="76">
        <v>151701</v>
      </c>
      <c r="B147" s="77" t="s">
        <v>868</v>
      </c>
      <c r="C147" s="78" t="s">
        <v>732</v>
      </c>
      <c r="D147" s="76" t="s">
        <v>70</v>
      </c>
      <c r="E147" s="79" t="s">
        <v>14</v>
      </c>
      <c r="F147" s="79" t="s">
        <v>71</v>
      </c>
      <c r="G147" s="79" t="s">
        <v>14</v>
      </c>
      <c r="H147" s="79" t="s">
        <v>14</v>
      </c>
      <c r="I147" s="78" t="s">
        <v>14</v>
      </c>
      <c r="J147" s="79" t="s">
        <v>14</v>
      </c>
      <c r="K147" s="142" t="s">
        <v>1850</v>
      </c>
      <c r="L147" s="149" t="s">
        <v>1846</v>
      </c>
      <c r="M147" s="150" t="s">
        <v>1853</v>
      </c>
      <c r="N147" s="151">
        <v>14</v>
      </c>
      <c r="O147" s="151">
        <v>0</v>
      </c>
      <c r="P147" s="152">
        <v>0</v>
      </c>
      <c r="Q147" s="153">
        <v>100</v>
      </c>
      <c r="R147" s="154">
        <v>0</v>
      </c>
      <c r="S147" s="38">
        <f t="shared" si="23"/>
        <v>0</v>
      </c>
      <c r="T147" s="39">
        <f t="shared" si="24"/>
        <v>9</v>
      </c>
      <c r="U147" s="40">
        <f t="shared" si="25"/>
        <v>0</v>
      </c>
      <c r="V147" s="40">
        <f t="shared" si="26"/>
        <v>0</v>
      </c>
      <c r="W147" s="40">
        <f t="shared" si="27"/>
        <v>0</v>
      </c>
      <c r="X147" s="40">
        <f t="shared" si="28"/>
        <v>0</v>
      </c>
      <c r="Y147" s="40">
        <f t="shared" si="29"/>
        <v>0</v>
      </c>
      <c r="Z147" s="40">
        <f t="shared" si="30"/>
        <v>0</v>
      </c>
      <c r="AA147" s="40">
        <f t="shared" si="31"/>
        <v>0</v>
      </c>
      <c r="AB147" s="40">
        <f t="shared" si="32"/>
        <v>0</v>
      </c>
      <c r="AC147" s="41">
        <f t="shared" si="33"/>
        <v>0</v>
      </c>
      <c r="AD147" s="49"/>
      <c r="AE147" s="50"/>
      <c r="AF147" s="49" t="s">
        <v>5</v>
      </c>
      <c r="AG147" s="50" t="s">
        <v>133</v>
      </c>
      <c r="AH147" s="49"/>
      <c r="AI147" s="50"/>
      <c r="AJ147" s="49" t="s">
        <v>5</v>
      </c>
      <c r="AK147" s="50" t="s">
        <v>137</v>
      </c>
      <c r="AL147" s="49"/>
      <c r="AM147" s="50"/>
      <c r="AN147" s="49"/>
      <c r="AO147" s="50"/>
      <c r="AP147" s="49"/>
      <c r="AQ147" s="50"/>
      <c r="AR147" s="49" t="s">
        <v>5</v>
      </c>
      <c r="AS147" s="50" t="s">
        <v>459</v>
      </c>
      <c r="AT147" s="49"/>
      <c r="AU147" s="50"/>
      <c r="AV147" s="49"/>
      <c r="AW147" s="50"/>
      <c r="AX147" s="49" t="s">
        <v>5</v>
      </c>
      <c r="AY147" s="50" t="s">
        <v>124</v>
      </c>
      <c r="AZ147" s="49"/>
      <c r="BA147" s="50"/>
      <c r="BB147" s="49"/>
      <c r="BC147" s="50"/>
      <c r="BD147" s="49"/>
      <c r="BE147" s="50"/>
      <c r="BF147" s="49"/>
      <c r="BG147" s="50"/>
      <c r="BH147" s="49" t="s">
        <v>5</v>
      </c>
      <c r="BI147" s="50" t="s">
        <v>106</v>
      </c>
      <c r="BJ147" s="49"/>
      <c r="BK147" s="50"/>
      <c r="BL147" s="49"/>
      <c r="BM147" s="50"/>
      <c r="BN147" s="49" t="s">
        <v>5</v>
      </c>
      <c r="BO147" s="50" t="s">
        <v>152</v>
      </c>
      <c r="BP147" s="49" t="s">
        <v>5</v>
      </c>
      <c r="BQ147" s="50" t="s">
        <v>96</v>
      </c>
      <c r="BR147" s="49" t="s">
        <v>5</v>
      </c>
      <c r="BS147" s="50" t="s">
        <v>98</v>
      </c>
      <c r="BT147" s="49"/>
      <c r="BU147" s="50"/>
      <c r="BV147" s="49" t="s">
        <v>5</v>
      </c>
      <c r="BW147" s="50" t="s">
        <v>108</v>
      </c>
      <c r="BX147" s="49"/>
      <c r="BY147" s="50"/>
      <c r="BZ147" s="49" t="s">
        <v>5</v>
      </c>
      <c r="CA147" s="50" t="s">
        <v>124</v>
      </c>
    </row>
    <row r="148" spans="1:79" x14ac:dyDescent="0.25">
      <c r="A148" s="76">
        <v>151549</v>
      </c>
      <c r="B148" s="77" t="s">
        <v>869</v>
      </c>
      <c r="C148" s="78" t="s">
        <v>732</v>
      </c>
      <c r="D148" s="76" t="s">
        <v>70</v>
      </c>
      <c r="E148" s="79" t="s">
        <v>14</v>
      </c>
      <c r="F148" s="79" t="s">
        <v>71</v>
      </c>
      <c r="G148" s="79" t="s">
        <v>14</v>
      </c>
      <c r="H148" s="79" t="s">
        <v>14</v>
      </c>
      <c r="I148" s="78" t="s">
        <v>14</v>
      </c>
      <c r="J148" s="79" t="s">
        <v>14</v>
      </c>
      <c r="K148" s="142" t="s">
        <v>1850</v>
      </c>
      <c r="L148" s="149" t="s">
        <v>1841</v>
      </c>
      <c r="M148" s="150" t="s">
        <v>1853</v>
      </c>
      <c r="N148" s="151">
        <v>10</v>
      </c>
      <c r="O148" s="151">
        <v>0</v>
      </c>
      <c r="P148" s="152">
        <v>0</v>
      </c>
      <c r="Q148" s="153">
        <v>100</v>
      </c>
      <c r="R148" s="154">
        <v>0</v>
      </c>
      <c r="S148" s="38">
        <f t="shared" si="23"/>
        <v>0</v>
      </c>
      <c r="T148" s="39">
        <f t="shared" si="24"/>
        <v>9</v>
      </c>
      <c r="U148" s="40">
        <f t="shared" si="25"/>
        <v>0</v>
      </c>
      <c r="V148" s="40">
        <f t="shared" si="26"/>
        <v>0</v>
      </c>
      <c r="W148" s="40">
        <f t="shared" si="27"/>
        <v>0</v>
      </c>
      <c r="X148" s="40">
        <f t="shared" si="28"/>
        <v>0</v>
      </c>
      <c r="Y148" s="40">
        <f t="shared" si="29"/>
        <v>0</v>
      </c>
      <c r="Z148" s="40">
        <f t="shared" si="30"/>
        <v>0</v>
      </c>
      <c r="AA148" s="40">
        <f t="shared" si="31"/>
        <v>0</v>
      </c>
      <c r="AB148" s="40">
        <f t="shared" si="32"/>
        <v>0</v>
      </c>
      <c r="AC148" s="41">
        <f t="shared" si="33"/>
        <v>0</v>
      </c>
      <c r="AD148" s="49"/>
      <c r="AE148" s="50"/>
      <c r="AF148" s="49" t="s">
        <v>5</v>
      </c>
      <c r="AG148" s="50" t="s">
        <v>133</v>
      </c>
      <c r="AH148" s="49"/>
      <c r="AI148" s="50"/>
      <c r="AJ148" s="49" t="s">
        <v>5</v>
      </c>
      <c r="AK148" s="50" t="s">
        <v>137</v>
      </c>
      <c r="AL148" s="49"/>
      <c r="AM148" s="50"/>
      <c r="AN148" s="49"/>
      <c r="AO148" s="50"/>
      <c r="AP148" s="49"/>
      <c r="AQ148" s="50"/>
      <c r="AR148" s="49" t="s">
        <v>5</v>
      </c>
      <c r="AS148" s="50" t="s">
        <v>722</v>
      </c>
      <c r="AT148" s="49"/>
      <c r="AU148" s="50"/>
      <c r="AV148" s="49"/>
      <c r="AW148" s="50"/>
      <c r="AX148" s="49" t="s">
        <v>5</v>
      </c>
      <c r="AY148" s="50" t="s">
        <v>124</v>
      </c>
      <c r="AZ148" s="49"/>
      <c r="BA148" s="50"/>
      <c r="BB148" s="49" t="s">
        <v>5</v>
      </c>
      <c r="BC148" s="50" t="s">
        <v>92</v>
      </c>
      <c r="BD148" s="49"/>
      <c r="BE148" s="50"/>
      <c r="BF148" s="49"/>
      <c r="BG148" s="50"/>
      <c r="BH148" s="49" t="s">
        <v>5</v>
      </c>
      <c r="BI148" s="50" t="s">
        <v>106</v>
      </c>
      <c r="BJ148" s="49"/>
      <c r="BK148" s="50"/>
      <c r="BL148" s="49"/>
      <c r="BM148" s="50"/>
      <c r="BN148" s="49" t="s">
        <v>5</v>
      </c>
      <c r="BO148" s="50" t="s">
        <v>152</v>
      </c>
      <c r="BP148" s="49"/>
      <c r="BQ148" s="50"/>
      <c r="BR148" s="49" t="s">
        <v>5</v>
      </c>
      <c r="BS148" s="50" t="s">
        <v>98</v>
      </c>
      <c r="BT148" s="49"/>
      <c r="BU148" s="50"/>
      <c r="BV148" s="49" t="s">
        <v>5</v>
      </c>
      <c r="BW148" s="50" t="s">
        <v>108</v>
      </c>
      <c r="BX148" s="49"/>
      <c r="BY148" s="50"/>
      <c r="BZ148" s="49" t="s">
        <v>1</v>
      </c>
      <c r="CA148" s="50" t="s">
        <v>124</v>
      </c>
    </row>
    <row r="149" spans="1:79" x14ac:dyDescent="0.25">
      <c r="A149" s="76">
        <v>151626</v>
      </c>
      <c r="B149" s="77" t="s">
        <v>870</v>
      </c>
      <c r="C149" s="78" t="s">
        <v>736</v>
      </c>
      <c r="D149" s="76" t="s">
        <v>70</v>
      </c>
      <c r="E149" s="79" t="s">
        <v>14</v>
      </c>
      <c r="F149" s="79" t="s">
        <v>198</v>
      </c>
      <c r="G149" s="79" t="s">
        <v>14</v>
      </c>
      <c r="H149" s="79" t="s">
        <v>14</v>
      </c>
      <c r="I149" s="78" t="s">
        <v>14</v>
      </c>
      <c r="J149" s="79" t="s">
        <v>6</v>
      </c>
      <c r="K149" s="142" t="s">
        <v>1850</v>
      </c>
      <c r="L149" s="149" t="s">
        <v>1847</v>
      </c>
      <c r="M149" s="150" t="s">
        <v>1852</v>
      </c>
      <c r="N149" s="151">
        <v>8</v>
      </c>
      <c r="O149" s="151">
        <v>10</v>
      </c>
      <c r="P149" s="152">
        <v>5</v>
      </c>
      <c r="Q149" s="153">
        <v>39.130000000000003</v>
      </c>
      <c r="R149" s="154">
        <v>10</v>
      </c>
      <c r="S149" s="38">
        <f t="shared" si="23"/>
        <v>1</v>
      </c>
      <c r="T149" s="39">
        <f t="shared" si="24"/>
        <v>1</v>
      </c>
      <c r="U149" s="40">
        <f t="shared" si="25"/>
        <v>2</v>
      </c>
      <c r="V149" s="40">
        <f t="shared" si="26"/>
        <v>0</v>
      </c>
      <c r="W149" s="40">
        <f t="shared" si="27"/>
        <v>2</v>
      </c>
      <c r="X149" s="40">
        <f t="shared" si="28"/>
        <v>4</v>
      </c>
      <c r="Y149" s="40">
        <f t="shared" si="29"/>
        <v>0</v>
      </c>
      <c r="Z149" s="40">
        <f t="shared" si="30"/>
        <v>1</v>
      </c>
      <c r="AA149" s="40">
        <f t="shared" si="31"/>
        <v>0</v>
      </c>
      <c r="AB149" s="40">
        <f t="shared" si="32"/>
        <v>1</v>
      </c>
      <c r="AC149" s="41">
        <f t="shared" si="33"/>
        <v>0</v>
      </c>
      <c r="AD149" s="49"/>
      <c r="AE149" s="50"/>
      <c r="AF149" s="49"/>
      <c r="AG149" s="50"/>
      <c r="AH149" s="49"/>
      <c r="AI149" s="50"/>
      <c r="AJ149" s="49"/>
      <c r="AK149" s="50"/>
      <c r="AL149" s="49"/>
      <c r="AM149" s="50"/>
      <c r="AN149" s="49"/>
      <c r="AO149" s="50"/>
      <c r="AP149" s="49"/>
      <c r="AQ149" s="50"/>
      <c r="AR149" s="49" t="s">
        <v>35</v>
      </c>
      <c r="AS149" s="50" t="s">
        <v>118</v>
      </c>
      <c r="AT149" s="49"/>
      <c r="AU149" s="50"/>
      <c r="AV149" s="49"/>
      <c r="AW149" s="50"/>
      <c r="AX149" s="49" t="s">
        <v>32</v>
      </c>
      <c r="AY149" s="50" t="s">
        <v>91</v>
      </c>
      <c r="AZ149" s="49"/>
      <c r="BA149" s="50"/>
      <c r="BB149" s="49"/>
      <c r="BC149" s="50"/>
      <c r="BD149" s="49" t="s">
        <v>1</v>
      </c>
      <c r="BE149" s="50" t="s">
        <v>436</v>
      </c>
      <c r="BF149" s="49"/>
      <c r="BG149" s="50"/>
      <c r="BH149" s="49" t="s">
        <v>30</v>
      </c>
      <c r="BI149" s="50" t="s">
        <v>505</v>
      </c>
      <c r="BJ149" s="49"/>
      <c r="BK149" s="50"/>
      <c r="BL149" s="49"/>
      <c r="BM149" s="50"/>
      <c r="BN149" s="49" t="s">
        <v>32</v>
      </c>
      <c r="BO149" s="50" t="s">
        <v>152</v>
      </c>
      <c r="BP149" s="49"/>
      <c r="BQ149" s="50"/>
      <c r="BR149" s="49"/>
      <c r="BS149" s="50"/>
      <c r="BT149" s="49"/>
      <c r="BU149" s="50"/>
      <c r="BV149" s="49" t="s">
        <v>5</v>
      </c>
      <c r="BW149" s="50" t="s">
        <v>457</v>
      </c>
      <c r="BX149" s="49" t="s">
        <v>30</v>
      </c>
      <c r="BY149" s="50" t="s">
        <v>419</v>
      </c>
      <c r="BZ149" s="49" t="s">
        <v>35</v>
      </c>
      <c r="CA149" s="50" t="s">
        <v>124</v>
      </c>
    </row>
    <row r="150" spans="1:79" x14ac:dyDescent="0.25">
      <c r="A150" s="76">
        <v>151671</v>
      </c>
      <c r="B150" s="77" t="s">
        <v>871</v>
      </c>
      <c r="C150" s="78" t="s">
        <v>736</v>
      </c>
      <c r="D150" s="76" t="s">
        <v>70</v>
      </c>
      <c r="E150" s="79" t="s">
        <v>14</v>
      </c>
      <c r="F150" s="79" t="s">
        <v>71</v>
      </c>
      <c r="G150" s="79" t="s">
        <v>14</v>
      </c>
      <c r="H150" s="79" t="s">
        <v>14</v>
      </c>
      <c r="I150" s="78" t="s">
        <v>14</v>
      </c>
      <c r="J150" s="79" t="s">
        <v>14</v>
      </c>
      <c r="K150" s="142" t="s">
        <v>1850</v>
      </c>
      <c r="L150" s="149" t="s">
        <v>1844</v>
      </c>
      <c r="M150" s="150" t="s">
        <v>12</v>
      </c>
      <c r="N150" s="151">
        <v>15</v>
      </c>
      <c r="O150" s="151">
        <v>0</v>
      </c>
      <c r="P150" s="152">
        <v>0</v>
      </c>
      <c r="Q150" s="153">
        <v>97.83</v>
      </c>
      <c r="R150" s="154">
        <v>1</v>
      </c>
      <c r="S150" s="38">
        <f t="shared" si="23"/>
        <v>0</v>
      </c>
      <c r="T150" s="39">
        <f t="shared" si="24"/>
        <v>7</v>
      </c>
      <c r="U150" s="40">
        <f t="shared" si="25"/>
        <v>0</v>
      </c>
      <c r="V150" s="40">
        <f t="shared" si="26"/>
        <v>0</v>
      </c>
      <c r="W150" s="40">
        <f t="shared" si="27"/>
        <v>1</v>
      </c>
      <c r="X150" s="40">
        <f t="shared" si="28"/>
        <v>1</v>
      </c>
      <c r="Y150" s="40">
        <f t="shared" si="29"/>
        <v>0</v>
      </c>
      <c r="Z150" s="40">
        <f t="shared" si="30"/>
        <v>0</v>
      </c>
      <c r="AA150" s="40">
        <f t="shared" si="31"/>
        <v>0</v>
      </c>
      <c r="AB150" s="40">
        <f t="shared" si="32"/>
        <v>0</v>
      </c>
      <c r="AC150" s="41">
        <f t="shared" si="33"/>
        <v>0</v>
      </c>
      <c r="AD150" s="49" t="s">
        <v>32</v>
      </c>
      <c r="AE150" s="50" t="s">
        <v>116</v>
      </c>
      <c r="AF150" s="49"/>
      <c r="AG150" s="50"/>
      <c r="AH150" s="49"/>
      <c r="AI150" s="50"/>
      <c r="AJ150" s="49"/>
      <c r="AK150" s="50"/>
      <c r="AL150" s="49"/>
      <c r="AM150" s="50"/>
      <c r="AN150" s="49"/>
      <c r="AO150" s="50"/>
      <c r="AP150" s="49"/>
      <c r="AQ150" s="50"/>
      <c r="AR150" s="49" t="s">
        <v>5</v>
      </c>
      <c r="AS150" s="50" t="s">
        <v>722</v>
      </c>
      <c r="AT150" s="49"/>
      <c r="AU150" s="50"/>
      <c r="AV150" s="49"/>
      <c r="AW150" s="50"/>
      <c r="AX150" s="49" t="s">
        <v>5</v>
      </c>
      <c r="AY150" s="50" t="s">
        <v>91</v>
      </c>
      <c r="AZ150" s="49"/>
      <c r="BA150" s="50"/>
      <c r="BB150" s="49"/>
      <c r="BC150" s="50"/>
      <c r="BD150" s="49" t="s">
        <v>5</v>
      </c>
      <c r="BE150" s="50" t="s">
        <v>436</v>
      </c>
      <c r="BF150" s="49"/>
      <c r="BG150" s="50"/>
      <c r="BH150" s="49" t="s">
        <v>5</v>
      </c>
      <c r="BI150" s="50" t="s">
        <v>430</v>
      </c>
      <c r="BJ150" s="49"/>
      <c r="BK150" s="50"/>
      <c r="BL150" s="49"/>
      <c r="BM150" s="50"/>
      <c r="BN150" s="49" t="s">
        <v>5</v>
      </c>
      <c r="BO150" s="50" t="s">
        <v>81</v>
      </c>
      <c r="BP150" s="49"/>
      <c r="BQ150" s="50"/>
      <c r="BR150" s="49"/>
      <c r="BS150" s="50"/>
      <c r="BT150" s="49"/>
      <c r="BU150" s="50"/>
      <c r="BV150" s="49" t="s">
        <v>5</v>
      </c>
      <c r="BW150" s="50" t="s">
        <v>82</v>
      </c>
      <c r="BX150" s="49" t="s">
        <v>5</v>
      </c>
      <c r="BY150" s="50" t="s">
        <v>206</v>
      </c>
      <c r="BZ150" s="49" t="s">
        <v>5</v>
      </c>
      <c r="CA150" s="50" t="s">
        <v>75</v>
      </c>
    </row>
    <row r="151" spans="1:79" x14ac:dyDescent="0.25">
      <c r="A151" s="76">
        <v>151704</v>
      </c>
      <c r="B151" s="77" t="s">
        <v>872</v>
      </c>
      <c r="C151" s="78" t="s">
        <v>732</v>
      </c>
      <c r="D151" s="76" t="s">
        <v>70</v>
      </c>
      <c r="E151" s="79" t="s">
        <v>14</v>
      </c>
      <c r="F151" s="79" t="s">
        <v>71</v>
      </c>
      <c r="G151" s="79" t="s">
        <v>14</v>
      </c>
      <c r="H151" s="79" t="s">
        <v>14</v>
      </c>
      <c r="I151" s="78" t="s">
        <v>14</v>
      </c>
      <c r="J151" s="79" t="s">
        <v>14</v>
      </c>
      <c r="K151" s="142" t="s">
        <v>1850</v>
      </c>
      <c r="L151" s="149" t="s">
        <v>1848</v>
      </c>
      <c r="M151" s="150" t="s">
        <v>1852</v>
      </c>
      <c r="N151" s="151">
        <v>11</v>
      </c>
      <c r="O151" s="151">
        <v>23</v>
      </c>
      <c r="P151" s="152">
        <v>8</v>
      </c>
      <c r="Q151" s="153">
        <v>63.04</v>
      </c>
      <c r="R151" s="154">
        <v>13</v>
      </c>
      <c r="S151" s="38">
        <f t="shared" si="23"/>
        <v>1</v>
      </c>
      <c r="T151" s="39">
        <f t="shared" si="24"/>
        <v>0</v>
      </c>
      <c r="U151" s="40">
        <f t="shared" si="25"/>
        <v>2</v>
      </c>
      <c r="V151" s="40">
        <f t="shared" si="26"/>
        <v>0</v>
      </c>
      <c r="W151" s="40">
        <f t="shared" si="27"/>
        <v>2</v>
      </c>
      <c r="X151" s="40">
        <f t="shared" si="28"/>
        <v>4</v>
      </c>
      <c r="Y151" s="40">
        <f t="shared" si="29"/>
        <v>3</v>
      </c>
      <c r="Z151" s="40">
        <f t="shared" si="30"/>
        <v>1</v>
      </c>
      <c r="AA151" s="40">
        <f t="shared" si="31"/>
        <v>0</v>
      </c>
      <c r="AB151" s="40">
        <f t="shared" si="32"/>
        <v>4</v>
      </c>
      <c r="AC151" s="41">
        <f t="shared" si="33"/>
        <v>0</v>
      </c>
      <c r="AD151" s="49"/>
      <c r="AE151" s="50"/>
      <c r="AF151" s="49" t="s">
        <v>30</v>
      </c>
      <c r="AG151" s="50" t="s">
        <v>154</v>
      </c>
      <c r="AH151" s="49"/>
      <c r="AI151" s="50"/>
      <c r="AJ151" s="49" t="s">
        <v>34</v>
      </c>
      <c r="AK151" s="50" t="s">
        <v>83</v>
      </c>
      <c r="AL151" s="49" t="s">
        <v>34</v>
      </c>
      <c r="AM151" s="50" t="s">
        <v>425</v>
      </c>
      <c r="AN151" s="49"/>
      <c r="AO151" s="50"/>
      <c r="AP151" s="49"/>
      <c r="AQ151" s="50"/>
      <c r="AR151" s="49" t="s">
        <v>32</v>
      </c>
      <c r="AS151" s="50" t="s">
        <v>169</v>
      </c>
      <c r="AT151" s="49"/>
      <c r="AU151" s="50"/>
      <c r="AV151" s="49"/>
      <c r="AW151" s="50"/>
      <c r="AX151" s="49" t="s">
        <v>32</v>
      </c>
      <c r="AY151" s="50" t="s">
        <v>124</v>
      </c>
      <c r="AZ151" s="49"/>
      <c r="BA151" s="50"/>
      <c r="BB151" s="49"/>
      <c r="BC151" s="50"/>
      <c r="BD151" s="49"/>
      <c r="BE151" s="50"/>
      <c r="BF151" s="49"/>
      <c r="BG151" s="50"/>
      <c r="BH151" s="49" t="s">
        <v>1</v>
      </c>
      <c r="BI151" s="50" t="s">
        <v>94</v>
      </c>
      <c r="BJ151" s="49"/>
      <c r="BK151" s="50"/>
      <c r="BL151" s="49"/>
      <c r="BM151" s="50"/>
      <c r="BN151" s="49" t="s">
        <v>35</v>
      </c>
      <c r="BO151" s="50" t="s">
        <v>81</v>
      </c>
      <c r="BP151" s="49"/>
      <c r="BQ151" s="50"/>
      <c r="BR151" s="49" t="s">
        <v>30</v>
      </c>
      <c r="BS151" s="50" t="s">
        <v>170</v>
      </c>
      <c r="BT151" s="49"/>
      <c r="BU151" s="50"/>
      <c r="BV151" s="49" t="s">
        <v>34</v>
      </c>
      <c r="BW151" s="50" t="s">
        <v>457</v>
      </c>
      <c r="BX151" s="49"/>
      <c r="BY151" s="50"/>
      <c r="BZ151" s="49" t="s">
        <v>34</v>
      </c>
      <c r="CA151" s="50" t="s">
        <v>124</v>
      </c>
    </row>
    <row r="152" spans="1:79" x14ac:dyDescent="0.25">
      <c r="A152" s="76">
        <v>151664</v>
      </c>
      <c r="B152" s="77" t="s">
        <v>873</v>
      </c>
      <c r="C152" s="78" t="s">
        <v>732</v>
      </c>
      <c r="D152" s="76" t="s">
        <v>70</v>
      </c>
      <c r="E152" s="79" t="s">
        <v>14</v>
      </c>
      <c r="F152" s="79" t="s">
        <v>71</v>
      </c>
      <c r="G152" s="79" t="s">
        <v>14</v>
      </c>
      <c r="H152" s="79" t="s">
        <v>14</v>
      </c>
      <c r="I152" s="78" t="s">
        <v>14</v>
      </c>
      <c r="J152" s="79" t="s">
        <v>14</v>
      </c>
      <c r="K152" s="142" t="s">
        <v>1850</v>
      </c>
      <c r="L152" s="149" t="s">
        <v>1845</v>
      </c>
      <c r="M152" s="150" t="s">
        <v>12</v>
      </c>
      <c r="N152" s="151">
        <v>10</v>
      </c>
      <c r="O152" s="151">
        <v>0</v>
      </c>
      <c r="P152" s="152">
        <v>2</v>
      </c>
      <c r="Q152" s="153">
        <v>100</v>
      </c>
      <c r="R152" s="154">
        <v>0</v>
      </c>
      <c r="S152" s="38">
        <f t="shared" si="23"/>
        <v>1</v>
      </c>
      <c r="T152" s="39">
        <f t="shared" si="24"/>
        <v>6</v>
      </c>
      <c r="U152" s="40">
        <f t="shared" si="25"/>
        <v>0</v>
      </c>
      <c r="V152" s="40">
        <f t="shared" si="26"/>
        <v>0</v>
      </c>
      <c r="W152" s="40">
        <f t="shared" si="27"/>
        <v>1</v>
      </c>
      <c r="X152" s="40">
        <f t="shared" si="28"/>
        <v>1</v>
      </c>
      <c r="Y152" s="40">
        <f t="shared" si="29"/>
        <v>0</v>
      </c>
      <c r="Z152" s="40">
        <f t="shared" si="30"/>
        <v>0</v>
      </c>
      <c r="AA152" s="40">
        <f t="shared" si="31"/>
        <v>0</v>
      </c>
      <c r="AB152" s="40">
        <f t="shared" si="32"/>
        <v>0</v>
      </c>
      <c r="AC152" s="41">
        <f t="shared" si="33"/>
        <v>0</v>
      </c>
      <c r="AD152" s="49" t="s">
        <v>32</v>
      </c>
      <c r="AE152" s="50" t="s">
        <v>116</v>
      </c>
      <c r="AF152" s="49"/>
      <c r="AG152" s="50"/>
      <c r="AH152" s="49" t="s">
        <v>5</v>
      </c>
      <c r="AI152" s="50" t="s">
        <v>427</v>
      </c>
      <c r="AJ152" s="49"/>
      <c r="AK152" s="50"/>
      <c r="AL152" s="49"/>
      <c r="AM152" s="50"/>
      <c r="AN152" s="49"/>
      <c r="AO152" s="50"/>
      <c r="AP152" s="49"/>
      <c r="AQ152" s="50"/>
      <c r="AR152" s="49" t="s">
        <v>5</v>
      </c>
      <c r="AS152" s="50" t="s">
        <v>102</v>
      </c>
      <c r="AT152" s="49"/>
      <c r="AU152" s="50"/>
      <c r="AV152" s="49"/>
      <c r="AW152" s="50"/>
      <c r="AX152" s="49" t="s">
        <v>5</v>
      </c>
      <c r="AY152" s="50" t="s">
        <v>124</v>
      </c>
      <c r="AZ152" s="49"/>
      <c r="BA152" s="50"/>
      <c r="BB152" s="49"/>
      <c r="BC152" s="50"/>
      <c r="BD152" s="49"/>
      <c r="BE152" s="50"/>
      <c r="BF152" s="49"/>
      <c r="BG152" s="50"/>
      <c r="BH152" s="49" t="s">
        <v>5</v>
      </c>
      <c r="BI152" s="50" t="s">
        <v>505</v>
      </c>
      <c r="BJ152" s="49"/>
      <c r="BK152" s="50"/>
      <c r="BL152" s="49"/>
      <c r="BM152" s="50"/>
      <c r="BN152" s="49" t="s">
        <v>1</v>
      </c>
      <c r="BO152" s="50" t="s">
        <v>81</v>
      </c>
      <c r="BP152" s="49"/>
      <c r="BQ152" s="50"/>
      <c r="BR152" s="49"/>
      <c r="BS152" s="50"/>
      <c r="BT152" s="49"/>
      <c r="BU152" s="50"/>
      <c r="BV152" s="49" t="s">
        <v>5</v>
      </c>
      <c r="BW152" s="50" t="s">
        <v>82</v>
      </c>
      <c r="BX152" s="49" t="s">
        <v>5</v>
      </c>
      <c r="BY152" s="50" t="s">
        <v>206</v>
      </c>
      <c r="BZ152" s="49" t="s">
        <v>5</v>
      </c>
      <c r="CA152" s="50" t="s">
        <v>75</v>
      </c>
    </row>
    <row r="153" spans="1:79" x14ac:dyDescent="0.25">
      <c r="A153" s="76">
        <v>151661</v>
      </c>
      <c r="B153" s="77" t="s">
        <v>874</v>
      </c>
      <c r="C153" s="78" t="s">
        <v>725</v>
      </c>
      <c r="D153" s="76" t="s">
        <v>70</v>
      </c>
      <c r="E153" s="79" t="s">
        <v>14</v>
      </c>
      <c r="F153" s="79" t="s">
        <v>115</v>
      </c>
      <c r="G153" s="79" t="s">
        <v>14</v>
      </c>
      <c r="H153" s="79" t="s">
        <v>14</v>
      </c>
      <c r="I153" s="78" t="s">
        <v>14</v>
      </c>
      <c r="J153" s="79" t="s">
        <v>14</v>
      </c>
      <c r="K153" s="142" t="s">
        <v>1850</v>
      </c>
      <c r="L153" s="149" t="s">
        <v>1844</v>
      </c>
      <c r="M153" s="150" t="s">
        <v>12</v>
      </c>
      <c r="N153" s="151">
        <v>12</v>
      </c>
      <c r="O153" s="151">
        <v>1</v>
      </c>
      <c r="P153" s="152">
        <v>2</v>
      </c>
      <c r="Q153" s="153">
        <v>73.91</v>
      </c>
      <c r="R153" s="154">
        <v>0</v>
      </c>
      <c r="S153" s="38">
        <f t="shared" si="23"/>
        <v>0</v>
      </c>
      <c r="T153" s="39">
        <f t="shared" si="24"/>
        <v>9</v>
      </c>
      <c r="U153" s="40">
        <f t="shared" si="25"/>
        <v>0</v>
      </c>
      <c r="V153" s="40">
        <f t="shared" si="26"/>
        <v>0</v>
      </c>
      <c r="W153" s="40">
        <f t="shared" si="27"/>
        <v>0</v>
      </c>
      <c r="X153" s="40">
        <f t="shared" si="28"/>
        <v>0</v>
      </c>
      <c r="Y153" s="40">
        <f t="shared" si="29"/>
        <v>0</v>
      </c>
      <c r="Z153" s="40">
        <f t="shared" si="30"/>
        <v>0</v>
      </c>
      <c r="AA153" s="40">
        <f t="shared" si="31"/>
        <v>0</v>
      </c>
      <c r="AB153" s="40">
        <f t="shared" si="32"/>
        <v>0</v>
      </c>
      <c r="AC153" s="41">
        <f t="shared" si="33"/>
        <v>0</v>
      </c>
      <c r="AD153" s="49"/>
      <c r="AE153" s="50"/>
      <c r="AF153" s="49"/>
      <c r="AG153" s="50"/>
      <c r="AH153" s="49"/>
      <c r="AI153" s="50"/>
      <c r="AJ153" s="49"/>
      <c r="AK153" s="50"/>
      <c r="AL153" s="49" t="s">
        <v>5</v>
      </c>
      <c r="AM153" s="50" t="s">
        <v>425</v>
      </c>
      <c r="AN153" s="49"/>
      <c r="AO153" s="50"/>
      <c r="AP153" s="49"/>
      <c r="AQ153" s="50"/>
      <c r="AR153" s="49" t="s">
        <v>5</v>
      </c>
      <c r="AS153" s="50" t="s">
        <v>194</v>
      </c>
      <c r="AT153" s="49"/>
      <c r="AU153" s="50"/>
      <c r="AV153" s="49"/>
      <c r="AW153" s="50"/>
      <c r="AX153" s="49" t="s">
        <v>5</v>
      </c>
      <c r="AY153" s="50" t="s">
        <v>109</v>
      </c>
      <c r="AZ153" s="49" t="s">
        <v>5</v>
      </c>
      <c r="BA153" s="50" t="s">
        <v>143</v>
      </c>
      <c r="BB153" s="49"/>
      <c r="BC153" s="50"/>
      <c r="BD153" s="49"/>
      <c r="BE153" s="50"/>
      <c r="BF153" s="49"/>
      <c r="BG153" s="50"/>
      <c r="BH153" s="49" t="s">
        <v>5</v>
      </c>
      <c r="BI153" s="50" t="s">
        <v>505</v>
      </c>
      <c r="BJ153" s="49"/>
      <c r="BK153" s="50"/>
      <c r="BL153" s="49" t="s">
        <v>5</v>
      </c>
      <c r="BM153" s="50" t="s">
        <v>89</v>
      </c>
      <c r="BN153" s="49" t="s">
        <v>5</v>
      </c>
      <c r="BO153" s="50" t="s">
        <v>121</v>
      </c>
      <c r="BP153" s="49"/>
      <c r="BQ153" s="50"/>
      <c r="BR153" s="49"/>
      <c r="BS153" s="50"/>
      <c r="BT153" s="49"/>
      <c r="BU153" s="50"/>
      <c r="BV153" s="49" t="s">
        <v>5</v>
      </c>
      <c r="BW153" s="50" t="s">
        <v>457</v>
      </c>
      <c r="BX153" s="49" t="s">
        <v>5</v>
      </c>
      <c r="BY153" s="50" t="s">
        <v>206</v>
      </c>
      <c r="BZ153" s="49"/>
      <c r="CA153" s="50"/>
    </row>
    <row r="154" spans="1:79" x14ac:dyDescent="0.25">
      <c r="A154" s="76">
        <v>151690</v>
      </c>
      <c r="B154" s="77" t="s">
        <v>875</v>
      </c>
      <c r="C154" s="78" t="s">
        <v>710</v>
      </c>
      <c r="D154" s="76" t="s">
        <v>70</v>
      </c>
      <c r="E154" s="79" t="s">
        <v>14</v>
      </c>
      <c r="F154" s="79" t="s">
        <v>71</v>
      </c>
      <c r="G154" s="79" t="s">
        <v>14</v>
      </c>
      <c r="H154" s="79" t="s">
        <v>14</v>
      </c>
      <c r="I154" s="78" t="s">
        <v>14</v>
      </c>
      <c r="J154" s="79" t="s">
        <v>14</v>
      </c>
      <c r="K154" s="142" t="s">
        <v>1850</v>
      </c>
      <c r="L154" s="149" t="s">
        <v>1845</v>
      </c>
      <c r="M154" s="150" t="s">
        <v>12</v>
      </c>
      <c r="N154" s="151">
        <v>17</v>
      </c>
      <c r="O154" s="151">
        <v>0</v>
      </c>
      <c r="P154" s="152">
        <v>3</v>
      </c>
      <c r="Q154" s="153">
        <v>86.96</v>
      </c>
      <c r="R154" s="154">
        <v>1</v>
      </c>
      <c r="S154" s="38">
        <f t="shared" si="23"/>
        <v>1</v>
      </c>
      <c r="T154" s="39">
        <f t="shared" si="24"/>
        <v>6</v>
      </c>
      <c r="U154" s="40">
        <f t="shared" si="25"/>
        <v>0</v>
      </c>
      <c r="V154" s="40">
        <f t="shared" si="26"/>
        <v>0</v>
      </c>
      <c r="W154" s="40">
        <f t="shared" si="27"/>
        <v>0</v>
      </c>
      <c r="X154" s="40">
        <f t="shared" si="28"/>
        <v>0</v>
      </c>
      <c r="Y154" s="40">
        <f t="shared" si="29"/>
        <v>1</v>
      </c>
      <c r="Z154" s="40">
        <f t="shared" si="30"/>
        <v>0</v>
      </c>
      <c r="AA154" s="40">
        <f t="shared" si="31"/>
        <v>0</v>
      </c>
      <c r="AB154" s="40">
        <f t="shared" si="32"/>
        <v>1</v>
      </c>
      <c r="AC154" s="41">
        <f t="shared" si="33"/>
        <v>0</v>
      </c>
      <c r="AD154" s="49"/>
      <c r="AE154" s="50"/>
      <c r="AF154" s="49"/>
      <c r="AG154" s="50"/>
      <c r="AH154" s="49"/>
      <c r="AI154" s="50"/>
      <c r="AJ154" s="49"/>
      <c r="AK154" s="50"/>
      <c r="AL154" s="49"/>
      <c r="AM154" s="50"/>
      <c r="AN154" s="49"/>
      <c r="AO154" s="50"/>
      <c r="AP154" s="49" t="s">
        <v>34</v>
      </c>
      <c r="AQ154" s="50" t="s">
        <v>101</v>
      </c>
      <c r="AR154" s="49" t="s">
        <v>5</v>
      </c>
      <c r="AS154" s="50" t="s">
        <v>102</v>
      </c>
      <c r="AT154" s="49"/>
      <c r="AU154" s="50"/>
      <c r="AV154" s="49" t="s">
        <v>5</v>
      </c>
      <c r="AW154" s="50" t="s">
        <v>73</v>
      </c>
      <c r="AX154" s="49" t="s">
        <v>5</v>
      </c>
      <c r="AY154" s="50" t="s">
        <v>711</v>
      </c>
      <c r="AZ154" s="49"/>
      <c r="BA154" s="50"/>
      <c r="BB154" s="49"/>
      <c r="BC154" s="50"/>
      <c r="BD154" s="49"/>
      <c r="BE154" s="50"/>
      <c r="BF154" s="49"/>
      <c r="BG154" s="50"/>
      <c r="BH154" s="49" t="s">
        <v>5</v>
      </c>
      <c r="BI154" s="50" t="s">
        <v>430</v>
      </c>
      <c r="BJ154" s="49"/>
      <c r="BK154" s="50"/>
      <c r="BL154" s="49"/>
      <c r="BM154" s="50"/>
      <c r="BN154" s="49" t="s">
        <v>5</v>
      </c>
      <c r="BO154" s="50" t="s">
        <v>121</v>
      </c>
      <c r="BP154" s="49"/>
      <c r="BQ154" s="50"/>
      <c r="BR154" s="49"/>
      <c r="BS154" s="50"/>
      <c r="BT154" s="49"/>
      <c r="BU154" s="50"/>
      <c r="BV154" s="49" t="s">
        <v>1</v>
      </c>
      <c r="BW154" s="50" t="s">
        <v>715</v>
      </c>
      <c r="BX154" s="49" t="s">
        <v>5</v>
      </c>
      <c r="BY154" s="50" t="s">
        <v>206</v>
      </c>
      <c r="BZ154" s="49" t="s">
        <v>32</v>
      </c>
      <c r="CA154" s="50" t="s">
        <v>124</v>
      </c>
    </row>
    <row r="155" spans="1:79" x14ac:dyDescent="0.25">
      <c r="A155" s="76">
        <v>151625</v>
      </c>
      <c r="B155" s="77" t="s">
        <v>876</v>
      </c>
      <c r="C155" s="78" t="s">
        <v>718</v>
      </c>
      <c r="D155" s="76" t="s">
        <v>12</v>
      </c>
      <c r="E155" s="79" t="s">
        <v>14</v>
      </c>
      <c r="F155" s="79" t="s">
        <v>455</v>
      </c>
      <c r="G155" s="79" t="s">
        <v>14</v>
      </c>
      <c r="H155" s="79" t="s">
        <v>14</v>
      </c>
      <c r="I155" s="78" t="s">
        <v>14</v>
      </c>
      <c r="J155" s="79" t="s">
        <v>14</v>
      </c>
      <c r="K155" s="142" t="s">
        <v>1851</v>
      </c>
      <c r="L155" s="149" t="s">
        <v>1845</v>
      </c>
      <c r="M155" s="150" t="s">
        <v>12</v>
      </c>
      <c r="N155" s="151">
        <v>13</v>
      </c>
      <c r="O155" s="151">
        <v>7</v>
      </c>
      <c r="P155" s="152">
        <v>6</v>
      </c>
      <c r="Q155" s="153">
        <v>93.48</v>
      </c>
      <c r="R155" s="154">
        <v>4</v>
      </c>
      <c r="S155" s="38">
        <f t="shared" si="23"/>
        <v>1</v>
      </c>
      <c r="T155" s="39">
        <f t="shared" si="24"/>
        <v>6</v>
      </c>
      <c r="U155" s="40">
        <f t="shared" si="25"/>
        <v>1</v>
      </c>
      <c r="V155" s="40">
        <f t="shared" si="26"/>
        <v>0</v>
      </c>
      <c r="W155" s="40">
        <f t="shared" si="27"/>
        <v>2</v>
      </c>
      <c r="X155" s="40">
        <f t="shared" si="28"/>
        <v>3</v>
      </c>
      <c r="Y155" s="40">
        <f t="shared" si="29"/>
        <v>0</v>
      </c>
      <c r="Z155" s="40">
        <f t="shared" si="30"/>
        <v>0</v>
      </c>
      <c r="AA155" s="40">
        <f t="shared" si="31"/>
        <v>0</v>
      </c>
      <c r="AB155" s="40">
        <f t="shared" si="32"/>
        <v>0</v>
      </c>
      <c r="AC155" s="41">
        <f t="shared" si="33"/>
        <v>0</v>
      </c>
      <c r="AD155" s="49"/>
      <c r="AE155" s="50"/>
      <c r="AF155" s="49" t="s">
        <v>5</v>
      </c>
      <c r="AG155" s="50" t="s">
        <v>133</v>
      </c>
      <c r="AH155" s="49"/>
      <c r="AI155" s="50"/>
      <c r="AJ155" s="49" t="s">
        <v>5</v>
      </c>
      <c r="AK155" s="50" t="s">
        <v>164</v>
      </c>
      <c r="AL155" s="49"/>
      <c r="AM155" s="50"/>
      <c r="AN155" s="49"/>
      <c r="AO155" s="50"/>
      <c r="AP155" s="49"/>
      <c r="AQ155" s="50"/>
      <c r="AR155" s="49" t="s">
        <v>1</v>
      </c>
      <c r="AS155" s="50" t="s">
        <v>74</v>
      </c>
      <c r="AT155" s="49"/>
      <c r="AU155" s="50"/>
      <c r="AV155" s="49"/>
      <c r="AW155" s="50"/>
      <c r="AX155" s="49" t="s">
        <v>32</v>
      </c>
      <c r="AY155" s="50" t="s">
        <v>169</v>
      </c>
      <c r="AZ155" s="49" t="s">
        <v>32</v>
      </c>
      <c r="BA155" s="50" t="s">
        <v>143</v>
      </c>
      <c r="BB155" s="49"/>
      <c r="BC155" s="50"/>
      <c r="BD155" s="49"/>
      <c r="BE155" s="50"/>
      <c r="BF155" s="49"/>
      <c r="BG155" s="50"/>
      <c r="BH155" s="49" t="s">
        <v>5</v>
      </c>
      <c r="BI155" s="50" t="s">
        <v>136</v>
      </c>
      <c r="BJ155" s="49"/>
      <c r="BK155" s="50"/>
      <c r="BL155" s="49"/>
      <c r="BM155" s="50"/>
      <c r="BN155" s="49" t="s">
        <v>5</v>
      </c>
      <c r="BO155" s="50" t="s">
        <v>107</v>
      </c>
      <c r="BP155" s="49" t="s">
        <v>30</v>
      </c>
      <c r="BQ155" s="50" t="s">
        <v>96</v>
      </c>
      <c r="BR155" s="49" t="s">
        <v>5</v>
      </c>
      <c r="BS155" s="50" t="s">
        <v>140</v>
      </c>
      <c r="BT155" s="49"/>
      <c r="BU155" s="50"/>
      <c r="BV155" s="49" t="s">
        <v>5</v>
      </c>
      <c r="BW155" s="50" t="s">
        <v>602</v>
      </c>
      <c r="BX155" s="49"/>
      <c r="BY155" s="50"/>
      <c r="BZ155" s="49"/>
      <c r="CA155" s="50"/>
    </row>
    <row r="156" spans="1:79" x14ac:dyDescent="0.25">
      <c r="A156" s="76">
        <v>151585</v>
      </c>
      <c r="B156" s="77" t="s">
        <v>877</v>
      </c>
      <c r="C156" s="78" t="s">
        <v>736</v>
      </c>
      <c r="D156" s="76" t="s">
        <v>12</v>
      </c>
      <c r="E156" s="79" t="s">
        <v>14</v>
      </c>
      <c r="F156" s="79" t="s">
        <v>450</v>
      </c>
      <c r="G156" s="79" t="s">
        <v>14</v>
      </c>
      <c r="H156" s="79" t="s">
        <v>14</v>
      </c>
      <c r="I156" s="78" t="s">
        <v>14</v>
      </c>
      <c r="J156" s="79" t="s">
        <v>14</v>
      </c>
      <c r="K156" s="142" t="s">
        <v>1850</v>
      </c>
      <c r="L156" s="149" t="s">
        <v>1845</v>
      </c>
      <c r="M156" s="150" t="s">
        <v>12</v>
      </c>
      <c r="N156" s="151">
        <v>10</v>
      </c>
      <c r="O156" s="151">
        <v>5</v>
      </c>
      <c r="P156" s="152">
        <v>2</v>
      </c>
      <c r="Q156" s="153">
        <v>95.65</v>
      </c>
      <c r="R156" s="154">
        <v>7</v>
      </c>
      <c r="S156" s="38">
        <f t="shared" si="23"/>
        <v>0</v>
      </c>
      <c r="T156" s="39">
        <f t="shared" si="24"/>
        <v>5</v>
      </c>
      <c r="U156" s="40">
        <f t="shared" si="25"/>
        <v>1</v>
      </c>
      <c r="V156" s="40">
        <f t="shared" si="26"/>
        <v>2</v>
      </c>
      <c r="W156" s="40">
        <f t="shared" si="27"/>
        <v>0</v>
      </c>
      <c r="X156" s="40">
        <f t="shared" si="28"/>
        <v>3</v>
      </c>
      <c r="Y156" s="40">
        <f t="shared" si="29"/>
        <v>0</v>
      </c>
      <c r="Z156" s="40">
        <f t="shared" si="30"/>
        <v>1</v>
      </c>
      <c r="AA156" s="40">
        <f t="shared" si="31"/>
        <v>0</v>
      </c>
      <c r="AB156" s="40">
        <f t="shared" si="32"/>
        <v>1</v>
      </c>
      <c r="AC156" s="41">
        <f t="shared" si="33"/>
        <v>0</v>
      </c>
      <c r="AD156" s="49"/>
      <c r="AE156" s="50"/>
      <c r="AF156" s="49" t="s">
        <v>5</v>
      </c>
      <c r="AG156" s="50" t="s">
        <v>433</v>
      </c>
      <c r="AH156" s="49"/>
      <c r="AI156" s="50"/>
      <c r="AJ156" s="49" t="s">
        <v>31</v>
      </c>
      <c r="AK156" s="50" t="s">
        <v>714</v>
      </c>
      <c r="AL156" s="49"/>
      <c r="AM156" s="50"/>
      <c r="AN156" s="49"/>
      <c r="AO156" s="50"/>
      <c r="AP156" s="49"/>
      <c r="AQ156" s="50"/>
      <c r="AR156" s="49" t="s">
        <v>5</v>
      </c>
      <c r="AS156" s="50" t="s">
        <v>74</v>
      </c>
      <c r="AT156" s="49"/>
      <c r="AU156" s="50"/>
      <c r="AV156" s="49"/>
      <c r="AW156" s="50"/>
      <c r="AX156" s="49" t="s">
        <v>5</v>
      </c>
      <c r="AY156" s="50" t="s">
        <v>91</v>
      </c>
      <c r="AZ156" s="49"/>
      <c r="BA156" s="50"/>
      <c r="BB156" s="49" t="s">
        <v>35</v>
      </c>
      <c r="BC156" s="50" t="s">
        <v>92</v>
      </c>
      <c r="BD156" s="49"/>
      <c r="BE156" s="50"/>
      <c r="BF156" s="49"/>
      <c r="BG156" s="50"/>
      <c r="BH156" s="49" t="s">
        <v>5</v>
      </c>
      <c r="BI156" s="50" t="s">
        <v>430</v>
      </c>
      <c r="BJ156" s="49"/>
      <c r="BK156" s="50"/>
      <c r="BL156" s="49"/>
      <c r="BM156" s="50"/>
      <c r="BN156" s="49" t="s">
        <v>5</v>
      </c>
      <c r="BO156" s="50" t="s">
        <v>107</v>
      </c>
      <c r="BP156" s="49"/>
      <c r="BQ156" s="50"/>
      <c r="BR156" s="49" t="s">
        <v>31</v>
      </c>
      <c r="BS156" s="50" t="s">
        <v>123</v>
      </c>
      <c r="BT156" s="49"/>
      <c r="BU156" s="50"/>
      <c r="BV156" s="49" t="s">
        <v>30</v>
      </c>
      <c r="BW156" s="50" t="s">
        <v>108</v>
      </c>
      <c r="BX156" s="49"/>
      <c r="BY156" s="50"/>
      <c r="BZ156" s="49" t="s">
        <v>32</v>
      </c>
      <c r="CA156" s="50" t="s">
        <v>124</v>
      </c>
    </row>
    <row r="157" spans="1:79" x14ac:dyDescent="0.25">
      <c r="A157" s="76">
        <v>151588</v>
      </c>
      <c r="B157" s="77" t="s">
        <v>878</v>
      </c>
      <c r="C157" s="78" t="s">
        <v>736</v>
      </c>
      <c r="D157" s="76" t="s">
        <v>70</v>
      </c>
      <c r="E157" s="79" t="s">
        <v>14</v>
      </c>
      <c r="F157" s="79" t="s">
        <v>71</v>
      </c>
      <c r="G157" s="79" t="s">
        <v>14</v>
      </c>
      <c r="H157" s="79" t="s">
        <v>14</v>
      </c>
      <c r="I157" s="78" t="s">
        <v>14</v>
      </c>
      <c r="J157" s="79" t="s">
        <v>14</v>
      </c>
      <c r="K157" s="142" t="s">
        <v>1850</v>
      </c>
      <c r="L157" s="149" t="s">
        <v>1844</v>
      </c>
      <c r="M157" s="150" t="s">
        <v>12</v>
      </c>
      <c r="N157" s="151">
        <v>12</v>
      </c>
      <c r="O157" s="151">
        <v>0</v>
      </c>
      <c r="P157" s="152">
        <v>1</v>
      </c>
      <c r="Q157" s="153">
        <v>100</v>
      </c>
      <c r="R157" s="154">
        <v>1</v>
      </c>
      <c r="S157" s="38">
        <f t="shared" si="23"/>
        <v>1</v>
      </c>
      <c r="T157" s="39">
        <f t="shared" si="24"/>
        <v>7</v>
      </c>
      <c r="U157" s="40">
        <f t="shared" si="25"/>
        <v>0</v>
      </c>
      <c r="V157" s="40">
        <f t="shared" si="26"/>
        <v>0</v>
      </c>
      <c r="W157" s="40">
        <f t="shared" si="27"/>
        <v>0</v>
      </c>
      <c r="X157" s="40">
        <f t="shared" si="28"/>
        <v>0</v>
      </c>
      <c r="Y157" s="40">
        <f t="shared" si="29"/>
        <v>0</v>
      </c>
      <c r="Z157" s="40">
        <f t="shared" si="30"/>
        <v>0</v>
      </c>
      <c r="AA157" s="40">
        <f t="shared" si="31"/>
        <v>0</v>
      </c>
      <c r="AB157" s="40">
        <f t="shared" si="32"/>
        <v>0</v>
      </c>
      <c r="AC157" s="41">
        <f t="shared" si="33"/>
        <v>0</v>
      </c>
      <c r="AD157" s="49"/>
      <c r="AE157" s="50"/>
      <c r="AF157" s="49"/>
      <c r="AG157" s="50"/>
      <c r="AH157" s="49"/>
      <c r="AI157" s="50"/>
      <c r="AJ157" s="49"/>
      <c r="AK157" s="50"/>
      <c r="AL157" s="49"/>
      <c r="AM157" s="50"/>
      <c r="AN157" s="49"/>
      <c r="AO157" s="50"/>
      <c r="AP157" s="49"/>
      <c r="AQ157" s="50"/>
      <c r="AR157" s="49" t="s">
        <v>5</v>
      </c>
      <c r="AS157" s="50" t="s">
        <v>194</v>
      </c>
      <c r="AT157" s="49"/>
      <c r="AU157" s="50"/>
      <c r="AV157" s="49" t="s">
        <v>5</v>
      </c>
      <c r="AW157" s="50" t="s">
        <v>73</v>
      </c>
      <c r="AX157" s="49" t="s">
        <v>5</v>
      </c>
      <c r="AY157" s="50" t="s">
        <v>91</v>
      </c>
      <c r="AZ157" s="49"/>
      <c r="BA157" s="50"/>
      <c r="BB157" s="49" t="s">
        <v>1</v>
      </c>
      <c r="BC157" s="50" t="s">
        <v>92</v>
      </c>
      <c r="BD157" s="49"/>
      <c r="BE157" s="50"/>
      <c r="BF157" s="49"/>
      <c r="BG157" s="50"/>
      <c r="BH157" s="49" t="s">
        <v>5</v>
      </c>
      <c r="BI157" s="50" t="s">
        <v>430</v>
      </c>
      <c r="BJ157" s="49"/>
      <c r="BK157" s="50"/>
      <c r="BL157" s="49"/>
      <c r="BM157" s="50"/>
      <c r="BN157" s="49" t="s">
        <v>5</v>
      </c>
      <c r="BO157" s="50" t="s">
        <v>152</v>
      </c>
      <c r="BP157" s="49"/>
      <c r="BQ157" s="50"/>
      <c r="BR157" s="49"/>
      <c r="BS157" s="50"/>
      <c r="BT157" s="49"/>
      <c r="BU157" s="50"/>
      <c r="BV157" s="49" t="s">
        <v>5</v>
      </c>
      <c r="BW157" s="50" t="s">
        <v>82</v>
      </c>
      <c r="BX157" s="49" t="s">
        <v>5</v>
      </c>
      <c r="BY157" s="50" t="s">
        <v>206</v>
      </c>
      <c r="BZ157" s="49" t="s">
        <v>5</v>
      </c>
      <c r="CA157" s="50" t="s">
        <v>124</v>
      </c>
    </row>
    <row r="158" spans="1:79" x14ac:dyDescent="0.25">
      <c r="A158" s="76">
        <v>151710</v>
      </c>
      <c r="B158" s="77" t="s">
        <v>879</v>
      </c>
      <c r="C158" s="78" t="s">
        <v>713</v>
      </c>
      <c r="D158" s="76" t="s">
        <v>12</v>
      </c>
      <c r="E158" s="79" t="s">
        <v>87</v>
      </c>
      <c r="F158" s="79" t="s">
        <v>71</v>
      </c>
      <c r="G158" s="79" t="s">
        <v>14</v>
      </c>
      <c r="H158" s="79" t="s">
        <v>87</v>
      </c>
      <c r="I158" s="78" t="s">
        <v>14</v>
      </c>
      <c r="J158" s="79" t="s">
        <v>14</v>
      </c>
      <c r="K158" s="142" t="s">
        <v>1850</v>
      </c>
      <c r="L158" s="149" t="s">
        <v>1845</v>
      </c>
      <c r="M158" s="150" t="s">
        <v>1852</v>
      </c>
      <c r="N158" s="151">
        <v>8</v>
      </c>
      <c r="O158" s="151">
        <v>3</v>
      </c>
      <c r="P158" s="152">
        <v>3</v>
      </c>
      <c r="Q158" s="153">
        <v>95.65</v>
      </c>
      <c r="R158" s="154">
        <v>0</v>
      </c>
      <c r="S158" s="38">
        <f t="shared" si="23"/>
        <v>0</v>
      </c>
      <c r="T158" s="39">
        <f t="shared" si="24"/>
        <v>8</v>
      </c>
      <c r="U158" s="40">
        <f t="shared" si="25"/>
        <v>0</v>
      </c>
      <c r="V158" s="40">
        <f t="shared" si="26"/>
        <v>0</v>
      </c>
      <c r="W158" s="40">
        <f t="shared" si="27"/>
        <v>1</v>
      </c>
      <c r="X158" s="40">
        <f t="shared" si="28"/>
        <v>1</v>
      </c>
      <c r="Y158" s="40">
        <f t="shared" si="29"/>
        <v>0</v>
      </c>
      <c r="Z158" s="40">
        <f t="shared" si="30"/>
        <v>0</v>
      </c>
      <c r="AA158" s="40">
        <f t="shared" si="31"/>
        <v>0</v>
      </c>
      <c r="AB158" s="40">
        <f t="shared" si="32"/>
        <v>0</v>
      </c>
      <c r="AC158" s="41">
        <f t="shared" si="33"/>
        <v>0</v>
      </c>
      <c r="AD158" s="49"/>
      <c r="AE158" s="50"/>
      <c r="AF158" s="49" t="s">
        <v>32</v>
      </c>
      <c r="AG158" s="50" t="s">
        <v>433</v>
      </c>
      <c r="AH158" s="49"/>
      <c r="AI158" s="50"/>
      <c r="AJ158" s="49" t="s">
        <v>5</v>
      </c>
      <c r="AK158" s="50" t="s">
        <v>714</v>
      </c>
      <c r="AL158" s="49"/>
      <c r="AM158" s="50"/>
      <c r="AN158" s="49"/>
      <c r="AO158" s="50"/>
      <c r="AP158" s="49"/>
      <c r="AQ158" s="50"/>
      <c r="AR158" s="49" t="s">
        <v>5</v>
      </c>
      <c r="AS158" s="50" t="s">
        <v>102</v>
      </c>
      <c r="AT158" s="49"/>
      <c r="AU158" s="50"/>
      <c r="AV158" s="49"/>
      <c r="AW158" s="50"/>
      <c r="AX158" s="49" t="s">
        <v>5</v>
      </c>
      <c r="AY158" s="50" t="s">
        <v>103</v>
      </c>
      <c r="AZ158" s="49"/>
      <c r="BA158" s="50"/>
      <c r="BB158" s="49" t="s">
        <v>5</v>
      </c>
      <c r="BC158" s="50" t="s">
        <v>92</v>
      </c>
      <c r="BD158" s="49"/>
      <c r="BE158" s="50"/>
      <c r="BF158" s="49"/>
      <c r="BG158" s="50"/>
      <c r="BH158" s="49" t="s">
        <v>5</v>
      </c>
      <c r="BI158" s="50" t="s">
        <v>430</v>
      </c>
      <c r="BJ158" s="49"/>
      <c r="BK158" s="50"/>
      <c r="BL158" s="49"/>
      <c r="BM158" s="50"/>
      <c r="BN158" s="49" t="s">
        <v>5</v>
      </c>
      <c r="BO158" s="50" t="s">
        <v>107</v>
      </c>
      <c r="BP158" s="49"/>
      <c r="BQ158" s="50"/>
      <c r="BR158" s="49" t="s">
        <v>5</v>
      </c>
      <c r="BS158" s="50" t="s">
        <v>123</v>
      </c>
      <c r="BT158" s="49"/>
      <c r="BU158" s="50"/>
      <c r="BV158" s="49" t="s">
        <v>5</v>
      </c>
      <c r="BW158" s="50" t="s">
        <v>457</v>
      </c>
      <c r="BX158" s="49"/>
      <c r="BY158" s="50"/>
      <c r="BZ158" s="49" t="s">
        <v>30</v>
      </c>
      <c r="CA158" s="50" t="s">
        <v>75</v>
      </c>
    </row>
    <row r="159" spans="1:79" x14ac:dyDescent="0.25">
      <c r="A159" s="76">
        <v>151593</v>
      </c>
      <c r="B159" s="77" t="s">
        <v>880</v>
      </c>
      <c r="C159" s="78" t="s">
        <v>718</v>
      </c>
      <c r="D159" s="76" t="s">
        <v>70</v>
      </c>
      <c r="E159" s="79" t="s">
        <v>14</v>
      </c>
      <c r="F159" s="79" t="s">
        <v>198</v>
      </c>
      <c r="G159" s="79" t="s">
        <v>14</v>
      </c>
      <c r="H159" s="79" t="s">
        <v>14</v>
      </c>
      <c r="I159" s="78" t="s">
        <v>14</v>
      </c>
      <c r="J159" s="79" t="s">
        <v>14</v>
      </c>
      <c r="K159" s="142" t="s">
        <v>1850</v>
      </c>
      <c r="L159" s="149" t="s">
        <v>1845</v>
      </c>
      <c r="M159" s="150" t="s">
        <v>12</v>
      </c>
      <c r="N159" s="151">
        <v>7</v>
      </c>
      <c r="O159" s="151">
        <v>3</v>
      </c>
      <c r="P159" s="152">
        <v>8</v>
      </c>
      <c r="Q159" s="153">
        <v>56.52</v>
      </c>
      <c r="R159" s="154">
        <v>8</v>
      </c>
      <c r="S159" s="38">
        <f t="shared" si="23"/>
        <v>0</v>
      </c>
      <c r="T159" s="39">
        <f t="shared" si="24"/>
        <v>3</v>
      </c>
      <c r="U159" s="40">
        <f t="shared" si="25"/>
        <v>3</v>
      </c>
      <c r="V159" s="40">
        <f t="shared" si="26"/>
        <v>0</v>
      </c>
      <c r="W159" s="40">
        <f t="shared" si="27"/>
        <v>1</v>
      </c>
      <c r="X159" s="40">
        <f t="shared" si="28"/>
        <v>4</v>
      </c>
      <c r="Y159" s="40">
        <f t="shared" si="29"/>
        <v>2</v>
      </c>
      <c r="Z159" s="40">
        <f t="shared" si="30"/>
        <v>0</v>
      </c>
      <c r="AA159" s="40">
        <f t="shared" si="31"/>
        <v>0</v>
      </c>
      <c r="AB159" s="40">
        <f t="shared" si="32"/>
        <v>2</v>
      </c>
      <c r="AC159" s="41">
        <f t="shared" si="33"/>
        <v>0</v>
      </c>
      <c r="AD159" s="49"/>
      <c r="AE159" s="50"/>
      <c r="AF159" s="49"/>
      <c r="AG159" s="50"/>
      <c r="AH159" s="49"/>
      <c r="AI159" s="50"/>
      <c r="AJ159" s="49"/>
      <c r="AK159" s="50"/>
      <c r="AL159" s="49" t="s">
        <v>30</v>
      </c>
      <c r="AM159" s="50" t="s">
        <v>425</v>
      </c>
      <c r="AN159" s="49"/>
      <c r="AO159" s="50"/>
      <c r="AP159" s="49"/>
      <c r="AQ159" s="50"/>
      <c r="AR159" s="49" t="s">
        <v>34</v>
      </c>
      <c r="AS159" s="50" t="s">
        <v>169</v>
      </c>
      <c r="AT159" s="49"/>
      <c r="AU159" s="50"/>
      <c r="AV159" s="49" t="s">
        <v>5</v>
      </c>
      <c r="AW159" s="50" t="s">
        <v>73</v>
      </c>
      <c r="AX159" s="49" t="s">
        <v>34</v>
      </c>
      <c r="AY159" s="50" t="s">
        <v>169</v>
      </c>
      <c r="AZ159" s="49" t="s">
        <v>32</v>
      </c>
      <c r="BA159" s="50" t="s">
        <v>143</v>
      </c>
      <c r="BB159" s="49"/>
      <c r="BC159" s="50"/>
      <c r="BD159" s="49"/>
      <c r="BE159" s="50"/>
      <c r="BF159" s="49"/>
      <c r="BG159" s="50"/>
      <c r="BH159" s="49" t="s">
        <v>30</v>
      </c>
      <c r="BI159" s="50" t="s">
        <v>505</v>
      </c>
      <c r="BJ159" s="49"/>
      <c r="BK159" s="50"/>
      <c r="BL159" s="49"/>
      <c r="BM159" s="50"/>
      <c r="BN159" s="49" t="s">
        <v>5</v>
      </c>
      <c r="BO159" s="50" t="s">
        <v>741</v>
      </c>
      <c r="BP159" s="49"/>
      <c r="BQ159" s="50"/>
      <c r="BR159" s="49"/>
      <c r="BS159" s="50"/>
      <c r="BT159" s="49"/>
      <c r="BU159" s="50"/>
      <c r="BV159" s="49" t="s">
        <v>5</v>
      </c>
      <c r="BW159" s="50" t="s">
        <v>602</v>
      </c>
      <c r="BX159" s="49" t="s">
        <v>30</v>
      </c>
      <c r="BY159" s="50" t="s">
        <v>206</v>
      </c>
      <c r="BZ159" s="49"/>
      <c r="CA159" s="50"/>
    </row>
    <row r="160" spans="1:79" x14ac:dyDescent="0.25">
      <c r="A160" s="76">
        <v>151666</v>
      </c>
      <c r="B160" s="77" t="s">
        <v>881</v>
      </c>
      <c r="C160" s="78" t="s">
        <v>736</v>
      </c>
      <c r="D160" s="76" t="s">
        <v>70</v>
      </c>
      <c r="E160" s="79" t="s">
        <v>14</v>
      </c>
      <c r="F160" s="79" t="s">
        <v>71</v>
      </c>
      <c r="G160" s="79" t="s">
        <v>14</v>
      </c>
      <c r="H160" s="79" t="s">
        <v>14</v>
      </c>
      <c r="I160" s="78" t="s">
        <v>14</v>
      </c>
      <c r="J160" s="79" t="s">
        <v>14</v>
      </c>
      <c r="K160" s="142" t="s">
        <v>1850</v>
      </c>
      <c r="L160" s="149" t="s">
        <v>1842</v>
      </c>
      <c r="M160" s="150" t="s">
        <v>12</v>
      </c>
      <c r="N160" s="151">
        <v>17</v>
      </c>
      <c r="O160" s="151">
        <v>0</v>
      </c>
      <c r="P160" s="152">
        <v>1</v>
      </c>
      <c r="Q160" s="153">
        <v>100</v>
      </c>
      <c r="R160" s="154">
        <v>0</v>
      </c>
      <c r="S160" s="38">
        <f t="shared" si="23"/>
        <v>3</v>
      </c>
      <c r="T160" s="39">
        <f t="shared" si="24"/>
        <v>5</v>
      </c>
      <c r="U160" s="40">
        <f t="shared" si="25"/>
        <v>0</v>
      </c>
      <c r="V160" s="40">
        <f t="shared" si="26"/>
        <v>0</v>
      </c>
      <c r="W160" s="40">
        <f t="shared" si="27"/>
        <v>0</v>
      </c>
      <c r="X160" s="40">
        <f t="shared" si="28"/>
        <v>0</v>
      </c>
      <c r="Y160" s="40">
        <f t="shared" si="29"/>
        <v>0</v>
      </c>
      <c r="Z160" s="40">
        <f t="shared" si="30"/>
        <v>0</v>
      </c>
      <c r="AA160" s="40">
        <f t="shared" si="31"/>
        <v>0</v>
      </c>
      <c r="AB160" s="40">
        <f t="shared" si="32"/>
        <v>0</v>
      </c>
      <c r="AC160" s="41">
        <f t="shared" si="33"/>
        <v>0</v>
      </c>
      <c r="AD160" s="49"/>
      <c r="AE160" s="50"/>
      <c r="AF160" s="49"/>
      <c r="AG160" s="50"/>
      <c r="AH160" s="49"/>
      <c r="AI160" s="50"/>
      <c r="AJ160" s="49"/>
      <c r="AK160" s="50"/>
      <c r="AL160" s="49"/>
      <c r="AM160" s="50"/>
      <c r="AN160" s="49"/>
      <c r="AO160" s="50"/>
      <c r="AP160" s="49"/>
      <c r="AQ160" s="50"/>
      <c r="AR160" s="49" t="s">
        <v>1</v>
      </c>
      <c r="AS160" s="50" t="s">
        <v>722</v>
      </c>
      <c r="AT160" s="49"/>
      <c r="AU160" s="50"/>
      <c r="AV160" s="49" t="s">
        <v>1</v>
      </c>
      <c r="AW160" s="50" t="s">
        <v>73</v>
      </c>
      <c r="AX160" s="49" t="s">
        <v>5</v>
      </c>
      <c r="AY160" s="50" t="s">
        <v>91</v>
      </c>
      <c r="AZ160" s="49"/>
      <c r="BA160" s="50"/>
      <c r="BB160" s="49"/>
      <c r="BC160" s="50"/>
      <c r="BD160" s="49"/>
      <c r="BE160" s="50"/>
      <c r="BF160" s="49" t="s">
        <v>5</v>
      </c>
      <c r="BG160" s="50" t="s">
        <v>93</v>
      </c>
      <c r="BH160" s="49" t="s">
        <v>5</v>
      </c>
      <c r="BI160" s="50" t="s">
        <v>430</v>
      </c>
      <c r="BJ160" s="49"/>
      <c r="BK160" s="50"/>
      <c r="BL160" s="49"/>
      <c r="BM160" s="50"/>
      <c r="BN160" s="49" t="s">
        <v>5</v>
      </c>
      <c r="BO160" s="50" t="s">
        <v>81</v>
      </c>
      <c r="BP160" s="49"/>
      <c r="BQ160" s="50"/>
      <c r="BR160" s="49"/>
      <c r="BS160" s="50"/>
      <c r="BT160" s="49"/>
      <c r="BU160" s="50"/>
      <c r="BV160" s="49" t="s">
        <v>5</v>
      </c>
      <c r="BW160" s="50" t="s">
        <v>495</v>
      </c>
      <c r="BX160" s="49" t="s">
        <v>1</v>
      </c>
      <c r="BY160" s="50" t="s">
        <v>206</v>
      </c>
      <c r="BZ160" s="49" t="s">
        <v>5</v>
      </c>
      <c r="CA160" s="50" t="s">
        <v>124</v>
      </c>
    </row>
    <row r="161" spans="1:79" x14ac:dyDescent="0.25">
      <c r="A161" s="76">
        <v>151733</v>
      </c>
      <c r="B161" s="77" t="s">
        <v>882</v>
      </c>
      <c r="C161" s="78" t="s">
        <v>713</v>
      </c>
      <c r="D161" s="76" t="s">
        <v>70</v>
      </c>
      <c r="E161" s="79" t="s">
        <v>14</v>
      </c>
      <c r="F161" s="79" t="s">
        <v>88</v>
      </c>
      <c r="G161" s="79" t="s">
        <v>87</v>
      </c>
      <c r="H161" s="79" t="s">
        <v>14</v>
      </c>
      <c r="I161" s="78" t="s">
        <v>14</v>
      </c>
      <c r="J161" s="79" t="s">
        <v>14</v>
      </c>
      <c r="K161" s="142" t="s">
        <v>1850</v>
      </c>
      <c r="L161" s="149" t="s">
        <v>1845</v>
      </c>
      <c r="M161" s="150" t="s">
        <v>12</v>
      </c>
      <c r="N161" s="151">
        <v>10</v>
      </c>
      <c r="O161" s="151">
        <v>0</v>
      </c>
      <c r="P161" s="152">
        <v>3</v>
      </c>
      <c r="Q161" s="153">
        <v>89.13</v>
      </c>
      <c r="R161" s="154">
        <v>3</v>
      </c>
      <c r="S161" s="38">
        <f t="shared" si="23"/>
        <v>2</v>
      </c>
      <c r="T161" s="39">
        <f t="shared" si="24"/>
        <v>7</v>
      </c>
      <c r="U161" s="40">
        <f t="shared" si="25"/>
        <v>0</v>
      </c>
      <c r="V161" s="40">
        <f t="shared" si="26"/>
        <v>0</v>
      </c>
      <c r="W161" s="40">
        <f t="shared" si="27"/>
        <v>0</v>
      </c>
      <c r="X161" s="40">
        <f t="shared" si="28"/>
        <v>0</v>
      </c>
      <c r="Y161" s="40">
        <f t="shared" si="29"/>
        <v>0</v>
      </c>
      <c r="Z161" s="40">
        <f t="shared" si="30"/>
        <v>0</v>
      </c>
      <c r="AA161" s="40">
        <f t="shared" si="31"/>
        <v>0</v>
      </c>
      <c r="AB161" s="40">
        <f t="shared" si="32"/>
        <v>0</v>
      </c>
      <c r="AC161" s="41">
        <f t="shared" si="33"/>
        <v>0</v>
      </c>
      <c r="AD161" s="49"/>
      <c r="AE161" s="50"/>
      <c r="AF161" s="49" t="s">
        <v>5</v>
      </c>
      <c r="AG161" s="50" t="s">
        <v>133</v>
      </c>
      <c r="AH161" s="49" t="s">
        <v>5</v>
      </c>
      <c r="AI161" s="50" t="s">
        <v>427</v>
      </c>
      <c r="AJ161" s="49" t="s">
        <v>5</v>
      </c>
      <c r="AK161" s="50" t="s">
        <v>164</v>
      </c>
      <c r="AL161" s="49"/>
      <c r="AM161" s="50"/>
      <c r="AN161" s="49"/>
      <c r="AO161" s="50"/>
      <c r="AP161" s="49"/>
      <c r="AQ161" s="50"/>
      <c r="AR161" s="49" t="s">
        <v>5</v>
      </c>
      <c r="AS161" s="50" t="s">
        <v>74</v>
      </c>
      <c r="AT161" s="49"/>
      <c r="AU161" s="50"/>
      <c r="AV161" s="49"/>
      <c r="AW161" s="50"/>
      <c r="AX161" s="49" t="s">
        <v>5</v>
      </c>
      <c r="AY161" s="50" t="s">
        <v>103</v>
      </c>
      <c r="AZ161" s="49"/>
      <c r="BA161" s="50"/>
      <c r="BB161" s="49"/>
      <c r="BC161" s="50"/>
      <c r="BD161" s="49"/>
      <c r="BE161" s="50"/>
      <c r="BF161" s="49"/>
      <c r="BG161" s="50"/>
      <c r="BH161" s="49" t="s">
        <v>5</v>
      </c>
      <c r="BI161" s="50" t="s">
        <v>430</v>
      </c>
      <c r="BJ161" s="49"/>
      <c r="BK161" s="50"/>
      <c r="BL161" s="49"/>
      <c r="BM161" s="50"/>
      <c r="BN161" s="49" t="s">
        <v>1</v>
      </c>
      <c r="BO161" s="50" t="s">
        <v>81</v>
      </c>
      <c r="BP161" s="49"/>
      <c r="BQ161" s="50"/>
      <c r="BR161" s="49" t="s">
        <v>5</v>
      </c>
      <c r="BS161" s="50" t="s">
        <v>140</v>
      </c>
      <c r="BT161" s="49"/>
      <c r="BU161" s="50"/>
      <c r="BV161" s="49" t="s">
        <v>1</v>
      </c>
      <c r="BW161" s="50" t="s">
        <v>495</v>
      </c>
      <c r="BX161" s="49"/>
      <c r="BY161" s="50"/>
      <c r="BZ161" s="49" t="s">
        <v>5</v>
      </c>
      <c r="CA161" s="50" t="s">
        <v>75</v>
      </c>
    </row>
    <row r="162" spans="1:79" x14ac:dyDescent="0.25">
      <c r="A162" s="76">
        <v>151653</v>
      </c>
      <c r="B162" s="77" t="s">
        <v>883</v>
      </c>
      <c r="C162" s="78" t="s">
        <v>730</v>
      </c>
      <c r="D162" s="76" t="s">
        <v>70</v>
      </c>
      <c r="E162" s="79" t="s">
        <v>14</v>
      </c>
      <c r="F162" s="79" t="s">
        <v>220</v>
      </c>
      <c r="G162" s="79" t="s">
        <v>87</v>
      </c>
      <c r="H162" s="79" t="s">
        <v>14</v>
      </c>
      <c r="I162" s="78" t="s">
        <v>14</v>
      </c>
      <c r="J162" s="79" t="s">
        <v>14</v>
      </c>
      <c r="K162" s="142" t="s">
        <v>1850</v>
      </c>
      <c r="L162" s="149" t="s">
        <v>1842</v>
      </c>
      <c r="M162" s="150" t="s">
        <v>1853</v>
      </c>
      <c r="N162" s="151">
        <v>17</v>
      </c>
      <c r="O162" s="151">
        <v>0</v>
      </c>
      <c r="P162" s="152">
        <v>0</v>
      </c>
      <c r="Q162" s="153">
        <v>100</v>
      </c>
      <c r="R162" s="154">
        <v>0</v>
      </c>
      <c r="S162" s="38">
        <f t="shared" si="23"/>
        <v>0</v>
      </c>
      <c r="T162" s="39">
        <f t="shared" si="24"/>
        <v>10</v>
      </c>
      <c r="U162" s="40">
        <f t="shared" si="25"/>
        <v>0</v>
      </c>
      <c r="V162" s="40">
        <f t="shared" si="26"/>
        <v>0</v>
      </c>
      <c r="W162" s="40">
        <f t="shared" si="27"/>
        <v>0</v>
      </c>
      <c r="X162" s="40">
        <f t="shared" si="28"/>
        <v>0</v>
      </c>
      <c r="Y162" s="40">
        <f t="shared" si="29"/>
        <v>0</v>
      </c>
      <c r="Z162" s="40">
        <f t="shared" si="30"/>
        <v>0</v>
      </c>
      <c r="AA162" s="40">
        <f t="shared" si="31"/>
        <v>0</v>
      </c>
      <c r="AB162" s="40">
        <f t="shared" si="32"/>
        <v>0</v>
      </c>
      <c r="AC162" s="41">
        <f t="shared" si="33"/>
        <v>0</v>
      </c>
      <c r="AD162" s="49"/>
      <c r="AE162" s="50"/>
      <c r="AF162" s="49" t="s">
        <v>5</v>
      </c>
      <c r="AG162" s="50" t="s">
        <v>133</v>
      </c>
      <c r="AH162" s="49"/>
      <c r="AI162" s="50"/>
      <c r="AJ162" s="49" t="s">
        <v>5</v>
      </c>
      <c r="AK162" s="50" t="s">
        <v>137</v>
      </c>
      <c r="AL162" s="49"/>
      <c r="AM162" s="50"/>
      <c r="AN162" s="49"/>
      <c r="AO162" s="50"/>
      <c r="AP162" s="49"/>
      <c r="AQ162" s="50"/>
      <c r="AR162" s="49" t="s">
        <v>5</v>
      </c>
      <c r="AS162" s="50" t="s">
        <v>194</v>
      </c>
      <c r="AT162" s="49"/>
      <c r="AU162" s="50"/>
      <c r="AV162" s="49"/>
      <c r="AW162" s="50"/>
      <c r="AX162" s="49" t="s">
        <v>5</v>
      </c>
      <c r="AY162" s="50" t="s">
        <v>133</v>
      </c>
      <c r="AZ162" s="49" t="s">
        <v>5</v>
      </c>
      <c r="BA162" s="50" t="s">
        <v>143</v>
      </c>
      <c r="BB162" s="49" t="s">
        <v>5</v>
      </c>
      <c r="BC162" s="50" t="s">
        <v>92</v>
      </c>
      <c r="BD162" s="49"/>
      <c r="BE162" s="50"/>
      <c r="BF162" s="49"/>
      <c r="BG162" s="50"/>
      <c r="BH162" s="49" t="s">
        <v>5</v>
      </c>
      <c r="BI162" s="50" t="s">
        <v>139</v>
      </c>
      <c r="BJ162" s="49"/>
      <c r="BK162" s="50"/>
      <c r="BL162" s="49"/>
      <c r="BM162" s="50"/>
      <c r="BN162" s="49" t="s">
        <v>5</v>
      </c>
      <c r="BO162" s="50" t="s">
        <v>152</v>
      </c>
      <c r="BP162" s="49"/>
      <c r="BQ162" s="50"/>
      <c r="BR162" s="49" t="s">
        <v>5</v>
      </c>
      <c r="BS162" s="50" t="s">
        <v>98</v>
      </c>
      <c r="BT162" s="49"/>
      <c r="BU162" s="50"/>
      <c r="BV162" s="49" t="s">
        <v>5</v>
      </c>
      <c r="BW162" s="50" t="s">
        <v>122</v>
      </c>
      <c r="BX162" s="49"/>
      <c r="BY162" s="50"/>
      <c r="BZ162" s="49"/>
      <c r="CA162" s="50"/>
    </row>
    <row r="163" spans="1:79" x14ac:dyDescent="0.25">
      <c r="A163" s="76">
        <v>151578</v>
      </c>
      <c r="B163" s="77" t="s">
        <v>884</v>
      </c>
      <c r="C163" s="78" t="s">
        <v>736</v>
      </c>
      <c r="D163" s="76" t="s">
        <v>70</v>
      </c>
      <c r="E163" s="79" t="s">
        <v>14</v>
      </c>
      <c r="F163" s="79" t="s">
        <v>71</v>
      </c>
      <c r="G163" s="79" t="s">
        <v>14</v>
      </c>
      <c r="H163" s="79" t="s">
        <v>14</v>
      </c>
      <c r="I163" s="78" t="s">
        <v>14</v>
      </c>
      <c r="J163" s="79" t="s">
        <v>14</v>
      </c>
      <c r="K163" s="142" t="s">
        <v>1850</v>
      </c>
      <c r="L163" s="149" t="s">
        <v>1846</v>
      </c>
      <c r="M163" s="150" t="s">
        <v>1853</v>
      </c>
      <c r="N163" s="151">
        <v>8</v>
      </c>
      <c r="O163" s="151">
        <v>2</v>
      </c>
      <c r="P163" s="152">
        <v>0</v>
      </c>
      <c r="Q163" s="153">
        <v>97.83</v>
      </c>
      <c r="R163" s="154">
        <v>4</v>
      </c>
      <c r="S163" s="38">
        <f t="shared" si="23"/>
        <v>0</v>
      </c>
      <c r="T163" s="39">
        <f t="shared" si="24"/>
        <v>9</v>
      </c>
      <c r="U163" s="40">
        <f t="shared" si="25"/>
        <v>0</v>
      </c>
      <c r="V163" s="40">
        <f t="shared" si="26"/>
        <v>0</v>
      </c>
      <c r="W163" s="40">
        <f t="shared" si="27"/>
        <v>0</v>
      </c>
      <c r="X163" s="40">
        <f t="shared" si="28"/>
        <v>0</v>
      </c>
      <c r="Y163" s="40">
        <f t="shared" si="29"/>
        <v>0</v>
      </c>
      <c r="Z163" s="40">
        <f t="shared" si="30"/>
        <v>0</v>
      </c>
      <c r="AA163" s="40">
        <f t="shared" si="31"/>
        <v>0</v>
      </c>
      <c r="AB163" s="40">
        <f t="shared" si="32"/>
        <v>0</v>
      </c>
      <c r="AC163" s="41">
        <f t="shared" si="33"/>
        <v>0</v>
      </c>
      <c r="AD163" s="49"/>
      <c r="AE163" s="50"/>
      <c r="AF163" s="49" t="s">
        <v>5</v>
      </c>
      <c r="AG163" s="50" t="s">
        <v>133</v>
      </c>
      <c r="AH163" s="49"/>
      <c r="AI163" s="50"/>
      <c r="AJ163" s="49" t="s">
        <v>5</v>
      </c>
      <c r="AK163" s="50" t="s">
        <v>137</v>
      </c>
      <c r="AL163" s="49"/>
      <c r="AM163" s="50"/>
      <c r="AN163" s="49"/>
      <c r="AO163" s="50"/>
      <c r="AP163" s="49"/>
      <c r="AQ163" s="50"/>
      <c r="AR163" s="49" t="s">
        <v>5</v>
      </c>
      <c r="AS163" s="50" t="s">
        <v>459</v>
      </c>
      <c r="AT163" s="49"/>
      <c r="AU163" s="50"/>
      <c r="AV163" s="49"/>
      <c r="AW163" s="50"/>
      <c r="AX163" s="49" t="s">
        <v>5</v>
      </c>
      <c r="AY163" s="50" t="s">
        <v>91</v>
      </c>
      <c r="AZ163" s="49"/>
      <c r="BA163" s="50"/>
      <c r="BB163" s="49" t="s">
        <v>5</v>
      </c>
      <c r="BC163" s="50" t="s">
        <v>92</v>
      </c>
      <c r="BD163" s="49"/>
      <c r="BE163" s="50"/>
      <c r="BF163" s="49"/>
      <c r="BG163" s="50"/>
      <c r="BH163" s="49" t="s">
        <v>5</v>
      </c>
      <c r="BI163" s="50" t="s">
        <v>106</v>
      </c>
      <c r="BJ163" s="49"/>
      <c r="BK163" s="50"/>
      <c r="BL163" s="49"/>
      <c r="BM163" s="50"/>
      <c r="BN163" s="49" t="s">
        <v>5</v>
      </c>
      <c r="BO163" s="50" t="s">
        <v>152</v>
      </c>
      <c r="BP163" s="49"/>
      <c r="BQ163" s="50"/>
      <c r="BR163" s="49" t="s">
        <v>5</v>
      </c>
      <c r="BS163" s="50" t="s">
        <v>98</v>
      </c>
      <c r="BT163" s="49"/>
      <c r="BU163" s="50"/>
      <c r="BV163" s="49" t="s">
        <v>5</v>
      </c>
      <c r="BW163" s="50" t="s">
        <v>108</v>
      </c>
      <c r="BX163" s="49"/>
      <c r="BY163" s="50"/>
      <c r="BZ163" s="49" t="s">
        <v>5</v>
      </c>
      <c r="CA163" s="50" t="s">
        <v>124</v>
      </c>
    </row>
    <row r="164" spans="1:79" x14ac:dyDescent="0.25">
      <c r="A164" s="76">
        <v>151583</v>
      </c>
      <c r="B164" s="77" t="s">
        <v>885</v>
      </c>
      <c r="C164" s="78" t="s">
        <v>721</v>
      </c>
      <c r="D164" s="76" t="s">
        <v>70</v>
      </c>
      <c r="E164" s="79" t="s">
        <v>14</v>
      </c>
      <c r="F164" s="79" t="s">
        <v>71</v>
      </c>
      <c r="G164" s="79" t="s">
        <v>14</v>
      </c>
      <c r="H164" s="79" t="s">
        <v>14</v>
      </c>
      <c r="I164" s="78" t="s">
        <v>14</v>
      </c>
      <c r="J164" s="79" t="s">
        <v>14</v>
      </c>
      <c r="K164" s="142" t="s">
        <v>1850</v>
      </c>
      <c r="L164" s="149" t="s">
        <v>1842</v>
      </c>
      <c r="M164" s="150" t="s">
        <v>1853</v>
      </c>
      <c r="N164" s="151">
        <v>17</v>
      </c>
      <c r="O164" s="151">
        <v>7</v>
      </c>
      <c r="P164" s="152">
        <v>3</v>
      </c>
      <c r="Q164" s="153">
        <v>95.65</v>
      </c>
      <c r="R164" s="154">
        <v>6</v>
      </c>
      <c r="S164" s="38">
        <f t="shared" si="23"/>
        <v>0</v>
      </c>
      <c r="T164" s="39">
        <f t="shared" si="24"/>
        <v>7</v>
      </c>
      <c r="U164" s="40">
        <f t="shared" si="25"/>
        <v>1</v>
      </c>
      <c r="V164" s="40">
        <f t="shared" si="26"/>
        <v>0</v>
      </c>
      <c r="W164" s="40">
        <f t="shared" si="27"/>
        <v>1</v>
      </c>
      <c r="X164" s="40">
        <f t="shared" si="28"/>
        <v>2</v>
      </c>
      <c r="Y164" s="40">
        <f t="shared" si="29"/>
        <v>0</v>
      </c>
      <c r="Z164" s="40">
        <f t="shared" si="30"/>
        <v>0</v>
      </c>
      <c r="AA164" s="40">
        <f t="shared" si="31"/>
        <v>0</v>
      </c>
      <c r="AB164" s="40">
        <f t="shared" si="32"/>
        <v>0</v>
      </c>
      <c r="AC164" s="41">
        <f t="shared" si="33"/>
        <v>0</v>
      </c>
      <c r="AD164" s="49" t="s">
        <v>32</v>
      </c>
      <c r="AE164" s="50" t="s">
        <v>116</v>
      </c>
      <c r="AF164" s="49"/>
      <c r="AG164" s="50"/>
      <c r="AH164" s="49"/>
      <c r="AI164" s="50"/>
      <c r="AJ164" s="49"/>
      <c r="AK164" s="50"/>
      <c r="AL164" s="49"/>
      <c r="AM164" s="50"/>
      <c r="AN164" s="49"/>
      <c r="AO164" s="50"/>
      <c r="AP164" s="49"/>
      <c r="AQ164" s="50"/>
      <c r="AR164" s="49" t="s">
        <v>5</v>
      </c>
      <c r="AS164" s="50" t="s">
        <v>459</v>
      </c>
      <c r="AT164" s="49"/>
      <c r="AU164" s="50"/>
      <c r="AV164" s="49"/>
      <c r="AW164" s="50"/>
      <c r="AX164" s="49" t="s">
        <v>5</v>
      </c>
      <c r="AY164" s="50" t="s">
        <v>101</v>
      </c>
      <c r="AZ164" s="49" t="s">
        <v>5</v>
      </c>
      <c r="BA164" s="50" t="s">
        <v>143</v>
      </c>
      <c r="BB164" s="49"/>
      <c r="BC164" s="50"/>
      <c r="BD164" s="49" t="s">
        <v>5</v>
      </c>
      <c r="BE164" s="50" t="s">
        <v>436</v>
      </c>
      <c r="BF164" s="49"/>
      <c r="BG164" s="50"/>
      <c r="BH164" s="49" t="s">
        <v>5</v>
      </c>
      <c r="BI164" s="50" t="s">
        <v>430</v>
      </c>
      <c r="BJ164" s="49"/>
      <c r="BK164" s="50"/>
      <c r="BL164" s="49"/>
      <c r="BM164" s="50"/>
      <c r="BN164" s="49" t="s">
        <v>30</v>
      </c>
      <c r="BO164" s="50" t="s">
        <v>152</v>
      </c>
      <c r="BP164" s="49"/>
      <c r="BQ164" s="50"/>
      <c r="BR164" s="49"/>
      <c r="BS164" s="50"/>
      <c r="BT164" s="49"/>
      <c r="BU164" s="50"/>
      <c r="BV164" s="49" t="s">
        <v>5</v>
      </c>
      <c r="BW164" s="50" t="s">
        <v>122</v>
      </c>
      <c r="BX164" s="49" t="s">
        <v>5</v>
      </c>
      <c r="BY164" s="50" t="s">
        <v>206</v>
      </c>
      <c r="BZ164" s="49"/>
      <c r="CA164" s="50"/>
    </row>
    <row r="165" spans="1:79" x14ac:dyDescent="0.25">
      <c r="A165" s="76">
        <v>151656</v>
      </c>
      <c r="B165" s="77" t="s">
        <v>886</v>
      </c>
      <c r="C165" s="78" t="s">
        <v>713</v>
      </c>
      <c r="D165" s="76" t="s">
        <v>70</v>
      </c>
      <c r="E165" s="79" t="s">
        <v>14</v>
      </c>
      <c r="F165" s="79" t="s">
        <v>71</v>
      </c>
      <c r="G165" s="79" t="s">
        <v>14</v>
      </c>
      <c r="H165" s="79" t="s">
        <v>87</v>
      </c>
      <c r="I165" s="78" t="s">
        <v>14</v>
      </c>
      <c r="J165" s="79" t="s">
        <v>14</v>
      </c>
      <c r="K165" s="142" t="s">
        <v>1851</v>
      </c>
      <c r="L165" s="149" t="s">
        <v>1845</v>
      </c>
      <c r="M165" s="150" t="s">
        <v>1852</v>
      </c>
      <c r="N165" s="151">
        <v>11</v>
      </c>
      <c r="O165" s="151">
        <v>0</v>
      </c>
      <c r="P165" s="152">
        <v>0</v>
      </c>
      <c r="Q165" s="153">
        <v>97.83</v>
      </c>
      <c r="R165" s="154">
        <v>2</v>
      </c>
      <c r="S165" s="38">
        <f t="shared" si="23"/>
        <v>1</v>
      </c>
      <c r="T165" s="39">
        <f t="shared" si="24"/>
        <v>7</v>
      </c>
      <c r="U165" s="40">
        <f t="shared" si="25"/>
        <v>0</v>
      </c>
      <c r="V165" s="40">
        <f t="shared" si="26"/>
        <v>0</v>
      </c>
      <c r="W165" s="40">
        <f t="shared" si="27"/>
        <v>0</v>
      </c>
      <c r="X165" s="40">
        <f t="shared" si="28"/>
        <v>0</v>
      </c>
      <c r="Y165" s="40">
        <f t="shared" si="29"/>
        <v>0</v>
      </c>
      <c r="Z165" s="40">
        <f t="shared" si="30"/>
        <v>0</v>
      </c>
      <c r="AA165" s="40">
        <f t="shared" si="31"/>
        <v>0</v>
      </c>
      <c r="AB165" s="40">
        <f t="shared" si="32"/>
        <v>0</v>
      </c>
      <c r="AC165" s="41">
        <f t="shared" si="33"/>
        <v>0</v>
      </c>
      <c r="AD165" s="49"/>
      <c r="AE165" s="50"/>
      <c r="AF165" s="49"/>
      <c r="AG165" s="50"/>
      <c r="AH165" s="49"/>
      <c r="AI165" s="50"/>
      <c r="AJ165" s="49"/>
      <c r="AK165" s="50"/>
      <c r="AL165" s="49" t="s">
        <v>5</v>
      </c>
      <c r="AM165" s="50" t="s">
        <v>425</v>
      </c>
      <c r="AN165" s="49"/>
      <c r="AO165" s="50"/>
      <c r="AP165" s="49"/>
      <c r="AQ165" s="50"/>
      <c r="AR165" s="49" t="s">
        <v>5</v>
      </c>
      <c r="AS165" s="50" t="s">
        <v>111</v>
      </c>
      <c r="AT165" s="49"/>
      <c r="AU165" s="50"/>
      <c r="AV165" s="49" t="s">
        <v>5</v>
      </c>
      <c r="AW165" s="50" t="s">
        <v>73</v>
      </c>
      <c r="AX165" s="49" t="s">
        <v>5</v>
      </c>
      <c r="AY165" s="50" t="s">
        <v>103</v>
      </c>
      <c r="AZ165" s="49"/>
      <c r="BA165" s="50"/>
      <c r="BB165" s="49"/>
      <c r="BC165" s="50"/>
      <c r="BD165" s="49"/>
      <c r="BE165" s="50"/>
      <c r="BF165" s="49"/>
      <c r="BG165" s="50"/>
      <c r="BH165" s="49" t="s">
        <v>5</v>
      </c>
      <c r="BI165" s="50" t="s">
        <v>505</v>
      </c>
      <c r="BJ165" s="49"/>
      <c r="BK165" s="50"/>
      <c r="BL165" s="49"/>
      <c r="BM165" s="50"/>
      <c r="BN165" s="49" t="s">
        <v>1</v>
      </c>
      <c r="BO165" s="50" t="s">
        <v>81</v>
      </c>
      <c r="BP165" s="49"/>
      <c r="BQ165" s="50"/>
      <c r="BR165" s="49"/>
      <c r="BS165" s="50"/>
      <c r="BT165" s="49"/>
      <c r="BU165" s="50"/>
      <c r="BV165" s="49" t="s">
        <v>5</v>
      </c>
      <c r="BW165" s="50" t="s">
        <v>97</v>
      </c>
      <c r="BX165" s="49" t="s">
        <v>5</v>
      </c>
      <c r="BY165" s="50" t="s">
        <v>419</v>
      </c>
      <c r="BZ165" s="49" t="s">
        <v>32</v>
      </c>
      <c r="CA165" s="50" t="s">
        <v>124</v>
      </c>
    </row>
    <row r="166" spans="1:79" x14ac:dyDescent="0.25">
      <c r="A166" s="76">
        <v>151601</v>
      </c>
      <c r="B166" s="77" t="s">
        <v>887</v>
      </c>
      <c r="C166" s="78" t="s">
        <v>732</v>
      </c>
      <c r="D166" s="76" t="s">
        <v>12</v>
      </c>
      <c r="E166" s="79" t="s">
        <v>14</v>
      </c>
      <c r="F166" s="79" t="s">
        <v>71</v>
      </c>
      <c r="G166" s="79" t="s">
        <v>14</v>
      </c>
      <c r="H166" s="79" t="s">
        <v>14</v>
      </c>
      <c r="I166" s="78" t="s">
        <v>14</v>
      </c>
      <c r="J166" s="79" t="s">
        <v>14</v>
      </c>
      <c r="K166" s="142" t="s">
        <v>1850</v>
      </c>
      <c r="L166" s="149" t="s">
        <v>1842</v>
      </c>
      <c r="M166" s="150" t="s">
        <v>12</v>
      </c>
      <c r="N166" s="151">
        <v>10</v>
      </c>
      <c r="O166" s="151">
        <v>0</v>
      </c>
      <c r="P166" s="152">
        <v>1</v>
      </c>
      <c r="Q166" s="153">
        <v>97.83</v>
      </c>
      <c r="R166" s="154">
        <v>1</v>
      </c>
      <c r="S166" s="38">
        <f t="shared" si="23"/>
        <v>1</v>
      </c>
      <c r="T166" s="39">
        <f t="shared" si="24"/>
        <v>7</v>
      </c>
      <c r="U166" s="40">
        <f t="shared" si="25"/>
        <v>0</v>
      </c>
      <c r="V166" s="40">
        <f t="shared" si="26"/>
        <v>0</v>
      </c>
      <c r="W166" s="40">
        <f t="shared" si="27"/>
        <v>0</v>
      </c>
      <c r="X166" s="40">
        <f t="shared" si="28"/>
        <v>0</v>
      </c>
      <c r="Y166" s="40">
        <f t="shared" si="29"/>
        <v>0</v>
      </c>
      <c r="Z166" s="40">
        <f t="shared" si="30"/>
        <v>0</v>
      </c>
      <c r="AA166" s="40">
        <f t="shared" si="31"/>
        <v>0</v>
      </c>
      <c r="AB166" s="40">
        <f t="shared" si="32"/>
        <v>0</v>
      </c>
      <c r="AC166" s="41">
        <f t="shared" si="33"/>
        <v>0</v>
      </c>
      <c r="AD166" s="49" t="s">
        <v>5</v>
      </c>
      <c r="AE166" s="50" t="s">
        <v>116</v>
      </c>
      <c r="AF166" s="49"/>
      <c r="AG166" s="50"/>
      <c r="AH166" s="49" t="s">
        <v>5</v>
      </c>
      <c r="AI166" s="50" t="s">
        <v>427</v>
      </c>
      <c r="AJ166" s="49"/>
      <c r="AK166" s="50"/>
      <c r="AL166" s="49"/>
      <c r="AM166" s="50"/>
      <c r="AN166" s="49"/>
      <c r="AO166" s="50"/>
      <c r="AP166" s="49"/>
      <c r="AQ166" s="50"/>
      <c r="AR166" s="49" t="s">
        <v>1</v>
      </c>
      <c r="AS166" s="50" t="s">
        <v>478</v>
      </c>
      <c r="AT166" s="49"/>
      <c r="AU166" s="50"/>
      <c r="AV166" s="49"/>
      <c r="AW166" s="50"/>
      <c r="AX166" s="49" t="s">
        <v>5</v>
      </c>
      <c r="AY166" s="50" t="s">
        <v>124</v>
      </c>
      <c r="AZ166" s="49"/>
      <c r="BA166" s="50"/>
      <c r="BB166" s="49"/>
      <c r="BC166" s="50"/>
      <c r="BD166" s="49"/>
      <c r="BE166" s="50"/>
      <c r="BF166" s="49"/>
      <c r="BG166" s="50"/>
      <c r="BH166" s="49" t="s">
        <v>5</v>
      </c>
      <c r="BI166" s="50" t="s">
        <v>430</v>
      </c>
      <c r="BJ166" s="49"/>
      <c r="BK166" s="50"/>
      <c r="BL166" s="49"/>
      <c r="BM166" s="50"/>
      <c r="BN166" s="49" t="s">
        <v>5</v>
      </c>
      <c r="BO166" s="50" t="s">
        <v>107</v>
      </c>
      <c r="BP166" s="49"/>
      <c r="BQ166" s="50"/>
      <c r="BR166" s="49"/>
      <c r="BS166" s="50"/>
      <c r="BT166" s="49"/>
      <c r="BU166" s="50"/>
      <c r="BV166" s="49" t="s">
        <v>5</v>
      </c>
      <c r="BW166" s="50" t="s">
        <v>122</v>
      </c>
      <c r="BX166" s="49" t="s">
        <v>5</v>
      </c>
      <c r="BY166" s="50" t="s">
        <v>206</v>
      </c>
      <c r="BZ166" s="49" t="s">
        <v>5</v>
      </c>
      <c r="CA166" s="50" t="s">
        <v>75</v>
      </c>
    </row>
    <row r="167" spans="1:79" x14ac:dyDescent="0.25">
      <c r="A167" s="76">
        <v>151691</v>
      </c>
      <c r="B167" s="77" t="s">
        <v>888</v>
      </c>
      <c r="C167" s="78" t="s">
        <v>736</v>
      </c>
      <c r="D167" s="76" t="s">
        <v>70</v>
      </c>
      <c r="E167" s="79" t="s">
        <v>14</v>
      </c>
      <c r="F167" s="79" t="s">
        <v>71</v>
      </c>
      <c r="G167" s="79" t="s">
        <v>14</v>
      </c>
      <c r="H167" s="79" t="s">
        <v>14</v>
      </c>
      <c r="I167" s="78" t="s">
        <v>14</v>
      </c>
      <c r="J167" s="79" t="s">
        <v>14</v>
      </c>
      <c r="K167" s="142" t="s">
        <v>1850</v>
      </c>
      <c r="L167" s="149" t="s">
        <v>1844</v>
      </c>
      <c r="M167" s="150" t="s">
        <v>12</v>
      </c>
      <c r="N167" s="151">
        <v>11</v>
      </c>
      <c r="O167" s="151">
        <v>0</v>
      </c>
      <c r="P167" s="152">
        <v>0</v>
      </c>
      <c r="Q167" s="153">
        <v>100</v>
      </c>
      <c r="R167" s="154">
        <v>0</v>
      </c>
      <c r="S167" s="38">
        <f t="shared" si="23"/>
        <v>3</v>
      </c>
      <c r="T167" s="39">
        <f t="shared" si="24"/>
        <v>5</v>
      </c>
      <c r="U167" s="40">
        <f t="shared" si="25"/>
        <v>0</v>
      </c>
      <c r="V167" s="40">
        <f t="shared" si="26"/>
        <v>0</v>
      </c>
      <c r="W167" s="40">
        <f t="shared" si="27"/>
        <v>0</v>
      </c>
      <c r="X167" s="40">
        <f t="shared" si="28"/>
        <v>0</v>
      </c>
      <c r="Y167" s="40">
        <f t="shared" si="29"/>
        <v>0</v>
      </c>
      <c r="Z167" s="40">
        <f t="shared" si="30"/>
        <v>0</v>
      </c>
      <c r="AA167" s="40">
        <f t="shared" si="31"/>
        <v>0</v>
      </c>
      <c r="AB167" s="40">
        <f t="shared" si="32"/>
        <v>0</v>
      </c>
      <c r="AC167" s="41">
        <f t="shared" si="33"/>
        <v>0</v>
      </c>
      <c r="AD167" s="49" t="s">
        <v>5</v>
      </c>
      <c r="AE167" s="50" t="s">
        <v>116</v>
      </c>
      <c r="AF167" s="49"/>
      <c r="AG167" s="50"/>
      <c r="AH167" s="49"/>
      <c r="AI167" s="50"/>
      <c r="AJ167" s="49"/>
      <c r="AK167" s="50"/>
      <c r="AL167" s="49"/>
      <c r="AM167" s="50"/>
      <c r="AN167" s="49"/>
      <c r="AO167" s="50"/>
      <c r="AP167" s="49"/>
      <c r="AQ167" s="50"/>
      <c r="AR167" s="49" t="s">
        <v>1</v>
      </c>
      <c r="AS167" s="50" t="s">
        <v>478</v>
      </c>
      <c r="AT167" s="49"/>
      <c r="AU167" s="50"/>
      <c r="AV167" s="49" t="s">
        <v>1</v>
      </c>
      <c r="AW167" s="50" t="s">
        <v>73</v>
      </c>
      <c r="AX167" s="49" t="s">
        <v>5</v>
      </c>
      <c r="AY167" s="50" t="s">
        <v>91</v>
      </c>
      <c r="AZ167" s="49"/>
      <c r="BA167" s="50"/>
      <c r="BB167" s="49"/>
      <c r="BC167" s="50"/>
      <c r="BD167" s="49"/>
      <c r="BE167" s="50"/>
      <c r="BF167" s="49"/>
      <c r="BG167" s="50"/>
      <c r="BH167" s="49" t="s">
        <v>5</v>
      </c>
      <c r="BI167" s="50" t="s">
        <v>430</v>
      </c>
      <c r="BJ167" s="49"/>
      <c r="BK167" s="50"/>
      <c r="BL167" s="49"/>
      <c r="BM167" s="50"/>
      <c r="BN167" s="49" t="s">
        <v>1</v>
      </c>
      <c r="BO167" s="50" t="s">
        <v>81</v>
      </c>
      <c r="BP167" s="49"/>
      <c r="BQ167" s="50"/>
      <c r="BR167" s="49"/>
      <c r="BS167" s="50"/>
      <c r="BT167" s="49"/>
      <c r="BU167" s="50"/>
      <c r="BV167" s="49" t="s">
        <v>5</v>
      </c>
      <c r="BW167" s="50" t="s">
        <v>82</v>
      </c>
      <c r="BX167" s="49" t="s">
        <v>5</v>
      </c>
      <c r="BY167" s="50" t="s">
        <v>206</v>
      </c>
      <c r="BZ167" s="49" t="s">
        <v>1</v>
      </c>
      <c r="CA167" s="50" t="s">
        <v>75</v>
      </c>
    </row>
    <row r="168" spans="1:79" x14ac:dyDescent="0.25">
      <c r="A168" s="76">
        <v>151596</v>
      </c>
      <c r="B168" s="77" t="s">
        <v>889</v>
      </c>
      <c r="C168" s="78" t="s">
        <v>713</v>
      </c>
      <c r="D168" s="76" t="s">
        <v>70</v>
      </c>
      <c r="E168" s="79" t="s">
        <v>14</v>
      </c>
      <c r="F168" s="79" t="s">
        <v>275</v>
      </c>
      <c r="G168" s="79" t="s">
        <v>14</v>
      </c>
      <c r="H168" s="79" t="s">
        <v>14</v>
      </c>
      <c r="I168" s="78" t="s">
        <v>14</v>
      </c>
      <c r="J168" s="79" t="s">
        <v>14</v>
      </c>
      <c r="K168" s="142" t="s">
        <v>1850</v>
      </c>
      <c r="L168" s="149" t="s">
        <v>1842</v>
      </c>
      <c r="M168" s="150" t="s">
        <v>1853</v>
      </c>
      <c r="N168" s="151">
        <v>12</v>
      </c>
      <c r="O168" s="151">
        <v>7</v>
      </c>
      <c r="P168" s="152">
        <v>1</v>
      </c>
      <c r="Q168" s="153">
        <v>86.96</v>
      </c>
      <c r="R168" s="154">
        <v>3</v>
      </c>
      <c r="S168" s="38">
        <f t="shared" si="23"/>
        <v>0</v>
      </c>
      <c r="T168" s="39">
        <f t="shared" si="24"/>
        <v>7</v>
      </c>
      <c r="U168" s="40">
        <f t="shared" si="25"/>
        <v>0</v>
      </c>
      <c r="V168" s="40">
        <f t="shared" si="26"/>
        <v>1</v>
      </c>
      <c r="W168" s="40">
        <f t="shared" si="27"/>
        <v>1</v>
      </c>
      <c r="X168" s="40">
        <f t="shared" si="28"/>
        <v>2</v>
      </c>
      <c r="Y168" s="40">
        <f t="shared" si="29"/>
        <v>0</v>
      </c>
      <c r="Z168" s="40">
        <f t="shared" si="30"/>
        <v>0</v>
      </c>
      <c r="AA168" s="40">
        <f t="shared" si="31"/>
        <v>0</v>
      </c>
      <c r="AB168" s="40">
        <f t="shared" si="32"/>
        <v>0</v>
      </c>
      <c r="AC168" s="41">
        <f t="shared" si="33"/>
        <v>0</v>
      </c>
      <c r="AD168" s="49"/>
      <c r="AE168" s="50"/>
      <c r="AF168" s="49" t="s">
        <v>31</v>
      </c>
      <c r="AG168" s="50" t="s">
        <v>433</v>
      </c>
      <c r="AH168" s="49"/>
      <c r="AI168" s="50"/>
      <c r="AJ168" s="49" t="s">
        <v>5</v>
      </c>
      <c r="AK168" s="50" t="s">
        <v>137</v>
      </c>
      <c r="AL168" s="49"/>
      <c r="AM168" s="50"/>
      <c r="AN168" s="49"/>
      <c r="AO168" s="50"/>
      <c r="AP168" s="49"/>
      <c r="AQ168" s="50"/>
      <c r="AR168" s="49" t="s">
        <v>5</v>
      </c>
      <c r="AS168" s="50" t="s">
        <v>74</v>
      </c>
      <c r="AT168" s="49"/>
      <c r="AU168" s="50"/>
      <c r="AV168" s="49" t="s">
        <v>5</v>
      </c>
      <c r="AW168" s="50" t="s">
        <v>73</v>
      </c>
      <c r="AX168" s="49" t="s">
        <v>5</v>
      </c>
      <c r="AY168" s="50" t="s">
        <v>103</v>
      </c>
      <c r="AZ168" s="49"/>
      <c r="BA168" s="50"/>
      <c r="BB168" s="49"/>
      <c r="BC168" s="50"/>
      <c r="BD168" s="49"/>
      <c r="BE168" s="50"/>
      <c r="BF168" s="49"/>
      <c r="BG168" s="50"/>
      <c r="BH168" s="49" t="s">
        <v>5</v>
      </c>
      <c r="BI168" s="50" t="s">
        <v>430</v>
      </c>
      <c r="BJ168" s="49"/>
      <c r="BK168" s="50"/>
      <c r="BL168" s="49"/>
      <c r="BM168" s="50"/>
      <c r="BN168" s="49" t="s">
        <v>5</v>
      </c>
      <c r="BO168" s="50" t="s">
        <v>121</v>
      </c>
      <c r="BP168" s="49"/>
      <c r="BQ168" s="50"/>
      <c r="BR168" s="49" t="s">
        <v>5</v>
      </c>
      <c r="BS168" s="50" t="s">
        <v>98</v>
      </c>
      <c r="BT168" s="49"/>
      <c r="BU168" s="50"/>
      <c r="BV168" s="49" t="s">
        <v>32</v>
      </c>
      <c r="BW168" s="50" t="s">
        <v>122</v>
      </c>
      <c r="BX168" s="49"/>
      <c r="BY168" s="50"/>
      <c r="BZ168" s="49" t="s">
        <v>5</v>
      </c>
      <c r="CA168" s="50" t="s">
        <v>75</v>
      </c>
    </row>
    <row r="169" spans="1:79" x14ac:dyDescent="0.25">
      <c r="A169" s="76">
        <v>151700</v>
      </c>
      <c r="B169" s="77" t="s">
        <v>890</v>
      </c>
      <c r="C169" s="78" t="s">
        <v>721</v>
      </c>
      <c r="D169" s="76" t="s">
        <v>70</v>
      </c>
      <c r="E169" s="79" t="s">
        <v>14</v>
      </c>
      <c r="F169" s="79" t="s">
        <v>88</v>
      </c>
      <c r="G169" s="79" t="s">
        <v>14</v>
      </c>
      <c r="H169" s="79" t="s">
        <v>14</v>
      </c>
      <c r="I169" s="78" t="s">
        <v>14</v>
      </c>
      <c r="J169" s="79" t="s">
        <v>14</v>
      </c>
      <c r="K169" s="142" t="s">
        <v>1850</v>
      </c>
      <c r="L169" s="149" t="s">
        <v>1848</v>
      </c>
      <c r="M169" s="150" t="s">
        <v>1852</v>
      </c>
      <c r="N169" s="151">
        <v>19</v>
      </c>
      <c r="O169" s="151">
        <v>0</v>
      </c>
      <c r="P169" s="152">
        <v>2</v>
      </c>
      <c r="Q169" s="153">
        <v>95.65</v>
      </c>
      <c r="R169" s="154">
        <v>5</v>
      </c>
      <c r="S169" s="38">
        <f t="shared" si="23"/>
        <v>1</v>
      </c>
      <c r="T169" s="39">
        <f t="shared" si="24"/>
        <v>8</v>
      </c>
      <c r="U169" s="40">
        <f t="shared" si="25"/>
        <v>1</v>
      </c>
      <c r="V169" s="40">
        <f t="shared" si="26"/>
        <v>0</v>
      </c>
      <c r="W169" s="40">
        <f t="shared" si="27"/>
        <v>0</v>
      </c>
      <c r="X169" s="40">
        <f t="shared" si="28"/>
        <v>1</v>
      </c>
      <c r="Y169" s="40">
        <f t="shared" si="29"/>
        <v>0</v>
      </c>
      <c r="Z169" s="40">
        <f t="shared" si="30"/>
        <v>0</v>
      </c>
      <c r="AA169" s="40">
        <f t="shared" si="31"/>
        <v>0</v>
      </c>
      <c r="AB169" s="40">
        <f t="shared" si="32"/>
        <v>0</v>
      </c>
      <c r="AC169" s="41">
        <f t="shared" si="33"/>
        <v>0</v>
      </c>
      <c r="AD169" s="49"/>
      <c r="AE169" s="50"/>
      <c r="AF169" s="49" t="s">
        <v>5</v>
      </c>
      <c r="AG169" s="50" t="s">
        <v>154</v>
      </c>
      <c r="AH169" s="49"/>
      <c r="AI169" s="50"/>
      <c r="AJ169" s="49" t="s">
        <v>5</v>
      </c>
      <c r="AK169" s="50" t="s">
        <v>83</v>
      </c>
      <c r="AL169" s="49" t="s">
        <v>30</v>
      </c>
      <c r="AM169" s="50" t="s">
        <v>425</v>
      </c>
      <c r="AN169" s="49"/>
      <c r="AO169" s="50"/>
      <c r="AP169" s="49"/>
      <c r="AQ169" s="50"/>
      <c r="AR169" s="49" t="s">
        <v>5</v>
      </c>
      <c r="AS169" s="50" t="s">
        <v>169</v>
      </c>
      <c r="AT169" s="49"/>
      <c r="AU169" s="50"/>
      <c r="AV169" s="49"/>
      <c r="AW169" s="50"/>
      <c r="AX169" s="49" t="s">
        <v>5</v>
      </c>
      <c r="AY169" s="50" t="s">
        <v>101</v>
      </c>
      <c r="AZ169" s="49" t="s">
        <v>5</v>
      </c>
      <c r="BA169" s="50" t="s">
        <v>103</v>
      </c>
      <c r="BB169" s="49"/>
      <c r="BC169" s="50"/>
      <c r="BD169" s="49"/>
      <c r="BE169" s="50"/>
      <c r="BF169" s="49"/>
      <c r="BG169" s="50"/>
      <c r="BH169" s="49" t="s">
        <v>5</v>
      </c>
      <c r="BI169" s="50" t="s">
        <v>505</v>
      </c>
      <c r="BJ169" s="49"/>
      <c r="BK169" s="50"/>
      <c r="BL169" s="49"/>
      <c r="BM169" s="50"/>
      <c r="BN169" s="49" t="s">
        <v>1</v>
      </c>
      <c r="BO169" s="50" t="s">
        <v>81</v>
      </c>
      <c r="BP169" s="49"/>
      <c r="BQ169" s="50"/>
      <c r="BR169" s="49" t="s">
        <v>5</v>
      </c>
      <c r="BS169" s="50" t="s">
        <v>170</v>
      </c>
      <c r="BT169" s="49"/>
      <c r="BU169" s="50"/>
      <c r="BV169" s="49" t="s">
        <v>5</v>
      </c>
      <c r="BW169" s="50" t="s">
        <v>715</v>
      </c>
      <c r="BX169" s="49"/>
      <c r="BY169" s="50"/>
      <c r="BZ169" s="49"/>
      <c r="CA169" s="50"/>
    </row>
    <row r="170" spans="1:79" x14ac:dyDescent="0.25">
      <c r="A170" s="76">
        <v>151579</v>
      </c>
      <c r="B170" s="77" t="s">
        <v>891</v>
      </c>
      <c r="C170" s="78" t="s">
        <v>710</v>
      </c>
      <c r="D170" s="76" t="s">
        <v>12</v>
      </c>
      <c r="E170" s="79" t="s">
        <v>14</v>
      </c>
      <c r="F170" s="79" t="s">
        <v>508</v>
      </c>
      <c r="G170" s="79" t="s">
        <v>14</v>
      </c>
      <c r="H170" s="79" t="s">
        <v>14</v>
      </c>
      <c r="I170" s="78" t="s">
        <v>14</v>
      </c>
      <c r="J170" s="79" t="s">
        <v>14</v>
      </c>
      <c r="K170" s="142" t="s">
        <v>1850</v>
      </c>
      <c r="L170" s="149" t="s">
        <v>1844</v>
      </c>
      <c r="M170" s="150" t="s">
        <v>12</v>
      </c>
      <c r="N170" s="151">
        <v>26</v>
      </c>
      <c r="O170" s="151">
        <v>1</v>
      </c>
      <c r="P170" s="152">
        <v>0</v>
      </c>
      <c r="Q170" s="153">
        <v>97.83</v>
      </c>
      <c r="R170" s="154">
        <v>1</v>
      </c>
      <c r="S170" s="38">
        <f t="shared" si="23"/>
        <v>2</v>
      </c>
      <c r="T170" s="39">
        <f t="shared" si="24"/>
        <v>7</v>
      </c>
      <c r="U170" s="40">
        <f t="shared" si="25"/>
        <v>0</v>
      </c>
      <c r="V170" s="40">
        <f t="shared" si="26"/>
        <v>0</v>
      </c>
      <c r="W170" s="40">
        <f t="shared" si="27"/>
        <v>0</v>
      </c>
      <c r="X170" s="40">
        <f t="shared" si="28"/>
        <v>0</v>
      </c>
      <c r="Y170" s="40">
        <f t="shared" si="29"/>
        <v>0</v>
      </c>
      <c r="Z170" s="40">
        <f t="shared" si="30"/>
        <v>0</v>
      </c>
      <c r="AA170" s="40">
        <f t="shared" si="31"/>
        <v>0</v>
      </c>
      <c r="AB170" s="40">
        <f t="shared" si="32"/>
        <v>0</v>
      </c>
      <c r="AC170" s="41">
        <f t="shared" si="33"/>
        <v>0</v>
      </c>
      <c r="AD170" s="49"/>
      <c r="AE170" s="50"/>
      <c r="AF170" s="49" t="s">
        <v>5</v>
      </c>
      <c r="AG170" s="50" t="s">
        <v>133</v>
      </c>
      <c r="AH170" s="49"/>
      <c r="AI170" s="50"/>
      <c r="AJ170" s="49" t="s">
        <v>5</v>
      </c>
      <c r="AK170" s="50" t="s">
        <v>164</v>
      </c>
      <c r="AL170" s="49"/>
      <c r="AM170" s="50"/>
      <c r="AN170" s="49"/>
      <c r="AO170" s="50"/>
      <c r="AP170" s="49"/>
      <c r="AQ170" s="50"/>
      <c r="AR170" s="49" t="s">
        <v>1</v>
      </c>
      <c r="AS170" s="50" t="s">
        <v>74</v>
      </c>
      <c r="AT170" s="49"/>
      <c r="AU170" s="50"/>
      <c r="AV170" s="49"/>
      <c r="AW170" s="50"/>
      <c r="AX170" s="49" t="s">
        <v>5</v>
      </c>
      <c r="AY170" s="50" t="s">
        <v>711</v>
      </c>
      <c r="AZ170" s="49"/>
      <c r="BA170" s="50"/>
      <c r="BB170" s="49"/>
      <c r="BC170" s="50"/>
      <c r="BD170" s="49"/>
      <c r="BE170" s="50"/>
      <c r="BF170" s="49"/>
      <c r="BG170" s="50"/>
      <c r="BH170" s="49" t="s">
        <v>5</v>
      </c>
      <c r="BI170" s="50" t="s">
        <v>430</v>
      </c>
      <c r="BJ170" s="49"/>
      <c r="BK170" s="50"/>
      <c r="BL170" s="49"/>
      <c r="BM170" s="50"/>
      <c r="BN170" s="49" t="s">
        <v>5</v>
      </c>
      <c r="BO170" s="50" t="s">
        <v>107</v>
      </c>
      <c r="BP170" s="49" t="s">
        <v>5</v>
      </c>
      <c r="BQ170" s="50" t="s">
        <v>96</v>
      </c>
      <c r="BR170" s="49" t="s">
        <v>5</v>
      </c>
      <c r="BS170" s="50" t="s">
        <v>140</v>
      </c>
      <c r="BT170" s="49"/>
      <c r="BU170" s="50"/>
      <c r="BV170" s="49" t="s">
        <v>1</v>
      </c>
      <c r="BW170" s="50" t="s">
        <v>715</v>
      </c>
      <c r="BX170" s="49"/>
      <c r="BY170" s="50"/>
      <c r="BZ170" s="49" t="s">
        <v>5</v>
      </c>
      <c r="CA170" s="50" t="s">
        <v>75</v>
      </c>
    </row>
    <row r="171" spans="1:79" x14ac:dyDescent="0.25">
      <c r="A171" s="76">
        <v>151619</v>
      </c>
      <c r="B171" s="77" t="s">
        <v>892</v>
      </c>
      <c r="C171" s="78" t="s">
        <v>725</v>
      </c>
      <c r="D171" s="76" t="s">
        <v>12</v>
      </c>
      <c r="E171" s="79" t="s">
        <v>14</v>
      </c>
      <c r="F171" s="79" t="s">
        <v>71</v>
      </c>
      <c r="G171" s="79" t="s">
        <v>14</v>
      </c>
      <c r="H171" s="79" t="s">
        <v>14</v>
      </c>
      <c r="I171" s="78" t="s">
        <v>14</v>
      </c>
      <c r="J171" s="79" t="s">
        <v>14</v>
      </c>
      <c r="K171" s="142" t="s">
        <v>1851</v>
      </c>
      <c r="L171" s="149" t="s">
        <v>1845</v>
      </c>
      <c r="M171" s="150" t="s">
        <v>12</v>
      </c>
      <c r="N171" s="151">
        <v>9</v>
      </c>
      <c r="O171" s="151">
        <v>0</v>
      </c>
      <c r="P171" s="152">
        <v>1</v>
      </c>
      <c r="Q171" s="153">
        <v>97.83</v>
      </c>
      <c r="R171" s="154">
        <v>7</v>
      </c>
      <c r="S171" s="38">
        <f t="shared" si="23"/>
        <v>0</v>
      </c>
      <c r="T171" s="39">
        <f t="shared" si="24"/>
        <v>6</v>
      </c>
      <c r="U171" s="40">
        <f t="shared" si="25"/>
        <v>1</v>
      </c>
      <c r="V171" s="40">
        <f t="shared" si="26"/>
        <v>0</v>
      </c>
      <c r="W171" s="40">
        <f t="shared" si="27"/>
        <v>0</v>
      </c>
      <c r="X171" s="40">
        <f t="shared" si="28"/>
        <v>1</v>
      </c>
      <c r="Y171" s="40">
        <f t="shared" si="29"/>
        <v>1</v>
      </c>
      <c r="Z171" s="40">
        <f t="shared" si="30"/>
        <v>0</v>
      </c>
      <c r="AA171" s="40">
        <f t="shared" si="31"/>
        <v>0</v>
      </c>
      <c r="AB171" s="40">
        <f t="shared" si="32"/>
        <v>1</v>
      </c>
      <c r="AC171" s="41">
        <f t="shared" si="33"/>
        <v>0</v>
      </c>
      <c r="AD171" s="49"/>
      <c r="AE171" s="50"/>
      <c r="AF171" s="49"/>
      <c r="AG171" s="50"/>
      <c r="AH171" s="49"/>
      <c r="AI171" s="50"/>
      <c r="AJ171" s="49"/>
      <c r="AK171" s="50"/>
      <c r="AL171" s="49"/>
      <c r="AM171" s="50"/>
      <c r="AN171" s="49"/>
      <c r="AO171" s="50"/>
      <c r="AP171" s="49"/>
      <c r="AQ171" s="50"/>
      <c r="AR171" s="49" t="s">
        <v>30</v>
      </c>
      <c r="AS171" s="50" t="s">
        <v>111</v>
      </c>
      <c r="AT171" s="49"/>
      <c r="AU171" s="50"/>
      <c r="AV171" s="49" t="s">
        <v>5</v>
      </c>
      <c r="AW171" s="50" t="s">
        <v>73</v>
      </c>
      <c r="AX171" s="49" t="s">
        <v>5</v>
      </c>
      <c r="AY171" s="50" t="s">
        <v>117</v>
      </c>
      <c r="AZ171" s="49" t="s">
        <v>5</v>
      </c>
      <c r="BA171" s="50" t="s">
        <v>103</v>
      </c>
      <c r="BB171" s="49"/>
      <c r="BC171" s="50"/>
      <c r="BD171" s="49"/>
      <c r="BE171" s="50"/>
      <c r="BF171" s="49"/>
      <c r="BG171" s="50"/>
      <c r="BH171" s="49" t="s">
        <v>5</v>
      </c>
      <c r="BI171" s="50" t="s">
        <v>505</v>
      </c>
      <c r="BJ171" s="49"/>
      <c r="BK171" s="50"/>
      <c r="BL171" s="49"/>
      <c r="BM171" s="50"/>
      <c r="BN171" s="49" t="s">
        <v>5</v>
      </c>
      <c r="BO171" s="50" t="s">
        <v>107</v>
      </c>
      <c r="BP171" s="49"/>
      <c r="BQ171" s="50"/>
      <c r="BR171" s="49"/>
      <c r="BS171" s="50"/>
      <c r="BT171" s="49"/>
      <c r="BU171" s="50"/>
      <c r="BV171" s="49" t="s">
        <v>5</v>
      </c>
      <c r="BW171" s="50" t="s">
        <v>457</v>
      </c>
      <c r="BX171" s="49" t="s">
        <v>34</v>
      </c>
      <c r="BY171" s="50" t="s">
        <v>419</v>
      </c>
      <c r="BZ171" s="49"/>
      <c r="CA171" s="50"/>
    </row>
    <row r="172" spans="1:79" x14ac:dyDescent="0.25">
      <c r="A172" s="76">
        <v>151521</v>
      </c>
      <c r="B172" s="77" t="s">
        <v>893</v>
      </c>
      <c r="C172" s="78" t="s">
        <v>732</v>
      </c>
      <c r="D172" s="76" t="s">
        <v>70</v>
      </c>
      <c r="E172" s="79" t="s">
        <v>14</v>
      </c>
      <c r="F172" s="79" t="s">
        <v>88</v>
      </c>
      <c r="G172" s="79" t="s">
        <v>14</v>
      </c>
      <c r="H172" s="79" t="s">
        <v>14</v>
      </c>
      <c r="I172" s="78" t="s">
        <v>14</v>
      </c>
      <c r="J172" s="79" t="s">
        <v>14</v>
      </c>
      <c r="K172" s="142" t="s">
        <v>1850</v>
      </c>
      <c r="L172" s="149" t="s">
        <v>1841</v>
      </c>
      <c r="M172" s="150" t="s">
        <v>1853</v>
      </c>
      <c r="N172" s="151">
        <v>9</v>
      </c>
      <c r="O172" s="151">
        <v>0</v>
      </c>
      <c r="P172" s="152">
        <v>2</v>
      </c>
      <c r="Q172" s="153">
        <v>69.569999999999993</v>
      </c>
      <c r="R172" s="154">
        <v>2</v>
      </c>
      <c r="S172" s="38">
        <f t="shared" si="23"/>
        <v>1</v>
      </c>
      <c r="T172" s="39">
        <f t="shared" si="24"/>
        <v>6</v>
      </c>
      <c r="U172" s="40">
        <f t="shared" si="25"/>
        <v>1</v>
      </c>
      <c r="V172" s="40">
        <f t="shared" si="26"/>
        <v>0</v>
      </c>
      <c r="W172" s="40">
        <f t="shared" si="27"/>
        <v>0</v>
      </c>
      <c r="X172" s="40">
        <f t="shared" si="28"/>
        <v>1</v>
      </c>
      <c r="Y172" s="40">
        <f t="shared" si="29"/>
        <v>0</v>
      </c>
      <c r="Z172" s="40">
        <f t="shared" si="30"/>
        <v>0</v>
      </c>
      <c r="AA172" s="40">
        <f t="shared" si="31"/>
        <v>0</v>
      </c>
      <c r="AB172" s="40">
        <f t="shared" si="32"/>
        <v>0</v>
      </c>
      <c r="AC172" s="41">
        <f t="shared" si="33"/>
        <v>0</v>
      </c>
      <c r="AD172" s="49" t="s">
        <v>5</v>
      </c>
      <c r="AE172" s="50" t="s">
        <v>116</v>
      </c>
      <c r="AF172" s="49"/>
      <c r="AG172" s="50"/>
      <c r="AH172" s="49"/>
      <c r="AI172" s="50"/>
      <c r="AJ172" s="49"/>
      <c r="AK172" s="50"/>
      <c r="AL172" s="49"/>
      <c r="AM172" s="50"/>
      <c r="AN172" s="49"/>
      <c r="AO172" s="50"/>
      <c r="AP172" s="49"/>
      <c r="AQ172" s="50"/>
      <c r="AR172" s="49" t="s">
        <v>5</v>
      </c>
      <c r="AS172" s="50" t="s">
        <v>722</v>
      </c>
      <c r="AT172" s="49"/>
      <c r="AU172" s="50"/>
      <c r="AV172" s="49"/>
      <c r="AW172" s="50"/>
      <c r="AX172" s="49" t="s">
        <v>5</v>
      </c>
      <c r="AY172" s="50" t="s">
        <v>124</v>
      </c>
      <c r="AZ172" s="49"/>
      <c r="BA172" s="50"/>
      <c r="BB172" s="49"/>
      <c r="BC172" s="50"/>
      <c r="BD172" s="49"/>
      <c r="BE172" s="50"/>
      <c r="BF172" s="49"/>
      <c r="BG172" s="50"/>
      <c r="BH172" s="49" t="s">
        <v>5</v>
      </c>
      <c r="BI172" s="50" t="s">
        <v>430</v>
      </c>
      <c r="BJ172" s="49"/>
      <c r="BK172" s="50"/>
      <c r="BL172" s="49"/>
      <c r="BM172" s="50"/>
      <c r="BN172" s="49" t="s">
        <v>1</v>
      </c>
      <c r="BO172" s="50" t="s">
        <v>81</v>
      </c>
      <c r="BP172" s="49" t="s">
        <v>30</v>
      </c>
      <c r="BQ172" s="50" t="s">
        <v>96</v>
      </c>
      <c r="BR172" s="49"/>
      <c r="BS172" s="50"/>
      <c r="BT172" s="49"/>
      <c r="BU172" s="50"/>
      <c r="BV172" s="49" t="s">
        <v>5</v>
      </c>
      <c r="BW172" s="50" t="s">
        <v>108</v>
      </c>
      <c r="BX172" s="49" t="s">
        <v>5</v>
      </c>
      <c r="BY172" s="50" t="s">
        <v>206</v>
      </c>
      <c r="BZ172" s="49" t="s">
        <v>5</v>
      </c>
      <c r="CA172" s="50" t="s">
        <v>124</v>
      </c>
    </row>
    <row r="173" spans="1:79" x14ac:dyDescent="0.25">
      <c r="A173" s="76">
        <v>151587</v>
      </c>
      <c r="B173" s="77" t="s">
        <v>894</v>
      </c>
      <c r="C173" s="78" t="s">
        <v>718</v>
      </c>
      <c r="D173" s="76" t="s">
        <v>70</v>
      </c>
      <c r="E173" s="79" t="s">
        <v>14</v>
      </c>
      <c r="F173" s="79" t="s">
        <v>218</v>
      </c>
      <c r="G173" s="79" t="s">
        <v>14</v>
      </c>
      <c r="H173" s="79" t="s">
        <v>87</v>
      </c>
      <c r="I173" s="78" t="s">
        <v>14</v>
      </c>
      <c r="J173" s="79" t="s">
        <v>14</v>
      </c>
      <c r="K173" s="142" t="s">
        <v>1850</v>
      </c>
      <c r="L173" s="149" t="s">
        <v>1841</v>
      </c>
      <c r="M173" s="150" t="s">
        <v>1853</v>
      </c>
      <c r="N173" s="151">
        <v>14</v>
      </c>
      <c r="O173" s="151">
        <v>0</v>
      </c>
      <c r="P173" s="152">
        <v>0</v>
      </c>
      <c r="Q173" s="153">
        <v>100</v>
      </c>
      <c r="R173" s="154">
        <v>0</v>
      </c>
      <c r="S173" s="38">
        <f t="shared" si="23"/>
        <v>1</v>
      </c>
      <c r="T173" s="39">
        <f t="shared" si="24"/>
        <v>9</v>
      </c>
      <c r="U173" s="40">
        <f t="shared" si="25"/>
        <v>0</v>
      </c>
      <c r="V173" s="40">
        <f t="shared" si="26"/>
        <v>0</v>
      </c>
      <c r="W173" s="40">
        <f t="shared" si="27"/>
        <v>0</v>
      </c>
      <c r="X173" s="40">
        <f t="shared" si="28"/>
        <v>0</v>
      </c>
      <c r="Y173" s="40">
        <f t="shared" si="29"/>
        <v>0</v>
      </c>
      <c r="Z173" s="40">
        <f t="shared" si="30"/>
        <v>0</v>
      </c>
      <c r="AA173" s="40">
        <f t="shared" si="31"/>
        <v>0</v>
      </c>
      <c r="AB173" s="40">
        <f t="shared" si="32"/>
        <v>0</v>
      </c>
      <c r="AC173" s="41">
        <f t="shared" si="33"/>
        <v>0</v>
      </c>
      <c r="AD173" s="49"/>
      <c r="AE173" s="50"/>
      <c r="AF173" s="49" t="s">
        <v>5</v>
      </c>
      <c r="AG173" s="50" t="s">
        <v>133</v>
      </c>
      <c r="AH173" s="49"/>
      <c r="AI173" s="50"/>
      <c r="AJ173" s="49" t="s">
        <v>5</v>
      </c>
      <c r="AK173" s="50" t="s">
        <v>137</v>
      </c>
      <c r="AL173" s="49"/>
      <c r="AM173" s="50"/>
      <c r="AN173" s="49"/>
      <c r="AO173" s="50"/>
      <c r="AP173" s="49"/>
      <c r="AQ173" s="50"/>
      <c r="AR173" s="49" t="s">
        <v>5</v>
      </c>
      <c r="AS173" s="50" t="s">
        <v>459</v>
      </c>
      <c r="AT173" s="49"/>
      <c r="AU173" s="50"/>
      <c r="AV173" s="49"/>
      <c r="AW173" s="50"/>
      <c r="AX173" s="49" t="s">
        <v>5</v>
      </c>
      <c r="AY173" s="50" t="s">
        <v>169</v>
      </c>
      <c r="AZ173" s="49" t="s">
        <v>5</v>
      </c>
      <c r="BA173" s="50" t="s">
        <v>84</v>
      </c>
      <c r="BB173" s="49" t="s">
        <v>5</v>
      </c>
      <c r="BC173" s="50" t="s">
        <v>92</v>
      </c>
      <c r="BD173" s="49"/>
      <c r="BE173" s="50"/>
      <c r="BF173" s="49"/>
      <c r="BG173" s="50"/>
      <c r="BH173" s="49" t="s">
        <v>5</v>
      </c>
      <c r="BI173" s="50" t="s">
        <v>139</v>
      </c>
      <c r="BJ173" s="49"/>
      <c r="BK173" s="50"/>
      <c r="BL173" s="49"/>
      <c r="BM173" s="50"/>
      <c r="BN173" s="49" t="s">
        <v>5</v>
      </c>
      <c r="BO173" s="50" t="s">
        <v>121</v>
      </c>
      <c r="BP173" s="49"/>
      <c r="BQ173" s="50"/>
      <c r="BR173" s="49" t="s">
        <v>5</v>
      </c>
      <c r="BS173" s="50" t="s">
        <v>98</v>
      </c>
      <c r="BT173" s="49"/>
      <c r="BU173" s="50"/>
      <c r="BV173" s="49" t="s">
        <v>1</v>
      </c>
      <c r="BW173" s="50" t="s">
        <v>495</v>
      </c>
      <c r="BX173" s="49"/>
      <c r="BY173" s="50"/>
      <c r="BZ173" s="49"/>
      <c r="CA173" s="50"/>
    </row>
    <row r="174" spans="1:79" x14ac:dyDescent="0.25">
      <c r="A174" s="76">
        <v>151730</v>
      </c>
      <c r="B174" s="77" t="s">
        <v>895</v>
      </c>
      <c r="C174" s="78" t="s">
        <v>725</v>
      </c>
      <c r="D174" s="76" t="s">
        <v>12</v>
      </c>
      <c r="E174" s="79" t="s">
        <v>14</v>
      </c>
      <c r="F174" s="79" t="s">
        <v>71</v>
      </c>
      <c r="G174" s="79" t="s">
        <v>14</v>
      </c>
      <c r="H174" s="79" t="s">
        <v>14</v>
      </c>
      <c r="I174" s="78" t="s">
        <v>14</v>
      </c>
      <c r="J174" s="79" t="s">
        <v>14</v>
      </c>
      <c r="K174" s="142" t="s">
        <v>1850</v>
      </c>
      <c r="L174" s="149" t="s">
        <v>1842</v>
      </c>
      <c r="M174" s="150" t="s">
        <v>12</v>
      </c>
      <c r="N174" s="151">
        <v>12</v>
      </c>
      <c r="O174" s="151">
        <v>6</v>
      </c>
      <c r="P174" s="152">
        <v>6</v>
      </c>
      <c r="Q174" s="153">
        <v>86.96</v>
      </c>
      <c r="R174" s="154">
        <v>1</v>
      </c>
      <c r="S174" s="38">
        <f t="shared" si="23"/>
        <v>0</v>
      </c>
      <c r="T174" s="39">
        <f t="shared" si="24"/>
        <v>4</v>
      </c>
      <c r="U174" s="40">
        <f t="shared" si="25"/>
        <v>3</v>
      </c>
      <c r="V174" s="40">
        <f t="shared" si="26"/>
        <v>2</v>
      </c>
      <c r="W174" s="40">
        <f t="shared" si="27"/>
        <v>1</v>
      </c>
      <c r="X174" s="40">
        <f t="shared" si="28"/>
        <v>6</v>
      </c>
      <c r="Y174" s="40">
        <f t="shared" si="29"/>
        <v>0</v>
      </c>
      <c r="Z174" s="40">
        <f t="shared" si="30"/>
        <v>0</v>
      </c>
      <c r="AA174" s="40">
        <f t="shared" si="31"/>
        <v>0</v>
      </c>
      <c r="AB174" s="40">
        <f t="shared" si="32"/>
        <v>0</v>
      </c>
      <c r="AC174" s="41">
        <f t="shared" si="33"/>
        <v>0</v>
      </c>
      <c r="AD174" s="49"/>
      <c r="AE174" s="50"/>
      <c r="AF174" s="49" t="s">
        <v>31</v>
      </c>
      <c r="AG174" s="50" t="s">
        <v>433</v>
      </c>
      <c r="AH174" s="49"/>
      <c r="AI174" s="50"/>
      <c r="AJ174" s="49" t="s">
        <v>31</v>
      </c>
      <c r="AK174" s="50" t="s">
        <v>714</v>
      </c>
      <c r="AL174" s="49"/>
      <c r="AM174" s="50"/>
      <c r="AN174" s="49"/>
      <c r="AO174" s="50"/>
      <c r="AP174" s="49"/>
      <c r="AQ174" s="50"/>
      <c r="AR174" s="49" t="s">
        <v>32</v>
      </c>
      <c r="AS174" s="50" t="s">
        <v>478</v>
      </c>
      <c r="AT174" s="49"/>
      <c r="AU174" s="50"/>
      <c r="AV174" s="49"/>
      <c r="AW174" s="50"/>
      <c r="AX174" s="49" t="s">
        <v>5</v>
      </c>
      <c r="AY174" s="50" t="s">
        <v>109</v>
      </c>
      <c r="AZ174" s="49" t="s">
        <v>5</v>
      </c>
      <c r="BA174" s="50" t="s">
        <v>143</v>
      </c>
      <c r="BB174" s="49"/>
      <c r="BC174" s="50"/>
      <c r="BD174" s="49"/>
      <c r="BE174" s="50"/>
      <c r="BF174" s="49"/>
      <c r="BG174" s="50"/>
      <c r="BH174" s="49" t="s">
        <v>5</v>
      </c>
      <c r="BI174" s="50" t="s">
        <v>139</v>
      </c>
      <c r="BJ174" s="49"/>
      <c r="BK174" s="50"/>
      <c r="BL174" s="49"/>
      <c r="BM174" s="50"/>
      <c r="BN174" s="49" t="s">
        <v>30</v>
      </c>
      <c r="BO174" s="50" t="s">
        <v>96</v>
      </c>
      <c r="BP174" s="49" t="s">
        <v>30</v>
      </c>
      <c r="BQ174" s="50" t="s">
        <v>96</v>
      </c>
      <c r="BR174" s="49" t="s">
        <v>30</v>
      </c>
      <c r="BS174" s="50" t="s">
        <v>123</v>
      </c>
      <c r="BT174" s="49"/>
      <c r="BU174" s="50"/>
      <c r="BV174" s="49" t="s">
        <v>5</v>
      </c>
      <c r="BW174" s="50" t="s">
        <v>122</v>
      </c>
      <c r="BX174" s="49"/>
      <c r="BY174" s="50"/>
      <c r="BZ174" s="49"/>
      <c r="CA174" s="50"/>
    </row>
    <row r="175" spans="1:79" x14ac:dyDescent="0.25">
      <c r="A175" s="76">
        <v>151729</v>
      </c>
      <c r="B175" s="77" t="s">
        <v>896</v>
      </c>
      <c r="C175" s="78" t="s">
        <v>725</v>
      </c>
      <c r="D175" s="76" t="s">
        <v>12</v>
      </c>
      <c r="E175" s="79" t="s">
        <v>14</v>
      </c>
      <c r="F175" s="79" t="s">
        <v>71</v>
      </c>
      <c r="G175" s="79" t="s">
        <v>14</v>
      </c>
      <c r="H175" s="79" t="s">
        <v>14</v>
      </c>
      <c r="I175" s="78" t="s">
        <v>14</v>
      </c>
      <c r="J175" s="79" t="s">
        <v>14</v>
      </c>
      <c r="K175" s="142" t="s">
        <v>1851</v>
      </c>
      <c r="L175" s="149" t="s">
        <v>1844</v>
      </c>
      <c r="M175" s="150" t="s">
        <v>12</v>
      </c>
      <c r="N175" s="151">
        <v>19</v>
      </c>
      <c r="O175" s="151">
        <v>0</v>
      </c>
      <c r="P175" s="152">
        <v>1</v>
      </c>
      <c r="Q175" s="153">
        <v>95.65</v>
      </c>
      <c r="R175" s="154">
        <v>1</v>
      </c>
      <c r="S175" s="38">
        <f t="shared" si="23"/>
        <v>1</v>
      </c>
      <c r="T175" s="39">
        <f t="shared" si="24"/>
        <v>9</v>
      </c>
      <c r="U175" s="40">
        <f t="shared" si="25"/>
        <v>0</v>
      </c>
      <c r="V175" s="40">
        <f t="shared" si="26"/>
        <v>0</v>
      </c>
      <c r="W175" s="40">
        <f t="shared" si="27"/>
        <v>0</v>
      </c>
      <c r="X175" s="40">
        <f t="shared" si="28"/>
        <v>0</v>
      </c>
      <c r="Y175" s="40">
        <f t="shared" si="29"/>
        <v>0</v>
      </c>
      <c r="Z175" s="40">
        <f t="shared" si="30"/>
        <v>0</v>
      </c>
      <c r="AA175" s="40">
        <f t="shared" si="31"/>
        <v>0</v>
      </c>
      <c r="AB175" s="40">
        <f t="shared" si="32"/>
        <v>0</v>
      </c>
      <c r="AC175" s="41">
        <f t="shared" si="33"/>
        <v>0</v>
      </c>
      <c r="AD175" s="49"/>
      <c r="AE175" s="50"/>
      <c r="AF175" s="49" t="s">
        <v>5</v>
      </c>
      <c r="AG175" s="50" t="s">
        <v>133</v>
      </c>
      <c r="AH175" s="49"/>
      <c r="AI175" s="50"/>
      <c r="AJ175" s="49" t="s">
        <v>5</v>
      </c>
      <c r="AK175" s="50" t="s">
        <v>164</v>
      </c>
      <c r="AL175" s="49"/>
      <c r="AM175" s="50"/>
      <c r="AN175" s="49"/>
      <c r="AO175" s="50"/>
      <c r="AP175" s="49"/>
      <c r="AQ175" s="50"/>
      <c r="AR175" s="49" t="s">
        <v>5</v>
      </c>
      <c r="AS175" s="50" t="s">
        <v>169</v>
      </c>
      <c r="AT175" s="49"/>
      <c r="AU175" s="50"/>
      <c r="AV175" s="49" t="s">
        <v>5</v>
      </c>
      <c r="AW175" s="50" t="s">
        <v>73</v>
      </c>
      <c r="AX175" s="49" t="s">
        <v>5</v>
      </c>
      <c r="AY175" s="50" t="s">
        <v>109</v>
      </c>
      <c r="AZ175" s="49" t="s">
        <v>5</v>
      </c>
      <c r="BA175" s="50" t="s">
        <v>143</v>
      </c>
      <c r="BB175" s="49"/>
      <c r="BC175" s="50"/>
      <c r="BD175" s="49"/>
      <c r="BE175" s="50"/>
      <c r="BF175" s="49"/>
      <c r="BG175" s="50"/>
      <c r="BH175" s="49" t="s">
        <v>5</v>
      </c>
      <c r="BI175" s="50" t="s">
        <v>430</v>
      </c>
      <c r="BJ175" s="49"/>
      <c r="BK175" s="50"/>
      <c r="BL175" s="49"/>
      <c r="BM175" s="50"/>
      <c r="BN175" s="49" t="s">
        <v>1</v>
      </c>
      <c r="BO175" s="50" t="s">
        <v>107</v>
      </c>
      <c r="BP175" s="49"/>
      <c r="BQ175" s="50"/>
      <c r="BR175" s="49" t="s">
        <v>5</v>
      </c>
      <c r="BS175" s="50" t="s">
        <v>140</v>
      </c>
      <c r="BT175" s="49"/>
      <c r="BU175" s="50"/>
      <c r="BV175" s="49" t="s">
        <v>5</v>
      </c>
      <c r="BW175" s="50" t="s">
        <v>82</v>
      </c>
      <c r="BX175" s="49"/>
      <c r="BY175" s="50"/>
      <c r="BZ175" s="49"/>
      <c r="CA175" s="50"/>
    </row>
    <row r="176" spans="1:79" x14ac:dyDescent="0.25">
      <c r="A176" s="76">
        <v>151602</v>
      </c>
      <c r="B176" s="77" t="s">
        <v>897</v>
      </c>
      <c r="C176" s="78" t="s">
        <v>725</v>
      </c>
      <c r="D176" s="76" t="s">
        <v>70</v>
      </c>
      <c r="E176" s="79" t="s">
        <v>14</v>
      </c>
      <c r="F176" s="79" t="s">
        <v>71</v>
      </c>
      <c r="G176" s="79" t="s">
        <v>14</v>
      </c>
      <c r="H176" s="79" t="s">
        <v>14</v>
      </c>
      <c r="I176" s="78" t="s">
        <v>14</v>
      </c>
      <c r="J176" s="79" t="s">
        <v>14</v>
      </c>
      <c r="K176" s="142" t="s">
        <v>1850</v>
      </c>
      <c r="L176" s="149" t="s">
        <v>1844</v>
      </c>
      <c r="M176" s="150" t="s">
        <v>12</v>
      </c>
      <c r="N176" s="151">
        <v>18</v>
      </c>
      <c r="O176" s="151">
        <v>0</v>
      </c>
      <c r="P176" s="152">
        <v>0</v>
      </c>
      <c r="Q176" s="153">
        <v>95.65</v>
      </c>
      <c r="R176" s="154">
        <v>1</v>
      </c>
      <c r="S176" s="38">
        <f t="shared" si="23"/>
        <v>2</v>
      </c>
      <c r="T176" s="39">
        <f t="shared" si="24"/>
        <v>8</v>
      </c>
      <c r="U176" s="40">
        <f t="shared" si="25"/>
        <v>0</v>
      </c>
      <c r="V176" s="40">
        <f t="shared" si="26"/>
        <v>0</v>
      </c>
      <c r="W176" s="40">
        <f t="shared" si="27"/>
        <v>0</v>
      </c>
      <c r="X176" s="40">
        <f t="shared" si="28"/>
        <v>0</v>
      </c>
      <c r="Y176" s="40">
        <f t="shared" si="29"/>
        <v>0</v>
      </c>
      <c r="Z176" s="40">
        <f t="shared" si="30"/>
        <v>0</v>
      </c>
      <c r="AA176" s="40">
        <f t="shared" si="31"/>
        <v>0</v>
      </c>
      <c r="AB176" s="40">
        <f t="shared" si="32"/>
        <v>0</v>
      </c>
      <c r="AC176" s="41">
        <f t="shared" si="33"/>
        <v>0</v>
      </c>
      <c r="AD176" s="49"/>
      <c r="AE176" s="50"/>
      <c r="AF176" s="49" t="s">
        <v>5</v>
      </c>
      <c r="AG176" s="50" t="s">
        <v>133</v>
      </c>
      <c r="AH176" s="49"/>
      <c r="AI176" s="50"/>
      <c r="AJ176" s="49" t="s">
        <v>5</v>
      </c>
      <c r="AK176" s="50" t="s">
        <v>164</v>
      </c>
      <c r="AL176" s="49"/>
      <c r="AM176" s="50"/>
      <c r="AN176" s="49"/>
      <c r="AO176" s="50"/>
      <c r="AP176" s="49"/>
      <c r="AQ176" s="50"/>
      <c r="AR176" s="49" t="s">
        <v>5</v>
      </c>
      <c r="AS176" s="50" t="s">
        <v>194</v>
      </c>
      <c r="AT176" s="49"/>
      <c r="AU176" s="50"/>
      <c r="AV176" s="49"/>
      <c r="AW176" s="50"/>
      <c r="AX176" s="49" t="s">
        <v>5</v>
      </c>
      <c r="AY176" s="50" t="s">
        <v>109</v>
      </c>
      <c r="AZ176" s="49" t="s">
        <v>5</v>
      </c>
      <c r="BA176" s="50" t="s">
        <v>84</v>
      </c>
      <c r="BB176" s="49"/>
      <c r="BC176" s="50"/>
      <c r="BD176" s="49"/>
      <c r="BE176" s="50"/>
      <c r="BF176" s="49"/>
      <c r="BG176" s="50"/>
      <c r="BH176" s="49" t="s">
        <v>1</v>
      </c>
      <c r="BI176" s="50" t="s">
        <v>430</v>
      </c>
      <c r="BJ176" s="49"/>
      <c r="BK176" s="50"/>
      <c r="BL176" s="49"/>
      <c r="BM176" s="50"/>
      <c r="BN176" s="49" t="s">
        <v>5</v>
      </c>
      <c r="BO176" s="50" t="s">
        <v>121</v>
      </c>
      <c r="BP176" s="49" t="s">
        <v>5</v>
      </c>
      <c r="BQ176" s="50" t="s">
        <v>96</v>
      </c>
      <c r="BR176" s="49" t="s">
        <v>5</v>
      </c>
      <c r="BS176" s="50" t="s">
        <v>140</v>
      </c>
      <c r="BT176" s="49"/>
      <c r="BU176" s="50"/>
      <c r="BV176" s="49" t="s">
        <v>1</v>
      </c>
      <c r="BW176" s="50" t="s">
        <v>457</v>
      </c>
      <c r="BX176" s="49"/>
      <c r="BY176" s="50"/>
      <c r="BZ176" s="49"/>
      <c r="CA176" s="50"/>
    </row>
    <row r="177" spans="1:79" x14ac:dyDescent="0.25">
      <c r="A177" s="76">
        <v>151547</v>
      </c>
      <c r="B177" s="77" t="s">
        <v>898</v>
      </c>
      <c r="C177" s="78" t="s">
        <v>725</v>
      </c>
      <c r="D177" s="76" t="s">
        <v>12</v>
      </c>
      <c r="E177" s="79" t="s">
        <v>14</v>
      </c>
      <c r="F177" s="79" t="s">
        <v>508</v>
      </c>
      <c r="G177" s="79" t="s">
        <v>14</v>
      </c>
      <c r="H177" s="79" t="s">
        <v>14</v>
      </c>
      <c r="I177" s="78" t="s">
        <v>14</v>
      </c>
      <c r="J177" s="79" t="s">
        <v>14</v>
      </c>
      <c r="K177" s="142" t="s">
        <v>1850</v>
      </c>
      <c r="L177" s="149" t="s">
        <v>1844</v>
      </c>
      <c r="M177" s="150" t="s">
        <v>12</v>
      </c>
      <c r="N177" s="151">
        <v>17</v>
      </c>
      <c r="O177" s="151">
        <v>2</v>
      </c>
      <c r="P177" s="152">
        <v>2</v>
      </c>
      <c r="Q177" s="153">
        <v>100</v>
      </c>
      <c r="R177" s="154">
        <v>0</v>
      </c>
      <c r="S177" s="38">
        <f t="shared" si="23"/>
        <v>0</v>
      </c>
      <c r="T177" s="39">
        <f t="shared" si="24"/>
        <v>8</v>
      </c>
      <c r="U177" s="40">
        <f t="shared" si="25"/>
        <v>1</v>
      </c>
      <c r="V177" s="40">
        <f t="shared" si="26"/>
        <v>1</v>
      </c>
      <c r="W177" s="40">
        <f t="shared" si="27"/>
        <v>0</v>
      </c>
      <c r="X177" s="40">
        <f t="shared" si="28"/>
        <v>2</v>
      </c>
      <c r="Y177" s="40">
        <f t="shared" si="29"/>
        <v>0</v>
      </c>
      <c r="Z177" s="40">
        <f t="shared" si="30"/>
        <v>0</v>
      </c>
      <c r="AA177" s="40">
        <f t="shared" si="31"/>
        <v>0</v>
      </c>
      <c r="AB177" s="40">
        <f t="shared" si="32"/>
        <v>0</v>
      </c>
      <c r="AC177" s="41">
        <f t="shared" si="33"/>
        <v>0</v>
      </c>
      <c r="AD177" s="49"/>
      <c r="AE177" s="50"/>
      <c r="AF177" s="49" t="s">
        <v>5</v>
      </c>
      <c r="AG177" s="50" t="s">
        <v>433</v>
      </c>
      <c r="AH177" s="49"/>
      <c r="AI177" s="50"/>
      <c r="AJ177" s="49" t="s">
        <v>5</v>
      </c>
      <c r="AK177" s="50" t="s">
        <v>714</v>
      </c>
      <c r="AL177" s="49"/>
      <c r="AM177" s="50"/>
      <c r="AN177" s="49"/>
      <c r="AO177" s="50"/>
      <c r="AP177" s="49"/>
      <c r="AQ177" s="50"/>
      <c r="AR177" s="49" t="s">
        <v>5</v>
      </c>
      <c r="AS177" s="50" t="s">
        <v>74</v>
      </c>
      <c r="AT177" s="49"/>
      <c r="AU177" s="50"/>
      <c r="AV177" s="49"/>
      <c r="AW177" s="50"/>
      <c r="AX177" s="49" t="s">
        <v>5</v>
      </c>
      <c r="AY177" s="50" t="s">
        <v>109</v>
      </c>
      <c r="AZ177" s="49" t="s">
        <v>5</v>
      </c>
      <c r="BA177" s="50" t="s">
        <v>84</v>
      </c>
      <c r="BB177" s="49"/>
      <c r="BC177" s="50"/>
      <c r="BD177" s="49"/>
      <c r="BE177" s="50"/>
      <c r="BF177" s="49"/>
      <c r="BG177" s="50"/>
      <c r="BH177" s="49" t="s">
        <v>5</v>
      </c>
      <c r="BI177" s="50" t="s">
        <v>430</v>
      </c>
      <c r="BJ177" s="49"/>
      <c r="BK177" s="50"/>
      <c r="BL177" s="49"/>
      <c r="BM177" s="50"/>
      <c r="BN177" s="49" t="s">
        <v>31</v>
      </c>
      <c r="BO177" s="50" t="s">
        <v>107</v>
      </c>
      <c r="BP177" s="49" t="s">
        <v>30</v>
      </c>
      <c r="BQ177" s="50" t="s">
        <v>96</v>
      </c>
      <c r="BR177" s="49" t="s">
        <v>5</v>
      </c>
      <c r="BS177" s="50" t="s">
        <v>123</v>
      </c>
      <c r="BT177" s="49"/>
      <c r="BU177" s="50"/>
      <c r="BV177" s="49" t="s">
        <v>5</v>
      </c>
      <c r="BW177" s="50" t="s">
        <v>82</v>
      </c>
      <c r="BX177" s="49"/>
      <c r="BY177" s="50"/>
      <c r="BZ177" s="49"/>
      <c r="CA177" s="50"/>
    </row>
    <row r="178" spans="1:79" x14ac:dyDescent="0.25">
      <c r="A178" s="76">
        <v>151662</v>
      </c>
      <c r="B178" s="77" t="s">
        <v>899</v>
      </c>
      <c r="C178" s="78" t="s">
        <v>725</v>
      </c>
      <c r="D178" s="76" t="s">
        <v>70</v>
      </c>
      <c r="E178" s="79" t="s">
        <v>14</v>
      </c>
      <c r="F178" s="79" t="s">
        <v>900</v>
      </c>
      <c r="G178" s="79" t="s">
        <v>14</v>
      </c>
      <c r="H178" s="79" t="s">
        <v>87</v>
      </c>
      <c r="I178" s="78" t="s">
        <v>14</v>
      </c>
      <c r="J178" s="79" t="s">
        <v>4</v>
      </c>
      <c r="K178" s="142" t="s">
        <v>1850</v>
      </c>
      <c r="L178" s="149" t="s">
        <v>1847</v>
      </c>
      <c r="M178" s="150" t="s">
        <v>1852</v>
      </c>
      <c r="N178" s="151">
        <v>12</v>
      </c>
      <c r="O178" s="151">
        <v>0</v>
      </c>
      <c r="P178" s="152">
        <v>0</v>
      </c>
      <c r="Q178" s="153">
        <v>97.83</v>
      </c>
      <c r="R178" s="154">
        <v>5</v>
      </c>
      <c r="S178" s="38">
        <f t="shared" si="23"/>
        <v>0</v>
      </c>
      <c r="T178" s="39">
        <f t="shared" si="24"/>
        <v>8</v>
      </c>
      <c r="U178" s="40">
        <f t="shared" si="25"/>
        <v>0</v>
      </c>
      <c r="V178" s="40">
        <f t="shared" si="26"/>
        <v>0</v>
      </c>
      <c r="W178" s="40">
        <f t="shared" si="27"/>
        <v>0</v>
      </c>
      <c r="X178" s="40">
        <f t="shared" si="28"/>
        <v>0</v>
      </c>
      <c r="Y178" s="40">
        <f t="shared" si="29"/>
        <v>0</v>
      </c>
      <c r="Z178" s="40">
        <f t="shared" si="30"/>
        <v>0</v>
      </c>
      <c r="AA178" s="40">
        <f t="shared" si="31"/>
        <v>0</v>
      </c>
      <c r="AB178" s="40">
        <f t="shared" si="32"/>
        <v>0</v>
      </c>
      <c r="AC178" s="41">
        <f t="shared" si="33"/>
        <v>0</v>
      </c>
      <c r="AD178" s="49"/>
      <c r="AE178" s="50"/>
      <c r="AF178" s="49"/>
      <c r="AG178" s="50"/>
      <c r="AH178" s="49"/>
      <c r="AI178" s="50"/>
      <c r="AJ178" s="49"/>
      <c r="AK178" s="50"/>
      <c r="AL178" s="49"/>
      <c r="AM178" s="50"/>
      <c r="AN178" s="49"/>
      <c r="AO178" s="50"/>
      <c r="AP178" s="49"/>
      <c r="AQ178" s="50"/>
      <c r="AR178" s="49" t="s">
        <v>5</v>
      </c>
      <c r="AS178" s="50" t="s">
        <v>111</v>
      </c>
      <c r="AT178" s="49"/>
      <c r="AU178" s="50"/>
      <c r="AV178" s="49" t="s">
        <v>5</v>
      </c>
      <c r="AW178" s="50" t="s">
        <v>73</v>
      </c>
      <c r="AX178" s="49" t="s">
        <v>5</v>
      </c>
      <c r="AY178" s="50" t="s">
        <v>117</v>
      </c>
      <c r="AZ178" s="49" t="s">
        <v>5</v>
      </c>
      <c r="BA178" s="50" t="s">
        <v>103</v>
      </c>
      <c r="BB178" s="49"/>
      <c r="BC178" s="50"/>
      <c r="BD178" s="49"/>
      <c r="BE178" s="50"/>
      <c r="BF178" s="49"/>
      <c r="BG178" s="50"/>
      <c r="BH178" s="49" t="s">
        <v>5</v>
      </c>
      <c r="BI178" s="50" t="s">
        <v>505</v>
      </c>
      <c r="BJ178" s="49"/>
      <c r="BK178" s="50"/>
      <c r="BL178" s="49"/>
      <c r="BM178" s="50"/>
      <c r="BN178" s="49" t="s">
        <v>5</v>
      </c>
      <c r="BO178" s="50" t="s">
        <v>741</v>
      </c>
      <c r="BP178" s="49"/>
      <c r="BQ178" s="50"/>
      <c r="BR178" s="49"/>
      <c r="BS178" s="50"/>
      <c r="BT178" s="49"/>
      <c r="BU178" s="50"/>
      <c r="BV178" s="49" t="s">
        <v>5</v>
      </c>
      <c r="BW178" s="50" t="s">
        <v>602</v>
      </c>
      <c r="BX178" s="49" t="s">
        <v>5</v>
      </c>
      <c r="BY178" s="50" t="s">
        <v>419</v>
      </c>
      <c r="BZ178" s="49"/>
      <c r="CA178" s="50"/>
    </row>
    <row r="179" spans="1:79" x14ac:dyDescent="0.25">
      <c r="A179" s="76">
        <v>151677</v>
      </c>
      <c r="B179" s="77" t="s">
        <v>901</v>
      </c>
      <c r="C179" s="78" t="s">
        <v>710</v>
      </c>
      <c r="D179" s="76" t="s">
        <v>12</v>
      </c>
      <c r="E179" s="79" t="s">
        <v>14</v>
      </c>
      <c r="F179" s="79" t="s">
        <v>71</v>
      </c>
      <c r="G179" s="79" t="s">
        <v>14</v>
      </c>
      <c r="H179" s="79" t="s">
        <v>14</v>
      </c>
      <c r="I179" s="78" t="s">
        <v>14</v>
      </c>
      <c r="J179" s="79" t="s">
        <v>14</v>
      </c>
      <c r="K179" s="142" t="s">
        <v>1850</v>
      </c>
      <c r="L179" s="149" t="s">
        <v>1842</v>
      </c>
      <c r="M179" s="150" t="s">
        <v>1853</v>
      </c>
      <c r="N179" s="151">
        <v>14</v>
      </c>
      <c r="O179" s="151">
        <v>0</v>
      </c>
      <c r="P179" s="152">
        <v>0</v>
      </c>
      <c r="Q179" s="153">
        <v>91.3</v>
      </c>
      <c r="R179" s="154">
        <v>0</v>
      </c>
      <c r="S179" s="38">
        <f t="shared" si="23"/>
        <v>2</v>
      </c>
      <c r="T179" s="39">
        <f t="shared" si="24"/>
        <v>6</v>
      </c>
      <c r="U179" s="40">
        <f t="shared" si="25"/>
        <v>0</v>
      </c>
      <c r="V179" s="40">
        <f t="shared" si="26"/>
        <v>0</v>
      </c>
      <c r="W179" s="40">
        <f t="shared" si="27"/>
        <v>0</v>
      </c>
      <c r="X179" s="40">
        <f t="shared" si="28"/>
        <v>0</v>
      </c>
      <c r="Y179" s="40">
        <f t="shared" si="29"/>
        <v>0</v>
      </c>
      <c r="Z179" s="40">
        <f t="shared" si="30"/>
        <v>0</v>
      </c>
      <c r="AA179" s="40">
        <f t="shared" si="31"/>
        <v>0</v>
      </c>
      <c r="AB179" s="40">
        <f t="shared" si="32"/>
        <v>0</v>
      </c>
      <c r="AC179" s="41">
        <f t="shared" si="33"/>
        <v>0</v>
      </c>
      <c r="AD179" s="49"/>
      <c r="AE179" s="50"/>
      <c r="AF179" s="49"/>
      <c r="AG179" s="50"/>
      <c r="AH179" s="49"/>
      <c r="AI179" s="50"/>
      <c r="AJ179" s="49"/>
      <c r="AK179" s="50"/>
      <c r="AL179" s="49"/>
      <c r="AM179" s="50"/>
      <c r="AN179" s="49"/>
      <c r="AO179" s="50"/>
      <c r="AP179" s="49" t="s">
        <v>5</v>
      </c>
      <c r="AQ179" s="50" t="s">
        <v>101</v>
      </c>
      <c r="AR179" s="49" t="s">
        <v>5</v>
      </c>
      <c r="AS179" s="50" t="s">
        <v>459</v>
      </c>
      <c r="AT179" s="49"/>
      <c r="AU179" s="50"/>
      <c r="AV179" s="49"/>
      <c r="AW179" s="50"/>
      <c r="AX179" s="49" t="s">
        <v>5</v>
      </c>
      <c r="AY179" s="50" t="s">
        <v>711</v>
      </c>
      <c r="AZ179" s="49"/>
      <c r="BA179" s="50"/>
      <c r="BB179" s="49"/>
      <c r="BC179" s="50"/>
      <c r="BD179" s="49"/>
      <c r="BE179" s="50"/>
      <c r="BF179" s="49"/>
      <c r="BG179" s="50"/>
      <c r="BH179" s="49" t="s">
        <v>5</v>
      </c>
      <c r="BI179" s="50" t="s">
        <v>139</v>
      </c>
      <c r="BJ179" s="49" t="s">
        <v>1</v>
      </c>
      <c r="BK179" s="50" t="s">
        <v>95</v>
      </c>
      <c r="BL179" s="49"/>
      <c r="BM179" s="50"/>
      <c r="BN179" s="49" t="s">
        <v>5</v>
      </c>
      <c r="BO179" s="50" t="s">
        <v>107</v>
      </c>
      <c r="BP179" s="49"/>
      <c r="BQ179" s="50"/>
      <c r="BR179" s="49"/>
      <c r="BS179" s="50"/>
      <c r="BT179" s="49"/>
      <c r="BU179" s="50"/>
      <c r="BV179" s="49" t="s">
        <v>5</v>
      </c>
      <c r="BW179" s="50" t="s">
        <v>108</v>
      </c>
      <c r="BX179" s="49" t="s">
        <v>1</v>
      </c>
      <c r="BY179" s="50" t="s">
        <v>206</v>
      </c>
      <c r="BZ179" s="49" t="s">
        <v>1</v>
      </c>
      <c r="CA179" s="50" t="s">
        <v>75</v>
      </c>
    </row>
    <row r="180" spans="1:79" x14ac:dyDescent="0.25">
      <c r="A180" s="76">
        <v>151720</v>
      </c>
      <c r="B180" s="77" t="s">
        <v>902</v>
      </c>
      <c r="C180" s="78" t="s">
        <v>718</v>
      </c>
      <c r="D180" s="76" t="s">
        <v>12</v>
      </c>
      <c r="E180" s="79" t="s">
        <v>14</v>
      </c>
      <c r="F180" s="79" t="s">
        <v>71</v>
      </c>
      <c r="G180" s="79" t="s">
        <v>14</v>
      </c>
      <c r="H180" s="79" t="s">
        <v>14</v>
      </c>
      <c r="I180" s="78" t="s">
        <v>14</v>
      </c>
      <c r="J180" s="79" t="s">
        <v>14</v>
      </c>
      <c r="K180" s="142" t="s">
        <v>1850</v>
      </c>
      <c r="L180" s="149" t="s">
        <v>1842</v>
      </c>
      <c r="M180" s="150" t="s">
        <v>1853</v>
      </c>
      <c r="N180" s="151">
        <v>13</v>
      </c>
      <c r="O180" s="151">
        <v>0</v>
      </c>
      <c r="P180" s="152">
        <v>0</v>
      </c>
      <c r="Q180" s="153">
        <v>100</v>
      </c>
      <c r="R180" s="154">
        <v>0</v>
      </c>
      <c r="S180" s="38">
        <f t="shared" si="23"/>
        <v>3</v>
      </c>
      <c r="T180" s="39">
        <f t="shared" si="24"/>
        <v>7</v>
      </c>
      <c r="U180" s="40">
        <f t="shared" si="25"/>
        <v>0</v>
      </c>
      <c r="V180" s="40">
        <f t="shared" si="26"/>
        <v>0</v>
      </c>
      <c r="W180" s="40">
        <f t="shared" si="27"/>
        <v>0</v>
      </c>
      <c r="X180" s="40">
        <f t="shared" si="28"/>
        <v>0</v>
      </c>
      <c r="Y180" s="40">
        <f t="shared" si="29"/>
        <v>0</v>
      </c>
      <c r="Z180" s="40">
        <f t="shared" si="30"/>
        <v>0</v>
      </c>
      <c r="AA180" s="40">
        <f t="shared" si="31"/>
        <v>0</v>
      </c>
      <c r="AB180" s="40">
        <f t="shared" si="32"/>
        <v>0</v>
      </c>
      <c r="AC180" s="41">
        <f t="shared" si="33"/>
        <v>0</v>
      </c>
      <c r="AD180" s="49"/>
      <c r="AE180" s="50"/>
      <c r="AF180" s="49" t="s">
        <v>1</v>
      </c>
      <c r="AG180" s="50" t="s">
        <v>438</v>
      </c>
      <c r="AH180" s="49"/>
      <c r="AI180" s="50"/>
      <c r="AJ180" s="49" t="s">
        <v>5</v>
      </c>
      <c r="AK180" s="50" t="s">
        <v>83</v>
      </c>
      <c r="AL180" s="49"/>
      <c r="AM180" s="50"/>
      <c r="AN180" s="49"/>
      <c r="AO180" s="50"/>
      <c r="AP180" s="49"/>
      <c r="AQ180" s="50"/>
      <c r="AR180" s="49" t="s">
        <v>5</v>
      </c>
      <c r="AS180" s="50" t="s">
        <v>722</v>
      </c>
      <c r="AT180" s="49"/>
      <c r="AU180" s="50"/>
      <c r="AV180" s="49"/>
      <c r="AW180" s="50"/>
      <c r="AX180" s="49" t="s">
        <v>5</v>
      </c>
      <c r="AY180" s="50" t="s">
        <v>169</v>
      </c>
      <c r="AZ180" s="49" t="s">
        <v>5</v>
      </c>
      <c r="BA180" s="50" t="s">
        <v>143</v>
      </c>
      <c r="BB180" s="49"/>
      <c r="BC180" s="50"/>
      <c r="BD180" s="49"/>
      <c r="BE180" s="50"/>
      <c r="BF180" s="49" t="s">
        <v>5</v>
      </c>
      <c r="BG180" s="50" t="s">
        <v>93</v>
      </c>
      <c r="BH180" s="49" t="s">
        <v>1</v>
      </c>
      <c r="BI180" s="50" t="s">
        <v>136</v>
      </c>
      <c r="BJ180" s="49"/>
      <c r="BK180" s="50"/>
      <c r="BL180" s="49"/>
      <c r="BM180" s="50"/>
      <c r="BN180" s="49" t="s">
        <v>1</v>
      </c>
      <c r="BO180" s="50" t="s">
        <v>96</v>
      </c>
      <c r="BP180" s="49"/>
      <c r="BQ180" s="50"/>
      <c r="BR180" s="49" t="s">
        <v>5</v>
      </c>
      <c r="BS180" s="50" t="s">
        <v>123</v>
      </c>
      <c r="BT180" s="49"/>
      <c r="BU180" s="50"/>
      <c r="BV180" s="49" t="s">
        <v>5</v>
      </c>
      <c r="BW180" s="50" t="s">
        <v>97</v>
      </c>
      <c r="BX180" s="49"/>
      <c r="BY180" s="50"/>
      <c r="BZ180" s="49"/>
      <c r="CA180" s="50"/>
    </row>
    <row r="181" spans="1:79" x14ac:dyDescent="0.25">
      <c r="A181" s="76">
        <v>151663</v>
      </c>
      <c r="B181" s="77" t="s">
        <v>903</v>
      </c>
      <c r="C181" s="78" t="s">
        <v>725</v>
      </c>
      <c r="D181" s="76" t="s">
        <v>12</v>
      </c>
      <c r="E181" s="79" t="s">
        <v>14</v>
      </c>
      <c r="F181" s="79" t="s">
        <v>198</v>
      </c>
      <c r="G181" s="79" t="s">
        <v>14</v>
      </c>
      <c r="H181" s="79" t="s">
        <v>14</v>
      </c>
      <c r="I181" s="78" t="s">
        <v>14</v>
      </c>
      <c r="J181" s="79" t="s">
        <v>14</v>
      </c>
      <c r="K181" s="142" t="s">
        <v>1850</v>
      </c>
      <c r="L181" s="149" t="s">
        <v>1844</v>
      </c>
      <c r="M181" s="150" t="s">
        <v>12</v>
      </c>
      <c r="N181" s="151">
        <v>17</v>
      </c>
      <c r="O181" s="151">
        <v>13</v>
      </c>
      <c r="P181" s="152">
        <v>7</v>
      </c>
      <c r="Q181" s="153">
        <v>91.3</v>
      </c>
      <c r="R181" s="154">
        <v>9</v>
      </c>
      <c r="S181" s="38">
        <f t="shared" si="23"/>
        <v>1</v>
      </c>
      <c r="T181" s="39">
        <f t="shared" si="24"/>
        <v>4</v>
      </c>
      <c r="U181" s="40">
        <f t="shared" si="25"/>
        <v>3</v>
      </c>
      <c r="V181" s="40">
        <f t="shared" si="26"/>
        <v>1</v>
      </c>
      <c r="W181" s="40">
        <f t="shared" si="27"/>
        <v>0</v>
      </c>
      <c r="X181" s="40">
        <f t="shared" si="28"/>
        <v>4</v>
      </c>
      <c r="Y181" s="40">
        <f t="shared" si="29"/>
        <v>0</v>
      </c>
      <c r="Z181" s="40">
        <f t="shared" si="30"/>
        <v>0</v>
      </c>
      <c r="AA181" s="40">
        <f t="shared" si="31"/>
        <v>0</v>
      </c>
      <c r="AB181" s="40">
        <f t="shared" si="32"/>
        <v>0</v>
      </c>
      <c r="AC181" s="41">
        <f t="shared" si="33"/>
        <v>0</v>
      </c>
      <c r="AD181" s="49"/>
      <c r="AE181" s="50"/>
      <c r="AF181" s="49"/>
      <c r="AG181" s="50"/>
      <c r="AH181" s="49"/>
      <c r="AI181" s="50"/>
      <c r="AJ181" s="49"/>
      <c r="AK181" s="50"/>
      <c r="AL181" s="49"/>
      <c r="AM181" s="50"/>
      <c r="AN181" s="49"/>
      <c r="AO181" s="50"/>
      <c r="AP181" s="49"/>
      <c r="AQ181" s="50"/>
      <c r="AR181" s="49" t="s">
        <v>5</v>
      </c>
      <c r="AS181" s="50" t="s">
        <v>194</v>
      </c>
      <c r="AT181" s="49"/>
      <c r="AU181" s="50"/>
      <c r="AV181" s="49"/>
      <c r="AW181" s="50"/>
      <c r="AX181" s="49" t="s">
        <v>31</v>
      </c>
      <c r="AY181" s="50" t="s">
        <v>109</v>
      </c>
      <c r="AZ181" s="49" t="s">
        <v>5</v>
      </c>
      <c r="BA181" s="50" t="s">
        <v>143</v>
      </c>
      <c r="BB181" s="49"/>
      <c r="BC181" s="50"/>
      <c r="BD181" s="49"/>
      <c r="BE181" s="50"/>
      <c r="BF181" s="49"/>
      <c r="BG181" s="50"/>
      <c r="BH181" s="49" t="s">
        <v>1</v>
      </c>
      <c r="BI181" s="50" t="s">
        <v>136</v>
      </c>
      <c r="BJ181" s="49"/>
      <c r="BK181" s="50"/>
      <c r="BL181" s="49" t="s">
        <v>5</v>
      </c>
      <c r="BM181" s="50" t="s">
        <v>89</v>
      </c>
      <c r="BN181" s="49" t="s">
        <v>30</v>
      </c>
      <c r="BO181" s="50" t="s">
        <v>107</v>
      </c>
      <c r="BP181" s="49" t="s">
        <v>30</v>
      </c>
      <c r="BQ181" s="50" t="s">
        <v>96</v>
      </c>
      <c r="BR181" s="49"/>
      <c r="BS181" s="50"/>
      <c r="BT181" s="49"/>
      <c r="BU181" s="50"/>
      <c r="BV181" s="49" t="s">
        <v>30</v>
      </c>
      <c r="BW181" s="50" t="s">
        <v>495</v>
      </c>
      <c r="BX181" s="49" t="s">
        <v>5</v>
      </c>
      <c r="BY181" s="50" t="s">
        <v>206</v>
      </c>
      <c r="BZ181" s="49"/>
      <c r="CA181" s="50"/>
    </row>
    <row r="182" spans="1:79" ht="30" x14ac:dyDescent="0.25">
      <c r="A182" s="76">
        <v>151659</v>
      </c>
      <c r="B182" s="77" t="s">
        <v>904</v>
      </c>
      <c r="C182" s="78" t="s">
        <v>736</v>
      </c>
      <c r="D182" s="76" t="s">
        <v>70</v>
      </c>
      <c r="E182" s="79" t="s">
        <v>14</v>
      </c>
      <c r="F182" s="79" t="s">
        <v>184</v>
      </c>
      <c r="G182" s="79" t="s">
        <v>14</v>
      </c>
      <c r="H182" s="79" t="s">
        <v>14</v>
      </c>
      <c r="I182" s="78" t="s">
        <v>14</v>
      </c>
      <c r="J182" s="79" t="s">
        <v>14</v>
      </c>
      <c r="K182" s="142" t="s">
        <v>1850</v>
      </c>
      <c r="L182" s="149" t="s">
        <v>1842</v>
      </c>
      <c r="M182" s="150" t="s">
        <v>1853</v>
      </c>
      <c r="N182" s="151">
        <v>12</v>
      </c>
      <c r="O182" s="151">
        <v>0</v>
      </c>
      <c r="P182" s="152">
        <v>0</v>
      </c>
      <c r="Q182" s="153">
        <v>76.09</v>
      </c>
      <c r="R182" s="154">
        <v>0</v>
      </c>
      <c r="S182" s="38">
        <f t="shared" si="23"/>
        <v>3</v>
      </c>
      <c r="T182" s="39">
        <f t="shared" si="24"/>
        <v>6</v>
      </c>
      <c r="U182" s="40">
        <f t="shared" si="25"/>
        <v>0</v>
      </c>
      <c r="V182" s="40">
        <f t="shared" si="26"/>
        <v>0</v>
      </c>
      <c r="W182" s="40">
        <f t="shared" si="27"/>
        <v>0</v>
      </c>
      <c r="X182" s="40">
        <f t="shared" si="28"/>
        <v>0</v>
      </c>
      <c r="Y182" s="40">
        <f t="shared" si="29"/>
        <v>0</v>
      </c>
      <c r="Z182" s="40">
        <f t="shared" si="30"/>
        <v>0</v>
      </c>
      <c r="AA182" s="40">
        <f t="shared" si="31"/>
        <v>0</v>
      </c>
      <c r="AB182" s="40">
        <f t="shared" si="32"/>
        <v>0</v>
      </c>
      <c r="AC182" s="41">
        <f t="shared" si="33"/>
        <v>0</v>
      </c>
      <c r="AD182" s="49"/>
      <c r="AE182" s="50"/>
      <c r="AF182" s="49" t="s">
        <v>5</v>
      </c>
      <c r="AG182" s="50" t="s">
        <v>133</v>
      </c>
      <c r="AH182" s="49"/>
      <c r="AI182" s="50"/>
      <c r="AJ182" s="49" t="s">
        <v>5</v>
      </c>
      <c r="AK182" s="50" t="s">
        <v>137</v>
      </c>
      <c r="AL182" s="49"/>
      <c r="AM182" s="50"/>
      <c r="AN182" s="49"/>
      <c r="AO182" s="50"/>
      <c r="AP182" s="49"/>
      <c r="AQ182" s="50"/>
      <c r="AR182" s="49" t="s">
        <v>1</v>
      </c>
      <c r="AS182" s="50" t="s">
        <v>478</v>
      </c>
      <c r="AT182" s="49"/>
      <c r="AU182" s="50"/>
      <c r="AV182" s="49" t="s">
        <v>1</v>
      </c>
      <c r="AW182" s="50" t="s">
        <v>73</v>
      </c>
      <c r="AX182" s="49" t="s">
        <v>5</v>
      </c>
      <c r="AY182" s="50" t="s">
        <v>91</v>
      </c>
      <c r="AZ182" s="49"/>
      <c r="BA182" s="50"/>
      <c r="BB182" s="49"/>
      <c r="BC182" s="50"/>
      <c r="BD182" s="49"/>
      <c r="BE182" s="50"/>
      <c r="BF182" s="49"/>
      <c r="BG182" s="50"/>
      <c r="BH182" s="49" t="s">
        <v>5</v>
      </c>
      <c r="BI182" s="50" t="s">
        <v>139</v>
      </c>
      <c r="BJ182" s="49"/>
      <c r="BK182" s="50"/>
      <c r="BL182" s="49"/>
      <c r="BM182" s="50"/>
      <c r="BN182" s="49" t="s">
        <v>1</v>
      </c>
      <c r="BO182" s="50" t="s">
        <v>81</v>
      </c>
      <c r="BP182" s="49"/>
      <c r="BQ182" s="50"/>
      <c r="BR182" s="49" t="s">
        <v>5</v>
      </c>
      <c r="BS182" s="50" t="s">
        <v>98</v>
      </c>
      <c r="BT182" s="49"/>
      <c r="BU182" s="50"/>
      <c r="BV182" s="49" t="s">
        <v>5</v>
      </c>
      <c r="BW182" s="50" t="s">
        <v>122</v>
      </c>
      <c r="BX182" s="49"/>
      <c r="BY182" s="50"/>
      <c r="BZ182" s="49" t="s">
        <v>5</v>
      </c>
      <c r="CA182" s="50" t="s">
        <v>75</v>
      </c>
    </row>
    <row r="183" spans="1:79" x14ac:dyDescent="0.25">
      <c r="A183" s="76">
        <v>151615</v>
      </c>
      <c r="B183" s="77" t="s">
        <v>905</v>
      </c>
      <c r="C183" s="78" t="s">
        <v>730</v>
      </c>
      <c r="D183" s="76" t="s">
        <v>70</v>
      </c>
      <c r="E183" s="79" t="s">
        <v>14</v>
      </c>
      <c r="F183" s="79" t="s">
        <v>71</v>
      </c>
      <c r="G183" s="79" t="s">
        <v>14</v>
      </c>
      <c r="H183" s="79" t="s">
        <v>14</v>
      </c>
      <c r="I183" s="78" t="s">
        <v>14</v>
      </c>
      <c r="J183" s="79" t="s">
        <v>14</v>
      </c>
      <c r="K183" s="142" t="s">
        <v>1850</v>
      </c>
      <c r="L183" s="149" t="s">
        <v>1846</v>
      </c>
      <c r="M183" s="150" t="s">
        <v>1853</v>
      </c>
      <c r="N183" s="151">
        <v>8</v>
      </c>
      <c r="O183" s="151">
        <v>0</v>
      </c>
      <c r="P183" s="152">
        <v>0</v>
      </c>
      <c r="Q183" s="153">
        <v>100</v>
      </c>
      <c r="R183" s="154">
        <v>0</v>
      </c>
      <c r="S183" s="38">
        <f t="shared" si="23"/>
        <v>1</v>
      </c>
      <c r="T183" s="39">
        <f t="shared" si="24"/>
        <v>9</v>
      </c>
      <c r="U183" s="40">
        <f t="shared" si="25"/>
        <v>0</v>
      </c>
      <c r="V183" s="40">
        <f t="shared" si="26"/>
        <v>0</v>
      </c>
      <c r="W183" s="40">
        <f t="shared" si="27"/>
        <v>0</v>
      </c>
      <c r="X183" s="40">
        <f t="shared" si="28"/>
        <v>0</v>
      </c>
      <c r="Y183" s="40">
        <f t="shared" si="29"/>
        <v>0</v>
      </c>
      <c r="Z183" s="40">
        <f t="shared" si="30"/>
        <v>0</v>
      </c>
      <c r="AA183" s="40">
        <f t="shared" si="31"/>
        <v>0</v>
      </c>
      <c r="AB183" s="40">
        <f t="shared" si="32"/>
        <v>0</v>
      </c>
      <c r="AC183" s="41">
        <f t="shared" si="33"/>
        <v>0</v>
      </c>
      <c r="AD183" s="49"/>
      <c r="AE183" s="50"/>
      <c r="AF183" s="49" t="s">
        <v>5</v>
      </c>
      <c r="AG183" s="50" t="s">
        <v>133</v>
      </c>
      <c r="AH183" s="49"/>
      <c r="AI183" s="50"/>
      <c r="AJ183" s="49" t="s">
        <v>5</v>
      </c>
      <c r="AK183" s="50" t="s">
        <v>137</v>
      </c>
      <c r="AL183" s="49"/>
      <c r="AM183" s="50"/>
      <c r="AN183" s="49" t="s">
        <v>5</v>
      </c>
      <c r="AO183" s="50" t="s">
        <v>163</v>
      </c>
      <c r="AP183" s="49"/>
      <c r="AQ183" s="50"/>
      <c r="AR183" s="49" t="s">
        <v>5</v>
      </c>
      <c r="AS183" s="50" t="s">
        <v>722</v>
      </c>
      <c r="AT183" s="49"/>
      <c r="AU183" s="50"/>
      <c r="AV183" s="49"/>
      <c r="AW183" s="50"/>
      <c r="AX183" s="49" t="s">
        <v>5</v>
      </c>
      <c r="AY183" s="50" t="s">
        <v>133</v>
      </c>
      <c r="AZ183" s="49" t="s">
        <v>5</v>
      </c>
      <c r="BA183" s="50" t="s">
        <v>84</v>
      </c>
      <c r="BB183" s="49"/>
      <c r="BC183" s="50"/>
      <c r="BD183" s="49"/>
      <c r="BE183" s="50"/>
      <c r="BF183" s="49"/>
      <c r="BG183" s="50"/>
      <c r="BH183" s="49" t="s">
        <v>1</v>
      </c>
      <c r="BI183" s="50" t="s">
        <v>139</v>
      </c>
      <c r="BJ183" s="49"/>
      <c r="BK183" s="50"/>
      <c r="BL183" s="49"/>
      <c r="BM183" s="50"/>
      <c r="BN183" s="49" t="s">
        <v>5</v>
      </c>
      <c r="BO183" s="50" t="s">
        <v>121</v>
      </c>
      <c r="BP183" s="49"/>
      <c r="BQ183" s="50"/>
      <c r="BR183" s="49" t="s">
        <v>5</v>
      </c>
      <c r="BS183" s="50" t="s">
        <v>98</v>
      </c>
      <c r="BT183" s="49"/>
      <c r="BU183" s="50"/>
      <c r="BV183" s="49" t="s">
        <v>5</v>
      </c>
      <c r="BW183" s="50" t="s">
        <v>108</v>
      </c>
      <c r="BX183" s="49"/>
      <c r="BY183" s="50"/>
      <c r="BZ183" s="49"/>
      <c r="CA183" s="50"/>
    </row>
    <row r="184" spans="1:79" x14ac:dyDescent="0.25">
      <c r="A184" s="76">
        <v>151644</v>
      </c>
      <c r="B184" s="77" t="s">
        <v>906</v>
      </c>
      <c r="C184" s="78" t="s">
        <v>718</v>
      </c>
      <c r="D184" s="76" t="s">
        <v>12</v>
      </c>
      <c r="E184" s="79" t="s">
        <v>14</v>
      </c>
      <c r="F184" s="79" t="s">
        <v>71</v>
      </c>
      <c r="G184" s="79" t="s">
        <v>14</v>
      </c>
      <c r="H184" s="79" t="s">
        <v>14</v>
      </c>
      <c r="I184" s="78" t="s">
        <v>14</v>
      </c>
      <c r="J184" s="79" t="s">
        <v>14</v>
      </c>
      <c r="K184" s="142" t="s">
        <v>1851</v>
      </c>
      <c r="L184" s="149" t="s">
        <v>1848</v>
      </c>
      <c r="M184" s="150" t="s">
        <v>1852</v>
      </c>
      <c r="N184" s="151">
        <v>9</v>
      </c>
      <c r="O184" s="151">
        <v>10</v>
      </c>
      <c r="P184" s="152">
        <v>4</v>
      </c>
      <c r="Q184" s="153">
        <v>86.96</v>
      </c>
      <c r="R184" s="154">
        <v>4</v>
      </c>
      <c r="S184" s="38">
        <f t="shared" si="23"/>
        <v>0</v>
      </c>
      <c r="T184" s="39">
        <f t="shared" si="24"/>
        <v>2</v>
      </c>
      <c r="U184" s="40">
        <f t="shared" si="25"/>
        <v>3</v>
      </c>
      <c r="V184" s="40">
        <f t="shared" si="26"/>
        <v>0</v>
      </c>
      <c r="W184" s="40">
        <f t="shared" si="27"/>
        <v>2</v>
      </c>
      <c r="X184" s="40">
        <f t="shared" si="28"/>
        <v>5</v>
      </c>
      <c r="Y184" s="40">
        <f t="shared" si="29"/>
        <v>1</v>
      </c>
      <c r="Z184" s="40">
        <f t="shared" si="30"/>
        <v>1</v>
      </c>
      <c r="AA184" s="40">
        <f t="shared" si="31"/>
        <v>0</v>
      </c>
      <c r="AB184" s="40">
        <f t="shared" si="32"/>
        <v>2</v>
      </c>
      <c r="AC184" s="41">
        <f t="shared" si="33"/>
        <v>0</v>
      </c>
      <c r="AD184" s="49"/>
      <c r="AE184" s="50"/>
      <c r="AF184" s="49"/>
      <c r="AG184" s="50"/>
      <c r="AH184" s="49"/>
      <c r="AI184" s="50"/>
      <c r="AJ184" s="49"/>
      <c r="AK184" s="50"/>
      <c r="AL184" s="49"/>
      <c r="AM184" s="50"/>
      <c r="AN184" s="49"/>
      <c r="AO184" s="50"/>
      <c r="AP184" s="49"/>
      <c r="AQ184" s="50"/>
      <c r="AR184" s="49" t="s">
        <v>34</v>
      </c>
      <c r="AS184" s="50" t="s">
        <v>118</v>
      </c>
      <c r="AT184" s="49"/>
      <c r="AU184" s="50"/>
      <c r="AV184" s="49" t="s">
        <v>30</v>
      </c>
      <c r="AW184" s="50" t="s">
        <v>73</v>
      </c>
      <c r="AX184" s="49" t="s">
        <v>32</v>
      </c>
      <c r="AY184" s="50" t="s">
        <v>169</v>
      </c>
      <c r="AZ184" s="49" t="s">
        <v>32</v>
      </c>
      <c r="BA184" s="50" t="s">
        <v>143</v>
      </c>
      <c r="BB184" s="49"/>
      <c r="BC184" s="50"/>
      <c r="BD184" s="49"/>
      <c r="BE184" s="50"/>
      <c r="BF184" s="49" t="s">
        <v>5</v>
      </c>
      <c r="BG184" s="50" t="s">
        <v>93</v>
      </c>
      <c r="BH184" s="49" t="s">
        <v>30</v>
      </c>
      <c r="BI184" s="50" t="s">
        <v>505</v>
      </c>
      <c r="BJ184" s="49"/>
      <c r="BK184" s="50"/>
      <c r="BL184" s="49"/>
      <c r="BM184" s="50"/>
      <c r="BN184" s="49" t="s">
        <v>5</v>
      </c>
      <c r="BO184" s="50" t="s">
        <v>107</v>
      </c>
      <c r="BP184" s="49"/>
      <c r="BQ184" s="50"/>
      <c r="BR184" s="49"/>
      <c r="BS184" s="50"/>
      <c r="BT184" s="49"/>
      <c r="BU184" s="50"/>
      <c r="BV184" s="49" t="s">
        <v>30</v>
      </c>
      <c r="BW184" s="50" t="s">
        <v>602</v>
      </c>
      <c r="BX184" s="49" t="s">
        <v>35</v>
      </c>
      <c r="BY184" s="50" t="s">
        <v>419</v>
      </c>
      <c r="BZ184" s="49"/>
      <c r="CA184" s="50"/>
    </row>
    <row r="185" spans="1:79" x14ac:dyDescent="0.25">
      <c r="A185" s="76">
        <v>151658</v>
      </c>
      <c r="B185" s="77" t="s">
        <v>907</v>
      </c>
      <c r="C185" s="78" t="s">
        <v>730</v>
      </c>
      <c r="D185" s="76" t="s">
        <v>70</v>
      </c>
      <c r="E185" s="79" t="s">
        <v>87</v>
      </c>
      <c r="F185" s="79" t="s">
        <v>450</v>
      </c>
      <c r="G185" s="79" t="s">
        <v>14</v>
      </c>
      <c r="H185" s="79" t="s">
        <v>87</v>
      </c>
      <c r="I185" s="78" t="s">
        <v>14</v>
      </c>
      <c r="J185" s="79" t="s">
        <v>14</v>
      </c>
      <c r="K185" s="142" t="s">
        <v>1850</v>
      </c>
      <c r="L185" s="149" t="s">
        <v>1842</v>
      </c>
      <c r="M185" s="150" t="s">
        <v>12</v>
      </c>
      <c r="N185" s="151">
        <v>18</v>
      </c>
      <c r="O185" s="151">
        <v>0</v>
      </c>
      <c r="P185" s="152">
        <v>1</v>
      </c>
      <c r="Q185" s="153">
        <v>95.65</v>
      </c>
      <c r="R185" s="154">
        <v>1</v>
      </c>
      <c r="S185" s="38">
        <f t="shared" si="23"/>
        <v>1</v>
      </c>
      <c r="T185" s="39">
        <f t="shared" si="24"/>
        <v>9</v>
      </c>
      <c r="U185" s="40">
        <f t="shared" si="25"/>
        <v>0</v>
      </c>
      <c r="V185" s="40">
        <f t="shared" si="26"/>
        <v>0</v>
      </c>
      <c r="W185" s="40">
        <f t="shared" si="27"/>
        <v>0</v>
      </c>
      <c r="X185" s="40">
        <f t="shared" si="28"/>
        <v>0</v>
      </c>
      <c r="Y185" s="40">
        <f t="shared" si="29"/>
        <v>0</v>
      </c>
      <c r="Z185" s="40">
        <f t="shared" si="30"/>
        <v>0</v>
      </c>
      <c r="AA185" s="40">
        <f t="shared" si="31"/>
        <v>0</v>
      </c>
      <c r="AB185" s="40">
        <f t="shared" si="32"/>
        <v>0</v>
      </c>
      <c r="AC185" s="41">
        <f t="shared" si="33"/>
        <v>0</v>
      </c>
      <c r="AD185" s="49"/>
      <c r="AE185" s="50"/>
      <c r="AF185" s="49" t="s">
        <v>5</v>
      </c>
      <c r="AG185" s="50" t="s">
        <v>438</v>
      </c>
      <c r="AH185" s="49"/>
      <c r="AI185" s="50"/>
      <c r="AJ185" s="49" t="s">
        <v>5</v>
      </c>
      <c r="AK185" s="50" t="s">
        <v>83</v>
      </c>
      <c r="AL185" s="49"/>
      <c r="AM185" s="50"/>
      <c r="AN185" s="49"/>
      <c r="AO185" s="50"/>
      <c r="AP185" s="49"/>
      <c r="AQ185" s="50"/>
      <c r="AR185" s="49" t="s">
        <v>5</v>
      </c>
      <c r="AS185" s="50" t="s">
        <v>478</v>
      </c>
      <c r="AT185" s="49"/>
      <c r="AU185" s="50"/>
      <c r="AV185" s="49"/>
      <c r="AW185" s="50"/>
      <c r="AX185" s="49" t="s">
        <v>5</v>
      </c>
      <c r="AY185" s="50" t="s">
        <v>133</v>
      </c>
      <c r="AZ185" s="49" t="s">
        <v>5</v>
      </c>
      <c r="BA185" s="50" t="s">
        <v>84</v>
      </c>
      <c r="BB185" s="49"/>
      <c r="BC185" s="50"/>
      <c r="BD185" s="49" t="s">
        <v>5</v>
      </c>
      <c r="BE185" s="50" t="s">
        <v>436</v>
      </c>
      <c r="BF185" s="49"/>
      <c r="BG185" s="50"/>
      <c r="BH185" s="49" t="s">
        <v>5</v>
      </c>
      <c r="BI185" s="50" t="s">
        <v>139</v>
      </c>
      <c r="BJ185" s="49"/>
      <c r="BK185" s="50"/>
      <c r="BL185" s="49"/>
      <c r="BM185" s="50"/>
      <c r="BN185" s="49" t="s">
        <v>5</v>
      </c>
      <c r="BO185" s="50" t="s">
        <v>121</v>
      </c>
      <c r="BP185" s="49"/>
      <c r="BQ185" s="50"/>
      <c r="BR185" s="49" t="s">
        <v>5</v>
      </c>
      <c r="BS185" s="50" t="s">
        <v>123</v>
      </c>
      <c r="BT185" s="49"/>
      <c r="BU185" s="50"/>
      <c r="BV185" s="49" t="s">
        <v>1</v>
      </c>
      <c r="BW185" s="50" t="s">
        <v>495</v>
      </c>
      <c r="BX185" s="49"/>
      <c r="BY185" s="50"/>
      <c r="BZ185" s="49"/>
      <c r="CA185" s="50"/>
    </row>
    <row r="186" spans="1:79" x14ac:dyDescent="0.25">
      <c r="A186" s="76">
        <v>151552</v>
      </c>
      <c r="B186" s="77" t="s">
        <v>908</v>
      </c>
      <c r="C186" s="78" t="s">
        <v>732</v>
      </c>
      <c r="D186" s="76" t="s">
        <v>70</v>
      </c>
      <c r="E186" s="79" t="s">
        <v>14</v>
      </c>
      <c r="F186" s="79" t="s">
        <v>71</v>
      </c>
      <c r="G186" s="79" t="s">
        <v>14</v>
      </c>
      <c r="H186" s="79" t="s">
        <v>14</v>
      </c>
      <c r="I186" s="78" t="s">
        <v>14</v>
      </c>
      <c r="J186" s="79" t="s">
        <v>14</v>
      </c>
      <c r="K186" s="142" t="s">
        <v>1850</v>
      </c>
      <c r="L186" s="149" t="s">
        <v>1846</v>
      </c>
      <c r="M186" s="150" t="s">
        <v>1853</v>
      </c>
      <c r="N186" s="151">
        <v>9</v>
      </c>
      <c r="O186" s="151">
        <v>3</v>
      </c>
      <c r="P186" s="152">
        <v>0</v>
      </c>
      <c r="Q186" s="153">
        <v>100</v>
      </c>
      <c r="R186" s="154">
        <v>0</v>
      </c>
      <c r="S186" s="38">
        <f t="shared" si="23"/>
        <v>0</v>
      </c>
      <c r="T186" s="39">
        <f t="shared" si="24"/>
        <v>8</v>
      </c>
      <c r="U186" s="40">
        <f t="shared" si="25"/>
        <v>0</v>
      </c>
      <c r="V186" s="40">
        <f t="shared" si="26"/>
        <v>0</v>
      </c>
      <c r="W186" s="40">
        <f t="shared" si="27"/>
        <v>0</v>
      </c>
      <c r="X186" s="40">
        <f t="shared" si="28"/>
        <v>0</v>
      </c>
      <c r="Y186" s="40">
        <f t="shared" si="29"/>
        <v>0</v>
      </c>
      <c r="Z186" s="40">
        <f t="shared" si="30"/>
        <v>0</v>
      </c>
      <c r="AA186" s="40">
        <f t="shared" si="31"/>
        <v>0</v>
      </c>
      <c r="AB186" s="40">
        <f t="shared" si="32"/>
        <v>0</v>
      </c>
      <c r="AC186" s="41">
        <f t="shared" si="33"/>
        <v>0</v>
      </c>
      <c r="AD186" s="49"/>
      <c r="AE186" s="50"/>
      <c r="AF186" s="49"/>
      <c r="AG186" s="50"/>
      <c r="AH186" s="49"/>
      <c r="AI186" s="50"/>
      <c r="AJ186" s="49"/>
      <c r="AK186" s="50"/>
      <c r="AL186" s="49"/>
      <c r="AM186" s="50"/>
      <c r="AN186" s="49"/>
      <c r="AO186" s="50"/>
      <c r="AP186" s="49"/>
      <c r="AQ186" s="50"/>
      <c r="AR186" s="49" t="s">
        <v>5</v>
      </c>
      <c r="AS186" s="50" t="s">
        <v>194</v>
      </c>
      <c r="AT186" s="49"/>
      <c r="AU186" s="50"/>
      <c r="AV186" s="49"/>
      <c r="AW186" s="50"/>
      <c r="AX186" s="49" t="s">
        <v>5</v>
      </c>
      <c r="AY186" s="50" t="s">
        <v>124</v>
      </c>
      <c r="AZ186" s="49"/>
      <c r="BA186" s="50"/>
      <c r="BB186" s="49" t="s">
        <v>5</v>
      </c>
      <c r="BC186" s="50" t="s">
        <v>92</v>
      </c>
      <c r="BD186" s="49"/>
      <c r="BE186" s="50"/>
      <c r="BF186" s="49"/>
      <c r="BG186" s="50"/>
      <c r="BH186" s="49" t="s">
        <v>5</v>
      </c>
      <c r="BI186" s="50" t="s">
        <v>106</v>
      </c>
      <c r="BJ186" s="49"/>
      <c r="BK186" s="50"/>
      <c r="BL186" s="49"/>
      <c r="BM186" s="50"/>
      <c r="BN186" s="49" t="s">
        <v>5</v>
      </c>
      <c r="BO186" s="50" t="s">
        <v>152</v>
      </c>
      <c r="BP186" s="49"/>
      <c r="BQ186" s="50"/>
      <c r="BR186" s="49"/>
      <c r="BS186" s="50"/>
      <c r="BT186" s="49" t="s">
        <v>5</v>
      </c>
      <c r="BU186" s="50" t="s">
        <v>90</v>
      </c>
      <c r="BV186" s="49" t="s">
        <v>5</v>
      </c>
      <c r="BW186" s="50" t="s">
        <v>108</v>
      </c>
      <c r="BX186" s="49" t="s">
        <v>5</v>
      </c>
      <c r="BY186" s="50" t="s">
        <v>206</v>
      </c>
      <c r="BZ186" s="49" t="s">
        <v>5</v>
      </c>
      <c r="CA186" s="50" t="s">
        <v>124</v>
      </c>
    </row>
    <row r="187" spans="1:79" x14ac:dyDescent="0.25">
      <c r="A187" s="76">
        <v>151536</v>
      </c>
      <c r="B187" s="77" t="s">
        <v>909</v>
      </c>
      <c r="C187" s="78" t="s">
        <v>725</v>
      </c>
      <c r="D187" s="76" t="s">
        <v>70</v>
      </c>
      <c r="E187" s="79" t="s">
        <v>14</v>
      </c>
      <c r="F187" s="79" t="s">
        <v>71</v>
      </c>
      <c r="G187" s="79" t="s">
        <v>14</v>
      </c>
      <c r="H187" s="79" t="s">
        <v>14</v>
      </c>
      <c r="I187" s="78" t="s">
        <v>14</v>
      </c>
      <c r="J187" s="79" t="s">
        <v>14</v>
      </c>
      <c r="K187" s="142" t="s">
        <v>1850</v>
      </c>
      <c r="L187" s="149" t="s">
        <v>1843</v>
      </c>
      <c r="M187" s="150" t="s">
        <v>1852</v>
      </c>
      <c r="N187" s="151">
        <v>18</v>
      </c>
      <c r="O187" s="151">
        <v>0</v>
      </c>
      <c r="P187" s="152">
        <v>1</v>
      </c>
      <c r="Q187" s="153">
        <v>97.83</v>
      </c>
      <c r="R187" s="154">
        <v>6</v>
      </c>
      <c r="S187" s="38">
        <f t="shared" si="23"/>
        <v>2</v>
      </c>
      <c r="T187" s="39">
        <f t="shared" si="24"/>
        <v>6</v>
      </c>
      <c r="U187" s="40">
        <f t="shared" si="25"/>
        <v>1</v>
      </c>
      <c r="V187" s="40">
        <f t="shared" si="26"/>
        <v>0</v>
      </c>
      <c r="W187" s="40">
        <f t="shared" si="27"/>
        <v>0</v>
      </c>
      <c r="X187" s="40">
        <f t="shared" si="28"/>
        <v>1</v>
      </c>
      <c r="Y187" s="40">
        <f t="shared" si="29"/>
        <v>0</v>
      </c>
      <c r="Z187" s="40">
        <f t="shared" si="30"/>
        <v>0</v>
      </c>
      <c r="AA187" s="40">
        <f t="shared" si="31"/>
        <v>0</v>
      </c>
      <c r="AB187" s="40">
        <f t="shared" si="32"/>
        <v>0</v>
      </c>
      <c r="AC187" s="41">
        <f t="shared" si="33"/>
        <v>0</v>
      </c>
      <c r="AD187" s="49"/>
      <c r="AE187" s="50"/>
      <c r="AF187" s="49"/>
      <c r="AG187" s="50"/>
      <c r="AH187" s="49"/>
      <c r="AI187" s="50"/>
      <c r="AJ187" s="49"/>
      <c r="AK187" s="50"/>
      <c r="AL187" s="49" t="s">
        <v>30</v>
      </c>
      <c r="AM187" s="50" t="s">
        <v>425</v>
      </c>
      <c r="AN187" s="49"/>
      <c r="AO187" s="50"/>
      <c r="AP187" s="49"/>
      <c r="AQ187" s="50"/>
      <c r="AR187" s="49" t="s">
        <v>1</v>
      </c>
      <c r="AS187" s="50" t="s">
        <v>169</v>
      </c>
      <c r="AT187" s="49"/>
      <c r="AU187" s="50"/>
      <c r="AV187" s="49" t="s">
        <v>5</v>
      </c>
      <c r="AW187" s="50" t="s">
        <v>73</v>
      </c>
      <c r="AX187" s="49" t="s">
        <v>5</v>
      </c>
      <c r="AY187" s="50" t="s">
        <v>109</v>
      </c>
      <c r="AZ187" s="49" t="s">
        <v>5</v>
      </c>
      <c r="BA187" s="50" t="s">
        <v>143</v>
      </c>
      <c r="BB187" s="49"/>
      <c r="BC187" s="50"/>
      <c r="BD187" s="49"/>
      <c r="BE187" s="50"/>
      <c r="BF187" s="49"/>
      <c r="BG187" s="50"/>
      <c r="BH187" s="49" t="s">
        <v>1</v>
      </c>
      <c r="BI187" s="50" t="s">
        <v>505</v>
      </c>
      <c r="BJ187" s="49"/>
      <c r="BK187" s="50"/>
      <c r="BL187" s="49"/>
      <c r="BM187" s="50"/>
      <c r="BN187" s="49" t="s">
        <v>5</v>
      </c>
      <c r="BO187" s="50" t="s">
        <v>741</v>
      </c>
      <c r="BP187" s="49"/>
      <c r="BQ187" s="50"/>
      <c r="BR187" s="49"/>
      <c r="BS187" s="50"/>
      <c r="BT187" s="49"/>
      <c r="BU187" s="50"/>
      <c r="BV187" s="49" t="s">
        <v>5</v>
      </c>
      <c r="BW187" s="50" t="s">
        <v>602</v>
      </c>
      <c r="BX187" s="49" t="s">
        <v>5</v>
      </c>
      <c r="BY187" s="50" t="s">
        <v>206</v>
      </c>
      <c r="BZ187" s="49"/>
      <c r="CA187" s="50"/>
    </row>
    <row r="188" spans="1:79" x14ac:dyDescent="0.25">
      <c r="A188" s="76">
        <v>151632</v>
      </c>
      <c r="B188" s="77" t="s">
        <v>910</v>
      </c>
      <c r="C188" s="78" t="s">
        <v>736</v>
      </c>
      <c r="D188" s="76" t="s">
        <v>12</v>
      </c>
      <c r="E188" s="79" t="s">
        <v>87</v>
      </c>
      <c r="F188" s="79" t="s">
        <v>71</v>
      </c>
      <c r="G188" s="79" t="s">
        <v>14</v>
      </c>
      <c r="H188" s="79" t="s">
        <v>87</v>
      </c>
      <c r="I188" s="78" t="s">
        <v>14</v>
      </c>
      <c r="J188" s="79" t="s">
        <v>6</v>
      </c>
      <c r="K188" s="142" t="s">
        <v>1851</v>
      </c>
      <c r="L188" s="149" t="s">
        <v>1845</v>
      </c>
      <c r="M188" s="150" t="s">
        <v>1852</v>
      </c>
      <c r="N188" s="151">
        <v>15</v>
      </c>
      <c r="O188" s="151">
        <v>10</v>
      </c>
      <c r="P188" s="152">
        <v>7</v>
      </c>
      <c r="Q188" s="153">
        <v>80.430000000000007</v>
      </c>
      <c r="R188" s="154">
        <v>14</v>
      </c>
      <c r="S188" s="38">
        <f t="shared" si="23"/>
        <v>0</v>
      </c>
      <c r="T188" s="39">
        <f t="shared" si="24"/>
        <v>3</v>
      </c>
      <c r="U188" s="40">
        <f t="shared" si="25"/>
        <v>1</v>
      </c>
      <c r="V188" s="40">
        <f t="shared" si="26"/>
        <v>2</v>
      </c>
      <c r="W188" s="40">
        <f t="shared" si="27"/>
        <v>1</v>
      </c>
      <c r="X188" s="40">
        <f t="shared" si="28"/>
        <v>4</v>
      </c>
      <c r="Y188" s="40">
        <f t="shared" si="29"/>
        <v>0</v>
      </c>
      <c r="Z188" s="40">
        <f t="shared" si="30"/>
        <v>1</v>
      </c>
      <c r="AA188" s="40">
        <f t="shared" si="31"/>
        <v>0</v>
      </c>
      <c r="AB188" s="40">
        <f t="shared" si="32"/>
        <v>1</v>
      </c>
      <c r="AC188" s="41">
        <f t="shared" si="33"/>
        <v>0</v>
      </c>
      <c r="AD188" s="49"/>
      <c r="AE188" s="50"/>
      <c r="AF188" s="49"/>
      <c r="AG188" s="50"/>
      <c r="AH188" s="49"/>
      <c r="AI188" s="50"/>
      <c r="AJ188" s="49"/>
      <c r="AK188" s="50"/>
      <c r="AL188" s="49"/>
      <c r="AM188" s="50"/>
      <c r="AN188" s="49"/>
      <c r="AO188" s="50"/>
      <c r="AP188" s="49"/>
      <c r="AQ188" s="50"/>
      <c r="AR188" s="49" t="s">
        <v>32</v>
      </c>
      <c r="AS188" s="50" t="s">
        <v>118</v>
      </c>
      <c r="AT188" s="49"/>
      <c r="AU188" s="50"/>
      <c r="AV188" s="49" t="s">
        <v>31</v>
      </c>
      <c r="AW188" s="50" t="s">
        <v>73</v>
      </c>
      <c r="AX188" s="49" t="s">
        <v>5</v>
      </c>
      <c r="AY188" s="50" t="s">
        <v>91</v>
      </c>
      <c r="AZ188" s="49"/>
      <c r="BA188" s="50"/>
      <c r="BB188" s="49" t="s">
        <v>30</v>
      </c>
      <c r="BC188" s="50" t="s">
        <v>92</v>
      </c>
      <c r="BD188" s="49"/>
      <c r="BE188" s="50"/>
      <c r="BF188" s="49"/>
      <c r="BG188" s="50"/>
      <c r="BH188" s="49" t="s">
        <v>5</v>
      </c>
      <c r="BI188" s="50" t="s">
        <v>505</v>
      </c>
      <c r="BJ188" s="49"/>
      <c r="BK188" s="50"/>
      <c r="BL188" s="49"/>
      <c r="BM188" s="50"/>
      <c r="BN188" s="49" t="s">
        <v>5</v>
      </c>
      <c r="BO188" s="50" t="s">
        <v>96</v>
      </c>
      <c r="BP188" s="49"/>
      <c r="BQ188" s="50"/>
      <c r="BR188" s="49"/>
      <c r="BS188" s="50"/>
      <c r="BT188" s="49"/>
      <c r="BU188" s="50"/>
      <c r="BV188" s="49" t="s">
        <v>31</v>
      </c>
      <c r="BW188" s="50" t="s">
        <v>715</v>
      </c>
      <c r="BX188" s="49" t="s">
        <v>35</v>
      </c>
      <c r="BY188" s="50" t="s">
        <v>206</v>
      </c>
      <c r="BZ188" s="49" t="s">
        <v>32</v>
      </c>
      <c r="CA188" s="50" t="s">
        <v>124</v>
      </c>
    </row>
    <row r="189" spans="1:79" x14ac:dyDescent="0.25">
      <c r="A189" s="76">
        <v>151731</v>
      </c>
      <c r="B189" s="77" t="s">
        <v>911</v>
      </c>
      <c r="C189" s="78" t="s">
        <v>718</v>
      </c>
      <c r="D189" s="76" t="s">
        <v>70</v>
      </c>
      <c r="E189" s="79" t="s">
        <v>87</v>
      </c>
      <c r="F189" s="79" t="s">
        <v>158</v>
      </c>
      <c r="G189" s="79" t="s">
        <v>87</v>
      </c>
      <c r="H189" s="79" t="s">
        <v>87</v>
      </c>
      <c r="I189" s="78" t="s">
        <v>14</v>
      </c>
      <c r="J189" s="79" t="s">
        <v>14</v>
      </c>
      <c r="K189" s="142" t="s">
        <v>1850</v>
      </c>
      <c r="L189" s="149" t="s">
        <v>1842</v>
      </c>
      <c r="M189" s="150" t="s">
        <v>12</v>
      </c>
      <c r="N189" s="151">
        <v>14</v>
      </c>
      <c r="O189" s="151">
        <v>3</v>
      </c>
      <c r="P189" s="152">
        <v>5</v>
      </c>
      <c r="Q189" s="153">
        <v>95.65</v>
      </c>
      <c r="R189" s="154">
        <v>9</v>
      </c>
      <c r="S189" s="38">
        <f t="shared" si="23"/>
        <v>1</v>
      </c>
      <c r="T189" s="39">
        <f t="shared" si="24"/>
        <v>7</v>
      </c>
      <c r="U189" s="40">
        <f t="shared" si="25"/>
        <v>2</v>
      </c>
      <c r="V189" s="40">
        <f t="shared" si="26"/>
        <v>0</v>
      </c>
      <c r="W189" s="40">
        <f t="shared" si="27"/>
        <v>0</v>
      </c>
      <c r="X189" s="40">
        <f t="shared" si="28"/>
        <v>2</v>
      </c>
      <c r="Y189" s="40">
        <f t="shared" si="29"/>
        <v>0</v>
      </c>
      <c r="Z189" s="40">
        <f t="shared" si="30"/>
        <v>0</v>
      </c>
      <c r="AA189" s="40">
        <f t="shared" si="31"/>
        <v>0</v>
      </c>
      <c r="AB189" s="40">
        <f t="shared" si="32"/>
        <v>0</v>
      </c>
      <c r="AC189" s="41">
        <f t="shared" si="33"/>
        <v>0</v>
      </c>
      <c r="AD189" s="49"/>
      <c r="AE189" s="50"/>
      <c r="AF189" s="49" t="s">
        <v>30</v>
      </c>
      <c r="AG189" s="50" t="s">
        <v>433</v>
      </c>
      <c r="AH189" s="49"/>
      <c r="AI189" s="50"/>
      <c r="AJ189" s="49" t="s">
        <v>5</v>
      </c>
      <c r="AK189" s="50" t="s">
        <v>714</v>
      </c>
      <c r="AL189" s="49"/>
      <c r="AM189" s="50"/>
      <c r="AN189" s="49"/>
      <c r="AO189" s="50"/>
      <c r="AP189" s="49"/>
      <c r="AQ189" s="50"/>
      <c r="AR189" s="49" t="s">
        <v>5</v>
      </c>
      <c r="AS189" s="50" t="s">
        <v>74</v>
      </c>
      <c r="AT189" s="49"/>
      <c r="AU189" s="50"/>
      <c r="AV189" s="49"/>
      <c r="AW189" s="50"/>
      <c r="AX189" s="49" t="s">
        <v>5</v>
      </c>
      <c r="AY189" s="50" t="s">
        <v>169</v>
      </c>
      <c r="AZ189" s="49" t="s">
        <v>5</v>
      </c>
      <c r="BA189" s="50" t="s">
        <v>143</v>
      </c>
      <c r="BB189" s="49"/>
      <c r="BC189" s="50"/>
      <c r="BD189" s="49"/>
      <c r="BE189" s="50"/>
      <c r="BF189" s="49" t="s">
        <v>5</v>
      </c>
      <c r="BG189" s="50" t="s">
        <v>93</v>
      </c>
      <c r="BH189" s="49" t="s">
        <v>5</v>
      </c>
      <c r="BI189" s="50" t="s">
        <v>136</v>
      </c>
      <c r="BJ189" s="49"/>
      <c r="BK189" s="50"/>
      <c r="BL189" s="49"/>
      <c r="BM189" s="50"/>
      <c r="BN189" s="49" t="s">
        <v>1</v>
      </c>
      <c r="BO189" s="50" t="s">
        <v>81</v>
      </c>
      <c r="BP189" s="49"/>
      <c r="BQ189" s="50"/>
      <c r="BR189" s="49" t="s">
        <v>5</v>
      </c>
      <c r="BS189" s="50" t="s">
        <v>123</v>
      </c>
      <c r="BT189" s="49"/>
      <c r="BU189" s="50"/>
      <c r="BV189" s="49" t="s">
        <v>30</v>
      </c>
      <c r="BW189" s="50" t="s">
        <v>122</v>
      </c>
      <c r="BX189" s="49"/>
      <c r="BY189" s="50"/>
      <c r="BZ189" s="49"/>
      <c r="CA189" s="50"/>
    </row>
    <row r="190" spans="1:79" x14ac:dyDescent="0.25">
      <c r="A190" s="76">
        <v>151727</v>
      </c>
      <c r="B190" s="77" t="s">
        <v>912</v>
      </c>
      <c r="C190" s="78" t="s">
        <v>725</v>
      </c>
      <c r="D190" s="76" t="s">
        <v>12</v>
      </c>
      <c r="E190" s="79" t="s">
        <v>14</v>
      </c>
      <c r="F190" s="79" t="s">
        <v>220</v>
      </c>
      <c r="G190" s="79" t="s">
        <v>14</v>
      </c>
      <c r="H190" s="79" t="s">
        <v>14</v>
      </c>
      <c r="I190" s="78" t="s">
        <v>14</v>
      </c>
      <c r="J190" s="79" t="s">
        <v>14</v>
      </c>
      <c r="K190" s="142" t="s">
        <v>1850</v>
      </c>
      <c r="L190" s="149" t="s">
        <v>1842</v>
      </c>
      <c r="M190" s="150" t="s">
        <v>1853</v>
      </c>
      <c r="N190" s="151">
        <v>14</v>
      </c>
      <c r="O190" s="151">
        <v>0</v>
      </c>
      <c r="P190" s="152">
        <v>0</v>
      </c>
      <c r="Q190" s="153">
        <v>100</v>
      </c>
      <c r="R190" s="154">
        <v>2</v>
      </c>
      <c r="S190" s="38">
        <f t="shared" si="23"/>
        <v>2</v>
      </c>
      <c r="T190" s="39">
        <f t="shared" si="24"/>
        <v>8</v>
      </c>
      <c r="U190" s="40">
        <f t="shared" si="25"/>
        <v>0</v>
      </c>
      <c r="V190" s="40">
        <f t="shared" si="26"/>
        <v>0</v>
      </c>
      <c r="W190" s="40">
        <f t="shared" si="27"/>
        <v>0</v>
      </c>
      <c r="X190" s="40">
        <f t="shared" si="28"/>
        <v>0</v>
      </c>
      <c r="Y190" s="40">
        <f t="shared" si="29"/>
        <v>0</v>
      </c>
      <c r="Z190" s="40">
        <f t="shared" si="30"/>
        <v>0</v>
      </c>
      <c r="AA190" s="40">
        <f t="shared" si="31"/>
        <v>0</v>
      </c>
      <c r="AB190" s="40">
        <f t="shared" si="32"/>
        <v>0</v>
      </c>
      <c r="AC190" s="41">
        <f t="shared" si="33"/>
        <v>0</v>
      </c>
      <c r="AD190" s="49"/>
      <c r="AE190" s="50"/>
      <c r="AF190" s="49" t="s">
        <v>5</v>
      </c>
      <c r="AG190" s="50" t="s">
        <v>133</v>
      </c>
      <c r="AH190" s="49"/>
      <c r="AI190" s="50"/>
      <c r="AJ190" s="49" t="s">
        <v>5</v>
      </c>
      <c r="AK190" s="50" t="s">
        <v>137</v>
      </c>
      <c r="AL190" s="49"/>
      <c r="AM190" s="50"/>
      <c r="AN190" s="49" t="s">
        <v>5</v>
      </c>
      <c r="AO190" s="50" t="s">
        <v>163</v>
      </c>
      <c r="AP190" s="49"/>
      <c r="AQ190" s="50"/>
      <c r="AR190" s="49" t="s">
        <v>5</v>
      </c>
      <c r="AS190" s="50" t="s">
        <v>194</v>
      </c>
      <c r="AT190" s="49"/>
      <c r="AU190" s="50"/>
      <c r="AV190" s="49"/>
      <c r="AW190" s="50"/>
      <c r="AX190" s="49" t="s">
        <v>5</v>
      </c>
      <c r="AY190" s="50" t="s">
        <v>109</v>
      </c>
      <c r="AZ190" s="49" t="s">
        <v>5</v>
      </c>
      <c r="BA190" s="50" t="s">
        <v>84</v>
      </c>
      <c r="BB190" s="49"/>
      <c r="BC190" s="50"/>
      <c r="BD190" s="49"/>
      <c r="BE190" s="50"/>
      <c r="BF190" s="49"/>
      <c r="BG190" s="50"/>
      <c r="BH190" s="49" t="s">
        <v>5</v>
      </c>
      <c r="BI190" s="50" t="s">
        <v>139</v>
      </c>
      <c r="BJ190" s="49"/>
      <c r="BK190" s="50"/>
      <c r="BL190" s="49"/>
      <c r="BM190" s="50"/>
      <c r="BN190" s="49" t="s">
        <v>1</v>
      </c>
      <c r="BO190" s="50" t="s">
        <v>96</v>
      </c>
      <c r="BP190" s="49"/>
      <c r="BQ190" s="50"/>
      <c r="BR190" s="49" t="s">
        <v>5</v>
      </c>
      <c r="BS190" s="50" t="s">
        <v>98</v>
      </c>
      <c r="BT190" s="49"/>
      <c r="BU190" s="50"/>
      <c r="BV190" s="49" t="s">
        <v>1</v>
      </c>
      <c r="BW190" s="50" t="s">
        <v>715</v>
      </c>
      <c r="BX190" s="49"/>
      <c r="BY190" s="50"/>
      <c r="BZ190" s="49"/>
      <c r="CA190" s="50"/>
    </row>
    <row r="191" spans="1:79" x14ac:dyDescent="0.25">
      <c r="A191" s="76">
        <v>160140</v>
      </c>
      <c r="B191" s="77" t="s">
        <v>913</v>
      </c>
      <c r="C191" s="78" t="s">
        <v>730</v>
      </c>
      <c r="D191" s="76" t="s">
        <v>12</v>
      </c>
      <c r="E191" s="79" t="s">
        <v>14</v>
      </c>
      <c r="F191" s="79" t="s">
        <v>71</v>
      </c>
      <c r="G191" s="79" t="s">
        <v>14</v>
      </c>
      <c r="H191" s="79" t="s">
        <v>14</v>
      </c>
      <c r="I191" s="78" t="s">
        <v>14</v>
      </c>
      <c r="J191" s="79" t="s">
        <v>14</v>
      </c>
      <c r="K191" s="142" t="s">
        <v>1850</v>
      </c>
      <c r="L191" s="149" t="s">
        <v>1406</v>
      </c>
      <c r="M191" s="150" t="s">
        <v>1406</v>
      </c>
      <c r="N191" s="151">
        <v>7</v>
      </c>
      <c r="O191" s="151">
        <v>6</v>
      </c>
      <c r="P191" s="152">
        <v>6</v>
      </c>
      <c r="Q191" s="153">
        <v>91.3</v>
      </c>
      <c r="R191" s="154">
        <v>10</v>
      </c>
      <c r="S191" s="38">
        <f t="shared" si="23"/>
        <v>1</v>
      </c>
      <c r="T191" s="39">
        <f t="shared" si="24"/>
        <v>5</v>
      </c>
      <c r="U191" s="40">
        <f t="shared" si="25"/>
        <v>2</v>
      </c>
      <c r="V191" s="40">
        <f t="shared" si="26"/>
        <v>0</v>
      </c>
      <c r="W191" s="40">
        <f t="shared" si="27"/>
        <v>0</v>
      </c>
      <c r="X191" s="40">
        <f t="shared" si="28"/>
        <v>2</v>
      </c>
      <c r="Y191" s="40">
        <f t="shared" si="29"/>
        <v>0</v>
      </c>
      <c r="Z191" s="40">
        <f t="shared" si="30"/>
        <v>0</v>
      </c>
      <c r="AA191" s="40">
        <f t="shared" si="31"/>
        <v>1</v>
      </c>
      <c r="AB191" s="40">
        <f t="shared" si="32"/>
        <v>1</v>
      </c>
      <c r="AC191" s="41">
        <f t="shared" si="33"/>
        <v>0</v>
      </c>
      <c r="AD191" s="49"/>
      <c r="AE191" s="50"/>
      <c r="AF191" s="49" t="s">
        <v>30</v>
      </c>
      <c r="AG191" s="50" t="s">
        <v>433</v>
      </c>
      <c r="AH191" s="49"/>
      <c r="AI191" s="50"/>
      <c r="AJ191" s="49" t="s">
        <v>5</v>
      </c>
      <c r="AK191" s="50" t="s">
        <v>714</v>
      </c>
      <c r="AL191" s="49"/>
      <c r="AM191" s="50"/>
      <c r="AN191" s="49"/>
      <c r="AO191" s="50"/>
      <c r="AP191" s="49"/>
      <c r="AQ191" s="50"/>
      <c r="AR191" s="49" t="s">
        <v>36</v>
      </c>
      <c r="AS191" s="50" t="s">
        <v>478</v>
      </c>
      <c r="AT191" s="49"/>
      <c r="AU191" s="50"/>
      <c r="AV191" s="49"/>
      <c r="AW191" s="50"/>
      <c r="AX191" s="49" t="s">
        <v>5</v>
      </c>
      <c r="AY191" s="50" t="s">
        <v>133</v>
      </c>
      <c r="AZ191" s="49"/>
      <c r="BA191" s="50"/>
      <c r="BB191" s="49"/>
      <c r="BC191" s="50"/>
      <c r="BD191" s="49"/>
      <c r="BE191" s="50"/>
      <c r="BF191" s="49"/>
      <c r="BG191" s="50"/>
      <c r="BH191" s="49" t="s">
        <v>5</v>
      </c>
      <c r="BI191" s="50" t="s">
        <v>430</v>
      </c>
      <c r="BJ191" s="49" t="s">
        <v>1</v>
      </c>
      <c r="BK191" s="50" t="s">
        <v>95</v>
      </c>
      <c r="BL191" s="49"/>
      <c r="BM191" s="50"/>
      <c r="BN191" s="49" t="s">
        <v>5</v>
      </c>
      <c r="BO191" s="50" t="s">
        <v>96</v>
      </c>
      <c r="BP191" s="49"/>
      <c r="BQ191" s="50"/>
      <c r="BR191" s="49" t="s">
        <v>30</v>
      </c>
      <c r="BS191" s="50" t="s">
        <v>123</v>
      </c>
      <c r="BT191" s="49"/>
      <c r="BU191" s="50"/>
      <c r="BV191" s="49" t="s">
        <v>5</v>
      </c>
      <c r="BW191" s="50" t="s">
        <v>82</v>
      </c>
      <c r="BX191" s="49"/>
      <c r="BY191" s="50"/>
      <c r="BZ191" s="49"/>
      <c r="CA191" s="50"/>
    </row>
    <row r="192" spans="1:79" x14ac:dyDescent="0.25">
      <c r="A192" s="76">
        <v>151732</v>
      </c>
      <c r="B192" s="77" t="s">
        <v>914</v>
      </c>
      <c r="C192" s="78" t="s">
        <v>713</v>
      </c>
      <c r="D192" s="76" t="s">
        <v>12</v>
      </c>
      <c r="E192" s="79" t="s">
        <v>14</v>
      </c>
      <c r="F192" s="79" t="s">
        <v>220</v>
      </c>
      <c r="G192" s="79" t="s">
        <v>87</v>
      </c>
      <c r="H192" s="79" t="s">
        <v>14</v>
      </c>
      <c r="I192" s="78" t="s">
        <v>14</v>
      </c>
      <c r="J192" s="79" t="s">
        <v>14</v>
      </c>
      <c r="K192" s="142" t="s">
        <v>1850</v>
      </c>
      <c r="L192" s="149" t="s">
        <v>1845</v>
      </c>
      <c r="M192" s="150" t="s">
        <v>12</v>
      </c>
      <c r="N192" s="151">
        <v>2</v>
      </c>
      <c r="O192" s="151">
        <v>0</v>
      </c>
      <c r="P192" s="152">
        <v>2</v>
      </c>
      <c r="Q192" s="153">
        <v>100</v>
      </c>
      <c r="R192" s="154">
        <v>2</v>
      </c>
      <c r="S192" s="38">
        <f t="shared" si="23"/>
        <v>1</v>
      </c>
      <c r="T192" s="39">
        <f t="shared" si="24"/>
        <v>6</v>
      </c>
      <c r="U192" s="40">
        <f t="shared" si="25"/>
        <v>1</v>
      </c>
      <c r="V192" s="40">
        <f t="shared" si="26"/>
        <v>0</v>
      </c>
      <c r="W192" s="40">
        <f t="shared" si="27"/>
        <v>0</v>
      </c>
      <c r="X192" s="40">
        <f t="shared" si="28"/>
        <v>1</v>
      </c>
      <c r="Y192" s="40">
        <f t="shared" si="29"/>
        <v>0</v>
      </c>
      <c r="Z192" s="40">
        <f t="shared" si="30"/>
        <v>0</v>
      </c>
      <c r="AA192" s="40">
        <f t="shared" si="31"/>
        <v>0</v>
      </c>
      <c r="AB192" s="40">
        <f t="shared" si="32"/>
        <v>0</v>
      </c>
      <c r="AC192" s="41">
        <f t="shared" si="33"/>
        <v>0</v>
      </c>
      <c r="AD192" s="49"/>
      <c r="AE192" s="50"/>
      <c r="AF192" s="49"/>
      <c r="AG192" s="50"/>
      <c r="AH192" s="49" t="s">
        <v>30</v>
      </c>
      <c r="AI192" s="50" t="s">
        <v>427</v>
      </c>
      <c r="AJ192" s="49"/>
      <c r="AK192" s="50"/>
      <c r="AL192" s="49"/>
      <c r="AM192" s="50"/>
      <c r="AN192" s="49"/>
      <c r="AO192" s="50"/>
      <c r="AP192" s="49"/>
      <c r="AQ192" s="50"/>
      <c r="AR192" s="49" t="s">
        <v>5</v>
      </c>
      <c r="AS192" s="50" t="s">
        <v>102</v>
      </c>
      <c r="AT192" s="49"/>
      <c r="AU192" s="50"/>
      <c r="AV192" s="49" t="s">
        <v>5</v>
      </c>
      <c r="AW192" s="50" t="s">
        <v>73</v>
      </c>
      <c r="AX192" s="49" t="s">
        <v>5</v>
      </c>
      <c r="AY192" s="50" t="s">
        <v>103</v>
      </c>
      <c r="AZ192" s="49"/>
      <c r="BA192" s="50"/>
      <c r="BB192" s="49"/>
      <c r="BC192" s="50"/>
      <c r="BD192" s="49"/>
      <c r="BE192" s="50"/>
      <c r="BF192" s="49"/>
      <c r="BG192" s="50"/>
      <c r="BH192" s="49" t="s">
        <v>5</v>
      </c>
      <c r="BI192" s="50" t="s">
        <v>430</v>
      </c>
      <c r="BJ192" s="49"/>
      <c r="BK192" s="50"/>
      <c r="BL192" s="49"/>
      <c r="BM192" s="50"/>
      <c r="BN192" s="49" t="s">
        <v>1</v>
      </c>
      <c r="BO192" s="50" t="s">
        <v>107</v>
      </c>
      <c r="BP192" s="49"/>
      <c r="BQ192" s="50"/>
      <c r="BR192" s="49"/>
      <c r="BS192" s="50"/>
      <c r="BT192" s="49"/>
      <c r="BU192" s="50"/>
      <c r="BV192" s="49" t="s">
        <v>5</v>
      </c>
      <c r="BW192" s="50" t="s">
        <v>97</v>
      </c>
      <c r="BX192" s="49" t="s">
        <v>5</v>
      </c>
      <c r="BY192" s="50" t="s">
        <v>206</v>
      </c>
      <c r="BZ192" s="49" t="s">
        <v>5</v>
      </c>
      <c r="CA192" s="50" t="s">
        <v>75</v>
      </c>
    </row>
    <row r="193" spans="1:79" x14ac:dyDescent="0.25">
      <c r="A193" s="76">
        <v>151520</v>
      </c>
      <c r="B193" s="77" t="s">
        <v>915</v>
      </c>
      <c r="C193" s="78" t="s">
        <v>730</v>
      </c>
      <c r="D193" s="76" t="s">
        <v>12</v>
      </c>
      <c r="E193" s="79" t="s">
        <v>14</v>
      </c>
      <c r="F193" s="77" t="s">
        <v>88</v>
      </c>
      <c r="G193" s="79" t="s">
        <v>14</v>
      </c>
      <c r="H193" s="79" t="s">
        <v>14</v>
      </c>
      <c r="I193" s="78" t="s">
        <v>14</v>
      </c>
      <c r="J193" s="79" t="s">
        <v>14</v>
      </c>
      <c r="K193" s="142" t="s">
        <v>1851</v>
      </c>
      <c r="L193" s="149" t="s">
        <v>1843</v>
      </c>
      <c r="M193" s="150" t="s">
        <v>1852</v>
      </c>
      <c r="N193" s="151">
        <v>19</v>
      </c>
      <c r="O193" s="151">
        <v>0</v>
      </c>
      <c r="P193" s="152">
        <v>6</v>
      </c>
      <c r="Q193" s="153">
        <v>78.260000000000005</v>
      </c>
      <c r="R193" s="154">
        <v>1</v>
      </c>
      <c r="S193" s="38">
        <f t="shared" si="23"/>
        <v>3</v>
      </c>
      <c r="T193" s="39">
        <f t="shared" si="24"/>
        <v>3</v>
      </c>
      <c r="U193" s="40">
        <f t="shared" si="25"/>
        <v>1</v>
      </c>
      <c r="V193" s="40">
        <f t="shared" si="26"/>
        <v>0</v>
      </c>
      <c r="W193" s="40">
        <f t="shared" si="27"/>
        <v>1</v>
      </c>
      <c r="X193" s="40">
        <f t="shared" si="28"/>
        <v>2</v>
      </c>
      <c r="Y193" s="40">
        <f t="shared" si="29"/>
        <v>0</v>
      </c>
      <c r="Z193" s="40">
        <f t="shared" si="30"/>
        <v>0</v>
      </c>
      <c r="AA193" s="40">
        <f t="shared" si="31"/>
        <v>1</v>
      </c>
      <c r="AB193" s="40">
        <f t="shared" si="32"/>
        <v>1</v>
      </c>
      <c r="AC193" s="41">
        <f t="shared" si="33"/>
        <v>0</v>
      </c>
      <c r="AD193" s="49"/>
      <c r="AE193" s="50"/>
      <c r="AF193" s="49"/>
      <c r="AG193" s="50"/>
      <c r="AH193" s="49"/>
      <c r="AI193" s="50"/>
      <c r="AJ193" s="49"/>
      <c r="AK193" s="50"/>
      <c r="AL193" s="49"/>
      <c r="AM193" s="50"/>
      <c r="AN193" s="49"/>
      <c r="AO193" s="50"/>
      <c r="AP193" s="49"/>
      <c r="AQ193" s="50"/>
      <c r="AR193" s="49" t="s">
        <v>32</v>
      </c>
      <c r="AS193" s="50" t="s">
        <v>169</v>
      </c>
      <c r="AT193" s="49"/>
      <c r="AU193" s="50"/>
      <c r="AV193" s="49" t="s">
        <v>30</v>
      </c>
      <c r="AW193" s="50" t="s">
        <v>73</v>
      </c>
      <c r="AX193" s="49" t="s">
        <v>5</v>
      </c>
      <c r="AY193" s="50" t="s">
        <v>133</v>
      </c>
      <c r="AZ193" s="49" t="s">
        <v>5</v>
      </c>
      <c r="BA193" s="50" t="s">
        <v>103</v>
      </c>
      <c r="BB193" s="49"/>
      <c r="BC193" s="50"/>
      <c r="BD193" s="49"/>
      <c r="BE193" s="50"/>
      <c r="BF193" s="49"/>
      <c r="BG193" s="50"/>
      <c r="BH193" s="49" t="s">
        <v>1</v>
      </c>
      <c r="BI193" s="50" t="s">
        <v>94</v>
      </c>
      <c r="BJ193" s="49"/>
      <c r="BK193" s="50"/>
      <c r="BL193" s="49"/>
      <c r="BM193" s="50"/>
      <c r="BN193" s="49" t="s">
        <v>1</v>
      </c>
      <c r="BO193" s="50" t="s">
        <v>107</v>
      </c>
      <c r="BP193" s="49"/>
      <c r="BQ193" s="50"/>
      <c r="BR193" s="49"/>
      <c r="BS193" s="50"/>
      <c r="BT193" s="49" t="s">
        <v>36</v>
      </c>
      <c r="BU193" s="50" t="s">
        <v>90</v>
      </c>
      <c r="BV193" s="49" t="s">
        <v>1</v>
      </c>
      <c r="BW193" s="50" t="s">
        <v>715</v>
      </c>
      <c r="BX193" s="49" t="s">
        <v>5</v>
      </c>
      <c r="BY193" s="50" t="s">
        <v>206</v>
      </c>
      <c r="BZ193" s="49"/>
      <c r="CA193" s="50"/>
    </row>
    <row r="194" spans="1:79" x14ac:dyDescent="0.25">
      <c r="A194" s="76">
        <v>151714</v>
      </c>
      <c r="B194" s="77" t="s">
        <v>916</v>
      </c>
      <c r="C194" s="78" t="s">
        <v>721</v>
      </c>
      <c r="D194" s="76" t="s">
        <v>70</v>
      </c>
      <c r="E194" s="79" t="s">
        <v>14</v>
      </c>
      <c r="F194" s="77" t="s">
        <v>71</v>
      </c>
      <c r="G194" s="79" t="s">
        <v>14</v>
      </c>
      <c r="H194" s="79" t="s">
        <v>14</v>
      </c>
      <c r="I194" s="78" t="s">
        <v>14</v>
      </c>
      <c r="J194" s="79" t="s">
        <v>14</v>
      </c>
      <c r="K194" s="142" t="s">
        <v>1850</v>
      </c>
      <c r="L194" s="149" t="s">
        <v>1845</v>
      </c>
      <c r="M194" s="150" t="s">
        <v>12</v>
      </c>
      <c r="N194" s="151">
        <v>20</v>
      </c>
      <c r="O194" s="151">
        <v>0</v>
      </c>
      <c r="P194" s="152">
        <v>1</v>
      </c>
      <c r="Q194" s="153">
        <v>100</v>
      </c>
      <c r="R194" s="154">
        <v>0</v>
      </c>
      <c r="S194" s="38">
        <f t="shared" ref="S194:S231" si="34">COUNTIF($AD194:$BY194,"Outstanding")</f>
        <v>1</v>
      </c>
      <c r="T194" s="39">
        <f t="shared" ref="T194:T231" si="35">COUNTIF($AD194:$BY194,"Good")</f>
        <v>8</v>
      </c>
      <c r="U194" s="40">
        <f t="shared" ref="U194:U231" si="36">COUNTIF($AD194:$BY194,"N2Improve - Engagement")</f>
        <v>0</v>
      </c>
      <c r="V194" s="40">
        <f t="shared" ref="V194:V231" si="37">COUNTIF($AD194:$BY194,"N2Improve - Community Conduct")</f>
        <v>0</v>
      </c>
      <c r="W194" s="40">
        <f t="shared" ref="W194:W231" si="38">COUNTIF($AD194:$BY194,"N2Improve - Personal Org.")</f>
        <v>0</v>
      </c>
      <c r="X194" s="40">
        <f t="shared" ref="X194:X231" si="39">SUM(U194:W194)</f>
        <v>0</v>
      </c>
      <c r="Y194" s="40">
        <f t="shared" ref="Y194:Y231" si="40">COUNTIF($AD194:$BY194,"Serious Conc - Engagement")</f>
        <v>0</v>
      </c>
      <c r="Z194" s="40">
        <f t="shared" ref="Z194:Z231" si="41">COUNTIF($AD194:$BY194,"Serious Conc - Comm. Concern")</f>
        <v>0</v>
      </c>
      <c r="AA194" s="40">
        <f t="shared" ref="AA194:AA231" si="42">COUNTIF($AD194:$BY194,"Serious Conc - Personal Org.")</f>
        <v>0</v>
      </c>
      <c r="AB194" s="40">
        <f t="shared" si="32"/>
        <v>0</v>
      </c>
      <c r="AC194" s="41">
        <f t="shared" si="33"/>
        <v>0</v>
      </c>
      <c r="AD194" s="49" t="s">
        <v>5</v>
      </c>
      <c r="AE194" s="50" t="s">
        <v>116</v>
      </c>
      <c r="AF194" s="49"/>
      <c r="AG194" s="50"/>
      <c r="AH194" s="49"/>
      <c r="AI194" s="50"/>
      <c r="AJ194" s="49"/>
      <c r="AK194" s="50"/>
      <c r="AL194" s="49"/>
      <c r="AM194" s="50"/>
      <c r="AN194" s="49"/>
      <c r="AO194" s="50"/>
      <c r="AP194" s="49"/>
      <c r="AQ194" s="50"/>
      <c r="AR194" s="49" t="s">
        <v>5</v>
      </c>
      <c r="AS194" s="50" t="s">
        <v>102</v>
      </c>
      <c r="AT194" s="49"/>
      <c r="AU194" s="50"/>
      <c r="AV194" s="49"/>
      <c r="AW194" s="50"/>
      <c r="AX194" s="49" t="s">
        <v>5</v>
      </c>
      <c r="AY194" s="50" t="s">
        <v>101</v>
      </c>
      <c r="AZ194" s="49" t="s">
        <v>5</v>
      </c>
      <c r="BA194" s="50" t="s">
        <v>143</v>
      </c>
      <c r="BB194" s="49"/>
      <c r="BC194" s="50"/>
      <c r="BD194" s="49"/>
      <c r="BE194" s="50"/>
      <c r="BF194" s="49"/>
      <c r="BG194" s="50"/>
      <c r="BH194" s="49" t="s">
        <v>5</v>
      </c>
      <c r="BI194" s="50" t="s">
        <v>430</v>
      </c>
      <c r="BJ194" s="49"/>
      <c r="BK194" s="50"/>
      <c r="BL194" s="49"/>
      <c r="BM194" s="50"/>
      <c r="BN194" s="49" t="s">
        <v>5</v>
      </c>
      <c r="BO194" s="50" t="s">
        <v>152</v>
      </c>
      <c r="BP194" s="49" t="s">
        <v>1</v>
      </c>
      <c r="BQ194" s="50" t="s">
        <v>96</v>
      </c>
      <c r="BR194" s="49"/>
      <c r="BS194" s="50"/>
      <c r="BT194" s="49"/>
      <c r="BU194" s="50"/>
      <c r="BV194" s="49" t="s">
        <v>5</v>
      </c>
      <c r="BW194" s="50" t="s">
        <v>715</v>
      </c>
      <c r="BX194" s="49" t="s">
        <v>5</v>
      </c>
      <c r="BY194" s="50" t="s">
        <v>206</v>
      </c>
      <c r="BZ194" s="49"/>
      <c r="CA194" s="50"/>
    </row>
    <row r="195" spans="1:79" x14ac:dyDescent="0.25">
      <c r="A195" s="76">
        <v>151716</v>
      </c>
      <c r="B195" s="77" t="s">
        <v>917</v>
      </c>
      <c r="C195" s="78" t="s">
        <v>721</v>
      </c>
      <c r="D195" s="76" t="s">
        <v>70</v>
      </c>
      <c r="E195" s="79" t="s">
        <v>14</v>
      </c>
      <c r="F195" s="79" t="s">
        <v>900</v>
      </c>
      <c r="G195" s="79" t="s">
        <v>87</v>
      </c>
      <c r="H195" s="79" t="s">
        <v>14</v>
      </c>
      <c r="I195" s="78" t="s">
        <v>14</v>
      </c>
      <c r="J195" s="79" t="s">
        <v>14</v>
      </c>
      <c r="K195" s="142" t="s">
        <v>1850</v>
      </c>
      <c r="L195" s="149" t="s">
        <v>1845</v>
      </c>
      <c r="M195" s="150" t="s">
        <v>12</v>
      </c>
      <c r="N195" s="151">
        <v>22</v>
      </c>
      <c r="O195" s="151">
        <v>0</v>
      </c>
      <c r="P195" s="152">
        <v>1</v>
      </c>
      <c r="Q195" s="153">
        <v>100</v>
      </c>
      <c r="R195" s="154">
        <v>1</v>
      </c>
      <c r="S195" s="38">
        <f t="shared" si="34"/>
        <v>3</v>
      </c>
      <c r="T195" s="39">
        <f t="shared" si="35"/>
        <v>7</v>
      </c>
      <c r="U195" s="40">
        <f t="shared" si="36"/>
        <v>0</v>
      </c>
      <c r="V195" s="40">
        <f t="shared" si="37"/>
        <v>0</v>
      </c>
      <c r="W195" s="40">
        <f t="shared" si="38"/>
        <v>0</v>
      </c>
      <c r="X195" s="40">
        <f t="shared" si="39"/>
        <v>0</v>
      </c>
      <c r="Y195" s="40">
        <f t="shared" si="40"/>
        <v>0</v>
      </c>
      <c r="Z195" s="40">
        <f t="shared" si="41"/>
        <v>0</v>
      </c>
      <c r="AA195" s="40">
        <f t="shared" si="42"/>
        <v>0</v>
      </c>
      <c r="AB195" s="40">
        <f t="shared" ref="AB195:AB231" si="43">SUM(Y195:AA195)</f>
        <v>0</v>
      </c>
      <c r="AC195" s="41">
        <f t="shared" ref="AC195:AC231" si="44">COUNTIF(AD195:CA195,"*still*")</f>
        <v>0</v>
      </c>
      <c r="AD195" s="49"/>
      <c r="AE195" s="50"/>
      <c r="AF195" s="49" t="s">
        <v>5</v>
      </c>
      <c r="AG195" s="50" t="s">
        <v>438</v>
      </c>
      <c r="AH195" s="49"/>
      <c r="AI195" s="50"/>
      <c r="AJ195" s="49" t="s">
        <v>1</v>
      </c>
      <c r="AK195" s="50" t="s">
        <v>83</v>
      </c>
      <c r="AL195" s="49"/>
      <c r="AM195" s="50"/>
      <c r="AN195" s="49"/>
      <c r="AO195" s="50"/>
      <c r="AP195" s="49"/>
      <c r="AQ195" s="50"/>
      <c r="AR195" s="49" t="s">
        <v>5</v>
      </c>
      <c r="AS195" s="50" t="s">
        <v>478</v>
      </c>
      <c r="AT195" s="49"/>
      <c r="AU195" s="50"/>
      <c r="AV195" s="49"/>
      <c r="AW195" s="50"/>
      <c r="AX195" s="49" t="s">
        <v>5</v>
      </c>
      <c r="AY195" s="50" t="s">
        <v>101</v>
      </c>
      <c r="AZ195" s="49" t="s">
        <v>5</v>
      </c>
      <c r="BA195" s="50" t="s">
        <v>84</v>
      </c>
      <c r="BB195" s="49"/>
      <c r="BC195" s="50"/>
      <c r="BD195" s="49"/>
      <c r="BE195" s="50"/>
      <c r="BF195" s="49"/>
      <c r="BG195" s="50"/>
      <c r="BH195" s="49" t="s">
        <v>1</v>
      </c>
      <c r="BI195" s="50" t="s">
        <v>136</v>
      </c>
      <c r="BJ195" s="49"/>
      <c r="BK195" s="50"/>
      <c r="BL195" s="49"/>
      <c r="BM195" s="50"/>
      <c r="BN195" s="49" t="s">
        <v>5</v>
      </c>
      <c r="BO195" s="50" t="s">
        <v>121</v>
      </c>
      <c r="BP195" s="49" t="s">
        <v>1</v>
      </c>
      <c r="BQ195" s="50" t="s">
        <v>96</v>
      </c>
      <c r="BR195" s="49" t="s">
        <v>5</v>
      </c>
      <c r="BS195" s="50" t="s">
        <v>123</v>
      </c>
      <c r="BT195" s="49"/>
      <c r="BU195" s="50"/>
      <c r="BV195" s="49" t="s">
        <v>5</v>
      </c>
      <c r="BW195" s="50" t="s">
        <v>82</v>
      </c>
      <c r="BX195" s="49"/>
      <c r="BY195" s="50"/>
      <c r="BZ195" s="49"/>
      <c r="CA195" s="50"/>
    </row>
    <row r="196" spans="1:79" x14ac:dyDescent="0.25">
      <c r="A196" s="76">
        <v>151718</v>
      </c>
      <c r="B196" s="77" t="s">
        <v>918</v>
      </c>
      <c r="C196" s="78" t="s">
        <v>718</v>
      </c>
      <c r="D196" s="76" t="s">
        <v>70</v>
      </c>
      <c r="E196" s="79" t="s">
        <v>14</v>
      </c>
      <c r="F196" s="79" t="s">
        <v>88</v>
      </c>
      <c r="G196" s="79" t="s">
        <v>14</v>
      </c>
      <c r="H196" s="79" t="s">
        <v>14</v>
      </c>
      <c r="I196" s="78" t="s">
        <v>14</v>
      </c>
      <c r="J196" s="79" t="s">
        <v>14</v>
      </c>
      <c r="K196" s="142" t="s">
        <v>1850</v>
      </c>
      <c r="L196" s="149" t="s">
        <v>1844</v>
      </c>
      <c r="M196" s="150" t="s">
        <v>12</v>
      </c>
      <c r="N196" s="151">
        <v>17</v>
      </c>
      <c r="O196" s="151">
        <v>1</v>
      </c>
      <c r="P196" s="152">
        <v>1</v>
      </c>
      <c r="Q196" s="153">
        <v>93.48</v>
      </c>
      <c r="R196" s="154">
        <v>9</v>
      </c>
      <c r="S196" s="38">
        <f t="shared" si="34"/>
        <v>0</v>
      </c>
      <c r="T196" s="39">
        <f t="shared" si="35"/>
        <v>9</v>
      </c>
      <c r="U196" s="40">
        <f t="shared" si="36"/>
        <v>0</v>
      </c>
      <c r="V196" s="40">
        <f t="shared" si="37"/>
        <v>0</v>
      </c>
      <c r="W196" s="40">
        <f t="shared" si="38"/>
        <v>1</v>
      </c>
      <c r="X196" s="40">
        <f t="shared" si="39"/>
        <v>1</v>
      </c>
      <c r="Y196" s="40">
        <f t="shared" si="40"/>
        <v>0</v>
      </c>
      <c r="Z196" s="40">
        <f t="shared" si="41"/>
        <v>0</v>
      </c>
      <c r="AA196" s="40">
        <f t="shared" si="42"/>
        <v>0</v>
      </c>
      <c r="AB196" s="40">
        <f t="shared" si="43"/>
        <v>0</v>
      </c>
      <c r="AC196" s="41">
        <f t="shared" si="44"/>
        <v>0</v>
      </c>
      <c r="AD196" s="49"/>
      <c r="AE196" s="50"/>
      <c r="AF196" s="49" t="s">
        <v>32</v>
      </c>
      <c r="AG196" s="50" t="s">
        <v>154</v>
      </c>
      <c r="AH196" s="49" t="s">
        <v>5</v>
      </c>
      <c r="AI196" s="50" t="s">
        <v>427</v>
      </c>
      <c r="AJ196" s="49" t="s">
        <v>5</v>
      </c>
      <c r="AK196" s="50" t="s">
        <v>83</v>
      </c>
      <c r="AL196" s="49"/>
      <c r="AM196" s="50"/>
      <c r="AN196" s="49"/>
      <c r="AO196" s="50"/>
      <c r="AP196" s="49"/>
      <c r="AQ196" s="50"/>
      <c r="AR196" s="49" t="s">
        <v>5</v>
      </c>
      <c r="AS196" s="50" t="s">
        <v>102</v>
      </c>
      <c r="AT196" s="49"/>
      <c r="AU196" s="50"/>
      <c r="AV196" s="49"/>
      <c r="AW196" s="50"/>
      <c r="AX196" s="49" t="s">
        <v>5</v>
      </c>
      <c r="AY196" s="50" t="s">
        <v>169</v>
      </c>
      <c r="AZ196" s="49" t="s">
        <v>5</v>
      </c>
      <c r="BA196" s="50" t="s">
        <v>143</v>
      </c>
      <c r="BB196" s="49"/>
      <c r="BC196" s="50"/>
      <c r="BD196" s="49"/>
      <c r="BE196" s="50"/>
      <c r="BF196" s="49"/>
      <c r="BG196" s="50"/>
      <c r="BH196" s="49" t="s">
        <v>5</v>
      </c>
      <c r="BI196" s="50" t="s">
        <v>505</v>
      </c>
      <c r="BJ196" s="49"/>
      <c r="BK196" s="50"/>
      <c r="BL196" s="49"/>
      <c r="BM196" s="50"/>
      <c r="BN196" s="49" t="s">
        <v>5</v>
      </c>
      <c r="BO196" s="50" t="s">
        <v>121</v>
      </c>
      <c r="BP196" s="49"/>
      <c r="BQ196" s="50"/>
      <c r="BR196" s="49" t="s">
        <v>5</v>
      </c>
      <c r="BS196" s="50" t="s">
        <v>170</v>
      </c>
      <c r="BT196" s="49"/>
      <c r="BU196" s="50"/>
      <c r="BV196" s="49" t="s">
        <v>5</v>
      </c>
      <c r="BW196" s="50" t="s">
        <v>82</v>
      </c>
      <c r="BX196" s="49"/>
      <c r="BY196" s="50"/>
      <c r="BZ196" s="49"/>
      <c r="CA196" s="50"/>
    </row>
    <row r="197" spans="1:79" x14ac:dyDescent="0.25">
      <c r="A197" s="76">
        <v>151640</v>
      </c>
      <c r="B197" s="77" t="s">
        <v>919</v>
      </c>
      <c r="C197" s="78" t="s">
        <v>718</v>
      </c>
      <c r="D197" s="76" t="s">
        <v>12</v>
      </c>
      <c r="E197" s="79" t="s">
        <v>14</v>
      </c>
      <c r="F197" s="79" t="s">
        <v>88</v>
      </c>
      <c r="G197" s="79" t="s">
        <v>14</v>
      </c>
      <c r="H197" s="79" t="s">
        <v>14</v>
      </c>
      <c r="I197" s="78" t="s">
        <v>14</v>
      </c>
      <c r="J197" s="79" t="s">
        <v>14</v>
      </c>
      <c r="K197" s="142" t="s">
        <v>1850</v>
      </c>
      <c r="L197" s="149" t="s">
        <v>1844</v>
      </c>
      <c r="M197" s="150" t="s">
        <v>12</v>
      </c>
      <c r="N197" s="151">
        <v>24</v>
      </c>
      <c r="O197" s="151">
        <v>0</v>
      </c>
      <c r="P197" s="152">
        <v>0</v>
      </c>
      <c r="Q197" s="153">
        <v>100</v>
      </c>
      <c r="R197" s="154">
        <v>2</v>
      </c>
      <c r="S197" s="38">
        <f t="shared" si="34"/>
        <v>6</v>
      </c>
      <c r="T197" s="39">
        <f t="shared" si="35"/>
        <v>4</v>
      </c>
      <c r="U197" s="40">
        <f t="shared" si="36"/>
        <v>0</v>
      </c>
      <c r="V197" s="40">
        <f t="shared" si="37"/>
        <v>0</v>
      </c>
      <c r="W197" s="40">
        <f t="shared" si="38"/>
        <v>0</v>
      </c>
      <c r="X197" s="40">
        <f t="shared" si="39"/>
        <v>0</v>
      </c>
      <c r="Y197" s="40">
        <f t="shared" si="40"/>
        <v>0</v>
      </c>
      <c r="Z197" s="40">
        <f t="shared" si="41"/>
        <v>0</v>
      </c>
      <c r="AA197" s="40">
        <f t="shared" si="42"/>
        <v>0</v>
      </c>
      <c r="AB197" s="40">
        <f t="shared" si="43"/>
        <v>0</v>
      </c>
      <c r="AC197" s="41">
        <f t="shared" si="44"/>
        <v>0</v>
      </c>
      <c r="AD197" s="49"/>
      <c r="AE197" s="50"/>
      <c r="AF197" s="49" t="s">
        <v>1</v>
      </c>
      <c r="AG197" s="50" t="s">
        <v>438</v>
      </c>
      <c r="AH197" s="49"/>
      <c r="AI197" s="50"/>
      <c r="AJ197" s="49" t="s">
        <v>1</v>
      </c>
      <c r="AK197" s="50" t="s">
        <v>83</v>
      </c>
      <c r="AL197" s="49"/>
      <c r="AM197" s="50"/>
      <c r="AN197" s="49"/>
      <c r="AO197" s="50"/>
      <c r="AP197" s="49"/>
      <c r="AQ197" s="50"/>
      <c r="AR197" s="49" t="s">
        <v>5</v>
      </c>
      <c r="AS197" s="50" t="s">
        <v>459</v>
      </c>
      <c r="AT197" s="49"/>
      <c r="AU197" s="50"/>
      <c r="AV197" s="49"/>
      <c r="AW197" s="50"/>
      <c r="AX197" s="49" t="s">
        <v>5</v>
      </c>
      <c r="AY197" s="50" t="s">
        <v>169</v>
      </c>
      <c r="AZ197" s="49" t="s">
        <v>5</v>
      </c>
      <c r="BA197" s="50" t="s">
        <v>143</v>
      </c>
      <c r="BB197" s="49"/>
      <c r="BC197" s="50"/>
      <c r="BD197" s="49"/>
      <c r="BE197" s="50"/>
      <c r="BF197" s="49"/>
      <c r="BG197" s="50"/>
      <c r="BH197" s="49" t="s">
        <v>1</v>
      </c>
      <c r="BI197" s="50" t="s">
        <v>136</v>
      </c>
      <c r="BJ197" s="49"/>
      <c r="BK197" s="50"/>
      <c r="BL197" s="49"/>
      <c r="BM197" s="50"/>
      <c r="BN197" s="49" t="s">
        <v>1</v>
      </c>
      <c r="BO197" s="50" t="s">
        <v>107</v>
      </c>
      <c r="BP197" s="49" t="s">
        <v>1</v>
      </c>
      <c r="BQ197" s="50" t="s">
        <v>96</v>
      </c>
      <c r="BR197" s="49" t="s">
        <v>5</v>
      </c>
      <c r="BS197" s="50" t="s">
        <v>123</v>
      </c>
      <c r="BT197" s="49"/>
      <c r="BU197" s="50"/>
      <c r="BV197" s="49" t="s">
        <v>1</v>
      </c>
      <c r="BW197" s="50" t="s">
        <v>715</v>
      </c>
      <c r="BX197" s="49"/>
      <c r="BY197" s="50"/>
      <c r="BZ197" s="49"/>
      <c r="CA197" s="50"/>
    </row>
    <row r="198" spans="1:79" x14ac:dyDescent="0.25">
      <c r="A198" s="76">
        <v>151535</v>
      </c>
      <c r="B198" s="77" t="s">
        <v>920</v>
      </c>
      <c r="C198" s="78" t="s">
        <v>730</v>
      </c>
      <c r="D198" s="76" t="s">
        <v>70</v>
      </c>
      <c r="E198" s="79" t="s">
        <v>87</v>
      </c>
      <c r="F198" s="79" t="s">
        <v>88</v>
      </c>
      <c r="G198" s="79" t="s">
        <v>14</v>
      </c>
      <c r="H198" s="79" t="s">
        <v>87</v>
      </c>
      <c r="I198" s="78" t="s">
        <v>14</v>
      </c>
      <c r="J198" s="79" t="s">
        <v>14</v>
      </c>
      <c r="K198" s="142" t="s">
        <v>1850</v>
      </c>
      <c r="L198" s="149" t="s">
        <v>1844</v>
      </c>
      <c r="M198" s="150" t="s">
        <v>12</v>
      </c>
      <c r="N198" s="151">
        <v>18</v>
      </c>
      <c r="O198" s="151">
        <v>0</v>
      </c>
      <c r="P198" s="152">
        <v>4</v>
      </c>
      <c r="Q198" s="153">
        <v>100</v>
      </c>
      <c r="R198" s="154">
        <v>4</v>
      </c>
      <c r="S198" s="38">
        <f t="shared" si="34"/>
        <v>0</v>
      </c>
      <c r="T198" s="39">
        <f t="shared" si="35"/>
        <v>10</v>
      </c>
      <c r="U198" s="40">
        <f t="shared" si="36"/>
        <v>0</v>
      </c>
      <c r="V198" s="40">
        <f t="shared" si="37"/>
        <v>0</v>
      </c>
      <c r="W198" s="40">
        <f t="shared" si="38"/>
        <v>0</v>
      </c>
      <c r="X198" s="40">
        <f t="shared" si="39"/>
        <v>0</v>
      </c>
      <c r="Y198" s="40">
        <f t="shared" si="40"/>
        <v>0</v>
      </c>
      <c r="Z198" s="40">
        <f t="shared" si="41"/>
        <v>0</v>
      </c>
      <c r="AA198" s="40">
        <f t="shared" si="42"/>
        <v>0</v>
      </c>
      <c r="AB198" s="40">
        <f t="shared" si="43"/>
        <v>0</v>
      </c>
      <c r="AC198" s="41">
        <f t="shared" si="44"/>
        <v>0</v>
      </c>
      <c r="AD198" s="49"/>
      <c r="AE198" s="50"/>
      <c r="AF198" s="49" t="s">
        <v>5</v>
      </c>
      <c r="AG198" s="50" t="s">
        <v>154</v>
      </c>
      <c r="AH198" s="49"/>
      <c r="AI198" s="50"/>
      <c r="AJ198" s="49" t="s">
        <v>5</v>
      </c>
      <c r="AK198" s="50" t="s">
        <v>83</v>
      </c>
      <c r="AL198" s="49" t="s">
        <v>5</v>
      </c>
      <c r="AM198" s="50" t="s">
        <v>425</v>
      </c>
      <c r="AN198" s="49"/>
      <c r="AO198" s="50"/>
      <c r="AP198" s="49"/>
      <c r="AQ198" s="50"/>
      <c r="AR198" s="49" t="s">
        <v>5</v>
      </c>
      <c r="AS198" s="50" t="s">
        <v>74</v>
      </c>
      <c r="AT198" s="49"/>
      <c r="AU198" s="50"/>
      <c r="AV198" s="49"/>
      <c r="AW198" s="50"/>
      <c r="AX198" s="49" t="s">
        <v>5</v>
      </c>
      <c r="AY198" s="50" t="s">
        <v>133</v>
      </c>
      <c r="AZ198" s="49" t="s">
        <v>5</v>
      </c>
      <c r="BA198" s="50" t="s">
        <v>143</v>
      </c>
      <c r="BB198" s="49"/>
      <c r="BC198" s="50"/>
      <c r="BD198" s="49"/>
      <c r="BE198" s="50"/>
      <c r="BF198" s="49"/>
      <c r="BG198" s="50"/>
      <c r="BH198" s="49" t="s">
        <v>5</v>
      </c>
      <c r="BI198" s="50" t="s">
        <v>505</v>
      </c>
      <c r="BJ198" s="49"/>
      <c r="BK198" s="50"/>
      <c r="BL198" s="49"/>
      <c r="BM198" s="50"/>
      <c r="BN198" s="49" t="s">
        <v>5</v>
      </c>
      <c r="BO198" s="50" t="s">
        <v>741</v>
      </c>
      <c r="BP198" s="49"/>
      <c r="BQ198" s="50"/>
      <c r="BR198" s="49" t="s">
        <v>5</v>
      </c>
      <c r="BS198" s="50" t="s">
        <v>170</v>
      </c>
      <c r="BT198" s="49"/>
      <c r="BU198" s="50"/>
      <c r="BV198" s="49" t="s">
        <v>5</v>
      </c>
      <c r="BW198" s="50" t="s">
        <v>82</v>
      </c>
      <c r="BX198" s="49"/>
      <c r="BY198" s="50"/>
      <c r="BZ198" s="49"/>
      <c r="CA198" s="50"/>
    </row>
    <row r="199" spans="1:79" x14ac:dyDescent="0.25">
      <c r="A199" s="76">
        <v>151697</v>
      </c>
      <c r="B199" s="77" t="s">
        <v>921</v>
      </c>
      <c r="C199" s="78" t="s">
        <v>732</v>
      </c>
      <c r="D199" s="76" t="s">
        <v>70</v>
      </c>
      <c r="E199" s="79" t="s">
        <v>14</v>
      </c>
      <c r="F199" s="79" t="s">
        <v>450</v>
      </c>
      <c r="G199" s="79" t="s">
        <v>14</v>
      </c>
      <c r="H199" s="79" t="s">
        <v>14</v>
      </c>
      <c r="I199" s="78" t="s">
        <v>14</v>
      </c>
      <c r="J199" s="79" t="s">
        <v>14</v>
      </c>
      <c r="K199" s="142" t="s">
        <v>1850</v>
      </c>
      <c r="L199" s="149" t="s">
        <v>1841</v>
      </c>
      <c r="M199" s="150" t="s">
        <v>1853</v>
      </c>
      <c r="N199" s="151">
        <v>10</v>
      </c>
      <c r="O199" s="151">
        <v>0</v>
      </c>
      <c r="P199" s="152">
        <v>0</v>
      </c>
      <c r="Q199" s="153">
        <v>100</v>
      </c>
      <c r="R199" s="154">
        <v>0</v>
      </c>
      <c r="S199" s="38">
        <f t="shared" si="34"/>
        <v>3</v>
      </c>
      <c r="T199" s="39">
        <f t="shared" si="35"/>
        <v>5</v>
      </c>
      <c r="U199" s="40">
        <f t="shared" si="36"/>
        <v>0</v>
      </c>
      <c r="V199" s="40">
        <f t="shared" si="37"/>
        <v>0</v>
      </c>
      <c r="W199" s="40">
        <f t="shared" si="38"/>
        <v>0</v>
      </c>
      <c r="X199" s="40">
        <f t="shared" si="39"/>
        <v>0</v>
      </c>
      <c r="Y199" s="40">
        <f t="shared" si="40"/>
        <v>0</v>
      </c>
      <c r="Z199" s="40">
        <f t="shared" si="41"/>
        <v>0</v>
      </c>
      <c r="AA199" s="40">
        <f t="shared" si="42"/>
        <v>0</v>
      </c>
      <c r="AB199" s="40">
        <f t="shared" si="43"/>
        <v>0</v>
      </c>
      <c r="AC199" s="41">
        <f t="shared" si="44"/>
        <v>0</v>
      </c>
      <c r="AD199" s="49"/>
      <c r="AE199" s="50"/>
      <c r="AF199" s="49"/>
      <c r="AG199" s="50"/>
      <c r="AH199" s="49"/>
      <c r="AI199" s="50"/>
      <c r="AJ199" s="49"/>
      <c r="AK199" s="50"/>
      <c r="AL199" s="49"/>
      <c r="AM199" s="50"/>
      <c r="AN199" s="49"/>
      <c r="AO199" s="50"/>
      <c r="AP199" s="49" t="s">
        <v>1</v>
      </c>
      <c r="AQ199" s="50" t="s">
        <v>101</v>
      </c>
      <c r="AR199" s="49" t="s">
        <v>1</v>
      </c>
      <c r="AS199" s="50" t="s">
        <v>722</v>
      </c>
      <c r="AT199" s="49"/>
      <c r="AU199" s="50"/>
      <c r="AV199" s="49"/>
      <c r="AW199" s="50"/>
      <c r="AX199" s="49" t="s">
        <v>1</v>
      </c>
      <c r="AY199" s="50" t="s">
        <v>124</v>
      </c>
      <c r="AZ199" s="49"/>
      <c r="BA199" s="50"/>
      <c r="BB199" s="49"/>
      <c r="BC199" s="50"/>
      <c r="BD199" s="49"/>
      <c r="BE199" s="50"/>
      <c r="BF199" s="49" t="s">
        <v>5</v>
      </c>
      <c r="BG199" s="50" t="s">
        <v>93</v>
      </c>
      <c r="BH199" s="49" t="s">
        <v>5</v>
      </c>
      <c r="BI199" s="50" t="s">
        <v>106</v>
      </c>
      <c r="BJ199" s="49"/>
      <c r="BK199" s="50"/>
      <c r="BL199" s="49"/>
      <c r="BM199" s="50"/>
      <c r="BN199" s="49" t="s">
        <v>5</v>
      </c>
      <c r="BO199" s="50" t="s">
        <v>152</v>
      </c>
      <c r="BP199" s="49"/>
      <c r="BQ199" s="50"/>
      <c r="BR199" s="49"/>
      <c r="BS199" s="50"/>
      <c r="BT199" s="49"/>
      <c r="BU199" s="50"/>
      <c r="BV199" s="49" t="s">
        <v>5</v>
      </c>
      <c r="BW199" s="50" t="s">
        <v>108</v>
      </c>
      <c r="BX199" s="49" t="s">
        <v>5</v>
      </c>
      <c r="BY199" s="50" t="s">
        <v>206</v>
      </c>
      <c r="BZ199" s="49" t="s">
        <v>1</v>
      </c>
      <c r="CA199" s="50" t="s">
        <v>124</v>
      </c>
    </row>
    <row r="200" spans="1:79" x14ac:dyDescent="0.25">
      <c r="A200" s="76">
        <v>151569</v>
      </c>
      <c r="B200" s="77" t="s">
        <v>922</v>
      </c>
      <c r="C200" s="78" t="s">
        <v>730</v>
      </c>
      <c r="D200" s="76" t="s">
        <v>70</v>
      </c>
      <c r="E200" s="79" t="s">
        <v>14</v>
      </c>
      <c r="F200" s="79" t="s">
        <v>71</v>
      </c>
      <c r="G200" s="79" t="s">
        <v>14</v>
      </c>
      <c r="H200" s="79" t="s">
        <v>14</v>
      </c>
      <c r="I200" s="78" t="s">
        <v>14</v>
      </c>
      <c r="J200" s="79" t="s">
        <v>14</v>
      </c>
      <c r="K200" s="142" t="s">
        <v>1850</v>
      </c>
      <c r="L200" s="149" t="s">
        <v>1842</v>
      </c>
      <c r="M200" s="150" t="s">
        <v>12</v>
      </c>
      <c r="N200" s="151">
        <v>26</v>
      </c>
      <c r="O200" s="151">
        <v>1</v>
      </c>
      <c r="P200" s="152">
        <v>2</v>
      </c>
      <c r="Q200" s="153">
        <v>95.65</v>
      </c>
      <c r="R200" s="154">
        <v>4</v>
      </c>
      <c r="S200" s="38">
        <f t="shared" si="34"/>
        <v>2</v>
      </c>
      <c r="T200" s="39">
        <f t="shared" si="35"/>
        <v>6</v>
      </c>
      <c r="U200" s="40">
        <f t="shared" si="36"/>
        <v>1</v>
      </c>
      <c r="V200" s="40">
        <f t="shared" si="37"/>
        <v>0</v>
      </c>
      <c r="W200" s="40">
        <f t="shared" si="38"/>
        <v>0</v>
      </c>
      <c r="X200" s="40">
        <f t="shared" si="39"/>
        <v>1</v>
      </c>
      <c r="Y200" s="40">
        <f t="shared" si="40"/>
        <v>0</v>
      </c>
      <c r="Z200" s="40">
        <f t="shared" si="41"/>
        <v>0</v>
      </c>
      <c r="AA200" s="40">
        <f t="shared" si="42"/>
        <v>0</v>
      </c>
      <c r="AB200" s="40">
        <f t="shared" si="43"/>
        <v>0</v>
      </c>
      <c r="AC200" s="41">
        <f t="shared" si="44"/>
        <v>0</v>
      </c>
      <c r="AD200" s="49"/>
      <c r="AE200" s="50"/>
      <c r="AF200" s="49"/>
      <c r="AG200" s="50"/>
      <c r="AH200" s="49"/>
      <c r="AI200" s="50"/>
      <c r="AJ200" s="49"/>
      <c r="AK200" s="50"/>
      <c r="AL200" s="49"/>
      <c r="AM200" s="50"/>
      <c r="AN200" s="49"/>
      <c r="AO200" s="50"/>
      <c r="AP200" s="49"/>
      <c r="AQ200" s="50"/>
      <c r="AR200" s="49" t="s">
        <v>5</v>
      </c>
      <c r="AS200" s="50" t="s">
        <v>194</v>
      </c>
      <c r="AT200" s="49"/>
      <c r="AU200" s="50"/>
      <c r="AV200" s="49" t="s">
        <v>5</v>
      </c>
      <c r="AW200" s="50" t="s">
        <v>73</v>
      </c>
      <c r="AX200" s="49" t="s">
        <v>5</v>
      </c>
      <c r="AY200" s="50" t="s">
        <v>133</v>
      </c>
      <c r="AZ200" s="49" t="s">
        <v>5</v>
      </c>
      <c r="BA200" s="50" t="s">
        <v>143</v>
      </c>
      <c r="BB200" s="49"/>
      <c r="BC200" s="50"/>
      <c r="BD200" s="49" t="s">
        <v>1</v>
      </c>
      <c r="BE200" s="50" t="s">
        <v>436</v>
      </c>
      <c r="BF200" s="49"/>
      <c r="BG200" s="50"/>
      <c r="BH200" s="49" t="s">
        <v>5</v>
      </c>
      <c r="BI200" s="50" t="s">
        <v>139</v>
      </c>
      <c r="BJ200" s="49"/>
      <c r="BK200" s="50"/>
      <c r="BL200" s="49"/>
      <c r="BM200" s="50"/>
      <c r="BN200" s="49" t="s">
        <v>30</v>
      </c>
      <c r="BO200" s="50" t="s">
        <v>81</v>
      </c>
      <c r="BP200" s="49"/>
      <c r="BQ200" s="50"/>
      <c r="BR200" s="49"/>
      <c r="BS200" s="50"/>
      <c r="BT200" s="49"/>
      <c r="BU200" s="50"/>
      <c r="BV200" s="49" t="s">
        <v>1</v>
      </c>
      <c r="BW200" s="50" t="s">
        <v>715</v>
      </c>
      <c r="BX200" s="49" t="s">
        <v>5</v>
      </c>
      <c r="BY200" s="50" t="s">
        <v>206</v>
      </c>
      <c r="BZ200" s="49"/>
      <c r="CA200" s="50"/>
    </row>
    <row r="201" spans="1:79" x14ac:dyDescent="0.25">
      <c r="A201" s="76">
        <v>151597</v>
      </c>
      <c r="B201" s="77" t="s">
        <v>923</v>
      </c>
      <c r="C201" s="78" t="s">
        <v>721</v>
      </c>
      <c r="D201" s="76" t="s">
        <v>70</v>
      </c>
      <c r="E201" s="79" t="s">
        <v>14</v>
      </c>
      <c r="F201" s="79" t="s">
        <v>71</v>
      </c>
      <c r="G201" s="79" t="s">
        <v>14</v>
      </c>
      <c r="H201" s="79" t="s">
        <v>14</v>
      </c>
      <c r="I201" s="78" t="s">
        <v>14</v>
      </c>
      <c r="J201" s="79" t="s">
        <v>14</v>
      </c>
      <c r="K201" s="142" t="s">
        <v>1850</v>
      </c>
      <c r="L201" s="149" t="s">
        <v>1848</v>
      </c>
      <c r="M201" s="150" t="s">
        <v>1852</v>
      </c>
      <c r="N201" s="151">
        <v>16</v>
      </c>
      <c r="O201" s="151">
        <v>5</v>
      </c>
      <c r="P201" s="152">
        <v>2</v>
      </c>
      <c r="Q201" s="153">
        <v>82.61</v>
      </c>
      <c r="R201" s="154">
        <v>11</v>
      </c>
      <c r="S201" s="38">
        <f t="shared" si="34"/>
        <v>0</v>
      </c>
      <c r="T201" s="39">
        <f t="shared" si="35"/>
        <v>8</v>
      </c>
      <c r="U201" s="40">
        <f t="shared" si="36"/>
        <v>1</v>
      </c>
      <c r="V201" s="40">
        <f t="shared" si="37"/>
        <v>0</v>
      </c>
      <c r="W201" s="40">
        <f t="shared" si="38"/>
        <v>1</v>
      </c>
      <c r="X201" s="40">
        <f t="shared" si="39"/>
        <v>2</v>
      </c>
      <c r="Y201" s="40">
        <f t="shared" si="40"/>
        <v>0</v>
      </c>
      <c r="Z201" s="40">
        <f t="shared" si="41"/>
        <v>0</v>
      </c>
      <c r="AA201" s="40">
        <f t="shared" si="42"/>
        <v>0</v>
      </c>
      <c r="AB201" s="40">
        <f t="shared" si="43"/>
        <v>0</v>
      </c>
      <c r="AC201" s="41">
        <f t="shared" si="44"/>
        <v>0</v>
      </c>
      <c r="AD201" s="49"/>
      <c r="AE201" s="50"/>
      <c r="AF201" s="49" t="s">
        <v>5</v>
      </c>
      <c r="AG201" s="50" t="s">
        <v>154</v>
      </c>
      <c r="AH201" s="49"/>
      <c r="AI201" s="50"/>
      <c r="AJ201" s="49" t="s">
        <v>5</v>
      </c>
      <c r="AK201" s="50" t="s">
        <v>83</v>
      </c>
      <c r="AL201" s="49" t="s">
        <v>30</v>
      </c>
      <c r="AM201" s="50" t="s">
        <v>425</v>
      </c>
      <c r="AN201" s="49"/>
      <c r="AO201" s="50"/>
      <c r="AP201" s="49"/>
      <c r="AQ201" s="50"/>
      <c r="AR201" s="49" t="s">
        <v>32</v>
      </c>
      <c r="AS201" s="50" t="s">
        <v>111</v>
      </c>
      <c r="AT201" s="49"/>
      <c r="AU201" s="50"/>
      <c r="AV201" s="49"/>
      <c r="AW201" s="50"/>
      <c r="AX201" s="49" t="s">
        <v>5</v>
      </c>
      <c r="AY201" s="50" t="s">
        <v>101</v>
      </c>
      <c r="AZ201" s="49" t="s">
        <v>5</v>
      </c>
      <c r="BA201" s="50" t="s">
        <v>143</v>
      </c>
      <c r="BB201" s="49"/>
      <c r="BC201" s="50"/>
      <c r="BD201" s="49"/>
      <c r="BE201" s="50"/>
      <c r="BF201" s="49"/>
      <c r="BG201" s="50"/>
      <c r="BH201" s="49" t="s">
        <v>5</v>
      </c>
      <c r="BI201" s="50" t="s">
        <v>505</v>
      </c>
      <c r="BJ201" s="49"/>
      <c r="BK201" s="50"/>
      <c r="BL201" s="49"/>
      <c r="BM201" s="50"/>
      <c r="BN201" s="49" t="s">
        <v>5</v>
      </c>
      <c r="BO201" s="50" t="s">
        <v>741</v>
      </c>
      <c r="BP201" s="49"/>
      <c r="BQ201" s="50"/>
      <c r="BR201" s="49" t="s">
        <v>5</v>
      </c>
      <c r="BS201" s="50" t="s">
        <v>170</v>
      </c>
      <c r="BT201" s="49"/>
      <c r="BU201" s="50"/>
      <c r="BV201" s="49" t="s">
        <v>5</v>
      </c>
      <c r="BW201" s="50" t="s">
        <v>602</v>
      </c>
      <c r="BX201" s="49"/>
      <c r="BY201" s="50"/>
      <c r="BZ201" s="49"/>
      <c r="CA201" s="50"/>
    </row>
    <row r="202" spans="1:79" x14ac:dyDescent="0.25">
      <c r="A202" s="76">
        <v>151741</v>
      </c>
      <c r="B202" s="77" t="s">
        <v>924</v>
      </c>
      <c r="C202" s="78" t="s">
        <v>736</v>
      </c>
      <c r="D202" s="76" t="s">
        <v>70</v>
      </c>
      <c r="E202" s="79" t="s">
        <v>14</v>
      </c>
      <c r="F202" s="79" t="s">
        <v>71</v>
      </c>
      <c r="G202" s="79" t="s">
        <v>14</v>
      </c>
      <c r="H202" s="79" t="s">
        <v>14</v>
      </c>
      <c r="I202" s="78" t="s">
        <v>14</v>
      </c>
      <c r="J202" s="79" t="s">
        <v>14</v>
      </c>
      <c r="K202" s="142" t="s">
        <v>1850</v>
      </c>
      <c r="L202" s="149" t="s">
        <v>1841</v>
      </c>
      <c r="M202" s="150" t="s">
        <v>1853</v>
      </c>
      <c r="N202" s="151">
        <v>0</v>
      </c>
      <c r="O202" s="151">
        <v>0</v>
      </c>
      <c r="P202" s="152">
        <v>0</v>
      </c>
      <c r="Q202" s="153">
        <v>2.17</v>
      </c>
      <c r="R202" s="154">
        <v>0</v>
      </c>
      <c r="S202" s="38">
        <f t="shared" si="34"/>
        <v>0</v>
      </c>
      <c r="T202" s="39">
        <f t="shared" si="35"/>
        <v>4</v>
      </c>
      <c r="U202" s="40">
        <f t="shared" si="36"/>
        <v>0</v>
      </c>
      <c r="V202" s="40">
        <f t="shared" si="37"/>
        <v>0</v>
      </c>
      <c r="W202" s="40">
        <f t="shared" si="38"/>
        <v>0</v>
      </c>
      <c r="X202" s="40">
        <f t="shared" si="39"/>
        <v>0</v>
      </c>
      <c r="Y202" s="40">
        <f t="shared" si="40"/>
        <v>0</v>
      </c>
      <c r="Z202" s="40">
        <f t="shared" si="41"/>
        <v>0</v>
      </c>
      <c r="AA202" s="40">
        <f t="shared" si="42"/>
        <v>0</v>
      </c>
      <c r="AB202" s="40">
        <f t="shared" si="43"/>
        <v>0</v>
      </c>
      <c r="AC202" s="41">
        <f t="shared" si="44"/>
        <v>0</v>
      </c>
      <c r="AD202" s="49"/>
      <c r="AE202" s="50"/>
      <c r="AF202" s="49" t="s">
        <v>5</v>
      </c>
      <c r="AG202" s="50" t="s">
        <v>133</v>
      </c>
      <c r="AH202" s="49"/>
      <c r="AI202" s="50"/>
      <c r="AJ202" s="49" t="s">
        <v>5</v>
      </c>
      <c r="AK202" s="50" t="s">
        <v>164</v>
      </c>
      <c r="AL202" s="49"/>
      <c r="AM202" s="50"/>
      <c r="AN202" s="49"/>
      <c r="AO202" s="50"/>
      <c r="AP202" s="49"/>
      <c r="AQ202" s="50"/>
      <c r="AR202" s="49" t="s">
        <v>189</v>
      </c>
      <c r="AS202" s="50" t="s">
        <v>459</v>
      </c>
      <c r="AT202" s="49"/>
      <c r="AU202" s="50"/>
      <c r="AV202" s="49"/>
      <c r="AW202" s="50"/>
      <c r="AX202" s="49" t="s">
        <v>189</v>
      </c>
      <c r="AY202" s="50" t="s">
        <v>91</v>
      </c>
      <c r="AZ202" s="49"/>
      <c r="BA202" s="50"/>
      <c r="BB202" s="49"/>
      <c r="BC202" s="50"/>
      <c r="BD202" s="49"/>
      <c r="BE202" s="50"/>
      <c r="BF202" s="49"/>
      <c r="BG202" s="50"/>
      <c r="BH202" s="49" t="s">
        <v>5</v>
      </c>
      <c r="BI202" s="50" t="s">
        <v>136</v>
      </c>
      <c r="BJ202" s="49"/>
      <c r="BK202" s="50"/>
      <c r="BL202" s="49"/>
      <c r="BM202" s="50"/>
      <c r="BN202" s="49" t="s">
        <v>189</v>
      </c>
      <c r="BO202" s="50" t="s">
        <v>152</v>
      </c>
      <c r="BP202" s="49"/>
      <c r="BQ202" s="50" t="s">
        <v>96</v>
      </c>
      <c r="BR202" s="49" t="s">
        <v>5</v>
      </c>
      <c r="BS202" s="50" t="s">
        <v>140</v>
      </c>
      <c r="BT202" s="49"/>
      <c r="BU202" s="50"/>
      <c r="BV202" s="49" t="s">
        <v>189</v>
      </c>
      <c r="BW202" s="50" t="s">
        <v>108</v>
      </c>
      <c r="BX202" s="49"/>
      <c r="BY202" s="50"/>
      <c r="BZ202" s="49" t="s">
        <v>189</v>
      </c>
      <c r="CA202" s="50" t="s">
        <v>75</v>
      </c>
    </row>
    <row r="203" spans="1:79" x14ac:dyDescent="0.25">
      <c r="A203" s="76">
        <v>151672</v>
      </c>
      <c r="B203" s="77" t="s">
        <v>925</v>
      </c>
      <c r="C203" s="78" t="s">
        <v>721</v>
      </c>
      <c r="D203" s="76" t="s">
        <v>12</v>
      </c>
      <c r="E203" s="79" t="s">
        <v>14</v>
      </c>
      <c r="F203" s="79" t="s">
        <v>71</v>
      </c>
      <c r="G203" s="79" t="s">
        <v>14</v>
      </c>
      <c r="H203" s="79" t="s">
        <v>14</v>
      </c>
      <c r="I203" s="78" t="s">
        <v>14</v>
      </c>
      <c r="J203" s="79" t="s">
        <v>6</v>
      </c>
      <c r="K203" s="142" t="s">
        <v>1850</v>
      </c>
      <c r="L203" s="149" t="s">
        <v>1845</v>
      </c>
      <c r="M203" s="150" t="s">
        <v>12</v>
      </c>
      <c r="N203" s="151">
        <v>19</v>
      </c>
      <c r="O203" s="151">
        <v>5</v>
      </c>
      <c r="P203" s="152">
        <v>4</v>
      </c>
      <c r="Q203" s="153">
        <v>84.78</v>
      </c>
      <c r="R203" s="154">
        <v>5</v>
      </c>
      <c r="S203" s="38">
        <f t="shared" si="34"/>
        <v>1</v>
      </c>
      <c r="T203" s="39">
        <f t="shared" si="35"/>
        <v>5</v>
      </c>
      <c r="U203" s="40">
        <f t="shared" si="36"/>
        <v>1</v>
      </c>
      <c r="V203" s="40">
        <f t="shared" si="37"/>
        <v>1</v>
      </c>
      <c r="W203" s="40">
        <f t="shared" si="38"/>
        <v>1</v>
      </c>
      <c r="X203" s="40">
        <f t="shared" si="39"/>
        <v>3</v>
      </c>
      <c r="Y203" s="40">
        <f t="shared" si="40"/>
        <v>0</v>
      </c>
      <c r="Z203" s="40">
        <f t="shared" si="41"/>
        <v>0</v>
      </c>
      <c r="AA203" s="40">
        <f t="shared" si="42"/>
        <v>0</v>
      </c>
      <c r="AB203" s="40">
        <f t="shared" si="43"/>
        <v>0</v>
      </c>
      <c r="AC203" s="41">
        <f t="shared" si="44"/>
        <v>0</v>
      </c>
      <c r="AD203" s="49"/>
      <c r="AE203" s="50"/>
      <c r="AF203" s="49"/>
      <c r="AG203" s="50"/>
      <c r="AH203" s="49" t="s">
        <v>30</v>
      </c>
      <c r="AI203" s="50" t="s">
        <v>427</v>
      </c>
      <c r="AJ203" s="49"/>
      <c r="AK203" s="50"/>
      <c r="AL203" s="49"/>
      <c r="AM203" s="50"/>
      <c r="AN203" s="49"/>
      <c r="AO203" s="50"/>
      <c r="AP203" s="49"/>
      <c r="AQ203" s="50"/>
      <c r="AR203" s="49" t="s">
        <v>32</v>
      </c>
      <c r="AS203" s="50" t="s">
        <v>169</v>
      </c>
      <c r="AT203" s="49"/>
      <c r="AU203" s="50"/>
      <c r="AV203" s="49" t="s">
        <v>31</v>
      </c>
      <c r="AW203" s="50" t="s">
        <v>73</v>
      </c>
      <c r="AX203" s="49" t="s">
        <v>5</v>
      </c>
      <c r="AY203" s="50" t="s">
        <v>101</v>
      </c>
      <c r="AZ203" s="49" t="s">
        <v>5</v>
      </c>
      <c r="BA203" s="50" t="s">
        <v>84</v>
      </c>
      <c r="BB203" s="49"/>
      <c r="BC203" s="50"/>
      <c r="BD203" s="49"/>
      <c r="BE203" s="50"/>
      <c r="BF203" s="49"/>
      <c r="BG203" s="50"/>
      <c r="BH203" s="49" t="s">
        <v>1</v>
      </c>
      <c r="BI203" s="50" t="s">
        <v>94</v>
      </c>
      <c r="BJ203" s="49"/>
      <c r="BK203" s="50"/>
      <c r="BL203" s="49"/>
      <c r="BM203" s="50"/>
      <c r="BN203" s="49" t="s">
        <v>5</v>
      </c>
      <c r="BO203" s="50" t="s">
        <v>96</v>
      </c>
      <c r="BP203" s="49"/>
      <c r="BQ203" s="50"/>
      <c r="BR203" s="49"/>
      <c r="BS203" s="50"/>
      <c r="BT203" s="49"/>
      <c r="BU203" s="50"/>
      <c r="BV203" s="49" t="s">
        <v>5</v>
      </c>
      <c r="BW203" s="50" t="s">
        <v>82</v>
      </c>
      <c r="BX203" s="49" t="s">
        <v>5</v>
      </c>
      <c r="BY203" s="50" t="s">
        <v>206</v>
      </c>
      <c r="BZ203" s="49"/>
      <c r="CA203" s="50"/>
    </row>
    <row r="204" spans="1:79" ht="30" x14ac:dyDescent="0.25">
      <c r="A204" s="76">
        <v>151556</v>
      </c>
      <c r="B204" s="77" t="s">
        <v>926</v>
      </c>
      <c r="C204" s="78" t="s">
        <v>713</v>
      </c>
      <c r="D204" s="76" t="s">
        <v>70</v>
      </c>
      <c r="E204" s="79" t="s">
        <v>14</v>
      </c>
      <c r="F204" s="79" t="s">
        <v>71</v>
      </c>
      <c r="G204" s="79" t="s">
        <v>14</v>
      </c>
      <c r="H204" s="79" t="s">
        <v>14</v>
      </c>
      <c r="I204" s="78" t="s">
        <v>14</v>
      </c>
      <c r="J204" s="79" t="s">
        <v>14</v>
      </c>
      <c r="K204" s="142" t="s">
        <v>1850</v>
      </c>
      <c r="L204" s="149" t="s">
        <v>1846</v>
      </c>
      <c r="M204" s="150" t="s">
        <v>1853</v>
      </c>
      <c r="N204" s="151">
        <v>12</v>
      </c>
      <c r="O204" s="151">
        <v>0</v>
      </c>
      <c r="P204" s="152">
        <v>0</v>
      </c>
      <c r="Q204" s="153">
        <v>100</v>
      </c>
      <c r="R204" s="154">
        <v>0</v>
      </c>
      <c r="S204" s="38">
        <f t="shared" si="34"/>
        <v>4</v>
      </c>
      <c r="T204" s="39">
        <f t="shared" si="35"/>
        <v>5</v>
      </c>
      <c r="U204" s="40">
        <f t="shared" si="36"/>
        <v>0</v>
      </c>
      <c r="V204" s="40">
        <f t="shared" si="37"/>
        <v>0</v>
      </c>
      <c r="W204" s="40">
        <f t="shared" si="38"/>
        <v>0</v>
      </c>
      <c r="X204" s="40">
        <f t="shared" si="39"/>
        <v>0</v>
      </c>
      <c r="Y204" s="40">
        <f t="shared" si="40"/>
        <v>0</v>
      </c>
      <c r="Z204" s="40">
        <f t="shared" si="41"/>
        <v>0</v>
      </c>
      <c r="AA204" s="40">
        <f t="shared" si="42"/>
        <v>0</v>
      </c>
      <c r="AB204" s="40">
        <f t="shared" si="43"/>
        <v>0</v>
      </c>
      <c r="AC204" s="41">
        <f t="shared" si="44"/>
        <v>0</v>
      </c>
      <c r="AD204" s="49"/>
      <c r="AE204" s="50"/>
      <c r="AF204" s="49" t="s">
        <v>1</v>
      </c>
      <c r="AG204" s="50" t="s">
        <v>133</v>
      </c>
      <c r="AH204" s="49"/>
      <c r="AI204" s="50"/>
      <c r="AJ204" s="49" t="s">
        <v>5</v>
      </c>
      <c r="AK204" s="50" t="s">
        <v>137</v>
      </c>
      <c r="AL204" s="49"/>
      <c r="AM204" s="50"/>
      <c r="AN204" s="49"/>
      <c r="AO204" s="50"/>
      <c r="AP204" s="49"/>
      <c r="AQ204" s="50"/>
      <c r="AR204" s="49" t="s">
        <v>1</v>
      </c>
      <c r="AS204" s="50" t="s">
        <v>722</v>
      </c>
      <c r="AT204" s="49"/>
      <c r="AU204" s="50"/>
      <c r="AV204" s="49"/>
      <c r="AW204" s="50"/>
      <c r="AX204" s="49" t="s">
        <v>5</v>
      </c>
      <c r="AY204" s="50" t="s">
        <v>103</v>
      </c>
      <c r="AZ204" s="49"/>
      <c r="BA204" s="50"/>
      <c r="BB204" s="49"/>
      <c r="BC204" s="50"/>
      <c r="BD204" s="49"/>
      <c r="BE204" s="50"/>
      <c r="BF204" s="49"/>
      <c r="BG204" s="50"/>
      <c r="BH204" s="49" t="s">
        <v>1</v>
      </c>
      <c r="BI204" s="50" t="s">
        <v>106</v>
      </c>
      <c r="BJ204" s="49" t="s">
        <v>1</v>
      </c>
      <c r="BK204" s="50" t="s">
        <v>95</v>
      </c>
      <c r="BL204" s="49"/>
      <c r="BM204" s="50"/>
      <c r="BN204" s="49" t="s">
        <v>5</v>
      </c>
      <c r="BO204" s="50" t="s">
        <v>741</v>
      </c>
      <c r="BP204" s="49"/>
      <c r="BQ204" s="50"/>
      <c r="BR204" s="49" t="s">
        <v>5</v>
      </c>
      <c r="BS204" s="50" t="s">
        <v>98</v>
      </c>
      <c r="BT204" s="49"/>
      <c r="BU204" s="50"/>
      <c r="BV204" s="49" t="s">
        <v>5</v>
      </c>
      <c r="BW204" s="50" t="s">
        <v>108</v>
      </c>
      <c r="BX204" s="49"/>
      <c r="BY204" s="50"/>
      <c r="BZ204" s="49" t="s">
        <v>5</v>
      </c>
      <c r="CA204" s="50" t="s">
        <v>124</v>
      </c>
    </row>
    <row r="205" spans="1:79" s="155" customFormat="1" x14ac:dyDescent="0.25">
      <c r="A205" s="76">
        <v>151707</v>
      </c>
      <c r="B205" s="77" t="s">
        <v>927</v>
      </c>
      <c r="C205" s="78" t="s">
        <v>713</v>
      </c>
      <c r="D205" s="76" t="s">
        <v>12</v>
      </c>
      <c r="E205" s="79" t="s">
        <v>14</v>
      </c>
      <c r="F205" s="79" t="s">
        <v>71</v>
      </c>
      <c r="G205" s="79" t="s">
        <v>14</v>
      </c>
      <c r="H205" s="79" t="s">
        <v>14</v>
      </c>
      <c r="I205" s="78" t="s">
        <v>14</v>
      </c>
      <c r="J205" s="79" t="s">
        <v>14</v>
      </c>
      <c r="K205" s="142" t="s">
        <v>1851</v>
      </c>
      <c r="L205" s="149" t="s">
        <v>1844</v>
      </c>
      <c r="M205" s="150" t="s">
        <v>12</v>
      </c>
      <c r="N205" s="151">
        <v>8</v>
      </c>
      <c r="O205" s="151">
        <v>0</v>
      </c>
      <c r="P205" s="152">
        <v>4</v>
      </c>
      <c r="Q205" s="153">
        <v>84.78</v>
      </c>
      <c r="R205" s="154">
        <v>0</v>
      </c>
      <c r="S205" s="38">
        <f t="shared" si="34"/>
        <v>1</v>
      </c>
      <c r="T205" s="39">
        <f t="shared" si="35"/>
        <v>7</v>
      </c>
      <c r="U205" s="40">
        <f t="shared" si="36"/>
        <v>0</v>
      </c>
      <c r="V205" s="40">
        <f t="shared" si="37"/>
        <v>0</v>
      </c>
      <c r="W205" s="40">
        <f t="shared" si="38"/>
        <v>0</v>
      </c>
      <c r="X205" s="40">
        <f t="shared" si="39"/>
        <v>0</v>
      </c>
      <c r="Y205" s="40">
        <f t="shared" si="40"/>
        <v>0</v>
      </c>
      <c r="Z205" s="40">
        <f t="shared" si="41"/>
        <v>0</v>
      </c>
      <c r="AA205" s="40">
        <f t="shared" si="42"/>
        <v>0</v>
      </c>
      <c r="AB205" s="40">
        <f t="shared" si="43"/>
        <v>0</v>
      </c>
      <c r="AC205" s="41">
        <f t="shared" si="44"/>
        <v>0</v>
      </c>
      <c r="AD205" s="49"/>
      <c r="AE205" s="50"/>
      <c r="AF205" s="49"/>
      <c r="AG205" s="50"/>
      <c r="AH205" s="49"/>
      <c r="AI205" s="50"/>
      <c r="AJ205" s="49"/>
      <c r="AK205" s="50"/>
      <c r="AL205" s="49"/>
      <c r="AM205" s="50"/>
      <c r="AN205" s="49"/>
      <c r="AO205" s="50"/>
      <c r="AP205" s="49" t="s">
        <v>5</v>
      </c>
      <c r="AQ205" s="50" t="s">
        <v>101</v>
      </c>
      <c r="AR205" s="49" t="s">
        <v>5</v>
      </c>
      <c r="AS205" s="50" t="s">
        <v>74</v>
      </c>
      <c r="AT205" s="49"/>
      <c r="AU205" s="50"/>
      <c r="AV205" s="49"/>
      <c r="AW205" s="50"/>
      <c r="AX205" s="49" t="s">
        <v>5</v>
      </c>
      <c r="AY205" s="50" t="s">
        <v>103</v>
      </c>
      <c r="AZ205" s="49"/>
      <c r="BA205" s="50"/>
      <c r="BB205" s="49"/>
      <c r="BC205" s="50"/>
      <c r="BD205" s="49"/>
      <c r="BE205" s="50"/>
      <c r="BF205" s="49" t="s">
        <v>5</v>
      </c>
      <c r="BG205" s="50" t="s">
        <v>93</v>
      </c>
      <c r="BH205" s="49" t="s">
        <v>5</v>
      </c>
      <c r="BI205" s="50" t="s">
        <v>505</v>
      </c>
      <c r="BJ205" s="49"/>
      <c r="BK205" s="50"/>
      <c r="BL205" s="49"/>
      <c r="BM205" s="50"/>
      <c r="BN205" s="49" t="s">
        <v>1</v>
      </c>
      <c r="BO205" s="50" t="s">
        <v>96</v>
      </c>
      <c r="BP205" s="49"/>
      <c r="BQ205" s="50"/>
      <c r="BR205" s="49"/>
      <c r="BS205" s="50"/>
      <c r="BT205" s="49"/>
      <c r="BU205" s="50"/>
      <c r="BV205" s="49" t="s">
        <v>5</v>
      </c>
      <c r="BW205" s="50" t="s">
        <v>457</v>
      </c>
      <c r="BX205" s="49" t="s">
        <v>5</v>
      </c>
      <c r="BY205" s="50" t="s">
        <v>206</v>
      </c>
      <c r="BZ205" s="49" t="s">
        <v>32</v>
      </c>
      <c r="CA205" s="50" t="s">
        <v>75</v>
      </c>
    </row>
    <row r="206" spans="1:79" s="99" customFormat="1" x14ac:dyDescent="0.25">
      <c r="A206" s="76">
        <v>151620</v>
      </c>
      <c r="B206" s="77" t="s">
        <v>928</v>
      </c>
      <c r="C206" s="78" t="s">
        <v>736</v>
      </c>
      <c r="D206" s="76" t="s">
        <v>70</v>
      </c>
      <c r="E206" s="79" t="s">
        <v>14</v>
      </c>
      <c r="F206" s="79" t="s">
        <v>71</v>
      </c>
      <c r="G206" s="79" t="s">
        <v>14</v>
      </c>
      <c r="H206" s="79" t="s">
        <v>14</v>
      </c>
      <c r="I206" s="78" t="s">
        <v>14</v>
      </c>
      <c r="J206" s="79" t="s">
        <v>14</v>
      </c>
      <c r="K206" s="142" t="s">
        <v>1850</v>
      </c>
      <c r="L206" s="149" t="s">
        <v>1842</v>
      </c>
      <c r="M206" s="150" t="s">
        <v>1853</v>
      </c>
      <c r="N206" s="151">
        <v>8</v>
      </c>
      <c r="O206" s="151">
        <v>0</v>
      </c>
      <c r="P206" s="152">
        <v>0</v>
      </c>
      <c r="Q206" s="153">
        <v>86.96</v>
      </c>
      <c r="R206" s="154">
        <v>0</v>
      </c>
      <c r="S206" s="38">
        <f t="shared" si="34"/>
        <v>2</v>
      </c>
      <c r="T206" s="39">
        <f t="shared" si="35"/>
        <v>7</v>
      </c>
      <c r="U206" s="40">
        <f t="shared" si="36"/>
        <v>0</v>
      </c>
      <c r="V206" s="40">
        <f t="shared" si="37"/>
        <v>0</v>
      </c>
      <c r="W206" s="40">
        <f t="shared" si="38"/>
        <v>0</v>
      </c>
      <c r="X206" s="40">
        <f t="shared" si="39"/>
        <v>0</v>
      </c>
      <c r="Y206" s="40">
        <f t="shared" si="40"/>
        <v>0</v>
      </c>
      <c r="Z206" s="40">
        <f t="shared" si="41"/>
        <v>0</v>
      </c>
      <c r="AA206" s="40">
        <f t="shared" si="42"/>
        <v>0</v>
      </c>
      <c r="AB206" s="40">
        <f t="shared" si="43"/>
        <v>0</v>
      </c>
      <c r="AC206" s="41">
        <f t="shared" si="44"/>
        <v>0</v>
      </c>
      <c r="AD206" s="49"/>
      <c r="AE206" s="50"/>
      <c r="AF206" s="49" t="s">
        <v>5</v>
      </c>
      <c r="AG206" s="50" t="s">
        <v>133</v>
      </c>
      <c r="AH206" s="49"/>
      <c r="AI206" s="50"/>
      <c r="AJ206" s="49" t="s">
        <v>5</v>
      </c>
      <c r="AK206" s="50" t="s">
        <v>137</v>
      </c>
      <c r="AL206" s="49"/>
      <c r="AM206" s="50"/>
      <c r="AN206" s="49" t="s">
        <v>5</v>
      </c>
      <c r="AO206" s="50" t="s">
        <v>163</v>
      </c>
      <c r="AP206" s="49"/>
      <c r="AQ206" s="50"/>
      <c r="AR206" s="49" t="s">
        <v>1</v>
      </c>
      <c r="AS206" s="50" t="s">
        <v>478</v>
      </c>
      <c r="AT206" s="49"/>
      <c r="AU206" s="50"/>
      <c r="AV206" s="49"/>
      <c r="AW206" s="50"/>
      <c r="AX206" s="49" t="s">
        <v>5</v>
      </c>
      <c r="AY206" s="50" t="s">
        <v>91</v>
      </c>
      <c r="AZ206" s="49"/>
      <c r="BA206" s="50"/>
      <c r="BB206" s="49"/>
      <c r="BC206" s="50"/>
      <c r="BD206" s="49"/>
      <c r="BE206" s="50"/>
      <c r="BF206" s="49"/>
      <c r="BG206" s="50"/>
      <c r="BH206" s="49" t="s">
        <v>5</v>
      </c>
      <c r="BI206" s="50" t="s">
        <v>139</v>
      </c>
      <c r="BJ206" s="49"/>
      <c r="BK206" s="50"/>
      <c r="BL206" s="49"/>
      <c r="BM206" s="50"/>
      <c r="BN206" s="49" t="s">
        <v>1</v>
      </c>
      <c r="BO206" s="50" t="s">
        <v>81</v>
      </c>
      <c r="BP206" s="49"/>
      <c r="BQ206" s="50"/>
      <c r="BR206" s="49" t="s">
        <v>5</v>
      </c>
      <c r="BS206" s="50" t="s">
        <v>98</v>
      </c>
      <c r="BT206" s="49"/>
      <c r="BU206" s="50"/>
      <c r="BV206" s="49" t="s">
        <v>5</v>
      </c>
      <c r="BW206" s="50" t="s">
        <v>108</v>
      </c>
      <c r="BX206" s="49"/>
      <c r="BY206" s="50"/>
      <c r="BZ206" s="49" t="s">
        <v>1</v>
      </c>
      <c r="CA206" s="50" t="s">
        <v>75</v>
      </c>
    </row>
    <row r="207" spans="1:79" s="99" customFormat="1" x14ac:dyDescent="0.25">
      <c r="A207" s="76">
        <v>151660</v>
      </c>
      <c r="B207" s="77" t="s">
        <v>929</v>
      </c>
      <c r="C207" s="78" t="s">
        <v>730</v>
      </c>
      <c r="D207" s="76" t="s">
        <v>12</v>
      </c>
      <c r="E207" s="79" t="s">
        <v>87</v>
      </c>
      <c r="F207" s="79" t="s">
        <v>198</v>
      </c>
      <c r="G207" s="79" t="s">
        <v>87</v>
      </c>
      <c r="H207" s="79" t="s">
        <v>87</v>
      </c>
      <c r="I207" s="78" t="s">
        <v>14</v>
      </c>
      <c r="J207" s="79" t="s">
        <v>14</v>
      </c>
      <c r="K207" s="142" t="s">
        <v>1850</v>
      </c>
      <c r="L207" s="149" t="s">
        <v>1844</v>
      </c>
      <c r="M207" s="150" t="s">
        <v>12</v>
      </c>
      <c r="N207" s="151">
        <v>20</v>
      </c>
      <c r="O207" s="151">
        <v>2</v>
      </c>
      <c r="P207" s="152">
        <v>1</v>
      </c>
      <c r="Q207" s="153">
        <v>89.13</v>
      </c>
      <c r="R207" s="154">
        <v>10</v>
      </c>
      <c r="S207" s="38">
        <f t="shared" si="34"/>
        <v>0</v>
      </c>
      <c r="T207" s="39">
        <f t="shared" si="35"/>
        <v>8</v>
      </c>
      <c r="U207" s="40">
        <f t="shared" si="36"/>
        <v>2</v>
      </c>
      <c r="V207" s="40">
        <f t="shared" si="37"/>
        <v>0</v>
      </c>
      <c r="W207" s="40">
        <f t="shared" si="38"/>
        <v>0</v>
      </c>
      <c r="X207" s="40">
        <f t="shared" si="39"/>
        <v>2</v>
      </c>
      <c r="Y207" s="40">
        <f t="shared" si="40"/>
        <v>0</v>
      </c>
      <c r="Z207" s="40">
        <f t="shared" si="41"/>
        <v>0</v>
      </c>
      <c r="AA207" s="40">
        <f t="shared" si="42"/>
        <v>0</v>
      </c>
      <c r="AB207" s="40">
        <f t="shared" si="43"/>
        <v>0</v>
      </c>
      <c r="AC207" s="41">
        <f t="shared" si="44"/>
        <v>0</v>
      </c>
      <c r="AD207" s="49"/>
      <c r="AE207" s="50"/>
      <c r="AF207" s="49" t="s">
        <v>5</v>
      </c>
      <c r="AG207" s="50" t="s">
        <v>433</v>
      </c>
      <c r="AH207" s="49"/>
      <c r="AI207" s="50"/>
      <c r="AJ207" s="49" t="s">
        <v>5</v>
      </c>
      <c r="AK207" s="50" t="s">
        <v>714</v>
      </c>
      <c r="AL207" s="49"/>
      <c r="AM207" s="50"/>
      <c r="AN207" s="49"/>
      <c r="AO207" s="50"/>
      <c r="AP207" s="49"/>
      <c r="AQ207" s="50"/>
      <c r="AR207" s="49" t="s">
        <v>5</v>
      </c>
      <c r="AS207" s="50" t="s">
        <v>478</v>
      </c>
      <c r="AT207" s="49"/>
      <c r="AU207" s="50"/>
      <c r="AV207" s="49"/>
      <c r="AW207" s="50"/>
      <c r="AX207" s="49" t="s">
        <v>5</v>
      </c>
      <c r="AY207" s="50" t="s">
        <v>133</v>
      </c>
      <c r="AZ207" s="49" t="s">
        <v>5</v>
      </c>
      <c r="BA207" s="50" t="s">
        <v>143</v>
      </c>
      <c r="BB207" s="49"/>
      <c r="BC207" s="50"/>
      <c r="BD207" s="49"/>
      <c r="BE207" s="50"/>
      <c r="BF207" s="49"/>
      <c r="BG207" s="50"/>
      <c r="BH207" s="49" t="s">
        <v>30</v>
      </c>
      <c r="BI207" s="50" t="s">
        <v>505</v>
      </c>
      <c r="BJ207" s="49"/>
      <c r="BK207" s="50"/>
      <c r="BL207" s="49"/>
      <c r="BM207" s="50"/>
      <c r="BN207" s="49" t="s">
        <v>5</v>
      </c>
      <c r="BO207" s="50" t="s">
        <v>107</v>
      </c>
      <c r="BP207" s="49" t="s">
        <v>30</v>
      </c>
      <c r="BQ207" s="50" t="s">
        <v>96</v>
      </c>
      <c r="BR207" s="49" t="s">
        <v>5</v>
      </c>
      <c r="BS207" s="50" t="s">
        <v>123</v>
      </c>
      <c r="BT207" s="49"/>
      <c r="BU207" s="50"/>
      <c r="BV207" s="49" t="s">
        <v>5</v>
      </c>
      <c r="BW207" s="50" t="s">
        <v>715</v>
      </c>
      <c r="BX207" s="49"/>
      <c r="BY207" s="50"/>
      <c r="BZ207" s="49"/>
      <c r="CA207" s="50"/>
    </row>
    <row r="208" spans="1:79" s="99" customFormat="1" x14ac:dyDescent="0.25">
      <c r="A208" s="76">
        <v>151649</v>
      </c>
      <c r="B208" s="77" t="s">
        <v>930</v>
      </c>
      <c r="C208" s="78" t="s">
        <v>736</v>
      </c>
      <c r="D208" s="76" t="s">
        <v>70</v>
      </c>
      <c r="E208" s="79" t="s">
        <v>14</v>
      </c>
      <c r="F208" s="79" t="s">
        <v>71</v>
      </c>
      <c r="G208" s="79" t="s">
        <v>14</v>
      </c>
      <c r="H208" s="79" t="s">
        <v>14</v>
      </c>
      <c r="I208" s="78" t="s">
        <v>14</v>
      </c>
      <c r="J208" s="79" t="s">
        <v>14</v>
      </c>
      <c r="K208" s="142" t="s">
        <v>1850</v>
      </c>
      <c r="L208" s="149" t="s">
        <v>1848</v>
      </c>
      <c r="M208" s="150" t="s">
        <v>1852</v>
      </c>
      <c r="N208" s="151">
        <v>7</v>
      </c>
      <c r="O208" s="151">
        <v>0</v>
      </c>
      <c r="P208" s="152">
        <v>0</v>
      </c>
      <c r="Q208" s="153">
        <v>100</v>
      </c>
      <c r="R208" s="154">
        <v>0</v>
      </c>
      <c r="S208" s="38">
        <f t="shared" si="34"/>
        <v>0</v>
      </c>
      <c r="T208" s="39">
        <f t="shared" si="35"/>
        <v>8</v>
      </c>
      <c r="U208" s="40">
        <f t="shared" si="36"/>
        <v>0</v>
      </c>
      <c r="V208" s="40">
        <f t="shared" si="37"/>
        <v>0</v>
      </c>
      <c r="W208" s="40">
        <f t="shared" si="38"/>
        <v>0</v>
      </c>
      <c r="X208" s="40">
        <f t="shared" si="39"/>
        <v>0</v>
      </c>
      <c r="Y208" s="40">
        <f t="shared" si="40"/>
        <v>0</v>
      </c>
      <c r="Z208" s="40">
        <f t="shared" si="41"/>
        <v>0</v>
      </c>
      <c r="AA208" s="40">
        <f t="shared" si="42"/>
        <v>0</v>
      </c>
      <c r="AB208" s="40">
        <f t="shared" si="43"/>
        <v>0</v>
      </c>
      <c r="AC208" s="41">
        <f t="shared" si="44"/>
        <v>0</v>
      </c>
      <c r="AD208" s="49"/>
      <c r="AE208" s="50"/>
      <c r="AF208" s="49"/>
      <c r="AG208" s="50"/>
      <c r="AH208" s="49"/>
      <c r="AI208" s="50"/>
      <c r="AJ208" s="49"/>
      <c r="AK208" s="50"/>
      <c r="AL208" s="49"/>
      <c r="AM208" s="50"/>
      <c r="AN208" s="49"/>
      <c r="AO208" s="50"/>
      <c r="AP208" s="49"/>
      <c r="AQ208" s="50"/>
      <c r="AR208" s="49" t="s">
        <v>5</v>
      </c>
      <c r="AS208" s="50" t="s">
        <v>102</v>
      </c>
      <c r="AT208" s="49"/>
      <c r="AU208" s="50"/>
      <c r="AV208" s="49" t="s">
        <v>5</v>
      </c>
      <c r="AW208" s="50" t="s">
        <v>73</v>
      </c>
      <c r="AX208" s="49" t="s">
        <v>5</v>
      </c>
      <c r="AY208" s="50" t="s">
        <v>91</v>
      </c>
      <c r="AZ208" s="49"/>
      <c r="BA208" s="50"/>
      <c r="BB208" s="49"/>
      <c r="BC208" s="50"/>
      <c r="BD208" s="49" t="s">
        <v>5</v>
      </c>
      <c r="BE208" s="50" t="s">
        <v>436</v>
      </c>
      <c r="BF208" s="49"/>
      <c r="BG208" s="50"/>
      <c r="BH208" s="49" t="s">
        <v>5</v>
      </c>
      <c r="BI208" s="50" t="s">
        <v>430</v>
      </c>
      <c r="BJ208" s="49"/>
      <c r="BK208" s="50"/>
      <c r="BL208" s="49"/>
      <c r="BM208" s="50"/>
      <c r="BN208" s="49" t="s">
        <v>5</v>
      </c>
      <c r="BO208" s="50" t="s">
        <v>741</v>
      </c>
      <c r="BP208" s="49"/>
      <c r="BQ208" s="50"/>
      <c r="BR208" s="49"/>
      <c r="BS208" s="50"/>
      <c r="BT208" s="49"/>
      <c r="BU208" s="50"/>
      <c r="BV208" s="49" t="s">
        <v>5</v>
      </c>
      <c r="BW208" s="50" t="s">
        <v>97</v>
      </c>
      <c r="BX208" s="49" t="s">
        <v>5</v>
      </c>
      <c r="BY208" s="50" t="s">
        <v>206</v>
      </c>
      <c r="BZ208" s="49" t="s">
        <v>5</v>
      </c>
      <c r="CA208" s="50" t="s">
        <v>124</v>
      </c>
    </row>
    <row r="209" spans="1:79" s="156" customFormat="1" x14ac:dyDescent="0.25">
      <c r="A209" s="76">
        <v>151738</v>
      </c>
      <c r="B209" s="77" t="s">
        <v>931</v>
      </c>
      <c r="C209" s="78" t="s">
        <v>718</v>
      </c>
      <c r="D209" s="76" t="s">
        <v>70</v>
      </c>
      <c r="E209" s="79" t="s">
        <v>14</v>
      </c>
      <c r="F209" s="79" t="s">
        <v>71</v>
      </c>
      <c r="G209" s="79" t="s">
        <v>14</v>
      </c>
      <c r="H209" s="79" t="s">
        <v>14</v>
      </c>
      <c r="I209" s="78" t="s">
        <v>14</v>
      </c>
      <c r="J209" s="79" t="s">
        <v>14</v>
      </c>
      <c r="K209" s="142" t="s">
        <v>1850</v>
      </c>
      <c r="L209" s="149" t="s">
        <v>1842</v>
      </c>
      <c r="M209" s="150" t="s">
        <v>1853</v>
      </c>
      <c r="N209" s="151">
        <v>19</v>
      </c>
      <c r="O209" s="151">
        <v>3</v>
      </c>
      <c r="P209" s="152">
        <v>0</v>
      </c>
      <c r="Q209" s="153">
        <v>97.83</v>
      </c>
      <c r="R209" s="154">
        <v>0</v>
      </c>
      <c r="S209" s="38">
        <f t="shared" si="34"/>
        <v>3</v>
      </c>
      <c r="T209" s="39">
        <f t="shared" si="35"/>
        <v>6</v>
      </c>
      <c r="U209" s="40">
        <f t="shared" si="36"/>
        <v>1</v>
      </c>
      <c r="V209" s="40">
        <f t="shared" si="37"/>
        <v>0</v>
      </c>
      <c r="W209" s="40">
        <f t="shared" si="38"/>
        <v>0</v>
      </c>
      <c r="X209" s="40">
        <f t="shared" si="39"/>
        <v>1</v>
      </c>
      <c r="Y209" s="40">
        <f t="shared" si="40"/>
        <v>0</v>
      </c>
      <c r="Z209" s="40">
        <f t="shared" si="41"/>
        <v>0</v>
      </c>
      <c r="AA209" s="40">
        <f t="shared" si="42"/>
        <v>0</v>
      </c>
      <c r="AB209" s="40">
        <f t="shared" si="43"/>
        <v>0</v>
      </c>
      <c r="AC209" s="41">
        <f t="shared" si="44"/>
        <v>0</v>
      </c>
      <c r="AD209" s="49"/>
      <c r="AE209" s="50"/>
      <c r="AF209" s="49" t="s">
        <v>1</v>
      </c>
      <c r="AG209" s="50" t="s">
        <v>133</v>
      </c>
      <c r="AH209" s="49"/>
      <c r="AI209" s="50"/>
      <c r="AJ209" s="49" t="s">
        <v>5</v>
      </c>
      <c r="AK209" s="50" t="s">
        <v>137</v>
      </c>
      <c r="AL209" s="49"/>
      <c r="AM209" s="50"/>
      <c r="AN209" s="49"/>
      <c r="AO209" s="50"/>
      <c r="AP209" s="49"/>
      <c r="AQ209" s="50"/>
      <c r="AR209" s="49" t="s">
        <v>5</v>
      </c>
      <c r="AS209" s="50" t="s">
        <v>722</v>
      </c>
      <c r="AT209" s="49"/>
      <c r="AU209" s="50"/>
      <c r="AV209" s="49"/>
      <c r="AW209" s="50"/>
      <c r="AX209" s="49" t="s">
        <v>5</v>
      </c>
      <c r="AY209" s="50" t="s">
        <v>169</v>
      </c>
      <c r="AZ209" s="49" t="s">
        <v>5</v>
      </c>
      <c r="BA209" s="50" t="s">
        <v>84</v>
      </c>
      <c r="BB209" s="49"/>
      <c r="BC209" s="50"/>
      <c r="BD209" s="49"/>
      <c r="BE209" s="50"/>
      <c r="BF209" s="49"/>
      <c r="BG209" s="50"/>
      <c r="BH209" s="49" t="s">
        <v>5</v>
      </c>
      <c r="BI209" s="50" t="s">
        <v>139</v>
      </c>
      <c r="BJ209" s="49" t="s">
        <v>1</v>
      </c>
      <c r="BK209" s="50" t="s">
        <v>95</v>
      </c>
      <c r="BL209" s="49"/>
      <c r="BM209" s="50"/>
      <c r="BN209" s="49" t="s">
        <v>30</v>
      </c>
      <c r="BO209" s="50" t="s">
        <v>152</v>
      </c>
      <c r="BP209" s="49"/>
      <c r="BQ209" s="50"/>
      <c r="BR209" s="49" t="s">
        <v>5</v>
      </c>
      <c r="BS209" s="50" t="s">
        <v>98</v>
      </c>
      <c r="BT209" s="49"/>
      <c r="BU209" s="50"/>
      <c r="BV209" s="49" t="s">
        <v>1</v>
      </c>
      <c r="BW209" s="50" t="s">
        <v>495</v>
      </c>
      <c r="BX209" s="49"/>
      <c r="BY209" s="50"/>
      <c r="BZ209" s="49"/>
      <c r="CA209" s="50"/>
    </row>
    <row r="210" spans="1:79" x14ac:dyDescent="0.25">
      <c r="A210" s="76">
        <v>151606</v>
      </c>
      <c r="B210" s="77" t="s">
        <v>932</v>
      </c>
      <c r="C210" s="78" t="s">
        <v>730</v>
      </c>
      <c r="D210" s="76" t="s">
        <v>70</v>
      </c>
      <c r="E210" s="79" t="s">
        <v>87</v>
      </c>
      <c r="F210" s="79" t="s">
        <v>503</v>
      </c>
      <c r="G210" s="79" t="s">
        <v>14</v>
      </c>
      <c r="H210" s="79" t="s">
        <v>87</v>
      </c>
      <c r="I210" s="78" t="s">
        <v>14</v>
      </c>
      <c r="J210" s="79" t="s">
        <v>14</v>
      </c>
      <c r="K210" s="142" t="s">
        <v>1851</v>
      </c>
      <c r="L210" s="149" t="s">
        <v>1842</v>
      </c>
      <c r="M210" s="150" t="s">
        <v>12</v>
      </c>
      <c r="N210" s="151">
        <v>3</v>
      </c>
      <c r="O210" s="151">
        <v>4</v>
      </c>
      <c r="P210" s="152">
        <v>5</v>
      </c>
      <c r="Q210" s="153">
        <v>36.96</v>
      </c>
      <c r="R210" s="154">
        <v>6</v>
      </c>
      <c r="S210" s="38">
        <f t="shared" si="34"/>
        <v>0</v>
      </c>
      <c r="T210" s="39">
        <f t="shared" si="35"/>
        <v>5</v>
      </c>
      <c r="U210" s="40">
        <f t="shared" si="36"/>
        <v>1</v>
      </c>
      <c r="V210" s="40">
        <f t="shared" si="37"/>
        <v>1</v>
      </c>
      <c r="W210" s="40">
        <f t="shared" si="38"/>
        <v>1</v>
      </c>
      <c r="X210" s="40">
        <f t="shared" si="39"/>
        <v>3</v>
      </c>
      <c r="Y210" s="40">
        <f t="shared" si="40"/>
        <v>1</v>
      </c>
      <c r="Z210" s="40">
        <f t="shared" si="41"/>
        <v>0</v>
      </c>
      <c r="AA210" s="40">
        <f t="shared" si="42"/>
        <v>0</v>
      </c>
      <c r="AB210" s="40">
        <f t="shared" si="43"/>
        <v>1</v>
      </c>
      <c r="AC210" s="41">
        <f t="shared" si="44"/>
        <v>0</v>
      </c>
      <c r="AD210" s="49" t="s">
        <v>32</v>
      </c>
      <c r="AE210" s="50" t="s">
        <v>116</v>
      </c>
      <c r="AF210" s="49"/>
      <c r="AG210" s="50"/>
      <c r="AH210" s="49"/>
      <c r="AI210" s="50"/>
      <c r="AJ210" s="49"/>
      <c r="AK210" s="50"/>
      <c r="AL210" s="49"/>
      <c r="AM210" s="50"/>
      <c r="AN210" s="49"/>
      <c r="AO210" s="50"/>
      <c r="AP210" s="49"/>
      <c r="AQ210" s="50"/>
      <c r="AR210" s="49" t="s">
        <v>5</v>
      </c>
      <c r="AS210" s="50" t="s">
        <v>478</v>
      </c>
      <c r="AT210" s="49"/>
      <c r="AU210" s="50"/>
      <c r="AV210" s="49"/>
      <c r="AW210" s="50"/>
      <c r="AX210" s="49" t="s">
        <v>5</v>
      </c>
      <c r="AY210" s="50" t="s">
        <v>133</v>
      </c>
      <c r="AZ210" s="49" t="s">
        <v>5</v>
      </c>
      <c r="BA210" s="50" t="s">
        <v>84</v>
      </c>
      <c r="BB210" s="49"/>
      <c r="BC210" s="50"/>
      <c r="BD210" s="49"/>
      <c r="BE210" s="50"/>
      <c r="BF210" s="49" t="s">
        <v>31</v>
      </c>
      <c r="BG210" s="50" t="s">
        <v>93</v>
      </c>
      <c r="BH210" s="49" t="s">
        <v>30</v>
      </c>
      <c r="BI210" s="50" t="s">
        <v>430</v>
      </c>
      <c r="BJ210" s="49"/>
      <c r="BK210" s="50"/>
      <c r="BL210" s="49"/>
      <c r="BM210" s="50"/>
      <c r="BN210" s="49" t="s">
        <v>5</v>
      </c>
      <c r="BO210" s="50" t="s">
        <v>121</v>
      </c>
      <c r="BP210" s="49"/>
      <c r="BQ210" s="50"/>
      <c r="BR210" s="49"/>
      <c r="BS210" s="50"/>
      <c r="BT210" s="49"/>
      <c r="BU210" s="50"/>
      <c r="BV210" s="49" t="s">
        <v>5</v>
      </c>
      <c r="BW210" s="50" t="s">
        <v>108</v>
      </c>
      <c r="BX210" s="49" t="s">
        <v>34</v>
      </c>
      <c r="BY210" s="50" t="s">
        <v>206</v>
      </c>
      <c r="BZ210" s="49"/>
      <c r="CA210" s="50"/>
    </row>
    <row r="211" spans="1:79" x14ac:dyDescent="0.25">
      <c r="A211" s="76">
        <v>151657</v>
      </c>
      <c r="B211" s="77" t="s">
        <v>933</v>
      </c>
      <c r="C211" s="78" t="s">
        <v>721</v>
      </c>
      <c r="D211" s="76" t="s">
        <v>70</v>
      </c>
      <c r="E211" s="79" t="s">
        <v>14</v>
      </c>
      <c r="F211" s="79" t="s">
        <v>71</v>
      </c>
      <c r="G211" s="79" t="s">
        <v>14</v>
      </c>
      <c r="H211" s="79" t="s">
        <v>14</v>
      </c>
      <c r="I211" s="78" t="s">
        <v>14</v>
      </c>
      <c r="J211" s="79" t="s">
        <v>14</v>
      </c>
      <c r="K211" s="142" t="s">
        <v>1850</v>
      </c>
      <c r="L211" s="149" t="s">
        <v>1842</v>
      </c>
      <c r="M211" s="150" t="s">
        <v>1853</v>
      </c>
      <c r="N211" s="151">
        <v>14</v>
      </c>
      <c r="O211" s="151">
        <v>0</v>
      </c>
      <c r="P211" s="152">
        <v>1</v>
      </c>
      <c r="Q211" s="153">
        <v>100</v>
      </c>
      <c r="R211" s="154">
        <v>0</v>
      </c>
      <c r="S211" s="38">
        <f t="shared" si="34"/>
        <v>1</v>
      </c>
      <c r="T211" s="39">
        <f t="shared" si="35"/>
        <v>8</v>
      </c>
      <c r="U211" s="40">
        <f t="shared" si="36"/>
        <v>0</v>
      </c>
      <c r="V211" s="40">
        <f t="shared" si="37"/>
        <v>0</v>
      </c>
      <c r="W211" s="40">
        <f t="shared" si="38"/>
        <v>0</v>
      </c>
      <c r="X211" s="40">
        <f t="shared" si="39"/>
        <v>0</v>
      </c>
      <c r="Y211" s="40">
        <f t="shared" si="40"/>
        <v>0</v>
      </c>
      <c r="Z211" s="40">
        <f t="shared" si="41"/>
        <v>0</v>
      </c>
      <c r="AA211" s="40">
        <f t="shared" si="42"/>
        <v>0</v>
      </c>
      <c r="AB211" s="40">
        <f t="shared" si="43"/>
        <v>0</v>
      </c>
      <c r="AC211" s="41">
        <f t="shared" si="44"/>
        <v>0</v>
      </c>
      <c r="AD211" s="49"/>
      <c r="AE211" s="50"/>
      <c r="AF211" s="49"/>
      <c r="AG211" s="50"/>
      <c r="AH211" s="49"/>
      <c r="AI211" s="50"/>
      <c r="AJ211" s="49"/>
      <c r="AK211" s="50"/>
      <c r="AL211" s="49"/>
      <c r="AM211" s="50"/>
      <c r="AN211" s="49"/>
      <c r="AO211" s="50"/>
      <c r="AP211" s="49"/>
      <c r="AQ211" s="50"/>
      <c r="AR211" s="49" t="s">
        <v>5</v>
      </c>
      <c r="AS211" s="50" t="s">
        <v>194</v>
      </c>
      <c r="AT211" s="49"/>
      <c r="AU211" s="50"/>
      <c r="AV211" s="49"/>
      <c r="AW211" s="50"/>
      <c r="AX211" s="49" t="s">
        <v>5</v>
      </c>
      <c r="AY211" s="50" t="s">
        <v>101</v>
      </c>
      <c r="AZ211" s="49" t="s">
        <v>5</v>
      </c>
      <c r="BA211" s="50" t="s">
        <v>84</v>
      </c>
      <c r="BB211" s="49"/>
      <c r="BC211" s="50"/>
      <c r="BD211" s="49" t="s">
        <v>1</v>
      </c>
      <c r="BE211" s="50" t="s">
        <v>436</v>
      </c>
      <c r="BF211" s="49"/>
      <c r="BG211" s="50"/>
      <c r="BH211" s="49" t="s">
        <v>5</v>
      </c>
      <c r="BI211" s="50" t="s">
        <v>136</v>
      </c>
      <c r="BJ211" s="49"/>
      <c r="BK211" s="50"/>
      <c r="BL211" s="49" t="s">
        <v>5</v>
      </c>
      <c r="BM211" s="50" t="s">
        <v>89</v>
      </c>
      <c r="BN211" s="49" t="s">
        <v>5</v>
      </c>
      <c r="BO211" s="50" t="s">
        <v>152</v>
      </c>
      <c r="BP211" s="49"/>
      <c r="BQ211" s="50"/>
      <c r="BR211" s="49"/>
      <c r="BS211" s="50"/>
      <c r="BT211" s="49"/>
      <c r="BU211" s="50"/>
      <c r="BV211" s="49" t="s">
        <v>5</v>
      </c>
      <c r="BW211" s="50" t="s">
        <v>122</v>
      </c>
      <c r="BX211" s="49" t="s">
        <v>5</v>
      </c>
      <c r="BY211" s="50" t="s">
        <v>206</v>
      </c>
      <c r="BZ211" s="49"/>
      <c r="CA211" s="50"/>
    </row>
    <row r="212" spans="1:79" x14ac:dyDescent="0.25">
      <c r="A212" s="76">
        <v>151683</v>
      </c>
      <c r="B212" s="77" t="s">
        <v>934</v>
      </c>
      <c r="C212" s="78" t="s">
        <v>732</v>
      </c>
      <c r="D212" s="76" t="s">
        <v>70</v>
      </c>
      <c r="E212" s="79" t="s">
        <v>14</v>
      </c>
      <c r="F212" s="79" t="s">
        <v>71</v>
      </c>
      <c r="G212" s="79" t="s">
        <v>14</v>
      </c>
      <c r="H212" s="79" t="s">
        <v>14</v>
      </c>
      <c r="I212" s="78" t="s">
        <v>14</v>
      </c>
      <c r="J212" s="79" t="s">
        <v>14</v>
      </c>
      <c r="K212" s="142" t="s">
        <v>1851</v>
      </c>
      <c r="L212" s="149" t="s">
        <v>1842</v>
      </c>
      <c r="M212" s="150" t="s">
        <v>1853</v>
      </c>
      <c r="N212" s="151">
        <v>9</v>
      </c>
      <c r="O212" s="151">
        <v>0</v>
      </c>
      <c r="P212" s="152">
        <v>0</v>
      </c>
      <c r="Q212" s="153">
        <v>80.430000000000007</v>
      </c>
      <c r="R212" s="154">
        <v>0</v>
      </c>
      <c r="S212" s="38">
        <f t="shared" si="34"/>
        <v>1</v>
      </c>
      <c r="T212" s="39">
        <f t="shared" si="35"/>
        <v>8</v>
      </c>
      <c r="U212" s="40">
        <f t="shared" si="36"/>
        <v>0</v>
      </c>
      <c r="V212" s="40">
        <f t="shared" si="37"/>
        <v>0</v>
      </c>
      <c r="W212" s="40">
        <f t="shared" si="38"/>
        <v>0</v>
      </c>
      <c r="X212" s="40">
        <f t="shared" si="39"/>
        <v>0</v>
      </c>
      <c r="Y212" s="40">
        <f t="shared" si="40"/>
        <v>0</v>
      </c>
      <c r="Z212" s="40">
        <f t="shared" si="41"/>
        <v>0</v>
      </c>
      <c r="AA212" s="40">
        <f t="shared" si="42"/>
        <v>0</v>
      </c>
      <c r="AB212" s="40">
        <f t="shared" si="43"/>
        <v>0</v>
      </c>
      <c r="AC212" s="41">
        <f t="shared" si="44"/>
        <v>0</v>
      </c>
      <c r="AD212" s="49"/>
      <c r="AE212" s="50"/>
      <c r="AF212" s="49" t="s">
        <v>5</v>
      </c>
      <c r="AG212" s="50" t="s">
        <v>438</v>
      </c>
      <c r="AH212" s="49"/>
      <c r="AI212" s="50"/>
      <c r="AJ212" s="49" t="s">
        <v>5</v>
      </c>
      <c r="AK212" s="50" t="s">
        <v>83</v>
      </c>
      <c r="AL212" s="49"/>
      <c r="AM212" s="50"/>
      <c r="AN212" s="49"/>
      <c r="AO212" s="50"/>
      <c r="AP212" s="49"/>
      <c r="AQ212" s="50"/>
      <c r="AR212" s="49" t="s">
        <v>5</v>
      </c>
      <c r="AS212" s="50" t="s">
        <v>194</v>
      </c>
      <c r="AT212" s="49"/>
      <c r="AU212" s="50"/>
      <c r="AV212" s="49" t="s">
        <v>1</v>
      </c>
      <c r="AW212" s="50" t="s">
        <v>73</v>
      </c>
      <c r="AX212" s="49" t="s">
        <v>5</v>
      </c>
      <c r="AY212" s="50" t="s">
        <v>124</v>
      </c>
      <c r="AZ212" s="49"/>
      <c r="BA212" s="50"/>
      <c r="BB212" s="49"/>
      <c r="BC212" s="50"/>
      <c r="BD212" s="49"/>
      <c r="BE212" s="50"/>
      <c r="BF212" s="49"/>
      <c r="BG212" s="50"/>
      <c r="BH212" s="49" t="s">
        <v>5</v>
      </c>
      <c r="BI212" s="50" t="s">
        <v>106</v>
      </c>
      <c r="BJ212" s="49"/>
      <c r="BK212" s="50"/>
      <c r="BL212" s="49"/>
      <c r="BM212" s="50"/>
      <c r="BN212" s="49" t="s">
        <v>5</v>
      </c>
      <c r="BO212" s="50" t="s">
        <v>741</v>
      </c>
      <c r="BP212" s="49"/>
      <c r="BQ212" s="50"/>
      <c r="BR212" s="49" t="s">
        <v>5</v>
      </c>
      <c r="BS212" s="50" t="s">
        <v>123</v>
      </c>
      <c r="BT212" s="49"/>
      <c r="BU212" s="50"/>
      <c r="BV212" s="49" t="s">
        <v>5</v>
      </c>
      <c r="BW212" s="50" t="s">
        <v>122</v>
      </c>
      <c r="BX212" s="49"/>
      <c r="BY212" s="50"/>
      <c r="BZ212" s="49" t="s">
        <v>5</v>
      </c>
      <c r="CA212" s="50" t="s">
        <v>75</v>
      </c>
    </row>
    <row r="213" spans="1:79" x14ac:dyDescent="0.25">
      <c r="A213" s="76">
        <v>151702</v>
      </c>
      <c r="B213" s="77" t="s">
        <v>935</v>
      </c>
      <c r="C213" s="78" t="s">
        <v>721</v>
      </c>
      <c r="D213" s="76" t="s">
        <v>12</v>
      </c>
      <c r="E213" s="79" t="s">
        <v>14</v>
      </c>
      <c r="F213" s="79" t="s">
        <v>88</v>
      </c>
      <c r="G213" s="79" t="s">
        <v>14</v>
      </c>
      <c r="H213" s="79" t="s">
        <v>14</v>
      </c>
      <c r="I213" s="78" t="s">
        <v>14</v>
      </c>
      <c r="J213" s="79" t="s">
        <v>14</v>
      </c>
      <c r="K213" s="142" t="s">
        <v>1850</v>
      </c>
      <c r="L213" s="149" t="s">
        <v>1844</v>
      </c>
      <c r="M213" s="150" t="s">
        <v>12</v>
      </c>
      <c r="N213" s="151">
        <v>12</v>
      </c>
      <c r="O213" s="151">
        <v>0</v>
      </c>
      <c r="P213" s="152">
        <v>2</v>
      </c>
      <c r="Q213" s="153">
        <v>100</v>
      </c>
      <c r="R213" s="154">
        <v>0</v>
      </c>
      <c r="S213" s="38">
        <f t="shared" si="34"/>
        <v>2</v>
      </c>
      <c r="T213" s="39">
        <f t="shared" si="35"/>
        <v>7</v>
      </c>
      <c r="U213" s="40">
        <f t="shared" si="36"/>
        <v>0</v>
      </c>
      <c r="V213" s="40">
        <f t="shared" si="37"/>
        <v>0</v>
      </c>
      <c r="W213" s="40">
        <f t="shared" si="38"/>
        <v>0</v>
      </c>
      <c r="X213" s="40">
        <f t="shared" si="39"/>
        <v>0</v>
      </c>
      <c r="Y213" s="40">
        <f t="shared" si="40"/>
        <v>0</v>
      </c>
      <c r="Z213" s="40">
        <f t="shared" si="41"/>
        <v>0</v>
      </c>
      <c r="AA213" s="40">
        <f t="shared" si="42"/>
        <v>0</v>
      </c>
      <c r="AB213" s="40">
        <f t="shared" si="43"/>
        <v>0</v>
      </c>
      <c r="AC213" s="41">
        <f t="shared" si="44"/>
        <v>0</v>
      </c>
      <c r="AD213" s="49"/>
      <c r="AE213" s="50"/>
      <c r="AF213" s="49"/>
      <c r="AG213" s="50"/>
      <c r="AH213" s="49"/>
      <c r="AI213" s="50"/>
      <c r="AJ213" s="49"/>
      <c r="AK213" s="50"/>
      <c r="AL213" s="49"/>
      <c r="AM213" s="50"/>
      <c r="AN213" s="49"/>
      <c r="AO213" s="50"/>
      <c r="AP213" s="49"/>
      <c r="AQ213" s="50"/>
      <c r="AR213" s="49" t="s">
        <v>5</v>
      </c>
      <c r="AS213" s="50" t="s">
        <v>194</v>
      </c>
      <c r="AT213" s="49"/>
      <c r="AU213" s="50"/>
      <c r="AV213" s="49" t="s">
        <v>5</v>
      </c>
      <c r="AW213" s="50" t="s">
        <v>73</v>
      </c>
      <c r="AX213" s="49" t="s">
        <v>5</v>
      </c>
      <c r="AY213" s="50" t="s">
        <v>101</v>
      </c>
      <c r="AZ213" s="49" t="s">
        <v>5</v>
      </c>
      <c r="BA213" s="50" t="s">
        <v>143</v>
      </c>
      <c r="BB213" s="49"/>
      <c r="BC213" s="50"/>
      <c r="BD213" s="49"/>
      <c r="BE213" s="50"/>
      <c r="BF213" s="49" t="s">
        <v>5</v>
      </c>
      <c r="BG213" s="50" t="s">
        <v>93</v>
      </c>
      <c r="BH213" s="49" t="s">
        <v>5</v>
      </c>
      <c r="BI213" s="50" t="s">
        <v>430</v>
      </c>
      <c r="BJ213" s="49"/>
      <c r="BK213" s="50"/>
      <c r="BL213" s="49"/>
      <c r="BM213" s="50"/>
      <c r="BN213" s="49" t="s">
        <v>1</v>
      </c>
      <c r="BO213" s="50" t="s">
        <v>107</v>
      </c>
      <c r="BP213" s="49"/>
      <c r="BQ213" s="50"/>
      <c r="BR213" s="49"/>
      <c r="BS213" s="50"/>
      <c r="BT213" s="49"/>
      <c r="BU213" s="50"/>
      <c r="BV213" s="49" t="s">
        <v>1</v>
      </c>
      <c r="BW213" s="50" t="s">
        <v>457</v>
      </c>
      <c r="BX213" s="49" t="s">
        <v>5</v>
      </c>
      <c r="BY213" s="50" t="s">
        <v>206</v>
      </c>
      <c r="BZ213" s="49"/>
      <c r="CA213" s="50"/>
    </row>
    <row r="214" spans="1:79" x14ac:dyDescent="0.25">
      <c r="A214" s="76">
        <v>151574</v>
      </c>
      <c r="B214" s="77" t="s">
        <v>936</v>
      </c>
      <c r="C214" s="78" t="s">
        <v>713</v>
      </c>
      <c r="D214" s="76" t="s">
        <v>70</v>
      </c>
      <c r="E214" s="79" t="s">
        <v>14</v>
      </c>
      <c r="F214" s="79" t="s">
        <v>88</v>
      </c>
      <c r="G214" s="79" t="s">
        <v>87</v>
      </c>
      <c r="H214" s="79" t="s">
        <v>14</v>
      </c>
      <c r="I214" s="78" t="s">
        <v>14</v>
      </c>
      <c r="J214" s="79" t="s">
        <v>14</v>
      </c>
      <c r="K214" s="142" t="s">
        <v>1850</v>
      </c>
      <c r="L214" s="149" t="s">
        <v>1844</v>
      </c>
      <c r="M214" s="150" t="s">
        <v>12</v>
      </c>
      <c r="N214" s="151">
        <v>16</v>
      </c>
      <c r="O214" s="151">
        <v>0</v>
      </c>
      <c r="P214" s="152">
        <v>2</v>
      </c>
      <c r="Q214" s="153">
        <v>100</v>
      </c>
      <c r="R214" s="154">
        <v>0</v>
      </c>
      <c r="S214" s="38">
        <f t="shared" si="34"/>
        <v>3</v>
      </c>
      <c r="T214" s="39">
        <f t="shared" si="35"/>
        <v>6</v>
      </c>
      <c r="U214" s="40">
        <f t="shared" si="36"/>
        <v>0</v>
      </c>
      <c r="V214" s="40">
        <f t="shared" si="37"/>
        <v>0</v>
      </c>
      <c r="W214" s="40">
        <f t="shared" si="38"/>
        <v>0</v>
      </c>
      <c r="X214" s="40">
        <f t="shared" si="39"/>
        <v>0</v>
      </c>
      <c r="Y214" s="40">
        <f t="shared" si="40"/>
        <v>0</v>
      </c>
      <c r="Z214" s="40">
        <f t="shared" si="41"/>
        <v>0</v>
      </c>
      <c r="AA214" s="40">
        <f t="shared" si="42"/>
        <v>0</v>
      </c>
      <c r="AB214" s="40">
        <f t="shared" si="43"/>
        <v>0</v>
      </c>
      <c r="AC214" s="41">
        <f t="shared" si="44"/>
        <v>0</v>
      </c>
      <c r="AD214" s="49"/>
      <c r="AE214" s="50"/>
      <c r="AF214" s="49" t="s">
        <v>5</v>
      </c>
      <c r="AG214" s="50" t="s">
        <v>438</v>
      </c>
      <c r="AH214" s="49"/>
      <c r="AI214" s="50"/>
      <c r="AJ214" s="49" t="s">
        <v>5</v>
      </c>
      <c r="AK214" s="50" t="s">
        <v>83</v>
      </c>
      <c r="AL214" s="49"/>
      <c r="AM214" s="50"/>
      <c r="AN214" s="49"/>
      <c r="AO214" s="50"/>
      <c r="AP214" s="49"/>
      <c r="AQ214" s="50"/>
      <c r="AR214" s="49" t="s">
        <v>5</v>
      </c>
      <c r="AS214" s="50" t="s">
        <v>74</v>
      </c>
      <c r="AT214" s="49"/>
      <c r="AU214" s="50"/>
      <c r="AV214" s="49" t="s">
        <v>1</v>
      </c>
      <c r="AW214" s="50" t="s">
        <v>73</v>
      </c>
      <c r="AX214" s="49" t="s">
        <v>5</v>
      </c>
      <c r="AY214" s="50" t="s">
        <v>103</v>
      </c>
      <c r="AZ214" s="49"/>
      <c r="BA214" s="50"/>
      <c r="BB214" s="49"/>
      <c r="BC214" s="50"/>
      <c r="BD214" s="49"/>
      <c r="BE214" s="50"/>
      <c r="BF214" s="49"/>
      <c r="BG214" s="50"/>
      <c r="BH214" s="49" t="s">
        <v>1</v>
      </c>
      <c r="BI214" s="50" t="s">
        <v>106</v>
      </c>
      <c r="BJ214" s="49"/>
      <c r="BK214" s="50"/>
      <c r="BL214" s="49"/>
      <c r="BM214" s="50"/>
      <c r="BN214" s="49" t="s">
        <v>1</v>
      </c>
      <c r="BO214" s="50" t="s">
        <v>81</v>
      </c>
      <c r="BP214" s="49"/>
      <c r="BQ214" s="50"/>
      <c r="BR214" s="49" t="s">
        <v>5</v>
      </c>
      <c r="BS214" s="50" t="s">
        <v>123</v>
      </c>
      <c r="BT214" s="49"/>
      <c r="BU214" s="50"/>
      <c r="BV214" s="49" t="s">
        <v>5</v>
      </c>
      <c r="BW214" s="50" t="s">
        <v>82</v>
      </c>
      <c r="BX214" s="49"/>
      <c r="BY214" s="50"/>
      <c r="BZ214" s="49" t="s">
        <v>5</v>
      </c>
      <c r="CA214" s="50" t="s">
        <v>124</v>
      </c>
    </row>
    <row r="215" spans="1:79" x14ac:dyDescent="0.25">
      <c r="A215" s="76"/>
      <c r="B215" s="77"/>
      <c r="C215" s="78"/>
      <c r="D215" s="76"/>
      <c r="E215" s="79"/>
      <c r="F215" s="79"/>
      <c r="G215" s="79"/>
      <c r="H215" s="79"/>
      <c r="I215" s="78"/>
      <c r="J215" s="79"/>
      <c r="K215" s="142" t="s">
        <v>1406</v>
      </c>
      <c r="L215" s="149" t="s">
        <v>1406</v>
      </c>
      <c r="M215" s="150" t="s">
        <v>1406</v>
      </c>
      <c r="N215" s="151" t="s">
        <v>1406</v>
      </c>
      <c r="O215" s="151" t="s">
        <v>1406</v>
      </c>
      <c r="P215" s="152" t="s">
        <v>1406</v>
      </c>
      <c r="Q215" s="153"/>
      <c r="R215" s="154"/>
      <c r="S215" s="38">
        <f t="shared" si="34"/>
        <v>0</v>
      </c>
      <c r="T215" s="39">
        <f t="shared" si="35"/>
        <v>0</v>
      </c>
      <c r="U215" s="40">
        <f t="shared" si="36"/>
        <v>0</v>
      </c>
      <c r="V215" s="40">
        <f t="shared" si="37"/>
        <v>0</v>
      </c>
      <c r="W215" s="40">
        <f t="shared" si="38"/>
        <v>0</v>
      </c>
      <c r="X215" s="40">
        <f t="shared" si="39"/>
        <v>0</v>
      </c>
      <c r="Y215" s="40">
        <f t="shared" si="40"/>
        <v>0</v>
      </c>
      <c r="Z215" s="40">
        <f t="shared" si="41"/>
        <v>0</v>
      </c>
      <c r="AA215" s="40">
        <f t="shared" si="42"/>
        <v>0</v>
      </c>
      <c r="AB215" s="40">
        <f t="shared" si="43"/>
        <v>0</v>
      </c>
      <c r="AC215" s="41">
        <f t="shared" si="44"/>
        <v>0</v>
      </c>
      <c r="AD215" s="49"/>
      <c r="AE215" s="50"/>
      <c r="AF215" s="49"/>
      <c r="AG215" s="50"/>
      <c r="AH215" s="49"/>
      <c r="AI215" s="50"/>
      <c r="AJ215" s="49"/>
      <c r="AK215" s="50"/>
      <c r="AL215" s="49"/>
      <c r="AM215" s="50"/>
      <c r="AN215" s="49"/>
      <c r="AO215" s="50"/>
      <c r="AP215" s="49"/>
      <c r="AQ215" s="50"/>
      <c r="AR215" s="49"/>
      <c r="AS215" s="50"/>
      <c r="AT215" s="49"/>
      <c r="AU215" s="50"/>
      <c r="AV215" s="49"/>
      <c r="AW215" s="50"/>
      <c r="AX215" s="49"/>
      <c r="AY215" s="50"/>
      <c r="AZ215" s="49"/>
      <c r="BA215" s="50"/>
      <c r="BB215" s="49"/>
      <c r="BC215" s="50"/>
      <c r="BD215" s="49"/>
      <c r="BE215" s="50"/>
      <c r="BF215" s="49"/>
      <c r="BG215" s="50"/>
      <c r="BH215" s="49"/>
      <c r="BI215" s="50"/>
      <c r="BJ215" s="49"/>
      <c r="BK215" s="50"/>
      <c r="BL215" s="49"/>
      <c r="BM215" s="50"/>
      <c r="BN215" s="49"/>
      <c r="BO215" s="50"/>
      <c r="BP215" s="49"/>
      <c r="BQ215" s="50"/>
      <c r="BR215" s="49"/>
      <c r="BS215" s="50"/>
      <c r="BT215" s="49"/>
      <c r="BU215" s="50"/>
      <c r="BV215" s="49"/>
      <c r="BW215" s="50"/>
      <c r="BX215" s="49"/>
      <c r="BY215" s="50"/>
      <c r="BZ215" s="49"/>
      <c r="CA215" s="50"/>
    </row>
    <row r="216" spans="1:79" x14ac:dyDescent="0.25">
      <c r="A216" s="76"/>
      <c r="B216" s="77"/>
      <c r="C216" s="78"/>
      <c r="D216" s="76"/>
      <c r="E216" s="79"/>
      <c r="F216" s="79"/>
      <c r="G216" s="79"/>
      <c r="H216" s="79"/>
      <c r="I216" s="78"/>
      <c r="J216" s="79"/>
      <c r="K216" s="142" t="s">
        <v>1406</v>
      </c>
      <c r="L216" s="149" t="s">
        <v>1406</v>
      </c>
      <c r="M216" s="150" t="s">
        <v>1406</v>
      </c>
      <c r="N216" s="151" t="s">
        <v>1406</v>
      </c>
      <c r="O216" s="151" t="s">
        <v>1406</v>
      </c>
      <c r="P216" s="152"/>
      <c r="Q216" s="153"/>
      <c r="R216" s="154"/>
      <c r="S216" s="38">
        <f t="shared" si="34"/>
        <v>0</v>
      </c>
      <c r="T216" s="39">
        <f t="shared" si="35"/>
        <v>0</v>
      </c>
      <c r="U216" s="40">
        <f t="shared" si="36"/>
        <v>0</v>
      </c>
      <c r="V216" s="40">
        <f t="shared" si="37"/>
        <v>0</v>
      </c>
      <c r="W216" s="40">
        <f t="shared" si="38"/>
        <v>0</v>
      </c>
      <c r="X216" s="40">
        <f t="shared" si="39"/>
        <v>0</v>
      </c>
      <c r="Y216" s="40">
        <f t="shared" si="40"/>
        <v>0</v>
      </c>
      <c r="Z216" s="40">
        <f t="shared" si="41"/>
        <v>0</v>
      </c>
      <c r="AA216" s="40">
        <f t="shared" si="42"/>
        <v>0</v>
      </c>
      <c r="AB216" s="40">
        <f t="shared" si="43"/>
        <v>0</v>
      </c>
      <c r="AC216" s="41">
        <f t="shared" si="44"/>
        <v>0</v>
      </c>
    </row>
    <row r="217" spans="1:79" x14ac:dyDescent="0.25">
      <c r="A217" s="157"/>
      <c r="B217" s="158"/>
      <c r="C217" s="159"/>
      <c r="D217" s="157"/>
      <c r="E217" s="160"/>
      <c r="F217" s="160"/>
      <c r="G217" s="160"/>
      <c r="H217" s="160"/>
      <c r="I217" s="159"/>
      <c r="J217" s="160"/>
      <c r="K217" s="142" t="s">
        <v>1406</v>
      </c>
      <c r="L217" s="149" t="s">
        <v>1406</v>
      </c>
      <c r="M217" s="150" t="s">
        <v>1406</v>
      </c>
      <c r="N217" s="151" t="s">
        <v>1406</v>
      </c>
      <c r="O217" s="151" t="s">
        <v>1406</v>
      </c>
      <c r="P217" s="152"/>
      <c r="Q217" s="153"/>
      <c r="R217" s="154"/>
      <c r="S217" s="38">
        <f t="shared" si="34"/>
        <v>0</v>
      </c>
      <c r="T217" s="39">
        <f t="shared" si="35"/>
        <v>0</v>
      </c>
      <c r="U217" s="40">
        <f t="shared" si="36"/>
        <v>0</v>
      </c>
      <c r="V217" s="40">
        <f t="shared" si="37"/>
        <v>0</v>
      </c>
      <c r="W217" s="40">
        <f t="shared" si="38"/>
        <v>0</v>
      </c>
      <c r="X217" s="40">
        <f t="shared" si="39"/>
        <v>0</v>
      </c>
      <c r="Y217" s="40">
        <f t="shared" si="40"/>
        <v>0</v>
      </c>
      <c r="Z217" s="40">
        <f t="shared" si="41"/>
        <v>0</v>
      </c>
      <c r="AA217" s="40">
        <f t="shared" si="42"/>
        <v>0</v>
      </c>
      <c r="AB217" s="40">
        <f t="shared" si="43"/>
        <v>0</v>
      </c>
      <c r="AC217" s="41">
        <f t="shared" si="44"/>
        <v>0</v>
      </c>
    </row>
    <row r="218" spans="1:79" x14ac:dyDescent="0.25">
      <c r="A218" s="157"/>
      <c r="B218" s="158"/>
      <c r="C218" s="159"/>
      <c r="D218" s="157"/>
      <c r="E218" s="160"/>
      <c r="F218" s="160"/>
      <c r="G218" s="160"/>
      <c r="H218" s="160"/>
      <c r="I218" s="159"/>
      <c r="J218" s="160"/>
      <c r="K218" s="142" t="s">
        <v>1406</v>
      </c>
      <c r="L218" s="149" t="s">
        <v>1406</v>
      </c>
      <c r="M218" s="150" t="s">
        <v>1406</v>
      </c>
      <c r="N218" s="151" t="s">
        <v>1406</v>
      </c>
      <c r="O218" s="151" t="s">
        <v>1406</v>
      </c>
      <c r="P218" s="152"/>
      <c r="Q218" s="153"/>
      <c r="R218" s="154"/>
      <c r="S218" s="38">
        <f t="shared" si="34"/>
        <v>0</v>
      </c>
      <c r="T218" s="39">
        <f t="shared" si="35"/>
        <v>0</v>
      </c>
      <c r="U218" s="40">
        <f t="shared" si="36"/>
        <v>0</v>
      </c>
      <c r="V218" s="40">
        <f t="shared" si="37"/>
        <v>0</v>
      </c>
      <c r="W218" s="40">
        <f t="shared" si="38"/>
        <v>0</v>
      </c>
      <c r="X218" s="40">
        <f t="shared" si="39"/>
        <v>0</v>
      </c>
      <c r="Y218" s="40">
        <f t="shared" si="40"/>
        <v>0</v>
      </c>
      <c r="Z218" s="40">
        <f t="shared" si="41"/>
        <v>0</v>
      </c>
      <c r="AA218" s="40">
        <f t="shared" si="42"/>
        <v>0</v>
      </c>
      <c r="AB218" s="40">
        <f t="shared" si="43"/>
        <v>0</v>
      </c>
      <c r="AC218" s="41">
        <f t="shared" si="44"/>
        <v>0</v>
      </c>
    </row>
    <row r="219" spans="1:79" x14ac:dyDescent="0.25">
      <c r="A219" s="157"/>
      <c r="B219" s="158"/>
      <c r="C219" s="159"/>
      <c r="D219" s="157"/>
      <c r="E219" s="160"/>
      <c r="F219" s="160"/>
      <c r="G219" s="160"/>
      <c r="H219" s="160"/>
      <c r="I219" s="159"/>
      <c r="J219" s="160"/>
      <c r="K219" s="142" t="s">
        <v>1406</v>
      </c>
      <c r="L219" s="149" t="s">
        <v>1406</v>
      </c>
      <c r="M219" s="150" t="s">
        <v>1406</v>
      </c>
      <c r="N219" s="151" t="s">
        <v>1406</v>
      </c>
      <c r="O219" s="151" t="s">
        <v>1406</v>
      </c>
      <c r="P219" s="152"/>
      <c r="Q219" s="153"/>
      <c r="R219" s="154"/>
      <c r="S219" s="38">
        <f t="shared" si="34"/>
        <v>0</v>
      </c>
      <c r="T219" s="39">
        <f t="shared" si="35"/>
        <v>0</v>
      </c>
      <c r="U219" s="40">
        <f t="shared" si="36"/>
        <v>0</v>
      </c>
      <c r="V219" s="40">
        <f t="shared" si="37"/>
        <v>0</v>
      </c>
      <c r="W219" s="40">
        <f t="shared" si="38"/>
        <v>0</v>
      </c>
      <c r="X219" s="40">
        <f t="shared" si="39"/>
        <v>0</v>
      </c>
      <c r="Y219" s="40">
        <f t="shared" si="40"/>
        <v>0</v>
      </c>
      <c r="Z219" s="40">
        <f t="shared" si="41"/>
        <v>0</v>
      </c>
      <c r="AA219" s="40">
        <f t="shared" si="42"/>
        <v>0</v>
      </c>
      <c r="AB219" s="40">
        <f t="shared" si="43"/>
        <v>0</v>
      </c>
      <c r="AC219" s="41">
        <f t="shared" si="44"/>
        <v>0</v>
      </c>
    </row>
    <row r="220" spans="1:79" x14ac:dyDescent="0.25">
      <c r="A220" s="157"/>
      <c r="B220" s="158"/>
      <c r="C220" s="159"/>
      <c r="D220" s="157"/>
      <c r="E220" s="160"/>
      <c r="F220" s="160"/>
      <c r="G220" s="160"/>
      <c r="H220" s="160"/>
      <c r="I220" s="159"/>
      <c r="J220" s="160"/>
      <c r="K220" s="142" t="s">
        <v>1406</v>
      </c>
      <c r="L220" s="149" t="s">
        <v>1406</v>
      </c>
      <c r="M220" s="150" t="s">
        <v>1406</v>
      </c>
      <c r="N220" s="151" t="s">
        <v>1406</v>
      </c>
      <c r="O220" s="151" t="s">
        <v>1406</v>
      </c>
      <c r="P220" s="152"/>
      <c r="Q220" s="153"/>
      <c r="R220" s="154"/>
      <c r="S220" s="38">
        <f t="shared" si="34"/>
        <v>0</v>
      </c>
      <c r="T220" s="39">
        <f t="shared" si="35"/>
        <v>0</v>
      </c>
      <c r="U220" s="40">
        <f t="shared" si="36"/>
        <v>0</v>
      </c>
      <c r="V220" s="40">
        <f t="shared" si="37"/>
        <v>0</v>
      </c>
      <c r="W220" s="40">
        <f t="shared" si="38"/>
        <v>0</v>
      </c>
      <c r="X220" s="40">
        <f t="shared" si="39"/>
        <v>0</v>
      </c>
      <c r="Y220" s="40">
        <f t="shared" si="40"/>
        <v>0</v>
      </c>
      <c r="Z220" s="40">
        <f t="shared" si="41"/>
        <v>0</v>
      </c>
      <c r="AA220" s="40">
        <f t="shared" si="42"/>
        <v>0</v>
      </c>
      <c r="AB220" s="40">
        <f t="shared" si="43"/>
        <v>0</v>
      </c>
      <c r="AC220" s="41">
        <f t="shared" si="44"/>
        <v>0</v>
      </c>
    </row>
    <row r="221" spans="1:79" x14ac:dyDescent="0.25">
      <c r="A221" s="157"/>
      <c r="B221" s="158"/>
      <c r="C221" s="159"/>
      <c r="D221" s="157"/>
      <c r="E221" s="160"/>
      <c r="F221" s="160"/>
      <c r="G221" s="160"/>
      <c r="H221" s="160"/>
      <c r="I221" s="159"/>
      <c r="J221" s="160"/>
      <c r="K221" s="142" t="s">
        <v>1406</v>
      </c>
      <c r="L221" s="149" t="s">
        <v>1406</v>
      </c>
      <c r="M221" s="150" t="s">
        <v>1406</v>
      </c>
      <c r="N221" s="151" t="s">
        <v>1406</v>
      </c>
      <c r="O221" s="151" t="s">
        <v>1406</v>
      </c>
      <c r="P221" s="152"/>
      <c r="Q221" s="153"/>
      <c r="R221" s="154"/>
      <c r="S221" s="38">
        <f t="shared" si="34"/>
        <v>0</v>
      </c>
      <c r="T221" s="39">
        <f t="shared" si="35"/>
        <v>0</v>
      </c>
      <c r="U221" s="40">
        <f t="shared" si="36"/>
        <v>0</v>
      </c>
      <c r="V221" s="40">
        <f t="shared" si="37"/>
        <v>0</v>
      </c>
      <c r="W221" s="40">
        <f t="shared" si="38"/>
        <v>0</v>
      </c>
      <c r="X221" s="40">
        <f t="shared" si="39"/>
        <v>0</v>
      </c>
      <c r="Y221" s="40">
        <f t="shared" si="40"/>
        <v>0</v>
      </c>
      <c r="Z221" s="40">
        <f t="shared" si="41"/>
        <v>0</v>
      </c>
      <c r="AA221" s="40">
        <f t="shared" si="42"/>
        <v>0</v>
      </c>
      <c r="AB221" s="40">
        <f t="shared" si="43"/>
        <v>0</v>
      </c>
      <c r="AC221" s="41">
        <f t="shared" si="44"/>
        <v>0</v>
      </c>
    </row>
    <row r="222" spans="1:79" x14ac:dyDescent="0.25">
      <c r="A222" s="157"/>
      <c r="B222" s="158"/>
      <c r="C222" s="159"/>
      <c r="D222" s="157"/>
      <c r="E222" s="160"/>
      <c r="F222" s="160"/>
      <c r="G222" s="160"/>
      <c r="H222" s="160"/>
      <c r="I222" s="159"/>
      <c r="J222" s="160"/>
      <c r="K222" s="142" t="s">
        <v>1406</v>
      </c>
      <c r="L222" s="149" t="s">
        <v>1406</v>
      </c>
      <c r="M222" s="150" t="s">
        <v>1406</v>
      </c>
      <c r="N222" s="151" t="s">
        <v>1406</v>
      </c>
      <c r="O222" s="151" t="s">
        <v>1406</v>
      </c>
      <c r="P222" s="152"/>
      <c r="Q222" s="153"/>
      <c r="R222" s="154"/>
      <c r="S222" s="38">
        <f t="shared" si="34"/>
        <v>0</v>
      </c>
      <c r="T222" s="39">
        <f t="shared" si="35"/>
        <v>0</v>
      </c>
      <c r="U222" s="40">
        <f t="shared" si="36"/>
        <v>0</v>
      </c>
      <c r="V222" s="40">
        <f t="shared" si="37"/>
        <v>0</v>
      </c>
      <c r="W222" s="40">
        <f t="shared" si="38"/>
        <v>0</v>
      </c>
      <c r="X222" s="40">
        <f t="shared" si="39"/>
        <v>0</v>
      </c>
      <c r="Y222" s="40">
        <f t="shared" si="40"/>
        <v>0</v>
      </c>
      <c r="Z222" s="40">
        <f t="shared" si="41"/>
        <v>0</v>
      </c>
      <c r="AA222" s="40">
        <f t="shared" si="42"/>
        <v>0</v>
      </c>
      <c r="AB222" s="40">
        <f t="shared" si="43"/>
        <v>0</v>
      </c>
      <c r="AC222" s="41">
        <f t="shared" si="44"/>
        <v>0</v>
      </c>
    </row>
    <row r="223" spans="1:79" x14ac:dyDescent="0.25">
      <c r="A223" s="157"/>
      <c r="B223" s="158"/>
      <c r="C223" s="159"/>
      <c r="D223" s="157"/>
      <c r="E223" s="160"/>
      <c r="F223" s="160"/>
      <c r="G223" s="160"/>
      <c r="H223" s="160"/>
      <c r="I223" s="159"/>
      <c r="J223" s="160"/>
      <c r="K223" s="142" t="s">
        <v>1406</v>
      </c>
      <c r="L223" s="149" t="s">
        <v>1406</v>
      </c>
      <c r="M223" s="150" t="s">
        <v>1406</v>
      </c>
      <c r="N223" s="151" t="s">
        <v>1406</v>
      </c>
      <c r="O223" s="151" t="s">
        <v>1406</v>
      </c>
      <c r="P223" s="152"/>
      <c r="Q223" s="153"/>
      <c r="R223" s="154"/>
      <c r="S223" s="38">
        <f t="shared" si="34"/>
        <v>0</v>
      </c>
      <c r="T223" s="39">
        <f t="shared" si="35"/>
        <v>0</v>
      </c>
      <c r="U223" s="40">
        <f t="shared" si="36"/>
        <v>0</v>
      </c>
      <c r="V223" s="40">
        <f t="shared" si="37"/>
        <v>0</v>
      </c>
      <c r="W223" s="40">
        <f t="shared" si="38"/>
        <v>0</v>
      </c>
      <c r="X223" s="40">
        <f t="shared" si="39"/>
        <v>0</v>
      </c>
      <c r="Y223" s="40">
        <f t="shared" si="40"/>
        <v>0</v>
      </c>
      <c r="Z223" s="40">
        <f t="shared" si="41"/>
        <v>0</v>
      </c>
      <c r="AA223" s="40">
        <f t="shared" si="42"/>
        <v>0</v>
      </c>
      <c r="AB223" s="40">
        <f t="shared" si="43"/>
        <v>0</v>
      </c>
      <c r="AC223" s="41">
        <f t="shared" si="44"/>
        <v>0</v>
      </c>
    </row>
    <row r="224" spans="1:79" x14ac:dyDescent="0.25">
      <c r="A224" s="157"/>
      <c r="B224" s="158"/>
      <c r="C224" s="159"/>
      <c r="D224" s="157"/>
      <c r="E224" s="160"/>
      <c r="F224" s="160"/>
      <c r="G224" s="160"/>
      <c r="H224" s="160"/>
      <c r="I224" s="159"/>
      <c r="J224" s="160"/>
      <c r="K224" s="142" t="s">
        <v>1406</v>
      </c>
      <c r="L224" s="149" t="s">
        <v>1406</v>
      </c>
      <c r="M224" s="150" t="s">
        <v>1406</v>
      </c>
      <c r="N224" s="151" t="s">
        <v>1406</v>
      </c>
      <c r="O224" s="151" t="s">
        <v>1406</v>
      </c>
      <c r="P224" s="152"/>
      <c r="Q224" s="153"/>
      <c r="R224" s="154"/>
      <c r="S224" s="38">
        <f t="shared" si="34"/>
        <v>0</v>
      </c>
      <c r="T224" s="39">
        <f t="shared" si="35"/>
        <v>0</v>
      </c>
      <c r="U224" s="40">
        <f t="shared" si="36"/>
        <v>0</v>
      </c>
      <c r="V224" s="40">
        <f t="shared" si="37"/>
        <v>0</v>
      </c>
      <c r="W224" s="40">
        <f t="shared" si="38"/>
        <v>0</v>
      </c>
      <c r="X224" s="40">
        <f t="shared" si="39"/>
        <v>0</v>
      </c>
      <c r="Y224" s="40">
        <f t="shared" si="40"/>
        <v>0</v>
      </c>
      <c r="Z224" s="40">
        <f t="shared" si="41"/>
        <v>0</v>
      </c>
      <c r="AA224" s="40">
        <f t="shared" si="42"/>
        <v>0</v>
      </c>
      <c r="AB224" s="40">
        <f t="shared" si="43"/>
        <v>0</v>
      </c>
      <c r="AC224" s="41">
        <f t="shared" si="44"/>
        <v>0</v>
      </c>
    </row>
    <row r="225" spans="1:29" x14ac:dyDescent="0.25">
      <c r="A225" s="157"/>
      <c r="B225" s="158"/>
      <c r="C225" s="159"/>
      <c r="D225" s="157"/>
      <c r="E225" s="160"/>
      <c r="F225" s="160"/>
      <c r="G225" s="160"/>
      <c r="H225" s="160"/>
      <c r="I225" s="159"/>
      <c r="J225" s="160"/>
      <c r="K225" s="142" t="s">
        <v>1406</v>
      </c>
      <c r="L225" s="149" t="s">
        <v>1406</v>
      </c>
      <c r="M225" s="150" t="s">
        <v>1406</v>
      </c>
      <c r="N225" s="151" t="s">
        <v>1406</v>
      </c>
      <c r="O225" s="151" t="s">
        <v>1406</v>
      </c>
      <c r="P225" s="152"/>
      <c r="Q225" s="153"/>
      <c r="R225" s="154"/>
      <c r="S225" s="38">
        <f t="shared" si="34"/>
        <v>0</v>
      </c>
      <c r="T225" s="39">
        <f t="shared" si="35"/>
        <v>0</v>
      </c>
      <c r="U225" s="40">
        <f t="shared" si="36"/>
        <v>0</v>
      </c>
      <c r="V225" s="40">
        <f t="shared" si="37"/>
        <v>0</v>
      </c>
      <c r="W225" s="40">
        <f t="shared" si="38"/>
        <v>0</v>
      </c>
      <c r="X225" s="40">
        <f t="shared" si="39"/>
        <v>0</v>
      </c>
      <c r="Y225" s="40">
        <f t="shared" si="40"/>
        <v>0</v>
      </c>
      <c r="Z225" s="40">
        <f t="shared" si="41"/>
        <v>0</v>
      </c>
      <c r="AA225" s="40">
        <f t="shared" si="42"/>
        <v>0</v>
      </c>
      <c r="AB225" s="40">
        <f t="shared" si="43"/>
        <v>0</v>
      </c>
      <c r="AC225" s="41">
        <f t="shared" si="44"/>
        <v>0</v>
      </c>
    </row>
    <row r="226" spans="1:29" x14ac:dyDescent="0.25">
      <c r="A226" s="157"/>
      <c r="B226" s="158"/>
      <c r="C226" s="159"/>
      <c r="D226" s="157"/>
      <c r="E226" s="160"/>
      <c r="F226" s="160"/>
      <c r="G226" s="160"/>
      <c r="H226" s="160"/>
      <c r="I226" s="159"/>
      <c r="J226" s="160"/>
      <c r="K226" s="142" t="s">
        <v>1406</v>
      </c>
      <c r="L226" s="149" t="s">
        <v>1406</v>
      </c>
      <c r="M226" s="150" t="s">
        <v>1406</v>
      </c>
      <c r="N226" s="151" t="s">
        <v>1406</v>
      </c>
      <c r="O226" s="151" t="s">
        <v>1406</v>
      </c>
      <c r="P226" s="152"/>
      <c r="Q226" s="153"/>
      <c r="R226" s="154"/>
      <c r="S226" s="38">
        <f t="shared" si="34"/>
        <v>0</v>
      </c>
      <c r="T226" s="39">
        <f t="shared" si="35"/>
        <v>0</v>
      </c>
      <c r="U226" s="40">
        <f t="shared" si="36"/>
        <v>0</v>
      </c>
      <c r="V226" s="40">
        <f t="shared" si="37"/>
        <v>0</v>
      </c>
      <c r="W226" s="40">
        <f t="shared" si="38"/>
        <v>0</v>
      </c>
      <c r="X226" s="40">
        <f t="shared" si="39"/>
        <v>0</v>
      </c>
      <c r="Y226" s="40">
        <f t="shared" si="40"/>
        <v>0</v>
      </c>
      <c r="Z226" s="40">
        <f t="shared" si="41"/>
        <v>0</v>
      </c>
      <c r="AA226" s="40">
        <f t="shared" si="42"/>
        <v>0</v>
      </c>
      <c r="AB226" s="40">
        <f t="shared" si="43"/>
        <v>0</v>
      </c>
      <c r="AC226" s="41">
        <f t="shared" si="44"/>
        <v>0</v>
      </c>
    </row>
    <row r="227" spans="1:29" x14ac:dyDescent="0.25">
      <c r="A227" s="157"/>
      <c r="B227" s="158"/>
      <c r="C227" s="159"/>
      <c r="D227" s="157"/>
      <c r="E227" s="160"/>
      <c r="F227" s="160"/>
      <c r="G227" s="160"/>
      <c r="H227" s="160"/>
      <c r="I227" s="159"/>
      <c r="J227" s="160"/>
      <c r="K227" s="142" t="s">
        <v>1406</v>
      </c>
      <c r="L227" s="149" t="s">
        <v>1406</v>
      </c>
      <c r="M227" s="150" t="s">
        <v>1406</v>
      </c>
      <c r="N227" s="151" t="s">
        <v>1406</v>
      </c>
      <c r="O227" s="151" t="s">
        <v>1406</v>
      </c>
      <c r="P227" s="152"/>
      <c r="Q227" s="153"/>
      <c r="R227" s="154"/>
      <c r="S227" s="38">
        <f t="shared" si="34"/>
        <v>0</v>
      </c>
      <c r="T227" s="39">
        <f t="shared" si="35"/>
        <v>0</v>
      </c>
      <c r="U227" s="40">
        <f t="shared" si="36"/>
        <v>0</v>
      </c>
      <c r="V227" s="40">
        <f t="shared" si="37"/>
        <v>0</v>
      </c>
      <c r="W227" s="40">
        <f t="shared" si="38"/>
        <v>0</v>
      </c>
      <c r="X227" s="40">
        <f t="shared" si="39"/>
        <v>0</v>
      </c>
      <c r="Y227" s="40">
        <f t="shared" si="40"/>
        <v>0</v>
      </c>
      <c r="Z227" s="40">
        <f t="shared" si="41"/>
        <v>0</v>
      </c>
      <c r="AA227" s="40">
        <f t="shared" si="42"/>
        <v>0</v>
      </c>
      <c r="AB227" s="40">
        <f t="shared" si="43"/>
        <v>0</v>
      </c>
      <c r="AC227" s="41">
        <f t="shared" si="44"/>
        <v>0</v>
      </c>
    </row>
    <row r="228" spans="1:29" x14ac:dyDescent="0.25">
      <c r="A228" s="157"/>
      <c r="B228" s="158"/>
      <c r="C228" s="159"/>
      <c r="D228" s="157"/>
      <c r="E228" s="160"/>
      <c r="F228" s="160"/>
      <c r="G228" s="160"/>
      <c r="H228" s="160"/>
      <c r="I228" s="159"/>
      <c r="J228" s="160"/>
      <c r="K228" s="142" t="s">
        <v>1406</v>
      </c>
      <c r="L228" s="149" t="s">
        <v>1406</v>
      </c>
      <c r="M228" s="150" t="s">
        <v>1406</v>
      </c>
      <c r="N228" s="151" t="s">
        <v>1406</v>
      </c>
      <c r="O228" s="151" t="s">
        <v>1406</v>
      </c>
      <c r="P228" s="152"/>
      <c r="Q228" s="153"/>
      <c r="R228" s="154"/>
      <c r="S228" s="38">
        <f t="shared" si="34"/>
        <v>0</v>
      </c>
      <c r="T228" s="39">
        <f t="shared" si="35"/>
        <v>0</v>
      </c>
      <c r="U228" s="40">
        <f t="shared" si="36"/>
        <v>0</v>
      </c>
      <c r="V228" s="40">
        <f t="shared" si="37"/>
        <v>0</v>
      </c>
      <c r="W228" s="40">
        <f t="shared" si="38"/>
        <v>0</v>
      </c>
      <c r="X228" s="40">
        <f t="shared" si="39"/>
        <v>0</v>
      </c>
      <c r="Y228" s="40">
        <f t="shared" si="40"/>
        <v>0</v>
      </c>
      <c r="Z228" s="40">
        <f t="shared" si="41"/>
        <v>0</v>
      </c>
      <c r="AA228" s="40">
        <f t="shared" si="42"/>
        <v>0</v>
      </c>
      <c r="AB228" s="40">
        <f t="shared" si="43"/>
        <v>0</v>
      </c>
      <c r="AC228" s="41">
        <f t="shared" si="44"/>
        <v>0</v>
      </c>
    </row>
    <row r="229" spans="1:29" x14ac:dyDescent="0.25">
      <c r="A229" s="157"/>
      <c r="B229" s="158"/>
      <c r="C229" s="159"/>
      <c r="D229" s="157"/>
      <c r="E229" s="160"/>
      <c r="F229" s="160"/>
      <c r="G229" s="160"/>
      <c r="H229" s="160"/>
      <c r="I229" s="159"/>
      <c r="J229" s="160"/>
      <c r="K229" s="142" t="s">
        <v>1406</v>
      </c>
      <c r="L229" s="149" t="s">
        <v>1406</v>
      </c>
      <c r="M229" s="150" t="s">
        <v>1406</v>
      </c>
      <c r="N229" s="151" t="s">
        <v>1406</v>
      </c>
      <c r="O229" s="151" t="s">
        <v>1406</v>
      </c>
      <c r="P229" s="152"/>
      <c r="Q229" s="153"/>
      <c r="R229" s="154"/>
      <c r="S229" s="38">
        <f t="shared" si="34"/>
        <v>0</v>
      </c>
      <c r="T229" s="39">
        <f t="shared" si="35"/>
        <v>0</v>
      </c>
      <c r="U229" s="40">
        <f t="shared" si="36"/>
        <v>0</v>
      </c>
      <c r="V229" s="40">
        <f t="shared" si="37"/>
        <v>0</v>
      </c>
      <c r="W229" s="40">
        <f t="shared" si="38"/>
        <v>0</v>
      </c>
      <c r="X229" s="40">
        <f t="shared" si="39"/>
        <v>0</v>
      </c>
      <c r="Y229" s="40">
        <f t="shared" si="40"/>
        <v>0</v>
      </c>
      <c r="Z229" s="40">
        <f t="shared" si="41"/>
        <v>0</v>
      </c>
      <c r="AA229" s="40">
        <f t="shared" si="42"/>
        <v>0</v>
      </c>
      <c r="AB229" s="40">
        <f t="shared" si="43"/>
        <v>0</v>
      </c>
      <c r="AC229" s="41">
        <f t="shared" si="44"/>
        <v>0</v>
      </c>
    </row>
    <row r="230" spans="1:29" x14ac:dyDescent="0.25">
      <c r="A230" s="157"/>
      <c r="B230" s="158"/>
      <c r="C230" s="159"/>
      <c r="D230" s="157"/>
      <c r="E230" s="160"/>
      <c r="F230" s="160"/>
      <c r="G230" s="160"/>
      <c r="H230" s="160"/>
      <c r="I230" s="159"/>
      <c r="J230" s="160"/>
      <c r="K230" s="142" t="s">
        <v>1406</v>
      </c>
      <c r="L230" s="149" t="s">
        <v>1406</v>
      </c>
      <c r="M230" s="150" t="s">
        <v>1406</v>
      </c>
      <c r="N230" s="151" t="s">
        <v>1406</v>
      </c>
      <c r="O230" s="151" t="s">
        <v>1406</v>
      </c>
      <c r="P230" s="152"/>
      <c r="Q230" s="153"/>
      <c r="R230" s="154"/>
      <c r="S230" s="38">
        <f t="shared" si="34"/>
        <v>0</v>
      </c>
      <c r="T230" s="39">
        <f t="shared" si="35"/>
        <v>0</v>
      </c>
      <c r="U230" s="40">
        <f t="shared" si="36"/>
        <v>0</v>
      </c>
      <c r="V230" s="40">
        <f t="shared" si="37"/>
        <v>0</v>
      </c>
      <c r="W230" s="40">
        <f t="shared" si="38"/>
        <v>0</v>
      </c>
      <c r="X230" s="40">
        <f t="shared" si="39"/>
        <v>0</v>
      </c>
      <c r="Y230" s="40">
        <f t="shared" si="40"/>
        <v>0</v>
      </c>
      <c r="Z230" s="40">
        <f t="shared" si="41"/>
        <v>0</v>
      </c>
      <c r="AA230" s="40">
        <f t="shared" si="42"/>
        <v>0</v>
      </c>
      <c r="AB230" s="40">
        <f t="shared" si="43"/>
        <v>0</v>
      </c>
      <c r="AC230" s="41">
        <f t="shared" si="44"/>
        <v>0</v>
      </c>
    </row>
    <row r="231" spans="1:29" x14ac:dyDescent="0.25">
      <c r="A231" s="157"/>
      <c r="B231" s="158"/>
      <c r="C231" s="159"/>
      <c r="D231" s="157"/>
      <c r="E231" s="160"/>
      <c r="F231" s="160"/>
      <c r="G231" s="160"/>
      <c r="H231" s="160"/>
      <c r="I231" s="159"/>
      <c r="J231" s="160"/>
      <c r="K231" s="142" t="s">
        <v>1406</v>
      </c>
      <c r="L231" s="149" t="s">
        <v>1406</v>
      </c>
      <c r="M231" s="150" t="s">
        <v>1406</v>
      </c>
      <c r="N231" s="151" t="s">
        <v>1406</v>
      </c>
      <c r="O231" s="151" t="s">
        <v>1406</v>
      </c>
      <c r="P231" s="152"/>
      <c r="Q231" s="153"/>
      <c r="R231" s="154"/>
      <c r="S231" s="38">
        <f t="shared" si="34"/>
        <v>0</v>
      </c>
      <c r="T231" s="39">
        <f t="shared" si="35"/>
        <v>0</v>
      </c>
      <c r="U231" s="40">
        <f t="shared" si="36"/>
        <v>0</v>
      </c>
      <c r="V231" s="40">
        <f t="shared" si="37"/>
        <v>0</v>
      </c>
      <c r="W231" s="40">
        <f t="shared" si="38"/>
        <v>0</v>
      </c>
      <c r="X231" s="40">
        <f t="shared" si="39"/>
        <v>0</v>
      </c>
      <c r="Y231" s="40">
        <f t="shared" si="40"/>
        <v>0</v>
      </c>
      <c r="Z231" s="40">
        <f t="shared" si="41"/>
        <v>0</v>
      </c>
      <c r="AA231" s="40">
        <f t="shared" si="42"/>
        <v>0</v>
      </c>
      <c r="AB231" s="40">
        <f t="shared" si="43"/>
        <v>0</v>
      </c>
      <c r="AC231" s="41">
        <f t="shared" si="44"/>
        <v>0</v>
      </c>
    </row>
  </sheetData>
  <sheetProtection sort="0" autoFilter="0"/>
  <autoFilter ref="A1:CA231" xr:uid="{00000000-0009-0000-0000-000002000000}"/>
  <conditionalFormatting sqref="O2:O212">
    <cfRule type="top10" dxfId="170" priority="49" stopIfTrue="1" percent="1" rank="10"/>
  </conditionalFormatting>
  <conditionalFormatting sqref="P2:P212">
    <cfRule type="top10" dxfId="169" priority="48" stopIfTrue="1" percent="1" rank="10"/>
  </conditionalFormatting>
  <conditionalFormatting sqref="N1:N212 N232:N1048576">
    <cfRule type="top10" dxfId="168" priority="47" percent="1" rank="10"/>
  </conditionalFormatting>
  <conditionalFormatting sqref="L2:L212">
    <cfRule type="cellIs" dxfId="167" priority="43" stopIfTrue="1" operator="equal">
      <formula>"B"</formula>
    </cfRule>
    <cfRule type="cellIs" dxfId="166" priority="44" stopIfTrue="1" operator="equal">
      <formula>"S"</formula>
    </cfRule>
    <cfRule type="cellIs" dxfId="165" priority="45" stopIfTrue="1" operator="equal">
      <formula>"G"</formula>
    </cfRule>
    <cfRule type="cellIs" dxfId="164" priority="46" stopIfTrue="1" operator="equal">
      <formula>"M"</formula>
    </cfRule>
  </conditionalFormatting>
  <conditionalFormatting sqref="Q1:Q212 Q232:Q104857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1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52">
    <cfRule type="top10" dxfId="163" priority="40" percent="1" rank="10"/>
  </conditionalFormatting>
  <conditionalFormatting sqref="U2:U252">
    <cfRule type="top10" dxfId="162" priority="39" rank="10"/>
  </conditionalFormatting>
  <conditionalFormatting sqref="O213:O231">
    <cfRule type="top10" dxfId="161" priority="38" stopIfTrue="1" percent="1" rank="10"/>
  </conditionalFormatting>
  <conditionalFormatting sqref="P213:P231">
    <cfRule type="top10" dxfId="160" priority="37" stopIfTrue="1" percent="1" rank="10"/>
  </conditionalFormatting>
  <conditionalFormatting sqref="N213:N231">
    <cfRule type="top10" dxfId="159" priority="36" percent="1" rank="10"/>
  </conditionalFormatting>
  <conditionalFormatting sqref="L213:L231">
    <cfRule type="cellIs" dxfId="158" priority="32" stopIfTrue="1" operator="equal">
      <formula>"B"</formula>
    </cfRule>
    <cfRule type="cellIs" dxfId="157" priority="33" stopIfTrue="1" operator="equal">
      <formula>"S"</formula>
    </cfRule>
    <cfRule type="cellIs" dxfId="156" priority="34" stopIfTrue="1" operator="equal">
      <formula>"G"</formula>
    </cfRule>
    <cfRule type="cellIs" dxfId="155" priority="35" stopIfTrue="1" operator="equal">
      <formula>"M"</formula>
    </cfRule>
  </conditionalFormatting>
  <conditionalFormatting sqref="Q213:Q23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3:R23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2:AC252 V2:W231 Y2:AA231">
    <cfRule type="top10" dxfId="154" priority="50" rank="10"/>
  </conditionalFormatting>
  <conditionalFormatting sqref="X2:X231">
    <cfRule type="top10" dxfId="153" priority="29" rank="10"/>
  </conditionalFormatting>
  <conditionalFormatting sqref="AB2:AB231">
    <cfRule type="top10" dxfId="152" priority="28" rank="10"/>
  </conditionalFormatting>
  <conditionalFormatting sqref="A232:AC1048576 CB1:XFD1048576 A1:AB231">
    <cfRule type="containsText" dxfId="149" priority="10" operator="containsText" text="Serious Concern still">
      <formula>NOT(ISERROR(SEARCH("Serious Concern still",A1)))</formula>
    </cfRule>
    <cfRule type="containsText" dxfId="148" priority="11" operator="containsText" text="N2Improve still">
      <formula>NOT(ISERROR(SEARCH("N2Improve still",A1)))</formula>
    </cfRule>
  </conditionalFormatting>
  <conditionalFormatting sqref="AD2:AD1048576 AF2:AF1048576 AH2:AH1048576 AJ2:AJ1048576 AL2:AL1048576 AN2:AN1048576 AP2:AP1048576 AR2:AR1048576 AT2:AT1048576 AV2:AV1048576 AX2:AX1048576 AZ2:AZ1048576 BB2:BB1048576 BD2:BD1048576 BF2:BF1048576 BH2:BH1048576 BJ2:BJ1048576 BL2:BL1048576 BN2:BN1048576 BP2:BP1048576 BR2:BR1048576 BT2:BT1048576 BV2:BV1048576 BX2:BX1048576 BZ2:BZ1048576">
    <cfRule type="containsText" dxfId="72" priority="8" operator="containsText" text="Serious">
      <formula>NOT(ISERROR(SEARCH("Serious",AD2)))</formula>
    </cfRule>
    <cfRule type="containsText" dxfId="71" priority="9" operator="containsText" text="2">
      <formula>NOT(ISERROR(SEARCH("2",AD2)))</formula>
    </cfRule>
  </conditionalFormatting>
  <conditionalFormatting sqref="AD1:CA1048576">
    <cfRule type="containsText" dxfId="70" priority="3" operator="containsText" text="fixed">
      <formula>NOT(ISERROR(SEARCH("fixed",AD1)))</formula>
    </cfRule>
    <cfRule type="cellIs" dxfId="69" priority="6" operator="equal">
      <formula>"Serious Concern still"</formula>
    </cfRule>
    <cfRule type="cellIs" dxfId="68" priority="7" operator="equal">
      <formula>"N2Improve still"</formula>
    </cfRule>
  </conditionalFormatting>
  <conditionalFormatting sqref="AD1:CA1048576">
    <cfRule type="containsText" dxfId="67" priority="4" operator="containsText" text="Serious Concern still">
      <formula>NOT(ISERROR(SEARCH("Serious Concern still",AD1)))</formula>
    </cfRule>
    <cfRule type="containsText" dxfId="66" priority="5" operator="containsText" text="N2Improve still">
      <formula>NOT(ISERROR(SEARCH("N2Improve still",AD1)))</formula>
    </cfRule>
  </conditionalFormatting>
  <conditionalFormatting sqref="AC1">
    <cfRule type="cellIs" dxfId="45" priority="1" operator="equal">
      <formula>"Serious Concern still"</formula>
    </cfRule>
    <cfRule type="cellIs" dxfId="44" priority="2" operator="equal">
      <formula>"N2Improve still"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133C51-B22D-450C-A478-7ACEA5046BD1}">
          <x14:formula1>
            <xm:f>Lookups!$A$1:$A$8</xm:f>
          </x14:formula1>
          <xm:sqref>AD1:AD1048576 AF1:AF1048576 AH1:AH1048576 AJ1:AJ1048576 AL1:AL1048576 AN1:AN1048576 AP1:AP1048576 AR1:AR1048576 AT1:AT1048576 AV1:AV1048576 AX1:AX1048576 AZ1:AZ1048576 BB1:BB1048576 BD1:BD1048576 BF1:BF1048576 BH1:BH1048576 BJ1:BJ1048576 BL1:BL1048576 BN1:BN1048576 BP1:BP1048576 BR1:BR1048576 BT1:BT1048576 BV1:BV1048576 BX1:BX1048576 BZ1:BZ1048576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922A-A2D1-4214-ABDA-3F64EBC2D3DD}">
  <sheetPr codeName="Sheet2"/>
  <dimension ref="A1:CA231"/>
  <sheetViews>
    <sheetView zoomScale="70" zoomScaleNormal="70" workbookViewId="0">
      <pane xSplit="27" ySplit="1" topLeftCell="AU2" activePane="bottomRight" state="frozen"/>
      <selection activeCell="B27" sqref="B27"/>
      <selection pane="topRight" activeCell="B27" sqref="B27"/>
      <selection pane="bottomLeft" activeCell="B27" sqref="B27"/>
      <selection pane="bottomRight" activeCell="AA2" sqref="AA2"/>
    </sheetView>
  </sheetViews>
  <sheetFormatPr defaultRowHeight="15" x14ac:dyDescent="0.25"/>
  <cols>
    <col min="1" max="1" width="8.42578125" customWidth="1"/>
    <col min="2" max="2" width="23.85546875" style="92" customWidth="1"/>
    <col min="3" max="3" width="8.28515625" bestFit="1" customWidth="1"/>
    <col min="4" max="5" width="5.7109375" style="55" hidden="1" customWidth="1"/>
    <col min="6" max="6" width="35.5703125" hidden="1" customWidth="1"/>
    <col min="7" max="8" width="5.28515625" style="55" hidden="1" customWidth="1"/>
    <col min="9" max="9" width="5.7109375" style="55" hidden="1" customWidth="1"/>
    <col min="10" max="10" width="13.85546875" style="93" hidden="1" customWidth="1"/>
    <col min="11" max="13" width="5.5703125" style="94" hidden="1" customWidth="1"/>
    <col min="14" max="14" width="8.28515625" style="95" hidden="1" customWidth="1"/>
    <col min="15" max="15" width="6.42578125" style="95" hidden="1" customWidth="1"/>
    <col min="16" max="16" width="7.85546875" hidden="1" customWidth="1"/>
    <col min="17" max="26" width="7" hidden="1" customWidth="1"/>
    <col min="27" max="27" width="7" customWidth="1"/>
    <col min="28" max="28" width="13.28515625" style="59" customWidth="1"/>
    <col min="29" max="29" width="6.42578125" style="58" customWidth="1"/>
    <col min="30" max="30" width="13.28515625" style="59" customWidth="1"/>
    <col min="31" max="31" width="6.42578125" style="58" customWidth="1"/>
    <col min="32" max="32" width="13.28515625" style="59" customWidth="1"/>
    <col min="33" max="33" width="6.42578125" style="58" customWidth="1"/>
    <col min="34" max="34" width="13.28515625" style="59" customWidth="1"/>
    <col min="35" max="35" width="6.42578125" style="58" customWidth="1"/>
    <col min="36" max="36" width="13.28515625" style="59" customWidth="1"/>
    <col min="37" max="37" width="6.42578125" style="58" customWidth="1"/>
    <col min="38" max="38" width="13.28515625" style="59" customWidth="1"/>
    <col min="39" max="39" width="6.42578125" style="58" customWidth="1"/>
    <col min="40" max="40" width="13.28515625" style="59" customWidth="1"/>
    <col min="41" max="41" width="6.42578125" style="58" customWidth="1"/>
    <col min="42" max="42" width="13.28515625" style="59" customWidth="1"/>
    <col min="43" max="43" width="6.42578125" style="58" customWidth="1"/>
    <col min="44" max="44" width="13.28515625" style="59" customWidth="1"/>
    <col min="45" max="45" width="6.42578125" style="58" customWidth="1"/>
    <col min="46" max="46" width="13.28515625" style="59" customWidth="1"/>
    <col min="47" max="47" width="6.42578125" style="58" customWidth="1"/>
    <col min="48" max="48" width="13.28515625" style="59" customWidth="1"/>
    <col min="49" max="49" width="6.42578125" style="58" customWidth="1"/>
    <col min="50" max="50" width="13.28515625" style="59" customWidth="1"/>
    <col min="51" max="51" width="6.42578125" style="58" customWidth="1"/>
    <col min="52" max="52" width="13.28515625" style="59" customWidth="1"/>
    <col min="53" max="53" width="6.42578125" style="58" customWidth="1"/>
    <col min="54" max="54" width="13.28515625" style="59" customWidth="1"/>
    <col min="55" max="55" width="6.42578125" style="58" customWidth="1"/>
    <col min="56" max="56" width="13.28515625" style="59" customWidth="1"/>
    <col min="57" max="57" width="6.42578125" style="58" customWidth="1"/>
    <col min="58" max="58" width="13.28515625" style="59" customWidth="1"/>
    <col min="59" max="59" width="6.42578125" style="58" customWidth="1"/>
    <col min="60" max="60" width="13.28515625" style="59" customWidth="1"/>
    <col min="61" max="61" width="6.42578125" style="58" customWidth="1"/>
    <col min="62" max="62" width="13.28515625" style="59" customWidth="1"/>
    <col min="63" max="63" width="6.42578125" style="58" customWidth="1"/>
    <col min="64" max="64" width="13.28515625" style="59" customWidth="1"/>
    <col min="65" max="65" width="6.42578125" style="58" customWidth="1"/>
    <col min="66" max="66" width="13.28515625" style="59" customWidth="1"/>
    <col min="67" max="67" width="6.42578125" style="58" customWidth="1"/>
    <col min="68" max="68" width="13.28515625" style="59" customWidth="1"/>
    <col min="69" max="69" width="6.42578125" style="58" customWidth="1"/>
    <col min="70" max="70" width="13.28515625" style="59" customWidth="1"/>
    <col min="71" max="71" width="6.42578125" style="58" customWidth="1"/>
    <col min="72" max="72" width="13.28515625" style="59" customWidth="1"/>
    <col min="73" max="73" width="6.42578125" style="58" customWidth="1"/>
    <col min="74" max="74" width="13.28515625" style="59" customWidth="1"/>
    <col min="75" max="75" width="6.42578125" style="58" customWidth="1"/>
    <col min="76" max="76" width="13.28515625" style="59" customWidth="1"/>
    <col min="77" max="77" width="6.42578125" style="58" customWidth="1"/>
    <col min="78" max="78" width="13.28515625" style="59" customWidth="1"/>
    <col min="79" max="79" width="6.42578125" style="58" customWidth="1"/>
  </cols>
  <sheetData>
    <row r="1" spans="1:79" s="69" customFormat="1" ht="176.25" customHeight="1" thickBot="1" x14ac:dyDescent="0.3">
      <c r="A1" s="60" t="s">
        <v>2</v>
      </c>
      <c r="B1" s="61" t="s">
        <v>3</v>
      </c>
      <c r="C1" s="62" t="s">
        <v>15</v>
      </c>
      <c r="D1" s="60" t="s">
        <v>16</v>
      </c>
      <c r="E1" s="63" t="s">
        <v>379</v>
      </c>
      <c r="F1" s="63" t="s">
        <v>18</v>
      </c>
      <c r="G1" s="63" t="s">
        <v>20</v>
      </c>
      <c r="H1" s="62" t="s">
        <v>21</v>
      </c>
      <c r="I1" s="63" t="s">
        <v>0</v>
      </c>
      <c r="J1" s="64" t="s">
        <v>380</v>
      </c>
      <c r="K1" s="65" t="s">
        <v>25</v>
      </c>
      <c r="L1" s="66" t="s">
        <v>381</v>
      </c>
      <c r="M1" s="67" t="s">
        <v>27</v>
      </c>
      <c r="N1" s="68" t="s">
        <v>382</v>
      </c>
      <c r="O1" s="68" t="s">
        <v>383</v>
      </c>
      <c r="Q1" s="70" t="s">
        <v>1</v>
      </c>
      <c r="R1" s="71" t="s">
        <v>5</v>
      </c>
      <c r="S1" s="72" t="s">
        <v>30</v>
      </c>
      <c r="T1" s="72" t="s">
        <v>31</v>
      </c>
      <c r="U1" s="72" t="s">
        <v>32</v>
      </c>
      <c r="V1" s="73" t="s">
        <v>33</v>
      </c>
      <c r="W1" s="74" t="s">
        <v>34</v>
      </c>
      <c r="X1" s="75" t="s">
        <v>35</v>
      </c>
      <c r="Y1" s="75" t="s">
        <v>36</v>
      </c>
      <c r="Z1" s="75" t="s">
        <v>37</v>
      </c>
      <c r="AA1" s="162" t="s">
        <v>1854</v>
      </c>
      <c r="AB1" s="20" t="s">
        <v>38</v>
      </c>
      <c r="AC1" s="21" t="s">
        <v>39</v>
      </c>
      <c r="AD1" s="20" t="s">
        <v>384</v>
      </c>
      <c r="AE1" s="21" t="s">
        <v>385</v>
      </c>
      <c r="AF1" s="20" t="s">
        <v>386</v>
      </c>
      <c r="AG1" s="21" t="s">
        <v>387</v>
      </c>
      <c r="AH1" s="20" t="s">
        <v>388</v>
      </c>
      <c r="AI1" s="21" t="s">
        <v>389</v>
      </c>
      <c r="AJ1" s="20" t="s">
        <v>390</v>
      </c>
      <c r="AK1" s="21" t="s">
        <v>391</v>
      </c>
      <c r="AL1" s="20" t="s">
        <v>392</v>
      </c>
      <c r="AM1" s="21" t="s">
        <v>393</v>
      </c>
      <c r="AN1" s="20" t="s">
        <v>42</v>
      </c>
      <c r="AO1" s="21" t="s">
        <v>43</v>
      </c>
      <c r="AP1" s="20" t="s">
        <v>394</v>
      </c>
      <c r="AQ1" s="21" t="s">
        <v>395</v>
      </c>
      <c r="AR1" s="20" t="s">
        <v>396</v>
      </c>
      <c r="AS1" s="21" t="s">
        <v>397</v>
      </c>
      <c r="AT1" s="20" t="s">
        <v>398</v>
      </c>
      <c r="AU1" s="21" t="s">
        <v>399</v>
      </c>
      <c r="AV1" s="20" t="s">
        <v>46</v>
      </c>
      <c r="AW1" s="21" t="s">
        <v>47</v>
      </c>
      <c r="AX1" s="20" t="s">
        <v>48</v>
      </c>
      <c r="AY1" s="21" t="s">
        <v>49</v>
      </c>
      <c r="AZ1" s="20" t="s">
        <v>401</v>
      </c>
      <c r="BA1" s="21" t="s">
        <v>402</v>
      </c>
      <c r="BB1" s="20" t="s">
        <v>50</v>
      </c>
      <c r="BC1" s="21" t="s">
        <v>51</v>
      </c>
      <c r="BD1" s="20" t="s">
        <v>403</v>
      </c>
      <c r="BE1" s="21" t="s">
        <v>404</v>
      </c>
      <c r="BF1" s="20" t="s">
        <v>405</v>
      </c>
      <c r="BG1" s="21" t="s">
        <v>406</v>
      </c>
      <c r="BH1" s="20" t="s">
        <v>52</v>
      </c>
      <c r="BI1" s="21" t="s">
        <v>53</v>
      </c>
      <c r="BJ1" s="20" t="s">
        <v>56</v>
      </c>
      <c r="BK1" s="21" t="s">
        <v>57</v>
      </c>
      <c r="BL1" s="20" t="s">
        <v>58</v>
      </c>
      <c r="BM1" s="21" t="s">
        <v>59</v>
      </c>
      <c r="BN1" s="20" t="s">
        <v>407</v>
      </c>
      <c r="BO1" s="21" t="s">
        <v>408</v>
      </c>
      <c r="BP1" s="20" t="s">
        <v>60</v>
      </c>
      <c r="BQ1" s="21" t="s">
        <v>61</v>
      </c>
      <c r="BR1" s="20" t="s">
        <v>409</v>
      </c>
      <c r="BS1" s="21" t="s">
        <v>410</v>
      </c>
      <c r="BT1" s="20" t="s">
        <v>411</v>
      </c>
      <c r="BU1" s="21" t="s">
        <v>412</v>
      </c>
      <c r="BV1" s="20" t="s">
        <v>413</v>
      </c>
      <c r="BW1" s="21" t="s">
        <v>414</v>
      </c>
      <c r="BX1" s="20" t="s">
        <v>415</v>
      </c>
      <c r="BY1" s="21" t="s">
        <v>416</v>
      </c>
      <c r="BZ1" s="20" t="s">
        <v>66</v>
      </c>
      <c r="CA1" s="21" t="s">
        <v>67</v>
      </c>
    </row>
    <row r="2" spans="1:79" s="91" customFormat="1" x14ac:dyDescent="0.25">
      <c r="A2" s="76">
        <v>150838</v>
      </c>
      <c r="B2" s="77" t="s">
        <v>417</v>
      </c>
      <c r="C2" s="78" t="s">
        <v>418</v>
      </c>
      <c r="D2" s="76" t="s">
        <v>70</v>
      </c>
      <c r="E2" s="79" t="s">
        <v>14</v>
      </c>
      <c r="F2" s="79" t="s">
        <v>275</v>
      </c>
      <c r="G2" s="79" t="s">
        <v>14</v>
      </c>
      <c r="H2" s="78" t="s">
        <v>14</v>
      </c>
      <c r="I2" s="79" t="s">
        <v>14</v>
      </c>
      <c r="J2" s="80">
        <v>7.4</v>
      </c>
      <c r="K2" s="81">
        <v>8</v>
      </c>
      <c r="L2" s="82">
        <v>0</v>
      </c>
      <c r="M2" s="83">
        <v>0</v>
      </c>
      <c r="N2" s="84">
        <v>99.3</v>
      </c>
      <c r="O2" s="85">
        <v>0</v>
      </c>
      <c r="P2" s="86"/>
      <c r="Q2" s="87">
        <f t="shared" ref="Q2:Q65" si="0">COUNTIF($AB2:$CL2,"Outstanding")</f>
        <v>0</v>
      </c>
      <c r="R2" s="88">
        <f t="shared" ref="R2:R65" si="1">COUNTIF($AB2:$CL2,"Good")</f>
        <v>5</v>
      </c>
      <c r="S2" s="89">
        <f t="shared" ref="S2:S65" si="2">COUNTIF($AB2:$CL2,"N2Improve - Engagement")</f>
        <v>0</v>
      </c>
      <c r="T2" s="89">
        <f t="shared" ref="T2:T65" si="3">COUNTIF($AB2:$CL2,"N2Improve - Community Conduct")</f>
        <v>0</v>
      </c>
      <c r="U2" s="89">
        <f t="shared" ref="U2:U65" si="4">COUNTIF($AB2:$CL2,"N2Improve - Personal Org.")</f>
        <v>0</v>
      </c>
      <c r="V2" s="89">
        <f t="shared" ref="V2:V65" si="5">SUM(S2:U2)</f>
        <v>0</v>
      </c>
      <c r="W2" s="89">
        <f t="shared" ref="W2:W65" si="6">COUNTIF($AB2:$CL2,"Serious Conc - Engagement")</f>
        <v>0</v>
      </c>
      <c r="X2" s="89">
        <f t="shared" ref="X2:X65" si="7">COUNTIF($AB2:$CL2,"Serious Conc - Comm. Concern")</f>
        <v>0</v>
      </c>
      <c r="Y2" s="89">
        <f t="shared" ref="Y2:Y65" si="8">COUNTIF($AB2:$CL2,"Serious Conc - Personal Org.")</f>
        <v>0</v>
      </c>
      <c r="Z2" s="89">
        <f t="shared" ref="Z2" si="9">SUM(W2:Y2)</f>
        <v>0</v>
      </c>
      <c r="AA2" s="41">
        <f>COUNTIF(AB2:BY2,"*still*")</f>
        <v>0</v>
      </c>
      <c r="AB2" s="42"/>
      <c r="AC2" s="43"/>
      <c r="AD2" s="42" t="s">
        <v>5</v>
      </c>
      <c r="AE2" s="43" t="s">
        <v>133</v>
      </c>
      <c r="AF2" s="42"/>
      <c r="AG2" s="43"/>
      <c r="AH2" s="42" t="s">
        <v>5</v>
      </c>
      <c r="AI2" s="43" t="s">
        <v>419</v>
      </c>
      <c r="AJ2" s="42"/>
      <c r="AK2" s="43"/>
      <c r="AL2" s="42"/>
      <c r="AM2" s="43"/>
      <c r="AN2" s="42"/>
      <c r="AO2" s="43"/>
      <c r="AP2" s="42"/>
      <c r="AQ2" s="43"/>
      <c r="AR2" s="42"/>
      <c r="AS2" s="43"/>
      <c r="AT2" s="42"/>
      <c r="AU2" s="43"/>
      <c r="AV2" s="42" t="s">
        <v>5</v>
      </c>
      <c r="AW2" s="43" t="s">
        <v>420</v>
      </c>
      <c r="AX2" s="42" t="s">
        <v>5</v>
      </c>
      <c r="AY2" s="43" t="s">
        <v>421</v>
      </c>
      <c r="AZ2" s="42"/>
      <c r="BA2" s="43"/>
      <c r="BB2" s="42"/>
      <c r="BC2" s="43"/>
      <c r="BD2" s="42"/>
      <c r="BE2" s="43"/>
      <c r="BF2" s="42"/>
      <c r="BG2" s="43"/>
      <c r="BH2" s="42"/>
      <c r="BI2" s="43"/>
      <c r="BJ2" s="42" t="s">
        <v>5</v>
      </c>
      <c r="BK2" s="43" t="s">
        <v>422</v>
      </c>
      <c r="BL2" s="42"/>
      <c r="BM2" s="43"/>
      <c r="BN2" s="42"/>
      <c r="BO2" s="43"/>
      <c r="BP2" s="42"/>
      <c r="BQ2" s="43"/>
      <c r="BR2" s="42"/>
      <c r="BS2" s="43"/>
      <c r="BT2" s="42"/>
      <c r="BU2" s="43"/>
      <c r="BV2" s="42"/>
      <c r="BW2" s="43"/>
      <c r="BX2" s="42"/>
      <c r="BY2" s="43"/>
      <c r="BZ2" s="42"/>
      <c r="CA2" s="43"/>
    </row>
    <row r="3" spans="1:79" s="91" customFormat="1" x14ac:dyDescent="0.25">
      <c r="A3" s="76">
        <v>150984</v>
      </c>
      <c r="B3" s="77" t="s">
        <v>423</v>
      </c>
      <c r="C3" s="78" t="s">
        <v>418</v>
      </c>
      <c r="D3" s="76" t="s">
        <v>70</v>
      </c>
      <c r="E3" s="79" t="s">
        <v>87</v>
      </c>
      <c r="F3" s="79" t="s">
        <v>275</v>
      </c>
      <c r="G3" s="79" t="s">
        <v>14</v>
      </c>
      <c r="H3" s="78" t="s">
        <v>14</v>
      </c>
      <c r="I3" s="79" t="s">
        <v>14</v>
      </c>
      <c r="J3" s="80">
        <v>6.4</v>
      </c>
      <c r="K3" s="81">
        <v>2</v>
      </c>
      <c r="L3" s="82">
        <v>0</v>
      </c>
      <c r="M3" s="83">
        <v>0</v>
      </c>
      <c r="N3" s="84">
        <v>99.15</v>
      </c>
      <c r="O3" s="85">
        <v>2</v>
      </c>
      <c r="P3" s="86"/>
      <c r="Q3" s="87">
        <f t="shared" si="0"/>
        <v>3</v>
      </c>
      <c r="R3" s="88">
        <f t="shared" si="1"/>
        <v>1</v>
      </c>
      <c r="S3" s="89">
        <f t="shared" si="2"/>
        <v>0</v>
      </c>
      <c r="T3" s="89">
        <f t="shared" si="3"/>
        <v>0</v>
      </c>
      <c r="U3" s="89">
        <f t="shared" si="4"/>
        <v>0</v>
      </c>
      <c r="V3" s="89">
        <f t="shared" si="5"/>
        <v>0</v>
      </c>
      <c r="W3" s="89">
        <f t="shared" si="6"/>
        <v>0</v>
      </c>
      <c r="X3" s="89">
        <f t="shared" si="7"/>
        <v>0</v>
      </c>
      <c r="Y3" s="89">
        <f t="shared" si="8"/>
        <v>0</v>
      </c>
      <c r="Z3" s="89">
        <f t="shared" ref="Z3:Z66" si="10">SUM(W3:Y3)</f>
        <v>0</v>
      </c>
      <c r="AA3" s="41">
        <f t="shared" ref="AA3:AA66" si="11">COUNTIF(AB3:BY3,"*still*")</f>
        <v>0</v>
      </c>
      <c r="AB3" s="49"/>
      <c r="AC3" s="50"/>
      <c r="AD3" s="49" t="s">
        <v>1</v>
      </c>
      <c r="AE3" s="50" t="s">
        <v>133</v>
      </c>
      <c r="AF3" s="49"/>
      <c r="AG3" s="50"/>
      <c r="AH3" s="49" t="s">
        <v>1</v>
      </c>
      <c r="AI3" s="50" t="s">
        <v>424</v>
      </c>
      <c r="AJ3" s="49"/>
      <c r="AK3" s="50"/>
      <c r="AL3" s="49"/>
      <c r="AM3" s="50"/>
      <c r="AN3" s="49"/>
      <c r="AO3" s="50"/>
      <c r="AP3" s="49"/>
      <c r="AQ3" s="50"/>
      <c r="AR3" s="49"/>
      <c r="AS3" s="50"/>
      <c r="AT3" s="49"/>
      <c r="AU3" s="50"/>
      <c r="AV3" s="49" t="s">
        <v>5</v>
      </c>
      <c r="AW3" s="50" t="s">
        <v>420</v>
      </c>
      <c r="AX3" s="49"/>
      <c r="AY3" s="50"/>
      <c r="AZ3" s="49"/>
      <c r="BA3" s="50"/>
      <c r="BB3" s="49"/>
      <c r="BC3" s="50"/>
      <c r="BD3" s="49"/>
      <c r="BE3" s="50"/>
      <c r="BF3" s="49"/>
      <c r="BG3" s="50"/>
      <c r="BH3" s="49"/>
      <c r="BI3" s="50"/>
      <c r="BJ3" s="49"/>
      <c r="BK3" s="50"/>
      <c r="BL3" s="49"/>
      <c r="BM3" s="50"/>
      <c r="BN3" s="49"/>
      <c r="BO3" s="50"/>
      <c r="BP3" s="49"/>
      <c r="BQ3" s="50"/>
      <c r="BR3" s="49"/>
      <c r="BS3" s="50"/>
      <c r="BT3" s="49"/>
      <c r="BU3" s="50"/>
      <c r="BV3" s="49" t="s">
        <v>1</v>
      </c>
      <c r="BW3" s="50" t="s">
        <v>425</v>
      </c>
      <c r="BX3" s="49"/>
      <c r="BY3" s="50"/>
      <c r="BZ3" s="49"/>
      <c r="CA3" s="50"/>
    </row>
    <row r="4" spans="1:79" s="91" customFormat="1" x14ac:dyDescent="0.25">
      <c r="A4" s="76">
        <v>151969</v>
      </c>
      <c r="B4" s="77" t="s">
        <v>426</v>
      </c>
      <c r="C4" s="78" t="s">
        <v>418</v>
      </c>
      <c r="D4" s="76" t="s">
        <v>12</v>
      </c>
      <c r="E4" s="79" t="s">
        <v>87</v>
      </c>
      <c r="F4" s="79" t="s">
        <v>88</v>
      </c>
      <c r="G4" s="79" t="s">
        <v>14</v>
      </c>
      <c r="H4" s="78" t="s">
        <v>14</v>
      </c>
      <c r="I4" s="79" t="s">
        <v>14</v>
      </c>
      <c r="J4" s="80">
        <v>3.5</v>
      </c>
      <c r="K4" s="81">
        <v>2</v>
      </c>
      <c r="L4" s="82">
        <v>0</v>
      </c>
      <c r="M4" s="83">
        <v>0</v>
      </c>
      <c r="N4" s="84">
        <v>97.3</v>
      </c>
      <c r="O4" s="85">
        <v>1</v>
      </c>
      <c r="P4" s="86"/>
      <c r="Q4" s="87">
        <f t="shared" si="0"/>
        <v>1</v>
      </c>
      <c r="R4" s="88">
        <f t="shared" si="1"/>
        <v>3</v>
      </c>
      <c r="S4" s="89">
        <f t="shared" si="2"/>
        <v>0</v>
      </c>
      <c r="T4" s="89">
        <f t="shared" si="3"/>
        <v>0</v>
      </c>
      <c r="U4" s="89">
        <f t="shared" si="4"/>
        <v>0</v>
      </c>
      <c r="V4" s="89">
        <f t="shared" si="5"/>
        <v>0</v>
      </c>
      <c r="W4" s="89">
        <f t="shared" si="6"/>
        <v>0</v>
      </c>
      <c r="X4" s="89">
        <f t="shared" si="7"/>
        <v>0</v>
      </c>
      <c r="Y4" s="89">
        <f t="shared" si="8"/>
        <v>0</v>
      </c>
      <c r="Z4" s="89">
        <f t="shared" si="10"/>
        <v>0</v>
      </c>
      <c r="AA4" s="41">
        <f t="shared" si="11"/>
        <v>0</v>
      </c>
      <c r="AB4" s="49"/>
      <c r="AC4" s="50"/>
      <c r="AD4" s="49"/>
      <c r="AE4" s="50"/>
      <c r="AF4" s="49" t="s">
        <v>5</v>
      </c>
      <c r="AG4" s="50" t="s">
        <v>427</v>
      </c>
      <c r="AH4" s="49"/>
      <c r="AI4" s="50"/>
      <c r="AJ4" s="49"/>
      <c r="AK4" s="50"/>
      <c r="AL4" s="49"/>
      <c r="AM4" s="50"/>
      <c r="AN4" s="49"/>
      <c r="AO4" s="50"/>
      <c r="AP4" s="49" t="s">
        <v>1</v>
      </c>
      <c r="AQ4" s="50" t="s">
        <v>428</v>
      </c>
      <c r="AR4" s="49"/>
      <c r="AS4" s="50"/>
      <c r="AT4" s="49"/>
      <c r="AU4" s="50"/>
      <c r="AV4" s="49" t="s">
        <v>5</v>
      </c>
      <c r="AW4" s="50" t="s">
        <v>420</v>
      </c>
      <c r="AX4" s="49"/>
      <c r="AY4" s="50"/>
      <c r="AZ4" s="49"/>
      <c r="BA4" s="50"/>
      <c r="BB4" s="49"/>
      <c r="BC4" s="50"/>
      <c r="BD4" s="49"/>
      <c r="BE4" s="50"/>
      <c r="BF4" s="49"/>
      <c r="BG4" s="50"/>
      <c r="BH4" s="49"/>
      <c r="BI4" s="50"/>
      <c r="BJ4" s="49"/>
      <c r="BK4" s="50"/>
      <c r="BL4" s="49"/>
      <c r="BM4" s="50"/>
      <c r="BN4" s="49"/>
      <c r="BO4" s="50"/>
      <c r="BP4" s="49"/>
      <c r="BQ4" s="50"/>
      <c r="BR4" s="49"/>
      <c r="BS4" s="50"/>
      <c r="BT4" s="49" t="s">
        <v>5</v>
      </c>
      <c r="BU4" s="50" t="s">
        <v>93</v>
      </c>
      <c r="BV4" s="49"/>
      <c r="BW4" s="50"/>
      <c r="BX4" s="49"/>
      <c r="BY4" s="50"/>
      <c r="BZ4" s="49"/>
      <c r="CA4" s="50"/>
    </row>
    <row r="5" spans="1:79" s="91" customFormat="1" x14ac:dyDescent="0.25">
      <c r="A5" s="76">
        <v>160118</v>
      </c>
      <c r="B5" s="77" t="s">
        <v>429</v>
      </c>
      <c r="C5" s="78" t="s">
        <v>418</v>
      </c>
      <c r="D5" s="76" t="s">
        <v>12</v>
      </c>
      <c r="E5" s="79" t="s">
        <v>14</v>
      </c>
      <c r="F5" s="79" t="s">
        <v>71</v>
      </c>
      <c r="G5" s="79" t="s">
        <v>14</v>
      </c>
      <c r="H5" s="78" t="s">
        <v>14</v>
      </c>
      <c r="I5" s="79" t="s">
        <v>14</v>
      </c>
      <c r="J5" s="80">
        <v>5.7</v>
      </c>
      <c r="K5" s="81">
        <v>2</v>
      </c>
      <c r="L5" s="82">
        <v>0</v>
      </c>
      <c r="M5" s="83">
        <v>0</v>
      </c>
      <c r="N5" s="84">
        <v>100</v>
      </c>
      <c r="O5" s="85">
        <v>0</v>
      </c>
      <c r="P5" s="86"/>
      <c r="Q5" s="87">
        <f t="shared" si="0"/>
        <v>0</v>
      </c>
      <c r="R5" s="88">
        <f t="shared" si="1"/>
        <v>4</v>
      </c>
      <c r="S5" s="89">
        <f t="shared" si="2"/>
        <v>0</v>
      </c>
      <c r="T5" s="89">
        <f t="shared" si="3"/>
        <v>0</v>
      </c>
      <c r="U5" s="89">
        <f t="shared" si="4"/>
        <v>0</v>
      </c>
      <c r="V5" s="89">
        <f t="shared" si="5"/>
        <v>0</v>
      </c>
      <c r="W5" s="89">
        <f t="shared" si="6"/>
        <v>0</v>
      </c>
      <c r="X5" s="89">
        <f t="shared" si="7"/>
        <v>0</v>
      </c>
      <c r="Y5" s="89">
        <f t="shared" si="8"/>
        <v>0</v>
      </c>
      <c r="Z5" s="89">
        <f t="shared" si="10"/>
        <v>0</v>
      </c>
      <c r="AA5" s="41">
        <f t="shared" si="11"/>
        <v>0</v>
      </c>
      <c r="AB5" s="49"/>
      <c r="AC5" s="50"/>
      <c r="AD5" s="49" t="s">
        <v>5</v>
      </c>
      <c r="AE5" s="50" t="s">
        <v>133</v>
      </c>
      <c r="AF5" s="49"/>
      <c r="AG5" s="50"/>
      <c r="AH5" s="49"/>
      <c r="AI5" s="50"/>
      <c r="AJ5" s="49"/>
      <c r="AK5" s="50"/>
      <c r="AL5" s="49"/>
      <c r="AM5" s="50"/>
      <c r="AN5" s="49"/>
      <c r="AO5" s="50"/>
      <c r="AP5" s="49"/>
      <c r="AQ5" s="50"/>
      <c r="AR5" s="49"/>
      <c r="AS5" s="50"/>
      <c r="AT5" s="49"/>
      <c r="AU5" s="50"/>
      <c r="AV5" s="49" t="s">
        <v>5</v>
      </c>
      <c r="AW5" s="50" t="s">
        <v>420</v>
      </c>
      <c r="AX5" s="49"/>
      <c r="AY5" s="50"/>
      <c r="AZ5" s="49"/>
      <c r="BA5" s="50"/>
      <c r="BB5" s="49"/>
      <c r="BC5" s="50"/>
      <c r="BD5" s="49"/>
      <c r="BE5" s="50"/>
      <c r="BF5" s="49"/>
      <c r="BG5" s="50"/>
      <c r="BH5" s="49"/>
      <c r="BI5" s="50"/>
      <c r="BJ5" s="49" t="s">
        <v>5</v>
      </c>
      <c r="BK5" s="50" t="s">
        <v>430</v>
      </c>
      <c r="BL5" s="49"/>
      <c r="BM5" s="50"/>
      <c r="BN5" s="49"/>
      <c r="BO5" s="50"/>
      <c r="BP5" s="49"/>
      <c r="BQ5" s="50"/>
      <c r="BR5" s="49" t="s">
        <v>5</v>
      </c>
      <c r="BS5" s="50" t="s">
        <v>98</v>
      </c>
      <c r="BT5" s="49"/>
      <c r="BU5" s="50"/>
      <c r="BV5" s="49"/>
      <c r="BW5" s="50"/>
      <c r="BX5" s="49"/>
      <c r="BY5" s="50"/>
      <c r="BZ5" s="49"/>
      <c r="CA5" s="50"/>
    </row>
    <row r="6" spans="1:79" s="91" customFormat="1" x14ac:dyDescent="0.25">
      <c r="A6" s="76">
        <v>160049</v>
      </c>
      <c r="B6" s="77" t="s">
        <v>431</v>
      </c>
      <c r="C6" s="78" t="s">
        <v>432</v>
      </c>
      <c r="D6" s="76" t="s">
        <v>12</v>
      </c>
      <c r="E6" s="79" t="s">
        <v>14</v>
      </c>
      <c r="F6" s="79" t="s">
        <v>71</v>
      </c>
      <c r="G6" s="79" t="s">
        <v>14</v>
      </c>
      <c r="H6" s="78" t="s">
        <v>14</v>
      </c>
      <c r="I6" s="79" t="s">
        <v>14</v>
      </c>
      <c r="J6" s="80">
        <v>8</v>
      </c>
      <c r="K6" s="81">
        <v>4</v>
      </c>
      <c r="L6" s="82">
        <v>0</v>
      </c>
      <c r="M6" s="83">
        <v>0</v>
      </c>
      <c r="N6" s="84">
        <v>100</v>
      </c>
      <c r="O6" s="85">
        <v>0</v>
      </c>
      <c r="P6" s="86"/>
      <c r="Q6" s="87">
        <f t="shared" si="0"/>
        <v>1</v>
      </c>
      <c r="R6" s="88">
        <f t="shared" si="1"/>
        <v>3</v>
      </c>
      <c r="S6" s="89">
        <f t="shared" si="2"/>
        <v>0</v>
      </c>
      <c r="T6" s="89">
        <f t="shared" si="3"/>
        <v>0</v>
      </c>
      <c r="U6" s="89">
        <f t="shared" si="4"/>
        <v>0</v>
      </c>
      <c r="V6" s="89">
        <f t="shared" si="5"/>
        <v>0</v>
      </c>
      <c r="W6" s="89">
        <f t="shared" si="6"/>
        <v>0</v>
      </c>
      <c r="X6" s="89">
        <f t="shared" si="7"/>
        <v>0</v>
      </c>
      <c r="Y6" s="89">
        <f t="shared" si="8"/>
        <v>0</v>
      </c>
      <c r="Z6" s="89">
        <f t="shared" si="10"/>
        <v>0</v>
      </c>
      <c r="AA6" s="41">
        <f t="shared" si="11"/>
        <v>0</v>
      </c>
      <c r="AB6" s="49"/>
      <c r="AC6" s="50"/>
      <c r="AD6" s="49" t="s">
        <v>5</v>
      </c>
      <c r="AE6" s="50" t="s">
        <v>433</v>
      </c>
      <c r="AF6" s="49"/>
      <c r="AG6" s="50"/>
      <c r="AH6" s="49"/>
      <c r="AI6" s="50"/>
      <c r="AJ6" s="49"/>
      <c r="AK6" s="50"/>
      <c r="AL6" s="49"/>
      <c r="AM6" s="50"/>
      <c r="AN6" s="49"/>
      <c r="AO6" s="50"/>
      <c r="AP6" s="49"/>
      <c r="AQ6" s="50"/>
      <c r="AR6" s="49"/>
      <c r="AS6" s="50"/>
      <c r="AT6" s="49"/>
      <c r="AU6" s="50"/>
      <c r="AV6" s="49" t="s">
        <v>5</v>
      </c>
      <c r="AW6" s="50" t="s">
        <v>123</v>
      </c>
      <c r="AX6" s="49"/>
      <c r="AY6" s="50"/>
      <c r="AZ6" s="49"/>
      <c r="BA6" s="50"/>
      <c r="BB6" s="49"/>
      <c r="BC6" s="50"/>
      <c r="BD6" s="49"/>
      <c r="BE6" s="50"/>
      <c r="BF6" s="49"/>
      <c r="BG6" s="50"/>
      <c r="BH6" s="49" t="s">
        <v>1</v>
      </c>
      <c r="BI6" s="50" t="s">
        <v>77</v>
      </c>
      <c r="BJ6" s="49"/>
      <c r="BK6" s="50"/>
      <c r="BL6" s="49"/>
      <c r="BM6" s="50"/>
      <c r="BN6" s="49"/>
      <c r="BO6" s="50"/>
      <c r="BP6" s="49"/>
      <c r="BQ6" s="50"/>
      <c r="BR6" s="49"/>
      <c r="BS6" s="50"/>
      <c r="BT6" s="49" t="s">
        <v>5</v>
      </c>
      <c r="BU6" s="50" t="s">
        <v>93</v>
      </c>
      <c r="BV6" s="49"/>
      <c r="BW6" s="50"/>
      <c r="BX6" s="49"/>
      <c r="BY6" s="50"/>
      <c r="BZ6" s="49"/>
      <c r="CA6" s="50"/>
    </row>
    <row r="7" spans="1:79" s="91" customFormat="1" x14ac:dyDescent="0.25">
      <c r="A7" s="76">
        <v>150995</v>
      </c>
      <c r="B7" s="77" t="s">
        <v>434</v>
      </c>
      <c r="C7" s="78" t="s">
        <v>418</v>
      </c>
      <c r="D7" s="76" t="s">
        <v>70</v>
      </c>
      <c r="E7" s="79" t="s">
        <v>14</v>
      </c>
      <c r="F7" s="79" t="s">
        <v>88</v>
      </c>
      <c r="G7" s="79" t="s">
        <v>14</v>
      </c>
      <c r="H7" s="78" t="s">
        <v>14</v>
      </c>
      <c r="I7" s="79" t="s">
        <v>14</v>
      </c>
      <c r="J7" s="80">
        <v>5.3</v>
      </c>
      <c r="K7" s="81">
        <v>2</v>
      </c>
      <c r="L7" s="82">
        <v>0</v>
      </c>
      <c r="M7" s="83">
        <v>0</v>
      </c>
      <c r="N7" s="84">
        <v>99.15</v>
      </c>
      <c r="O7" s="85">
        <v>0</v>
      </c>
      <c r="P7" s="86"/>
      <c r="Q7" s="87">
        <f t="shared" si="0"/>
        <v>1</v>
      </c>
      <c r="R7" s="88">
        <f t="shared" si="1"/>
        <v>3</v>
      </c>
      <c r="S7" s="89">
        <f t="shared" si="2"/>
        <v>0</v>
      </c>
      <c r="T7" s="89">
        <f t="shared" si="3"/>
        <v>0</v>
      </c>
      <c r="U7" s="89">
        <f t="shared" si="4"/>
        <v>0</v>
      </c>
      <c r="V7" s="89">
        <f t="shared" si="5"/>
        <v>0</v>
      </c>
      <c r="W7" s="89">
        <f t="shared" si="6"/>
        <v>0</v>
      </c>
      <c r="X7" s="89">
        <f t="shared" si="7"/>
        <v>0</v>
      </c>
      <c r="Y7" s="89">
        <f t="shared" si="8"/>
        <v>0</v>
      </c>
      <c r="Z7" s="89">
        <f t="shared" si="10"/>
        <v>0</v>
      </c>
      <c r="AA7" s="41">
        <f t="shared" si="11"/>
        <v>0</v>
      </c>
      <c r="AB7" s="49"/>
      <c r="AC7" s="50"/>
      <c r="AD7" s="49"/>
      <c r="AE7" s="50"/>
      <c r="AF7" s="49"/>
      <c r="AG7" s="50"/>
      <c r="AH7" s="49"/>
      <c r="AI7" s="50"/>
      <c r="AJ7" s="49"/>
      <c r="AK7" s="50"/>
      <c r="AL7" s="49"/>
      <c r="AM7" s="50"/>
      <c r="AN7" s="49"/>
      <c r="AO7" s="50"/>
      <c r="AP7" s="49"/>
      <c r="AQ7" s="50"/>
      <c r="AR7" s="49"/>
      <c r="AS7" s="50"/>
      <c r="AT7" s="49"/>
      <c r="AU7" s="50"/>
      <c r="AV7" s="49" t="s">
        <v>5</v>
      </c>
      <c r="AW7" s="50" t="s">
        <v>420</v>
      </c>
      <c r="AX7" s="49"/>
      <c r="AY7" s="50"/>
      <c r="AZ7" s="49"/>
      <c r="BA7" s="50"/>
      <c r="BB7" s="49"/>
      <c r="BC7" s="50"/>
      <c r="BD7" s="49"/>
      <c r="BE7" s="50"/>
      <c r="BF7" s="49"/>
      <c r="BG7" s="50"/>
      <c r="BH7" s="49"/>
      <c r="BI7" s="50"/>
      <c r="BJ7" s="49" t="s">
        <v>5</v>
      </c>
      <c r="BK7" s="50" t="s">
        <v>430</v>
      </c>
      <c r="BL7" s="49"/>
      <c r="BM7" s="50"/>
      <c r="BN7" s="49"/>
      <c r="BO7" s="50"/>
      <c r="BP7" s="49"/>
      <c r="BQ7" s="50"/>
      <c r="BR7" s="49" t="s">
        <v>1</v>
      </c>
      <c r="BS7" s="50" t="s">
        <v>109</v>
      </c>
      <c r="BT7" s="49"/>
      <c r="BU7" s="50"/>
      <c r="BV7" s="49" t="s">
        <v>5</v>
      </c>
      <c r="BW7" s="50" t="s">
        <v>425</v>
      </c>
      <c r="BX7" s="49"/>
      <c r="BY7" s="50"/>
      <c r="BZ7" s="49"/>
      <c r="CA7" s="50"/>
    </row>
    <row r="8" spans="1:79" s="91" customFormat="1" x14ac:dyDescent="0.25">
      <c r="A8" s="76">
        <v>150982</v>
      </c>
      <c r="B8" s="77" t="s">
        <v>435</v>
      </c>
      <c r="C8" s="78" t="s">
        <v>418</v>
      </c>
      <c r="D8" s="76" t="s">
        <v>70</v>
      </c>
      <c r="E8" s="79" t="s">
        <v>87</v>
      </c>
      <c r="F8" s="79" t="s">
        <v>88</v>
      </c>
      <c r="G8" s="79" t="s">
        <v>14</v>
      </c>
      <c r="H8" s="78" t="s">
        <v>14</v>
      </c>
      <c r="I8" s="79" t="s">
        <v>14</v>
      </c>
      <c r="J8" s="80">
        <v>6.6</v>
      </c>
      <c r="K8" s="81">
        <v>2</v>
      </c>
      <c r="L8" s="82">
        <v>0</v>
      </c>
      <c r="M8" s="83">
        <v>0</v>
      </c>
      <c r="N8" s="84">
        <v>100</v>
      </c>
      <c r="O8" s="85">
        <v>1</v>
      </c>
      <c r="P8" s="86"/>
      <c r="Q8" s="87">
        <f t="shared" si="0"/>
        <v>1</v>
      </c>
      <c r="R8" s="88">
        <f t="shared" si="1"/>
        <v>3</v>
      </c>
      <c r="S8" s="89">
        <f t="shared" si="2"/>
        <v>0</v>
      </c>
      <c r="T8" s="89">
        <f t="shared" si="3"/>
        <v>0</v>
      </c>
      <c r="U8" s="89">
        <f t="shared" si="4"/>
        <v>0</v>
      </c>
      <c r="V8" s="89">
        <f t="shared" si="5"/>
        <v>0</v>
      </c>
      <c r="W8" s="89">
        <f t="shared" si="6"/>
        <v>0</v>
      </c>
      <c r="X8" s="89">
        <f t="shared" si="7"/>
        <v>0</v>
      </c>
      <c r="Y8" s="89">
        <f t="shared" si="8"/>
        <v>0</v>
      </c>
      <c r="Z8" s="89">
        <f t="shared" si="10"/>
        <v>0</v>
      </c>
      <c r="AA8" s="41">
        <f t="shared" si="11"/>
        <v>0</v>
      </c>
      <c r="AB8" s="49"/>
      <c r="AC8" s="50"/>
      <c r="AD8" s="49"/>
      <c r="AE8" s="50"/>
      <c r="AF8" s="49"/>
      <c r="AG8" s="50"/>
      <c r="AH8" s="49" t="s">
        <v>5</v>
      </c>
      <c r="AI8" s="50" t="s">
        <v>206</v>
      </c>
      <c r="AJ8" s="49"/>
      <c r="AK8" s="50"/>
      <c r="AL8" s="49"/>
      <c r="AM8" s="50"/>
      <c r="AN8" s="49"/>
      <c r="AO8" s="50"/>
      <c r="AP8" s="49"/>
      <c r="AQ8" s="50"/>
      <c r="AR8" s="49"/>
      <c r="AS8" s="50"/>
      <c r="AT8" s="49"/>
      <c r="AU8" s="50"/>
      <c r="AV8" s="49" t="s">
        <v>5</v>
      </c>
      <c r="AW8" s="50" t="s">
        <v>420</v>
      </c>
      <c r="AX8" s="49"/>
      <c r="AY8" s="50"/>
      <c r="AZ8" s="49"/>
      <c r="BA8" s="50"/>
      <c r="BB8" s="49"/>
      <c r="BC8" s="50"/>
      <c r="BD8" s="49"/>
      <c r="BE8" s="50"/>
      <c r="BF8" s="49"/>
      <c r="BG8" s="50"/>
      <c r="BH8" s="49"/>
      <c r="BI8" s="50"/>
      <c r="BJ8" s="49"/>
      <c r="BK8" s="50"/>
      <c r="BL8" s="49"/>
      <c r="BM8" s="50"/>
      <c r="BN8" s="49"/>
      <c r="BO8" s="50"/>
      <c r="BP8" s="49"/>
      <c r="BQ8" s="50"/>
      <c r="BR8" s="49" t="s">
        <v>5</v>
      </c>
      <c r="BS8" s="50" t="s">
        <v>98</v>
      </c>
      <c r="BT8" s="49"/>
      <c r="BU8" s="50"/>
      <c r="BV8" s="49" t="s">
        <v>1</v>
      </c>
      <c r="BW8" s="50" t="s">
        <v>436</v>
      </c>
      <c r="BX8" s="49"/>
      <c r="BY8" s="50"/>
      <c r="BZ8" s="49"/>
      <c r="CA8" s="50"/>
    </row>
    <row r="9" spans="1:79" s="91" customFormat="1" x14ac:dyDescent="0.25">
      <c r="A9" s="76">
        <v>150880</v>
      </c>
      <c r="B9" s="77" t="s">
        <v>437</v>
      </c>
      <c r="C9" s="78" t="s">
        <v>418</v>
      </c>
      <c r="D9" s="76" t="s">
        <v>70</v>
      </c>
      <c r="E9" s="79" t="s">
        <v>14</v>
      </c>
      <c r="F9" s="79" t="s">
        <v>275</v>
      </c>
      <c r="G9" s="79" t="s">
        <v>14</v>
      </c>
      <c r="H9" s="78" t="s">
        <v>14</v>
      </c>
      <c r="I9" s="79" t="s">
        <v>14</v>
      </c>
      <c r="J9" s="80">
        <v>7.1</v>
      </c>
      <c r="K9" s="81">
        <v>1</v>
      </c>
      <c r="L9" s="82">
        <v>0</v>
      </c>
      <c r="M9" s="83">
        <v>0</v>
      </c>
      <c r="N9" s="84">
        <v>100</v>
      </c>
      <c r="O9" s="85">
        <v>0</v>
      </c>
      <c r="P9" s="86"/>
      <c r="Q9" s="87">
        <f t="shared" si="0"/>
        <v>1</v>
      </c>
      <c r="R9" s="88">
        <f t="shared" si="1"/>
        <v>4</v>
      </c>
      <c r="S9" s="89">
        <f t="shared" si="2"/>
        <v>0</v>
      </c>
      <c r="T9" s="89">
        <f t="shared" si="3"/>
        <v>0</v>
      </c>
      <c r="U9" s="89">
        <f t="shared" si="4"/>
        <v>0</v>
      </c>
      <c r="V9" s="89">
        <f t="shared" si="5"/>
        <v>0</v>
      </c>
      <c r="W9" s="89">
        <f t="shared" si="6"/>
        <v>0</v>
      </c>
      <c r="X9" s="89">
        <f t="shared" si="7"/>
        <v>0</v>
      </c>
      <c r="Y9" s="89">
        <f t="shared" si="8"/>
        <v>0</v>
      </c>
      <c r="Z9" s="89">
        <f t="shared" si="10"/>
        <v>0</v>
      </c>
      <c r="AA9" s="41">
        <f t="shared" si="11"/>
        <v>0</v>
      </c>
      <c r="AB9" s="49"/>
      <c r="AC9" s="50"/>
      <c r="AD9" s="49" t="s">
        <v>5</v>
      </c>
      <c r="AE9" s="50" t="s">
        <v>438</v>
      </c>
      <c r="AF9" s="49"/>
      <c r="AG9" s="50"/>
      <c r="AH9" s="49" t="s">
        <v>1</v>
      </c>
      <c r="AI9" s="50" t="s">
        <v>424</v>
      </c>
      <c r="AJ9" s="49"/>
      <c r="AK9" s="50"/>
      <c r="AL9" s="49"/>
      <c r="AM9" s="50"/>
      <c r="AN9" s="49"/>
      <c r="AO9" s="50"/>
      <c r="AP9" s="49"/>
      <c r="AQ9" s="50"/>
      <c r="AR9" s="49"/>
      <c r="AS9" s="50"/>
      <c r="AT9" s="49"/>
      <c r="AU9" s="50"/>
      <c r="AV9" s="49" t="s">
        <v>5</v>
      </c>
      <c r="AW9" s="50" t="s">
        <v>420</v>
      </c>
      <c r="AX9" s="49"/>
      <c r="AY9" s="50"/>
      <c r="AZ9" s="49"/>
      <c r="BA9" s="50"/>
      <c r="BB9" s="49"/>
      <c r="BC9" s="50"/>
      <c r="BD9" s="49"/>
      <c r="BE9" s="50"/>
      <c r="BF9" s="49"/>
      <c r="BG9" s="50"/>
      <c r="BH9" s="49"/>
      <c r="BI9" s="50"/>
      <c r="BJ9" s="49" t="s">
        <v>5</v>
      </c>
      <c r="BK9" s="50"/>
      <c r="BL9" s="49"/>
      <c r="BM9" s="50"/>
      <c r="BN9" s="49"/>
      <c r="BO9" s="50"/>
      <c r="BP9" s="49"/>
      <c r="BQ9" s="50"/>
      <c r="BR9" s="49"/>
      <c r="BS9" s="50"/>
      <c r="BT9" s="49"/>
      <c r="BU9" s="50"/>
      <c r="BV9" s="49" t="s">
        <v>5</v>
      </c>
      <c r="BW9" s="50" t="s">
        <v>425</v>
      </c>
      <c r="BX9" s="49"/>
      <c r="BY9" s="50"/>
      <c r="BZ9" s="49"/>
      <c r="CA9" s="50"/>
    </row>
    <row r="10" spans="1:79" s="91" customFormat="1" x14ac:dyDescent="0.25">
      <c r="A10" s="76">
        <v>160037</v>
      </c>
      <c r="B10" s="77" t="s">
        <v>439</v>
      </c>
      <c r="C10" s="78" t="s">
        <v>440</v>
      </c>
      <c r="D10" s="76" t="s">
        <v>12</v>
      </c>
      <c r="E10" s="79" t="s">
        <v>87</v>
      </c>
      <c r="F10" s="79" t="s">
        <v>441</v>
      </c>
      <c r="G10" s="79" t="s">
        <v>14</v>
      </c>
      <c r="H10" s="78" t="s">
        <v>14</v>
      </c>
      <c r="I10" s="79" t="s">
        <v>14</v>
      </c>
      <c r="J10" s="80">
        <v>5.4</v>
      </c>
      <c r="K10" s="81">
        <v>0</v>
      </c>
      <c r="L10" s="82">
        <v>0</v>
      </c>
      <c r="M10" s="83">
        <v>0</v>
      </c>
      <c r="N10" s="84">
        <v>89.92</v>
      </c>
      <c r="O10" s="85">
        <v>2</v>
      </c>
      <c r="P10" s="86"/>
      <c r="Q10" s="87">
        <f t="shared" si="0"/>
        <v>0</v>
      </c>
      <c r="R10" s="88">
        <f t="shared" si="1"/>
        <v>4</v>
      </c>
      <c r="S10" s="89">
        <f t="shared" si="2"/>
        <v>0</v>
      </c>
      <c r="T10" s="89">
        <f t="shared" si="3"/>
        <v>0</v>
      </c>
      <c r="U10" s="89">
        <f t="shared" si="4"/>
        <v>0</v>
      </c>
      <c r="V10" s="89">
        <f t="shared" si="5"/>
        <v>0</v>
      </c>
      <c r="W10" s="89">
        <f t="shared" si="6"/>
        <v>0</v>
      </c>
      <c r="X10" s="89">
        <f t="shared" si="7"/>
        <v>0</v>
      </c>
      <c r="Y10" s="89">
        <f t="shared" si="8"/>
        <v>0</v>
      </c>
      <c r="Z10" s="89">
        <f t="shared" si="10"/>
        <v>0</v>
      </c>
      <c r="AA10" s="41">
        <f t="shared" si="11"/>
        <v>0</v>
      </c>
      <c r="AB10" s="49"/>
      <c r="AC10" s="50"/>
      <c r="AD10" s="49" t="s">
        <v>5</v>
      </c>
      <c r="AE10" s="50" t="s">
        <v>154</v>
      </c>
      <c r="AF10" s="49"/>
      <c r="AG10" s="50"/>
      <c r="AH10" s="49"/>
      <c r="AI10" s="50"/>
      <c r="AJ10" s="49"/>
      <c r="AK10" s="50"/>
      <c r="AL10" s="49"/>
      <c r="AM10" s="50"/>
      <c r="AN10" s="49"/>
      <c r="AO10" s="50"/>
      <c r="AP10" s="49"/>
      <c r="AQ10" s="50"/>
      <c r="AR10" s="49"/>
      <c r="AS10" s="50"/>
      <c r="AT10" s="49"/>
      <c r="AU10" s="50"/>
      <c r="AV10" s="49" t="s">
        <v>5</v>
      </c>
      <c r="AW10" s="50" t="s">
        <v>428</v>
      </c>
      <c r="AX10" s="49"/>
      <c r="AY10" s="50"/>
      <c r="AZ10" s="49"/>
      <c r="BA10" s="50"/>
      <c r="BB10" s="49"/>
      <c r="BC10" s="50"/>
      <c r="BD10" s="49"/>
      <c r="BE10" s="50"/>
      <c r="BF10" s="49"/>
      <c r="BG10" s="50"/>
      <c r="BH10" s="49"/>
      <c r="BI10" s="50"/>
      <c r="BJ10" s="49"/>
      <c r="BK10" s="50"/>
      <c r="BL10" s="49"/>
      <c r="BM10" s="50"/>
      <c r="BN10" s="49"/>
      <c r="BO10" s="50"/>
      <c r="BP10" s="49" t="s">
        <v>5</v>
      </c>
      <c r="BQ10" s="50" t="s">
        <v>81</v>
      </c>
      <c r="BR10" s="49"/>
      <c r="BS10" s="50"/>
      <c r="BT10" s="49"/>
      <c r="BU10" s="50"/>
      <c r="BV10" s="49" t="s">
        <v>5</v>
      </c>
      <c r="BW10" s="50" t="s">
        <v>436</v>
      </c>
      <c r="BX10" s="49"/>
      <c r="BY10" s="50"/>
      <c r="BZ10" s="49"/>
      <c r="CA10" s="50"/>
    </row>
    <row r="11" spans="1:79" s="91" customFormat="1" x14ac:dyDescent="0.25">
      <c r="A11" s="76">
        <v>150830</v>
      </c>
      <c r="B11" s="77" t="s">
        <v>442</v>
      </c>
      <c r="C11" s="78" t="s">
        <v>418</v>
      </c>
      <c r="D11" s="76" t="s">
        <v>12</v>
      </c>
      <c r="E11" s="79" t="s">
        <v>14</v>
      </c>
      <c r="F11" s="79" t="s">
        <v>198</v>
      </c>
      <c r="G11" s="79" t="s">
        <v>14</v>
      </c>
      <c r="H11" s="78" t="s">
        <v>14</v>
      </c>
      <c r="I11" s="79" t="s">
        <v>14</v>
      </c>
      <c r="J11" s="80">
        <v>7</v>
      </c>
      <c r="K11" s="81">
        <v>0</v>
      </c>
      <c r="L11" s="82">
        <v>0</v>
      </c>
      <c r="M11" s="83">
        <v>0</v>
      </c>
      <c r="N11" s="84">
        <v>100</v>
      </c>
      <c r="O11" s="85">
        <v>0</v>
      </c>
      <c r="P11" s="86"/>
      <c r="Q11" s="87">
        <f t="shared" si="0"/>
        <v>1</v>
      </c>
      <c r="R11" s="88">
        <f t="shared" si="1"/>
        <v>3</v>
      </c>
      <c r="S11" s="89">
        <f t="shared" si="2"/>
        <v>0</v>
      </c>
      <c r="T11" s="89">
        <f t="shared" si="3"/>
        <v>0</v>
      </c>
      <c r="U11" s="89">
        <f t="shared" si="4"/>
        <v>0</v>
      </c>
      <c r="V11" s="89">
        <f t="shared" si="5"/>
        <v>0</v>
      </c>
      <c r="W11" s="89">
        <f t="shared" si="6"/>
        <v>0</v>
      </c>
      <c r="X11" s="89">
        <f t="shared" si="7"/>
        <v>0</v>
      </c>
      <c r="Y11" s="89">
        <f t="shared" si="8"/>
        <v>0</v>
      </c>
      <c r="Z11" s="89">
        <f t="shared" si="10"/>
        <v>0</v>
      </c>
      <c r="AA11" s="41">
        <f t="shared" si="11"/>
        <v>0</v>
      </c>
      <c r="AB11" s="49"/>
      <c r="AC11" s="50"/>
      <c r="AD11" s="49"/>
      <c r="AE11" s="50"/>
      <c r="AF11" s="49"/>
      <c r="AG11" s="50"/>
      <c r="AH11" s="49" t="s">
        <v>5</v>
      </c>
      <c r="AI11" s="50" t="s">
        <v>206</v>
      </c>
      <c r="AJ11" s="49"/>
      <c r="AK11" s="50"/>
      <c r="AL11" s="49"/>
      <c r="AM11" s="50"/>
      <c r="AN11" s="49"/>
      <c r="AO11" s="50"/>
      <c r="AP11" s="49" t="s">
        <v>1</v>
      </c>
      <c r="AQ11" s="50" t="s">
        <v>428</v>
      </c>
      <c r="AR11" s="49"/>
      <c r="AS11" s="50"/>
      <c r="AT11" s="49"/>
      <c r="AU11" s="50"/>
      <c r="AV11" s="49" t="s">
        <v>5</v>
      </c>
      <c r="AW11" s="50" t="s">
        <v>420</v>
      </c>
      <c r="AX11" s="49"/>
      <c r="AY11" s="50"/>
      <c r="AZ11" s="49"/>
      <c r="BA11" s="50"/>
      <c r="BB11" s="49"/>
      <c r="BC11" s="50"/>
      <c r="BD11" s="49"/>
      <c r="BE11" s="50"/>
      <c r="BF11" s="49"/>
      <c r="BG11" s="50"/>
      <c r="BH11" s="49"/>
      <c r="BI11" s="50"/>
      <c r="BJ11" s="49" t="s">
        <v>5</v>
      </c>
      <c r="BK11" s="50" t="s">
        <v>422</v>
      </c>
      <c r="BL11" s="49"/>
      <c r="BM11" s="50"/>
      <c r="BN11" s="49"/>
      <c r="BO11" s="50"/>
      <c r="BP11" s="49"/>
      <c r="BQ11" s="50"/>
      <c r="BR11" s="49"/>
      <c r="BS11" s="50"/>
      <c r="BT11" s="49"/>
      <c r="BU11" s="50"/>
      <c r="BV11" s="49"/>
      <c r="BW11" s="50"/>
      <c r="BX11" s="49"/>
      <c r="BY11" s="50"/>
      <c r="BZ11" s="49"/>
      <c r="CA11" s="50"/>
    </row>
    <row r="12" spans="1:79" s="91" customFormat="1" x14ac:dyDescent="0.25">
      <c r="A12" s="76">
        <v>150870</v>
      </c>
      <c r="B12" s="77" t="s">
        <v>443</v>
      </c>
      <c r="C12" s="78" t="s">
        <v>418</v>
      </c>
      <c r="D12" s="76" t="s">
        <v>70</v>
      </c>
      <c r="E12" s="79" t="s">
        <v>14</v>
      </c>
      <c r="F12" s="79" t="s">
        <v>126</v>
      </c>
      <c r="G12" s="79" t="s">
        <v>14</v>
      </c>
      <c r="H12" s="78" t="s">
        <v>14</v>
      </c>
      <c r="I12" s="79" t="s">
        <v>14</v>
      </c>
      <c r="J12" s="80">
        <v>4.7</v>
      </c>
      <c r="K12" s="81">
        <v>0</v>
      </c>
      <c r="L12" s="82">
        <v>0</v>
      </c>
      <c r="M12" s="83">
        <v>0</v>
      </c>
      <c r="N12" s="84">
        <v>98.99</v>
      </c>
      <c r="O12" s="85">
        <v>0</v>
      </c>
      <c r="P12" s="86"/>
      <c r="Q12" s="87">
        <f t="shared" si="0"/>
        <v>2</v>
      </c>
      <c r="R12" s="88">
        <f t="shared" si="1"/>
        <v>2</v>
      </c>
      <c r="S12" s="89">
        <f t="shared" si="2"/>
        <v>0</v>
      </c>
      <c r="T12" s="89">
        <f t="shared" si="3"/>
        <v>0</v>
      </c>
      <c r="U12" s="89">
        <f t="shared" si="4"/>
        <v>0</v>
      </c>
      <c r="V12" s="89">
        <f t="shared" si="5"/>
        <v>0</v>
      </c>
      <c r="W12" s="89">
        <f t="shared" si="6"/>
        <v>0</v>
      </c>
      <c r="X12" s="89">
        <f t="shared" si="7"/>
        <v>0</v>
      </c>
      <c r="Y12" s="89">
        <f t="shared" si="8"/>
        <v>0</v>
      </c>
      <c r="Z12" s="89">
        <f t="shared" si="10"/>
        <v>0</v>
      </c>
      <c r="AA12" s="41">
        <f t="shared" si="11"/>
        <v>0</v>
      </c>
      <c r="AB12" s="49"/>
      <c r="AC12" s="50"/>
      <c r="AD12" s="49"/>
      <c r="AE12" s="50"/>
      <c r="AF12" s="49"/>
      <c r="AG12" s="50"/>
      <c r="AH12" s="49"/>
      <c r="AI12" s="50"/>
      <c r="AJ12" s="49"/>
      <c r="AK12" s="50"/>
      <c r="AL12" s="49"/>
      <c r="AM12" s="50"/>
      <c r="AN12" s="49"/>
      <c r="AO12" s="50"/>
      <c r="AP12" s="49" t="s">
        <v>1</v>
      </c>
      <c r="AQ12" s="50" t="s">
        <v>428</v>
      </c>
      <c r="AR12" s="49"/>
      <c r="AS12" s="50"/>
      <c r="AT12" s="49"/>
      <c r="AU12" s="50"/>
      <c r="AV12" s="49" t="s">
        <v>5</v>
      </c>
      <c r="AW12" s="50" t="s">
        <v>420</v>
      </c>
      <c r="AX12" s="49"/>
      <c r="AY12" s="50"/>
      <c r="AZ12" s="49"/>
      <c r="BA12" s="50"/>
      <c r="BB12" s="49"/>
      <c r="BC12" s="50"/>
      <c r="BD12" s="49"/>
      <c r="BE12" s="50"/>
      <c r="BF12" s="49"/>
      <c r="BG12" s="50"/>
      <c r="BH12" s="49"/>
      <c r="BI12" s="50"/>
      <c r="BJ12" s="49" t="s">
        <v>5</v>
      </c>
      <c r="BK12" s="50" t="s">
        <v>422</v>
      </c>
      <c r="BL12" s="49"/>
      <c r="BM12" s="50"/>
      <c r="BN12" s="49"/>
      <c r="BO12" s="50"/>
      <c r="BP12" s="49"/>
      <c r="BQ12" s="50"/>
      <c r="BR12" s="49"/>
      <c r="BS12" s="50"/>
      <c r="BT12" s="49"/>
      <c r="BU12" s="50"/>
      <c r="BV12" s="49" t="s">
        <v>1</v>
      </c>
      <c r="BW12" s="50" t="s">
        <v>425</v>
      </c>
      <c r="BX12" s="49"/>
      <c r="BY12" s="50"/>
      <c r="BZ12" s="49"/>
      <c r="CA12" s="50"/>
    </row>
    <row r="13" spans="1:79" s="91" customFormat="1" x14ac:dyDescent="0.25">
      <c r="A13" s="76">
        <v>160038</v>
      </c>
      <c r="B13" s="77" t="s">
        <v>444</v>
      </c>
      <c r="C13" s="78" t="s">
        <v>440</v>
      </c>
      <c r="D13" s="76" t="s">
        <v>70</v>
      </c>
      <c r="E13" s="79" t="s">
        <v>87</v>
      </c>
      <c r="F13" s="77" t="s">
        <v>445</v>
      </c>
      <c r="G13" s="79" t="s">
        <v>14</v>
      </c>
      <c r="H13" s="78" t="s">
        <v>14</v>
      </c>
      <c r="I13" s="79" t="s">
        <v>14</v>
      </c>
      <c r="J13" s="80">
        <v>4</v>
      </c>
      <c r="K13" s="81">
        <v>0</v>
      </c>
      <c r="L13" s="82">
        <v>0</v>
      </c>
      <c r="M13" s="83">
        <v>0</v>
      </c>
      <c r="N13" s="84">
        <v>96.94</v>
      </c>
      <c r="O13" s="85">
        <v>1</v>
      </c>
      <c r="P13" s="86"/>
      <c r="Q13" s="87">
        <f t="shared" si="0"/>
        <v>3</v>
      </c>
      <c r="R13" s="88">
        <f t="shared" si="1"/>
        <v>1</v>
      </c>
      <c r="S13" s="89">
        <f t="shared" si="2"/>
        <v>0</v>
      </c>
      <c r="T13" s="89">
        <f t="shared" si="3"/>
        <v>0</v>
      </c>
      <c r="U13" s="89">
        <f t="shared" si="4"/>
        <v>0</v>
      </c>
      <c r="V13" s="89">
        <f t="shared" si="5"/>
        <v>0</v>
      </c>
      <c r="W13" s="89">
        <f t="shared" si="6"/>
        <v>0</v>
      </c>
      <c r="X13" s="89">
        <f t="shared" si="7"/>
        <v>0</v>
      </c>
      <c r="Y13" s="89">
        <f t="shared" si="8"/>
        <v>0</v>
      </c>
      <c r="Z13" s="89">
        <f t="shared" si="10"/>
        <v>0</v>
      </c>
      <c r="AA13" s="41">
        <f t="shared" si="11"/>
        <v>0</v>
      </c>
      <c r="AB13" s="49"/>
      <c r="AC13" s="50"/>
      <c r="AD13" s="49"/>
      <c r="AE13" s="50"/>
      <c r="AF13" s="49"/>
      <c r="AG13" s="50"/>
      <c r="AH13" s="49"/>
      <c r="AI13" s="50"/>
      <c r="AJ13" s="49"/>
      <c r="AK13" s="50"/>
      <c r="AL13" s="49"/>
      <c r="AM13" s="50"/>
      <c r="AN13" s="49"/>
      <c r="AO13" s="50"/>
      <c r="AP13" s="49"/>
      <c r="AQ13" s="50"/>
      <c r="AR13" s="49"/>
      <c r="AS13" s="50"/>
      <c r="AT13" s="49"/>
      <c r="AU13" s="50"/>
      <c r="AV13" s="49" t="s">
        <v>5</v>
      </c>
      <c r="AW13" s="50" t="s">
        <v>428</v>
      </c>
      <c r="AX13" s="49"/>
      <c r="AY13" s="50"/>
      <c r="AZ13" s="49"/>
      <c r="BA13" s="50"/>
      <c r="BB13" s="49"/>
      <c r="BC13" s="50"/>
      <c r="BD13" s="49" t="s">
        <v>1</v>
      </c>
      <c r="BE13" s="50" t="s">
        <v>436</v>
      </c>
      <c r="BF13" s="49" t="s">
        <v>1</v>
      </c>
      <c r="BG13" s="50" t="s">
        <v>436</v>
      </c>
      <c r="BH13" s="49"/>
      <c r="BI13" s="50"/>
      <c r="BJ13" s="49"/>
      <c r="BK13" s="50"/>
      <c r="BL13" s="49"/>
      <c r="BM13" s="50"/>
      <c r="BN13" s="49"/>
      <c r="BO13" s="50"/>
      <c r="BP13" s="49"/>
      <c r="BQ13" s="50"/>
      <c r="BR13" s="49"/>
      <c r="BS13" s="50"/>
      <c r="BT13" s="49"/>
      <c r="BU13" s="50"/>
      <c r="BV13" s="49" t="s">
        <v>1</v>
      </c>
      <c r="BW13" s="50" t="s">
        <v>436</v>
      </c>
      <c r="BX13" s="49"/>
      <c r="BY13" s="50"/>
      <c r="BZ13" s="49"/>
      <c r="CA13" s="50"/>
    </row>
    <row r="14" spans="1:79" s="91" customFormat="1" x14ac:dyDescent="0.25">
      <c r="A14" s="76">
        <v>150811</v>
      </c>
      <c r="B14" s="77" t="s">
        <v>446</v>
      </c>
      <c r="C14" s="78" t="s">
        <v>418</v>
      </c>
      <c r="D14" s="76" t="s">
        <v>12</v>
      </c>
      <c r="E14" s="79" t="s">
        <v>14</v>
      </c>
      <c r="F14" s="79" t="s">
        <v>126</v>
      </c>
      <c r="G14" s="79" t="s">
        <v>14</v>
      </c>
      <c r="H14" s="78" t="s">
        <v>14</v>
      </c>
      <c r="I14" s="79" t="s">
        <v>14</v>
      </c>
      <c r="J14" s="80">
        <v>4.5999999999999996</v>
      </c>
      <c r="K14" s="81">
        <v>0</v>
      </c>
      <c r="L14" s="82">
        <v>0</v>
      </c>
      <c r="M14" s="83">
        <v>1</v>
      </c>
      <c r="N14" s="84">
        <v>87.13</v>
      </c>
      <c r="O14" s="85">
        <v>1</v>
      </c>
      <c r="P14" s="86"/>
      <c r="Q14" s="87">
        <f t="shared" si="0"/>
        <v>0</v>
      </c>
      <c r="R14" s="88">
        <f t="shared" si="1"/>
        <v>3</v>
      </c>
      <c r="S14" s="89">
        <f t="shared" si="2"/>
        <v>0</v>
      </c>
      <c r="T14" s="89">
        <f t="shared" si="3"/>
        <v>0</v>
      </c>
      <c r="U14" s="89">
        <f t="shared" si="4"/>
        <v>1</v>
      </c>
      <c r="V14" s="89">
        <f t="shared" si="5"/>
        <v>1</v>
      </c>
      <c r="W14" s="89">
        <f t="shared" si="6"/>
        <v>0</v>
      </c>
      <c r="X14" s="89">
        <f t="shared" si="7"/>
        <v>0</v>
      </c>
      <c r="Y14" s="89">
        <f t="shared" si="8"/>
        <v>0</v>
      </c>
      <c r="Z14" s="89">
        <f t="shared" si="10"/>
        <v>0</v>
      </c>
      <c r="AA14" s="41">
        <f t="shared" si="11"/>
        <v>0</v>
      </c>
      <c r="AB14" s="49"/>
      <c r="AC14" s="50"/>
      <c r="AD14" s="49"/>
      <c r="AE14" s="50"/>
      <c r="AF14" s="49"/>
      <c r="AG14" s="50"/>
      <c r="AH14" s="49"/>
      <c r="AI14" s="50"/>
      <c r="AJ14" s="49" t="s">
        <v>5</v>
      </c>
      <c r="AK14" s="50" t="s">
        <v>163</v>
      </c>
      <c r="AL14" s="49"/>
      <c r="AM14" s="50"/>
      <c r="AN14" s="49"/>
      <c r="AO14" s="50"/>
      <c r="AP14" s="49" t="s">
        <v>5</v>
      </c>
      <c r="AQ14" s="50" t="s">
        <v>428</v>
      </c>
      <c r="AR14" s="49"/>
      <c r="AS14" s="50"/>
      <c r="AT14" s="49"/>
      <c r="AU14" s="50"/>
      <c r="AV14" s="49" t="s">
        <v>5</v>
      </c>
      <c r="AW14" s="50" t="s">
        <v>420</v>
      </c>
      <c r="AX14" s="49"/>
      <c r="AY14" s="50"/>
      <c r="AZ14" s="49"/>
      <c r="BA14" s="50"/>
      <c r="BB14" s="49"/>
      <c r="BC14" s="50"/>
      <c r="BD14" s="49"/>
      <c r="BE14" s="50"/>
      <c r="BF14" s="49"/>
      <c r="BG14" s="50"/>
      <c r="BH14" s="49"/>
      <c r="BI14" s="50"/>
      <c r="BJ14" s="49"/>
      <c r="BK14" s="50"/>
      <c r="BL14" s="49"/>
      <c r="BM14" s="50"/>
      <c r="BN14" s="49"/>
      <c r="BO14" s="50"/>
      <c r="BP14" s="49"/>
      <c r="BQ14" s="50"/>
      <c r="BR14" s="49"/>
      <c r="BS14" s="50"/>
      <c r="BT14" s="49"/>
      <c r="BU14" s="50"/>
      <c r="BV14" s="49" t="s">
        <v>32</v>
      </c>
      <c r="BW14" s="50" t="s">
        <v>425</v>
      </c>
      <c r="BX14" s="49"/>
      <c r="BY14" s="50"/>
      <c r="BZ14" s="49"/>
      <c r="CA14" s="50"/>
    </row>
    <row r="15" spans="1:79" s="91" customFormat="1" x14ac:dyDescent="0.25">
      <c r="A15" s="76">
        <v>150903</v>
      </c>
      <c r="B15" s="77" t="s">
        <v>447</v>
      </c>
      <c r="C15" s="78" t="s">
        <v>418</v>
      </c>
      <c r="D15" s="76" t="s">
        <v>70</v>
      </c>
      <c r="E15" s="79" t="s">
        <v>14</v>
      </c>
      <c r="F15" s="79" t="s">
        <v>158</v>
      </c>
      <c r="G15" s="79" t="s">
        <v>14</v>
      </c>
      <c r="H15" s="78" t="s">
        <v>14</v>
      </c>
      <c r="I15" s="79" t="s">
        <v>14</v>
      </c>
      <c r="J15" s="80">
        <v>6.2</v>
      </c>
      <c r="K15" s="81">
        <v>1</v>
      </c>
      <c r="L15" s="82">
        <v>0</v>
      </c>
      <c r="M15" s="83">
        <v>0</v>
      </c>
      <c r="N15" s="84">
        <v>91.53</v>
      </c>
      <c r="O15" s="85">
        <v>0</v>
      </c>
      <c r="P15" s="86"/>
      <c r="Q15" s="87">
        <f t="shared" si="0"/>
        <v>1</v>
      </c>
      <c r="R15" s="88">
        <f t="shared" si="1"/>
        <v>3</v>
      </c>
      <c r="S15" s="89">
        <f t="shared" si="2"/>
        <v>0</v>
      </c>
      <c r="T15" s="89">
        <f t="shared" si="3"/>
        <v>0</v>
      </c>
      <c r="U15" s="89">
        <f t="shared" si="4"/>
        <v>0</v>
      </c>
      <c r="V15" s="89">
        <f t="shared" si="5"/>
        <v>0</v>
      </c>
      <c r="W15" s="89">
        <f t="shared" si="6"/>
        <v>0</v>
      </c>
      <c r="X15" s="89">
        <f t="shared" si="7"/>
        <v>0</v>
      </c>
      <c r="Y15" s="89">
        <f t="shared" si="8"/>
        <v>0</v>
      </c>
      <c r="Z15" s="89">
        <f t="shared" si="10"/>
        <v>0</v>
      </c>
      <c r="AA15" s="41">
        <f t="shared" si="11"/>
        <v>0</v>
      </c>
      <c r="AB15" s="49"/>
      <c r="AC15" s="50"/>
      <c r="AD15" s="49"/>
      <c r="AE15" s="50"/>
      <c r="AF15" s="49"/>
      <c r="AG15" s="50"/>
      <c r="AH15" s="49"/>
      <c r="AI15" s="50"/>
      <c r="AJ15" s="49"/>
      <c r="AK15" s="50"/>
      <c r="AL15" s="49"/>
      <c r="AM15" s="50"/>
      <c r="AN15" s="49"/>
      <c r="AO15" s="50"/>
      <c r="AP15" s="49"/>
      <c r="AQ15" s="50"/>
      <c r="AR15" s="49"/>
      <c r="AS15" s="50"/>
      <c r="AT15" s="49" t="s">
        <v>5</v>
      </c>
      <c r="AU15" s="50" t="s">
        <v>448</v>
      </c>
      <c r="AV15" s="49" t="s">
        <v>5</v>
      </c>
      <c r="AW15" s="50" t="s">
        <v>420</v>
      </c>
      <c r="AX15" s="49"/>
      <c r="AY15" s="50"/>
      <c r="AZ15" s="49"/>
      <c r="BA15" s="50"/>
      <c r="BB15" s="49"/>
      <c r="BC15" s="50"/>
      <c r="BD15" s="49"/>
      <c r="BE15" s="50"/>
      <c r="BF15" s="49"/>
      <c r="BG15" s="50"/>
      <c r="BH15" s="49" t="s">
        <v>5</v>
      </c>
      <c r="BI15" s="50" t="s">
        <v>77</v>
      </c>
      <c r="BJ15" s="49"/>
      <c r="BK15" s="50"/>
      <c r="BL15" s="49"/>
      <c r="BM15" s="50"/>
      <c r="BN15" s="49"/>
      <c r="BO15" s="50"/>
      <c r="BP15" s="49"/>
      <c r="BQ15" s="50"/>
      <c r="BR15" s="49"/>
      <c r="BS15" s="50"/>
      <c r="BT15" s="49"/>
      <c r="BU15" s="50"/>
      <c r="BV15" s="49" t="s">
        <v>1</v>
      </c>
      <c r="BW15" s="50" t="s">
        <v>425</v>
      </c>
      <c r="BX15" s="49"/>
      <c r="BY15" s="50"/>
      <c r="BZ15" s="49"/>
      <c r="CA15" s="50"/>
    </row>
    <row r="16" spans="1:79" s="91" customFormat="1" x14ac:dyDescent="0.25">
      <c r="A16" s="76">
        <v>150940</v>
      </c>
      <c r="B16" s="77" t="s">
        <v>449</v>
      </c>
      <c r="C16" s="78" t="s">
        <v>418</v>
      </c>
      <c r="D16" s="76" t="s">
        <v>70</v>
      </c>
      <c r="E16" s="79" t="s">
        <v>14</v>
      </c>
      <c r="F16" s="79" t="s">
        <v>450</v>
      </c>
      <c r="G16" s="79" t="s">
        <v>14</v>
      </c>
      <c r="H16" s="78" t="s">
        <v>14</v>
      </c>
      <c r="I16" s="79" t="s">
        <v>14</v>
      </c>
      <c r="J16" s="80">
        <v>6.3</v>
      </c>
      <c r="K16" s="81">
        <v>1</v>
      </c>
      <c r="L16" s="82">
        <v>0</v>
      </c>
      <c r="M16" s="83">
        <v>0</v>
      </c>
      <c r="N16" s="84">
        <v>99.12</v>
      </c>
      <c r="O16" s="85">
        <v>1</v>
      </c>
      <c r="P16" s="86"/>
      <c r="Q16" s="87">
        <f t="shared" si="0"/>
        <v>1</v>
      </c>
      <c r="R16" s="88">
        <f t="shared" si="1"/>
        <v>3</v>
      </c>
      <c r="S16" s="89">
        <f t="shared" si="2"/>
        <v>0</v>
      </c>
      <c r="T16" s="89">
        <f t="shared" si="3"/>
        <v>0</v>
      </c>
      <c r="U16" s="89">
        <f t="shared" si="4"/>
        <v>0</v>
      </c>
      <c r="V16" s="89">
        <f t="shared" si="5"/>
        <v>0</v>
      </c>
      <c r="W16" s="89">
        <f t="shared" si="6"/>
        <v>0</v>
      </c>
      <c r="X16" s="89">
        <f t="shared" si="7"/>
        <v>0</v>
      </c>
      <c r="Y16" s="89">
        <f t="shared" si="8"/>
        <v>0</v>
      </c>
      <c r="Z16" s="89">
        <f t="shared" si="10"/>
        <v>0</v>
      </c>
      <c r="AA16" s="41">
        <f t="shared" si="11"/>
        <v>0</v>
      </c>
      <c r="AB16" s="49"/>
      <c r="AC16" s="50"/>
      <c r="AD16" s="49"/>
      <c r="AE16" s="50"/>
      <c r="AF16" s="49" t="s">
        <v>5</v>
      </c>
      <c r="AG16" s="50" t="s">
        <v>427</v>
      </c>
      <c r="AH16" s="49"/>
      <c r="AI16" s="50"/>
      <c r="AJ16" s="49"/>
      <c r="AK16" s="50"/>
      <c r="AL16" s="49"/>
      <c r="AM16" s="50"/>
      <c r="AN16" s="49"/>
      <c r="AO16" s="50"/>
      <c r="AP16" s="49" t="s">
        <v>1</v>
      </c>
      <c r="AQ16" s="50" t="s">
        <v>428</v>
      </c>
      <c r="AR16" s="49"/>
      <c r="AS16" s="50"/>
      <c r="AT16" s="49"/>
      <c r="AU16" s="50"/>
      <c r="AV16" s="49" t="s">
        <v>5</v>
      </c>
      <c r="AW16" s="50" t="s">
        <v>420</v>
      </c>
      <c r="AX16" s="49"/>
      <c r="AY16" s="50"/>
      <c r="AZ16" s="49"/>
      <c r="BA16" s="50"/>
      <c r="BB16" s="49"/>
      <c r="BC16" s="50"/>
      <c r="BD16" s="49"/>
      <c r="BE16" s="50"/>
      <c r="BF16" s="49"/>
      <c r="BG16" s="50"/>
      <c r="BH16" s="49"/>
      <c r="BI16" s="50"/>
      <c r="BJ16" s="49" t="s">
        <v>5</v>
      </c>
      <c r="BK16" s="50" t="s">
        <v>430</v>
      </c>
      <c r="BL16" s="49"/>
      <c r="BM16" s="50"/>
      <c r="BN16" s="49"/>
      <c r="BO16" s="50"/>
      <c r="BP16" s="49"/>
      <c r="BQ16" s="50"/>
      <c r="BR16" s="49"/>
      <c r="BS16" s="50"/>
      <c r="BT16" s="49"/>
      <c r="BU16" s="50"/>
      <c r="BV16" s="49"/>
      <c r="BW16" s="50"/>
      <c r="BX16" s="49"/>
      <c r="BY16" s="50"/>
      <c r="BZ16" s="49"/>
      <c r="CA16" s="50"/>
    </row>
    <row r="17" spans="1:79" s="91" customFormat="1" x14ac:dyDescent="0.25">
      <c r="A17" s="76">
        <v>160067</v>
      </c>
      <c r="B17" s="77" t="s">
        <v>451</v>
      </c>
      <c r="C17" s="78" t="s">
        <v>452</v>
      </c>
      <c r="D17" s="76" t="s">
        <v>70</v>
      </c>
      <c r="E17" s="79" t="s">
        <v>14</v>
      </c>
      <c r="F17" s="79" t="s">
        <v>312</v>
      </c>
      <c r="G17" s="79" t="s">
        <v>14</v>
      </c>
      <c r="H17" s="78" t="s">
        <v>14</v>
      </c>
      <c r="I17" s="79" t="s">
        <v>14</v>
      </c>
      <c r="J17" s="80">
        <v>5.2</v>
      </c>
      <c r="K17" s="81">
        <v>0</v>
      </c>
      <c r="L17" s="82">
        <v>0</v>
      </c>
      <c r="M17" s="83">
        <v>0</v>
      </c>
      <c r="N17" s="84">
        <v>98.31</v>
      </c>
      <c r="O17" s="85">
        <v>0</v>
      </c>
      <c r="P17" s="86"/>
      <c r="Q17" s="87">
        <f t="shared" si="0"/>
        <v>0</v>
      </c>
      <c r="R17" s="88">
        <f t="shared" si="1"/>
        <v>4</v>
      </c>
      <c r="S17" s="89">
        <f t="shared" si="2"/>
        <v>0</v>
      </c>
      <c r="T17" s="89">
        <f t="shared" si="3"/>
        <v>0</v>
      </c>
      <c r="U17" s="89">
        <f t="shared" si="4"/>
        <v>0</v>
      </c>
      <c r="V17" s="89">
        <f t="shared" si="5"/>
        <v>0</v>
      </c>
      <c r="W17" s="89">
        <f t="shared" si="6"/>
        <v>0</v>
      </c>
      <c r="X17" s="89">
        <f t="shared" si="7"/>
        <v>0</v>
      </c>
      <c r="Y17" s="89">
        <f t="shared" si="8"/>
        <v>0</v>
      </c>
      <c r="Z17" s="89">
        <f t="shared" si="10"/>
        <v>0</v>
      </c>
      <c r="AA17" s="41">
        <f t="shared" si="11"/>
        <v>0</v>
      </c>
      <c r="AB17" s="49"/>
      <c r="AC17" s="50"/>
      <c r="AD17" s="49" t="s">
        <v>5</v>
      </c>
      <c r="AE17" s="50" t="s">
        <v>154</v>
      </c>
      <c r="AF17" s="49"/>
      <c r="AG17" s="50"/>
      <c r="AH17" s="49" t="s">
        <v>5</v>
      </c>
      <c r="AI17" s="50" t="s">
        <v>206</v>
      </c>
      <c r="AJ17" s="49"/>
      <c r="AK17" s="50"/>
      <c r="AL17" s="49"/>
      <c r="AM17" s="50"/>
      <c r="AN17" s="49"/>
      <c r="AO17" s="50"/>
      <c r="AP17" s="49"/>
      <c r="AQ17" s="50"/>
      <c r="AR17" s="49"/>
      <c r="AS17" s="50"/>
      <c r="AT17" s="49"/>
      <c r="AU17" s="50"/>
      <c r="AV17" s="49" t="s">
        <v>5</v>
      </c>
      <c r="AW17" s="50" t="s">
        <v>453</v>
      </c>
      <c r="AX17" s="49"/>
      <c r="AY17" s="50"/>
      <c r="AZ17" s="49"/>
      <c r="BA17" s="50"/>
      <c r="BB17" s="49"/>
      <c r="BC17" s="50"/>
      <c r="BD17" s="49"/>
      <c r="BE17" s="50"/>
      <c r="BF17" s="49"/>
      <c r="BG17" s="50"/>
      <c r="BH17" s="49"/>
      <c r="BI17" s="50"/>
      <c r="BJ17" s="49" t="s">
        <v>5</v>
      </c>
      <c r="BK17" s="50" t="s">
        <v>422</v>
      </c>
      <c r="BL17" s="49"/>
      <c r="BM17" s="50"/>
      <c r="BN17" s="49"/>
      <c r="BO17" s="50"/>
      <c r="BP17" s="49"/>
      <c r="BQ17" s="50"/>
      <c r="BR17" s="49"/>
      <c r="BS17" s="50"/>
      <c r="BT17" s="49"/>
      <c r="BU17" s="50"/>
      <c r="BV17" s="49"/>
      <c r="BW17" s="50"/>
      <c r="BX17" s="49"/>
      <c r="BY17" s="50"/>
      <c r="BZ17" s="49"/>
      <c r="CA17" s="50"/>
    </row>
    <row r="18" spans="1:79" s="91" customFormat="1" x14ac:dyDescent="0.25">
      <c r="A18" s="76">
        <v>150941</v>
      </c>
      <c r="B18" s="77" t="s">
        <v>454</v>
      </c>
      <c r="C18" s="78" t="s">
        <v>418</v>
      </c>
      <c r="D18" s="76" t="s">
        <v>12</v>
      </c>
      <c r="E18" s="79" t="s">
        <v>14</v>
      </c>
      <c r="F18" s="79" t="s">
        <v>455</v>
      </c>
      <c r="G18" s="79" t="s">
        <v>14</v>
      </c>
      <c r="H18" s="78" t="s">
        <v>14</v>
      </c>
      <c r="I18" s="79" t="s">
        <v>14</v>
      </c>
      <c r="J18" s="80">
        <v>5.8</v>
      </c>
      <c r="K18" s="81">
        <v>2</v>
      </c>
      <c r="L18" s="82">
        <v>1</v>
      </c>
      <c r="M18" s="83">
        <v>0</v>
      </c>
      <c r="N18" s="84">
        <v>100</v>
      </c>
      <c r="O18" s="85">
        <v>1</v>
      </c>
      <c r="P18" s="86"/>
      <c r="Q18" s="87">
        <f t="shared" si="0"/>
        <v>0</v>
      </c>
      <c r="R18" s="88">
        <f t="shared" si="1"/>
        <v>3</v>
      </c>
      <c r="S18" s="89">
        <f t="shared" si="2"/>
        <v>1</v>
      </c>
      <c r="T18" s="89">
        <f t="shared" si="3"/>
        <v>0</v>
      </c>
      <c r="U18" s="89">
        <f t="shared" si="4"/>
        <v>0</v>
      </c>
      <c r="V18" s="89">
        <f t="shared" si="5"/>
        <v>1</v>
      </c>
      <c r="W18" s="89">
        <f t="shared" si="6"/>
        <v>0</v>
      </c>
      <c r="X18" s="89">
        <f t="shared" si="7"/>
        <v>0</v>
      </c>
      <c r="Y18" s="89">
        <f t="shared" si="8"/>
        <v>0</v>
      </c>
      <c r="Z18" s="89">
        <f t="shared" si="10"/>
        <v>0</v>
      </c>
      <c r="AA18" s="41">
        <f t="shared" si="11"/>
        <v>0</v>
      </c>
      <c r="AB18" s="49"/>
      <c r="AC18" s="50"/>
      <c r="AD18" s="49"/>
      <c r="AE18" s="50"/>
      <c r="AF18" s="49"/>
      <c r="AG18" s="50"/>
      <c r="AH18" s="49"/>
      <c r="AI18" s="50"/>
      <c r="AJ18" s="49" t="s">
        <v>5</v>
      </c>
      <c r="AK18" s="50" t="s">
        <v>163</v>
      </c>
      <c r="AL18" s="49"/>
      <c r="AM18" s="50"/>
      <c r="AN18" s="49"/>
      <c r="AO18" s="50"/>
      <c r="AP18" s="49"/>
      <c r="AQ18" s="50"/>
      <c r="AR18" s="49"/>
      <c r="AS18" s="50"/>
      <c r="AT18" s="49"/>
      <c r="AU18" s="50"/>
      <c r="AV18" s="49" t="s">
        <v>5</v>
      </c>
      <c r="AW18" s="50" t="s">
        <v>420</v>
      </c>
      <c r="AX18" s="49"/>
      <c r="AY18" s="50"/>
      <c r="AZ18" s="49"/>
      <c r="BA18" s="50"/>
      <c r="BB18" s="49"/>
      <c r="BC18" s="50"/>
      <c r="BD18" s="49"/>
      <c r="BE18" s="50"/>
      <c r="BF18" s="49"/>
      <c r="BG18" s="50"/>
      <c r="BH18" s="49"/>
      <c r="BI18" s="50"/>
      <c r="BJ18" s="49"/>
      <c r="BK18" s="50"/>
      <c r="BL18" s="49"/>
      <c r="BM18" s="50"/>
      <c r="BN18" s="49" t="s">
        <v>30</v>
      </c>
      <c r="BO18" s="50" t="s">
        <v>82</v>
      </c>
      <c r="BP18" s="49"/>
      <c r="BQ18" s="50"/>
      <c r="BR18" s="49" t="s">
        <v>5</v>
      </c>
      <c r="BS18" s="50" t="s">
        <v>98</v>
      </c>
      <c r="BT18" s="49"/>
      <c r="BU18" s="50"/>
      <c r="BV18" s="49"/>
      <c r="BW18" s="50"/>
      <c r="BX18" s="49"/>
      <c r="BY18" s="50"/>
      <c r="BZ18" s="49"/>
      <c r="CA18" s="50"/>
    </row>
    <row r="19" spans="1:79" s="91" customFormat="1" x14ac:dyDescent="0.25">
      <c r="A19" s="76">
        <v>160048</v>
      </c>
      <c r="B19" s="77" t="s">
        <v>456</v>
      </c>
      <c r="C19" s="78" t="s">
        <v>432</v>
      </c>
      <c r="D19" s="76" t="s">
        <v>12</v>
      </c>
      <c r="E19" s="79" t="s">
        <v>14</v>
      </c>
      <c r="F19" s="79" t="s">
        <v>71</v>
      </c>
      <c r="G19" s="79" t="s">
        <v>14</v>
      </c>
      <c r="H19" s="78" t="s">
        <v>14</v>
      </c>
      <c r="I19" s="79" t="s">
        <v>14</v>
      </c>
      <c r="J19" s="80">
        <v>4.8</v>
      </c>
      <c r="K19" s="81">
        <v>2</v>
      </c>
      <c r="L19" s="82">
        <v>0</v>
      </c>
      <c r="M19" s="83">
        <v>0</v>
      </c>
      <c r="N19" s="84">
        <v>99.09</v>
      </c>
      <c r="O19" s="85">
        <v>1</v>
      </c>
      <c r="P19" s="86"/>
      <c r="Q19" s="87">
        <f t="shared" si="0"/>
        <v>0</v>
      </c>
      <c r="R19" s="88">
        <f t="shared" si="1"/>
        <v>4</v>
      </c>
      <c r="S19" s="89">
        <f t="shared" si="2"/>
        <v>0</v>
      </c>
      <c r="T19" s="89">
        <f t="shared" si="3"/>
        <v>0</v>
      </c>
      <c r="U19" s="89">
        <f t="shared" si="4"/>
        <v>0</v>
      </c>
      <c r="V19" s="89">
        <f t="shared" si="5"/>
        <v>0</v>
      </c>
      <c r="W19" s="89">
        <f t="shared" si="6"/>
        <v>0</v>
      </c>
      <c r="X19" s="89">
        <f t="shared" si="7"/>
        <v>0</v>
      </c>
      <c r="Y19" s="89">
        <f t="shared" si="8"/>
        <v>0</v>
      </c>
      <c r="Z19" s="89">
        <f t="shared" si="10"/>
        <v>0</v>
      </c>
      <c r="AA19" s="41">
        <f t="shared" si="11"/>
        <v>0</v>
      </c>
      <c r="AB19" s="49" t="s">
        <v>5</v>
      </c>
      <c r="AC19" s="50" t="s">
        <v>116</v>
      </c>
      <c r="AD19" s="49"/>
      <c r="AE19" s="50"/>
      <c r="AF19" s="49"/>
      <c r="AG19" s="50"/>
      <c r="AH19" s="49"/>
      <c r="AI19" s="50"/>
      <c r="AJ19" s="49"/>
      <c r="AK19" s="50"/>
      <c r="AL19" s="49" t="s">
        <v>5</v>
      </c>
      <c r="AM19" s="50" t="s">
        <v>135</v>
      </c>
      <c r="AN19" s="49"/>
      <c r="AO19" s="50"/>
      <c r="AP19" s="49" t="s">
        <v>5</v>
      </c>
      <c r="AQ19" s="50" t="s">
        <v>428</v>
      </c>
      <c r="AR19" s="49"/>
      <c r="AS19" s="50"/>
      <c r="AT19" s="49"/>
      <c r="AU19" s="50"/>
      <c r="AV19" s="49" t="s">
        <v>5</v>
      </c>
      <c r="AW19" s="50" t="s">
        <v>457</v>
      </c>
      <c r="AX19" s="49"/>
      <c r="AY19" s="50"/>
      <c r="AZ19" s="49"/>
      <c r="BA19" s="50"/>
      <c r="BB19" s="49"/>
      <c r="BC19" s="50"/>
      <c r="BD19" s="49"/>
      <c r="BE19" s="50"/>
      <c r="BF19" s="49"/>
      <c r="BG19" s="50"/>
      <c r="BH19" s="49"/>
      <c r="BI19" s="50"/>
      <c r="BJ19" s="49"/>
      <c r="BK19" s="50"/>
      <c r="BL19" s="49"/>
      <c r="BM19" s="50"/>
      <c r="BN19" s="49"/>
      <c r="BO19" s="50"/>
      <c r="BP19" s="49"/>
      <c r="BQ19" s="50"/>
      <c r="BR19" s="49"/>
      <c r="BS19" s="50"/>
      <c r="BT19" s="49"/>
      <c r="BU19" s="50"/>
      <c r="BV19" s="49"/>
      <c r="BW19" s="50"/>
      <c r="BX19" s="49"/>
      <c r="BY19" s="50"/>
      <c r="BZ19" s="49"/>
      <c r="CA19" s="50"/>
    </row>
    <row r="20" spans="1:79" s="91" customFormat="1" x14ac:dyDescent="0.25">
      <c r="A20" s="76">
        <v>151502</v>
      </c>
      <c r="B20" s="77" t="s">
        <v>458</v>
      </c>
      <c r="C20" s="78" t="s">
        <v>418</v>
      </c>
      <c r="D20" s="76" t="s">
        <v>70</v>
      </c>
      <c r="E20" s="79" t="s">
        <v>87</v>
      </c>
      <c r="F20" s="79" t="s">
        <v>88</v>
      </c>
      <c r="G20" s="79" t="s">
        <v>14</v>
      </c>
      <c r="H20" s="78" t="s">
        <v>14</v>
      </c>
      <c r="I20" s="79" t="s">
        <v>14</v>
      </c>
      <c r="J20" s="80">
        <v>5.6</v>
      </c>
      <c r="K20" s="81">
        <v>0</v>
      </c>
      <c r="L20" s="82">
        <v>0</v>
      </c>
      <c r="M20" s="83">
        <v>0</v>
      </c>
      <c r="N20" s="84">
        <v>95.45</v>
      </c>
      <c r="O20" s="85">
        <v>0</v>
      </c>
      <c r="P20" s="86"/>
      <c r="Q20" s="87">
        <f t="shared" si="0"/>
        <v>2</v>
      </c>
      <c r="R20" s="88">
        <f t="shared" si="1"/>
        <v>2</v>
      </c>
      <c r="S20" s="89">
        <f t="shared" si="2"/>
        <v>0</v>
      </c>
      <c r="T20" s="89">
        <f t="shared" si="3"/>
        <v>0</v>
      </c>
      <c r="U20" s="89">
        <f t="shared" si="4"/>
        <v>0</v>
      </c>
      <c r="V20" s="89">
        <f t="shared" si="5"/>
        <v>0</v>
      </c>
      <c r="W20" s="89">
        <f t="shared" si="6"/>
        <v>0</v>
      </c>
      <c r="X20" s="89">
        <f t="shared" si="7"/>
        <v>0</v>
      </c>
      <c r="Y20" s="89">
        <f t="shared" si="8"/>
        <v>0</v>
      </c>
      <c r="Z20" s="89">
        <f t="shared" si="10"/>
        <v>0</v>
      </c>
      <c r="AA20" s="41">
        <f t="shared" si="11"/>
        <v>0</v>
      </c>
      <c r="AB20" s="49"/>
      <c r="AC20" s="50"/>
      <c r="AD20" s="49"/>
      <c r="AE20" s="50"/>
      <c r="AF20" s="49"/>
      <c r="AG20" s="50"/>
      <c r="AH20" s="49"/>
      <c r="AI20" s="50"/>
      <c r="AJ20" s="49"/>
      <c r="AK20" s="50"/>
      <c r="AL20" s="49"/>
      <c r="AM20" s="50"/>
      <c r="AN20" s="49"/>
      <c r="AO20" s="50"/>
      <c r="AP20" s="49"/>
      <c r="AQ20" s="50"/>
      <c r="AR20" s="49" t="s">
        <v>5</v>
      </c>
      <c r="AS20" s="50" t="s">
        <v>459</v>
      </c>
      <c r="AT20" s="49"/>
      <c r="AU20" s="50"/>
      <c r="AV20" s="49" t="s">
        <v>5</v>
      </c>
      <c r="AW20" s="50" t="s">
        <v>420</v>
      </c>
      <c r="AX20" s="49"/>
      <c r="AY20" s="50"/>
      <c r="AZ20" s="49"/>
      <c r="BA20" s="50"/>
      <c r="BB20" s="49"/>
      <c r="BC20" s="50"/>
      <c r="BD20" s="49"/>
      <c r="BE20" s="50"/>
      <c r="BF20" s="49"/>
      <c r="BG20" s="50"/>
      <c r="BH20" s="49"/>
      <c r="BI20" s="50"/>
      <c r="BJ20" s="49"/>
      <c r="BK20" s="50"/>
      <c r="BL20" s="49"/>
      <c r="BM20" s="50"/>
      <c r="BN20" s="49" t="s">
        <v>1</v>
      </c>
      <c r="BO20" s="50" t="s">
        <v>122</v>
      </c>
      <c r="BP20" s="49"/>
      <c r="BQ20" s="50"/>
      <c r="BR20" s="49"/>
      <c r="BS20" s="50"/>
      <c r="BT20" s="49"/>
      <c r="BU20" s="50"/>
      <c r="BV20" s="49" t="s">
        <v>1</v>
      </c>
      <c r="BW20" s="50" t="s">
        <v>436</v>
      </c>
      <c r="BX20" s="49"/>
      <c r="BY20" s="50"/>
      <c r="BZ20" s="49"/>
      <c r="CA20" s="50"/>
    </row>
    <row r="21" spans="1:79" s="91" customFormat="1" x14ac:dyDescent="0.25">
      <c r="A21" s="76">
        <v>150845</v>
      </c>
      <c r="B21" s="77" t="s">
        <v>460</v>
      </c>
      <c r="C21" s="78" t="s">
        <v>418</v>
      </c>
      <c r="D21" s="76" t="s">
        <v>12</v>
      </c>
      <c r="E21" s="79" t="s">
        <v>14</v>
      </c>
      <c r="F21" s="79" t="s">
        <v>71</v>
      </c>
      <c r="G21" s="79" t="s">
        <v>14</v>
      </c>
      <c r="H21" s="78" t="s">
        <v>14</v>
      </c>
      <c r="I21" s="79" t="s">
        <v>14</v>
      </c>
      <c r="J21" s="80">
        <v>7.4</v>
      </c>
      <c r="K21" s="81">
        <v>0</v>
      </c>
      <c r="L21" s="82">
        <v>0</v>
      </c>
      <c r="M21" s="83">
        <v>0</v>
      </c>
      <c r="N21" s="84">
        <v>65.290000000000006</v>
      </c>
      <c r="O21" s="85">
        <v>0</v>
      </c>
      <c r="P21" s="86"/>
      <c r="Q21" s="87">
        <f t="shared" si="0"/>
        <v>0</v>
      </c>
      <c r="R21" s="88">
        <f t="shared" si="1"/>
        <v>4</v>
      </c>
      <c r="S21" s="89">
        <f t="shared" si="2"/>
        <v>0</v>
      </c>
      <c r="T21" s="89">
        <f t="shared" si="3"/>
        <v>0</v>
      </c>
      <c r="U21" s="89">
        <f t="shared" si="4"/>
        <v>0</v>
      </c>
      <c r="V21" s="89">
        <f t="shared" si="5"/>
        <v>0</v>
      </c>
      <c r="W21" s="89">
        <f t="shared" si="6"/>
        <v>0</v>
      </c>
      <c r="X21" s="89">
        <f t="shared" si="7"/>
        <v>0</v>
      </c>
      <c r="Y21" s="89">
        <f t="shared" si="8"/>
        <v>0</v>
      </c>
      <c r="Z21" s="89">
        <f t="shared" si="10"/>
        <v>0</v>
      </c>
      <c r="AA21" s="41">
        <f t="shared" si="11"/>
        <v>0</v>
      </c>
      <c r="AB21" s="49"/>
      <c r="AC21" s="50"/>
      <c r="AD21" s="49" t="s">
        <v>5</v>
      </c>
      <c r="AE21" s="50" t="s">
        <v>438</v>
      </c>
      <c r="AF21" s="49"/>
      <c r="AG21" s="50"/>
      <c r="AH21" s="49"/>
      <c r="AI21" s="50"/>
      <c r="AJ21" s="49"/>
      <c r="AK21" s="50"/>
      <c r="AL21" s="49"/>
      <c r="AM21" s="50"/>
      <c r="AN21" s="49"/>
      <c r="AO21" s="50"/>
      <c r="AP21" s="49"/>
      <c r="AQ21" s="50"/>
      <c r="AR21" s="49"/>
      <c r="AS21" s="50"/>
      <c r="AT21" s="49"/>
      <c r="AU21" s="50"/>
      <c r="AV21" s="49" t="s">
        <v>5</v>
      </c>
      <c r="AW21" s="50" t="s">
        <v>420</v>
      </c>
      <c r="AX21" s="49"/>
      <c r="AY21" s="50"/>
      <c r="AZ21" s="49"/>
      <c r="BA21" s="50"/>
      <c r="BB21" s="49"/>
      <c r="BC21" s="50"/>
      <c r="BD21" s="49"/>
      <c r="BE21" s="50"/>
      <c r="BF21" s="49"/>
      <c r="BG21" s="50"/>
      <c r="BH21" s="49"/>
      <c r="BI21" s="50"/>
      <c r="BJ21" s="49" t="s">
        <v>5</v>
      </c>
      <c r="BK21" s="50" t="s">
        <v>422</v>
      </c>
      <c r="BL21" s="49"/>
      <c r="BM21" s="50"/>
      <c r="BN21" s="49"/>
      <c r="BO21" s="50"/>
      <c r="BP21" s="49"/>
      <c r="BQ21" s="50"/>
      <c r="BR21" s="49"/>
      <c r="BS21" s="50"/>
      <c r="BT21" s="49" t="s">
        <v>5</v>
      </c>
      <c r="BU21" s="50" t="s">
        <v>93</v>
      </c>
      <c r="BV21" s="49"/>
      <c r="BW21" s="50"/>
      <c r="BX21" s="49"/>
      <c r="BY21" s="50"/>
      <c r="BZ21" s="49"/>
      <c r="CA21" s="50"/>
    </row>
    <row r="22" spans="1:79" s="91" customFormat="1" x14ac:dyDescent="0.25">
      <c r="A22" s="76">
        <v>150817</v>
      </c>
      <c r="B22" s="77" t="s">
        <v>461</v>
      </c>
      <c r="C22" s="78" t="s">
        <v>418</v>
      </c>
      <c r="D22" s="76" t="s">
        <v>70</v>
      </c>
      <c r="E22" s="79" t="s">
        <v>14</v>
      </c>
      <c r="F22" s="79" t="s">
        <v>71</v>
      </c>
      <c r="G22" s="79" t="s">
        <v>14</v>
      </c>
      <c r="H22" s="78" t="s">
        <v>14</v>
      </c>
      <c r="I22" s="79" t="s">
        <v>14</v>
      </c>
      <c r="J22" s="80">
        <v>8.3000000000000007</v>
      </c>
      <c r="K22" s="81">
        <v>1</v>
      </c>
      <c r="L22" s="82">
        <v>0</v>
      </c>
      <c r="M22" s="83">
        <v>0</v>
      </c>
      <c r="N22" s="84">
        <v>99.14</v>
      </c>
      <c r="O22" s="85">
        <v>1</v>
      </c>
      <c r="P22" s="86"/>
      <c r="Q22" s="87">
        <f t="shared" si="0"/>
        <v>1</v>
      </c>
      <c r="R22" s="88">
        <f t="shared" si="1"/>
        <v>3</v>
      </c>
      <c r="S22" s="89">
        <f t="shared" si="2"/>
        <v>0</v>
      </c>
      <c r="T22" s="89">
        <f t="shared" si="3"/>
        <v>0</v>
      </c>
      <c r="U22" s="89">
        <f t="shared" si="4"/>
        <v>0</v>
      </c>
      <c r="V22" s="89">
        <f t="shared" si="5"/>
        <v>0</v>
      </c>
      <c r="W22" s="89">
        <f t="shared" si="6"/>
        <v>0</v>
      </c>
      <c r="X22" s="89">
        <f t="shared" si="7"/>
        <v>0</v>
      </c>
      <c r="Y22" s="89">
        <f t="shared" si="8"/>
        <v>0</v>
      </c>
      <c r="Z22" s="89">
        <f t="shared" si="10"/>
        <v>0</v>
      </c>
      <c r="AA22" s="41">
        <f t="shared" si="11"/>
        <v>0</v>
      </c>
      <c r="AB22" s="49" t="s">
        <v>5</v>
      </c>
      <c r="AC22" s="50" t="s">
        <v>116</v>
      </c>
      <c r="AD22" s="49"/>
      <c r="AE22" s="50"/>
      <c r="AF22" s="49"/>
      <c r="AG22" s="50"/>
      <c r="AH22" s="49"/>
      <c r="AI22" s="50"/>
      <c r="AJ22" s="49"/>
      <c r="AK22" s="50"/>
      <c r="AL22" s="49"/>
      <c r="AM22" s="50"/>
      <c r="AN22" s="49"/>
      <c r="AO22" s="50"/>
      <c r="AP22" s="49"/>
      <c r="AQ22" s="50"/>
      <c r="AR22" s="49" t="s">
        <v>5</v>
      </c>
      <c r="AS22" s="50" t="s">
        <v>127</v>
      </c>
      <c r="AT22" s="49"/>
      <c r="AU22" s="50"/>
      <c r="AV22" s="49" t="s">
        <v>5</v>
      </c>
      <c r="AW22" s="50" t="s">
        <v>420</v>
      </c>
      <c r="AX22" s="49"/>
      <c r="AY22" s="50"/>
      <c r="AZ22" s="49"/>
      <c r="BA22" s="50"/>
      <c r="BB22" s="49"/>
      <c r="BC22" s="50"/>
      <c r="BD22" s="49"/>
      <c r="BE22" s="50"/>
      <c r="BF22" s="49"/>
      <c r="BG22" s="50"/>
      <c r="BH22" s="49"/>
      <c r="BI22" s="50"/>
      <c r="BJ22" s="49"/>
      <c r="BK22" s="50"/>
      <c r="BL22" s="49"/>
      <c r="BM22" s="50"/>
      <c r="BN22" s="49"/>
      <c r="BO22" s="50"/>
      <c r="BP22" s="49"/>
      <c r="BQ22" s="50"/>
      <c r="BR22" s="49"/>
      <c r="BS22" s="50"/>
      <c r="BT22" s="49"/>
      <c r="BU22" s="50"/>
      <c r="BV22" s="49"/>
      <c r="BW22" s="50"/>
      <c r="BX22" s="49" t="s">
        <v>1</v>
      </c>
      <c r="BY22" s="50" t="s">
        <v>462</v>
      </c>
      <c r="BZ22" s="49"/>
      <c r="CA22" s="50"/>
    </row>
    <row r="23" spans="1:79" s="91" customFormat="1" x14ac:dyDescent="0.25">
      <c r="A23" s="76">
        <v>150930</v>
      </c>
      <c r="B23" s="77" t="s">
        <v>463</v>
      </c>
      <c r="C23" s="78" t="s">
        <v>464</v>
      </c>
      <c r="D23" s="76" t="s">
        <v>70</v>
      </c>
      <c r="E23" s="79" t="s">
        <v>14</v>
      </c>
      <c r="F23" s="79" t="s">
        <v>71</v>
      </c>
      <c r="G23" s="79" t="s">
        <v>14</v>
      </c>
      <c r="H23" s="78" t="s">
        <v>14</v>
      </c>
      <c r="I23" s="79" t="s">
        <v>14</v>
      </c>
      <c r="J23" s="80">
        <v>6.8</v>
      </c>
      <c r="K23" s="81">
        <v>1</v>
      </c>
      <c r="L23" s="82">
        <v>0</v>
      </c>
      <c r="M23" s="83">
        <v>0</v>
      </c>
      <c r="N23" s="84">
        <v>89.83</v>
      </c>
      <c r="O23" s="85">
        <v>0</v>
      </c>
      <c r="P23" s="86"/>
      <c r="Q23" s="87">
        <f t="shared" si="0"/>
        <v>0</v>
      </c>
      <c r="R23" s="88">
        <f t="shared" si="1"/>
        <v>4</v>
      </c>
      <c r="S23" s="89">
        <f t="shared" si="2"/>
        <v>0</v>
      </c>
      <c r="T23" s="89">
        <f t="shared" si="3"/>
        <v>0</v>
      </c>
      <c r="U23" s="89">
        <f t="shared" si="4"/>
        <v>0</v>
      </c>
      <c r="V23" s="89">
        <f t="shared" si="5"/>
        <v>0</v>
      </c>
      <c r="W23" s="89">
        <f t="shared" si="6"/>
        <v>0</v>
      </c>
      <c r="X23" s="89">
        <f t="shared" si="7"/>
        <v>0</v>
      </c>
      <c r="Y23" s="89">
        <f t="shared" si="8"/>
        <v>0</v>
      </c>
      <c r="Z23" s="89">
        <f t="shared" si="10"/>
        <v>0</v>
      </c>
      <c r="AA23" s="41">
        <f t="shared" si="11"/>
        <v>0</v>
      </c>
      <c r="AB23" s="49"/>
      <c r="AC23" s="50"/>
      <c r="AD23" s="49" t="s">
        <v>5</v>
      </c>
      <c r="AE23" s="50" t="s">
        <v>433</v>
      </c>
      <c r="AF23" s="49"/>
      <c r="AG23" s="50"/>
      <c r="AH23" s="49" t="s">
        <v>5</v>
      </c>
      <c r="AI23" s="50" t="s">
        <v>419</v>
      </c>
      <c r="AJ23" s="49"/>
      <c r="AK23" s="50"/>
      <c r="AL23" s="49"/>
      <c r="AM23" s="50"/>
      <c r="AN23" s="49"/>
      <c r="AO23" s="50"/>
      <c r="AP23" s="49"/>
      <c r="AQ23" s="50"/>
      <c r="AR23" s="49"/>
      <c r="AS23" s="50"/>
      <c r="AT23" s="49"/>
      <c r="AU23" s="50"/>
      <c r="AV23" s="49" t="s">
        <v>5</v>
      </c>
      <c r="AW23" s="50" t="s">
        <v>448</v>
      </c>
      <c r="AX23" s="49"/>
      <c r="AY23" s="50"/>
      <c r="AZ23" s="49"/>
      <c r="BA23" s="50"/>
      <c r="BB23" s="49"/>
      <c r="BC23" s="50"/>
      <c r="BD23" s="49"/>
      <c r="BE23" s="50"/>
      <c r="BF23" s="49"/>
      <c r="BG23" s="50"/>
      <c r="BH23" s="49"/>
      <c r="BI23" s="50"/>
      <c r="BJ23" s="49" t="s">
        <v>5</v>
      </c>
      <c r="BK23" s="50" t="s">
        <v>430</v>
      </c>
      <c r="BL23" s="49"/>
      <c r="BM23" s="50"/>
      <c r="BN23" s="49"/>
      <c r="BO23" s="50"/>
      <c r="BP23" s="49"/>
      <c r="BQ23" s="50"/>
      <c r="BR23" s="49"/>
      <c r="BS23" s="50"/>
      <c r="BT23" s="49"/>
      <c r="BU23" s="50"/>
      <c r="BV23" s="49"/>
      <c r="BW23" s="50"/>
      <c r="BX23" s="49"/>
      <c r="BY23" s="50"/>
      <c r="BZ23" s="49"/>
      <c r="CA23" s="50"/>
    </row>
    <row r="24" spans="1:79" s="91" customFormat="1" ht="30" x14ac:dyDescent="0.25">
      <c r="A24" s="76">
        <v>160081</v>
      </c>
      <c r="B24" s="77" t="s">
        <v>465</v>
      </c>
      <c r="C24" s="78" t="s">
        <v>466</v>
      </c>
      <c r="D24" s="76" t="s">
        <v>70</v>
      </c>
      <c r="E24" s="79" t="s">
        <v>14</v>
      </c>
      <c r="F24" s="77" t="s">
        <v>146</v>
      </c>
      <c r="G24" s="79" t="s">
        <v>14</v>
      </c>
      <c r="H24" s="78" t="s">
        <v>14</v>
      </c>
      <c r="I24" s="79" t="s">
        <v>14</v>
      </c>
      <c r="J24" s="80">
        <v>8</v>
      </c>
      <c r="K24" s="81">
        <v>0</v>
      </c>
      <c r="L24" s="82">
        <v>0</v>
      </c>
      <c r="M24" s="83">
        <v>0</v>
      </c>
      <c r="N24" s="84">
        <v>100</v>
      </c>
      <c r="O24" s="85">
        <v>1</v>
      </c>
      <c r="P24" s="86"/>
      <c r="Q24" s="87">
        <f t="shared" si="0"/>
        <v>1</v>
      </c>
      <c r="R24" s="88">
        <f t="shared" si="1"/>
        <v>4</v>
      </c>
      <c r="S24" s="89">
        <f t="shared" si="2"/>
        <v>0</v>
      </c>
      <c r="T24" s="89">
        <f t="shared" si="3"/>
        <v>0</v>
      </c>
      <c r="U24" s="89">
        <f t="shared" si="4"/>
        <v>0</v>
      </c>
      <c r="V24" s="89">
        <f t="shared" si="5"/>
        <v>0</v>
      </c>
      <c r="W24" s="89">
        <f t="shared" si="6"/>
        <v>0</v>
      </c>
      <c r="X24" s="89">
        <f t="shared" si="7"/>
        <v>0</v>
      </c>
      <c r="Y24" s="89">
        <f t="shared" si="8"/>
        <v>0</v>
      </c>
      <c r="Z24" s="89">
        <f t="shared" si="10"/>
        <v>0</v>
      </c>
      <c r="AA24" s="41">
        <f t="shared" si="11"/>
        <v>0</v>
      </c>
      <c r="AB24" s="49"/>
      <c r="AC24" s="50"/>
      <c r="AD24" s="49" t="s">
        <v>5</v>
      </c>
      <c r="AE24" s="50" t="s">
        <v>154</v>
      </c>
      <c r="AF24" s="49"/>
      <c r="AG24" s="50"/>
      <c r="AH24" s="49" t="s">
        <v>1</v>
      </c>
      <c r="AI24" s="50" t="s">
        <v>424</v>
      </c>
      <c r="AJ24" s="49"/>
      <c r="AK24" s="50"/>
      <c r="AL24" s="49"/>
      <c r="AM24" s="50"/>
      <c r="AN24" s="49"/>
      <c r="AO24" s="50"/>
      <c r="AP24" s="49"/>
      <c r="AQ24" s="50"/>
      <c r="AR24" s="49"/>
      <c r="AS24" s="50"/>
      <c r="AT24" s="49"/>
      <c r="AU24" s="50"/>
      <c r="AV24" s="49" t="s">
        <v>5</v>
      </c>
      <c r="AW24" s="50" t="s">
        <v>122</v>
      </c>
      <c r="AX24" s="49"/>
      <c r="AY24" s="50"/>
      <c r="AZ24" s="49" t="s">
        <v>5</v>
      </c>
      <c r="BA24" s="50" t="s">
        <v>430</v>
      </c>
      <c r="BB24" s="49"/>
      <c r="BC24" s="50"/>
      <c r="BD24" s="49"/>
      <c r="BE24" s="50"/>
      <c r="BF24" s="49"/>
      <c r="BG24" s="50"/>
      <c r="BH24" s="49"/>
      <c r="BI24" s="50"/>
      <c r="BJ24" s="49" t="s">
        <v>5</v>
      </c>
      <c r="BK24" s="50" t="s">
        <v>430</v>
      </c>
      <c r="BL24" s="49"/>
      <c r="BM24" s="50"/>
      <c r="BN24" s="49"/>
      <c r="BO24" s="50"/>
      <c r="BP24" s="49"/>
      <c r="BQ24" s="50"/>
      <c r="BR24" s="49"/>
      <c r="BS24" s="50"/>
      <c r="BT24" s="49"/>
      <c r="BU24" s="50"/>
      <c r="BV24" s="49"/>
      <c r="BW24" s="50"/>
      <c r="BX24" s="49"/>
      <c r="BY24" s="50"/>
      <c r="BZ24" s="49"/>
      <c r="CA24" s="50"/>
    </row>
    <row r="25" spans="1:79" s="91" customFormat="1" x14ac:dyDescent="0.25">
      <c r="A25" s="76">
        <v>151503</v>
      </c>
      <c r="B25" s="77" t="s">
        <v>467</v>
      </c>
      <c r="C25" s="78" t="s">
        <v>464</v>
      </c>
      <c r="D25" s="76" t="s">
        <v>70</v>
      </c>
      <c r="E25" s="79" t="s">
        <v>14</v>
      </c>
      <c r="F25" s="79" t="s">
        <v>220</v>
      </c>
      <c r="G25" s="79" t="s">
        <v>14</v>
      </c>
      <c r="H25" s="78" t="s">
        <v>14</v>
      </c>
      <c r="I25" s="79" t="s">
        <v>14</v>
      </c>
      <c r="J25" s="80">
        <v>6.2</v>
      </c>
      <c r="K25" s="81">
        <v>0</v>
      </c>
      <c r="L25" s="82">
        <v>0</v>
      </c>
      <c r="M25" s="83">
        <v>0</v>
      </c>
      <c r="N25" s="84">
        <v>95.17</v>
      </c>
      <c r="O25" s="85">
        <v>0</v>
      </c>
      <c r="P25" s="86"/>
      <c r="Q25" s="87">
        <f t="shared" si="0"/>
        <v>1</v>
      </c>
      <c r="R25" s="88">
        <f t="shared" si="1"/>
        <v>4</v>
      </c>
      <c r="S25" s="89">
        <f t="shared" si="2"/>
        <v>0</v>
      </c>
      <c r="T25" s="89">
        <f t="shared" si="3"/>
        <v>0</v>
      </c>
      <c r="U25" s="89">
        <f t="shared" si="4"/>
        <v>0</v>
      </c>
      <c r="V25" s="89">
        <f t="shared" si="5"/>
        <v>0</v>
      </c>
      <c r="W25" s="89">
        <f t="shared" si="6"/>
        <v>0</v>
      </c>
      <c r="X25" s="89">
        <f t="shared" si="7"/>
        <v>0</v>
      </c>
      <c r="Y25" s="89">
        <f t="shared" si="8"/>
        <v>0</v>
      </c>
      <c r="Z25" s="89">
        <f t="shared" si="10"/>
        <v>0</v>
      </c>
      <c r="AA25" s="41">
        <f t="shared" si="11"/>
        <v>0</v>
      </c>
      <c r="AB25" s="49"/>
      <c r="AC25" s="50"/>
      <c r="AD25" s="49" t="s">
        <v>5</v>
      </c>
      <c r="AE25" s="50" t="s">
        <v>438</v>
      </c>
      <c r="AF25" s="49"/>
      <c r="AG25" s="50"/>
      <c r="AH25" s="49" t="s">
        <v>5</v>
      </c>
      <c r="AI25" s="50" t="s">
        <v>424</v>
      </c>
      <c r="AJ25" s="49"/>
      <c r="AK25" s="50"/>
      <c r="AL25" s="49"/>
      <c r="AM25" s="50"/>
      <c r="AN25" s="49"/>
      <c r="AO25" s="50"/>
      <c r="AP25" s="49"/>
      <c r="AQ25" s="50"/>
      <c r="AR25" s="49"/>
      <c r="AS25" s="50"/>
      <c r="AT25" s="49"/>
      <c r="AU25" s="50"/>
      <c r="AV25" s="49" t="s">
        <v>5</v>
      </c>
      <c r="AW25" s="50" t="s">
        <v>448</v>
      </c>
      <c r="AX25" s="49"/>
      <c r="AY25" s="50"/>
      <c r="AZ25" s="49"/>
      <c r="BA25" s="50"/>
      <c r="BB25" s="49"/>
      <c r="BC25" s="50"/>
      <c r="BD25" s="49"/>
      <c r="BE25" s="50"/>
      <c r="BF25" s="49"/>
      <c r="BG25" s="50"/>
      <c r="BH25" s="49"/>
      <c r="BI25" s="50"/>
      <c r="BJ25" s="49"/>
      <c r="BK25" s="50"/>
      <c r="BL25" s="49"/>
      <c r="BM25" s="50"/>
      <c r="BN25" s="49"/>
      <c r="BO25" s="50"/>
      <c r="BP25" s="49"/>
      <c r="BQ25" s="50"/>
      <c r="BR25" s="49"/>
      <c r="BS25" s="50"/>
      <c r="BT25" s="49"/>
      <c r="BU25" s="50"/>
      <c r="BV25" s="49" t="s">
        <v>5</v>
      </c>
      <c r="BW25" s="50" t="s">
        <v>425</v>
      </c>
      <c r="BX25" s="49" t="s">
        <v>1</v>
      </c>
      <c r="BY25" s="50" t="s">
        <v>462</v>
      </c>
      <c r="BZ25" s="49"/>
      <c r="CA25" s="50"/>
    </row>
    <row r="26" spans="1:79" s="91" customFormat="1" x14ac:dyDescent="0.25">
      <c r="A26" s="76">
        <v>150777</v>
      </c>
      <c r="B26" s="77" t="s">
        <v>468</v>
      </c>
      <c r="C26" s="78" t="s">
        <v>418</v>
      </c>
      <c r="D26" s="76" t="s">
        <v>12</v>
      </c>
      <c r="E26" s="79" t="s">
        <v>14</v>
      </c>
      <c r="F26" s="79" t="s">
        <v>71</v>
      </c>
      <c r="G26" s="79" t="s">
        <v>14</v>
      </c>
      <c r="H26" s="78" t="s">
        <v>14</v>
      </c>
      <c r="I26" s="79" t="s">
        <v>14</v>
      </c>
      <c r="J26" s="80">
        <v>4.5</v>
      </c>
      <c r="K26" s="81">
        <v>1</v>
      </c>
      <c r="L26" s="82">
        <v>0</v>
      </c>
      <c r="M26" s="83">
        <v>0</v>
      </c>
      <c r="N26" s="84">
        <v>100</v>
      </c>
      <c r="O26" s="85">
        <v>1</v>
      </c>
      <c r="P26" s="86"/>
      <c r="Q26" s="87">
        <f t="shared" si="0"/>
        <v>1</v>
      </c>
      <c r="R26" s="88">
        <f t="shared" si="1"/>
        <v>3</v>
      </c>
      <c r="S26" s="89">
        <f t="shared" si="2"/>
        <v>0</v>
      </c>
      <c r="T26" s="89">
        <f t="shared" si="3"/>
        <v>0</v>
      </c>
      <c r="U26" s="89">
        <f t="shared" si="4"/>
        <v>0</v>
      </c>
      <c r="V26" s="89">
        <f t="shared" si="5"/>
        <v>0</v>
      </c>
      <c r="W26" s="89">
        <f t="shared" si="6"/>
        <v>0</v>
      </c>
      <c r="X26" s="89">
        <f t="shared" si="7"/>
        <v>0</v>
      </c>
      <c r="Y26" s="89">
        <f t="shared" si="8"/>
        <v>0</v>
      </c>
      <c r="Z26" s="89">
        <f t="shared" si="10"/>
        <v>0</v>
      </c>
      <c r="AA26" s="41">
        <f t="shared" si="11"/>
        <v>0</v>
      </c>
      <c r="AB26" s="49"/>
      <c r="AC26" s="50"/>
      <c r="AD26" s="49"/>
      <c r="AE26" s="50"/>
      <c r="AF26" s="49"/>
      <c r="AG26" s="50"/>
      <c r="AH26" s="49"/>
      <c r="AI26" s="50"/>
      <c r="AJ26" s="49"/>
      <c r="AK26" s="50"/>
      <c r="AL26" s="49"/>
      <c r="AM26" s="50"/>
      <c r="AN26" s="49"/>
      <c r="AO26" s="50"/>
      <c r="AP26" s="49"/>
      <c r="AQ26" s="50"/>
      <c r="AR26" s="49" t="s">
        <v>5</v>
      </c>
      <c r="AS26" s="50" t="s">
        <v>127</v>
      </c>
      <c r="AT26" s="49"/>
      <c r="AU26" s="50"/>
      <c r="AV26" s="49" t="s">
        <v>5</v>
      </c>
      <c r="AW26" s="50" t="s">
        <v>420</v>
      </c>
      <c r="AX26" s="49"/>
      <c r="AY26" s="50"/>
      <c r="AZ26" s="49"/>
      <c r="BA26" s="50"/>
      <c r="BB26" s="49"/>
      <c r="BC26" s="50"/>
      <c r="BD26" s="49"/>
      <c r="BE26" s="50"/>
      <c r="BF26" s="49"/>
      <c r="BG26" s="50"/>
      <c r="BH26" s="49"/>
      <c r="BI26" s="50"/>
      <c r="BJ26" s="49"/>
      <c r="BK26" s="50"/>
      <c r="BL26" s="49"/>
      <c r="BM26" s="50"/>
      <c r="BN26" s="49"/>
      <c r="BO26" s="50"/>
      <c r="BP26" s="49"/>
      <c r="BQ26" s="50"/>
      <c r="BR26" s="49"/>
      <c r="BS26" s="50"/>
      <c r="BT26" s="49" t="s">
        <v>5</v>
      </c>
      <c r="BU26" s="50" t="s">
        <v>93</v>
      </c>
      <c r="BV26" s="49"/>
      <c r="BW26" s="50"/>
      <c r="BX26" s="49" t="s">
        <v>1</v>
      </c>
      <c r="BY26" s="50" t="s">
        <v>462</v>
      </c>
      <c r="BZ26" s="49"/>
      <c r="CA26" s="50"/>
    </row>
    <row r="27" spans="1:79" s="91" customFormat="1" x14ac:dyDescent="0.25">
      <c r="A27" s="76">
        <v>150947</v>
      </c>
      <c r="B27" s="77" t="s">
        <v>469</v>
      </c>
      <c r="C27" s="78" t="s">
        <v>418</v>
      </c>
      <c r="D27" s="76" t="s">
        <v>12</v>
      </c>
      <c r="E27" s="79" t="s">
        <v>14</v>
      </c>
      <c r="F27" s="79" t="s">
        <v>71</v>
      </c>
      <c r="G27" s="79" t="s">
        <v>14</v>
      </c>
      <c r="H27" s="78" t="s">
        <v>14</v>
      </c>
      <c r="I27" s="79" t="s">
        <v>14</v>
      </c>
      <c r="J27" s="80">
        <v>6.6</v>
      </c>
      <c r="K27" s="81">
        <v>0</v>
      </c>
      <c r="L27" s="82">
        <v>0</v>
      </c>
      <c r="M27" s="83">
        <v>0</v>
      </c>
      <c r="N27" s="84">
        <v>100</v>
      </c>
      <c r="O27" s="85">
        <v>0</v>
      </c>
      <c r="P27" s="86"/>
      <c r="Q27" s="87">
        <f t="shared" si="0"/>
        <v>0</v>
      </c>
      <c r="R27" s="88">
        <f t="shared" si="1"/>
        <v>4</v>
      </c>
      <c r="S27" s="89">
        <f t="shared" si="2"/>
        <v>0</v>
      </c>
      <c r="T27" s="89">
        <f t="shared" si="3"/>
        <v>0</v>
      </c>
      <c r="U27" s="89">
        <f t="shared" si="4"/>
        <v>0</v>
      </c>
      <c r="V27" s="89">
        <f t="shared" si="5"/>
        <v>0</v>
      </c>
      <c r="W27" s="89">
        <f t="shared" si="6"/>
        <v>0</v>
      </c>
      <c r="X27" s="89">
        <f t="shared" si="7"/>
        <v>0</v>
      </c>
      <c r="Y27" s="89">
        <f t="shared" si="8"/>
        <v>0</v>
      </c>
      <c r="Z27" s="89">
        <f t="shared" si="10"/>
        <v>0</v>
      </c>
      <c r="AA27" s="41">
        <f t="shared" si="11"/>
        <v>0</v>
      </c>
      <c r="AB27" s="49"/>
      <c r="AC27" s="50"/>
      <c r="AD27" s="49" t="s">
        <v>5</v>
      </c>
      <c r="AE27" s="50" t="s">
        <v>133</v>
      </c>
      <c r="AF27" s="49"/>
      <c r="AG27" s="50"/>
      <c r="AH27" s="49"/>
      <c r="AI27" s="50"/>
      <c r="AJ27" s="49"/>
      <c r="AK27" s="50"/>
      <c r="AL27" s="49"/>
      <c r="AM27" s="50"/>
      <c r="AN27" s="49"/>
      <c r="AO27" s="50"/>
      <c r="AP27" s="49"/>
      <c r="AQ27" s="50"/>
      <c r="AR27" s="49"/>
      <c r="AS27" s="50"/>
      <c r="AT27" s="49"/>
      <c r="AU27" s="50"/>
      <c r="AV27" s="49" t="s">
        <v>5</v>
      </c>
      <c r="AW27" s="50" t="s">
        <v>420</v>
      </c>
      <c r="AX27" s="49"/>
      <c r="AY27" s="50"/>
      <c r="AZ27" s="49"/>
      <c r="BA27" s="50"/>
      <c r="BB27" s="49" t="s">
        <v>5</v>
      </c>
      <c r="BC27" s="50" t="s">
        <v>92</v>
      </c>
      <c r="BD27" s="49"/>
      <c r="BE27" s="50"/>
      <c r="BF27" s="49"/>
      <c r="BG27" s="50"/>
      <c r="BH27" s="49"/>
      <c r="BI27" s="50"/>
      <c r="BJ27" s="49" t="s">
        <v>5</v>
      </c>
      <c r="BK27" s="50" t="s">
        <v>422</v>
      </c>
      <c r="BL27" s="49"/>
      <c r="BM27" s="50"/>
      <c r="BN27" s="49"/>
      <c r="BO27" s="50"/>
      <c r="BP27" s="49"/>
      <c r="BQ27" s="50"/>
      <c r="BR27" s="49"/>
      <c r="BS27" s="50"/>
      <c r="BT27" s="49"/>
      <c r="BU27" s="50"/>
      <c r="BV27" s="49"/>
      <c r="BW27" s="50"/>
      <c r="BX27" s="49"/>
      <c r="BY27" s="50"/>
      <c r="BZ27" s="49"/>
      <c r="CA27" s="50"/>
    </row>
    <row r="28" spans="1:79" s="91" customFormat="1" x14ac:dyDescent="0.25">
      <c r="A28" s="76">
        <v>150783</v>
      </c>
      <c r="B28" s="77" t="s">
        <v>470</v>
      </c>
      <c r="C28" s="78" t="s">
        <v>418</v>
      </c>
      <c r="D28" s="76" t="s">
        <v>12</v>
      </c>
      <c r="E28" s="79" t="s">
        <v>14</v>
      </c>
      <c r="F28" s="79" t="s">
        <v>71</v>
      </c>
      <c r="G28" s="79" t="s">
        <v>14</v>
      </c>
      <c r="H28" s="78" t="s">
        <v>14</v>
      </c>
      <c r="I28" s="79" t="s">
        <v>14</v>
      </c>
      <c r="J28" s="80">
        <v>4.7</v>
      </c>
      <c r="K28" s="81">
        <v>3</v>
      </c>
      <c r="L28" s="82">
        <v>0</v>
      </c>
      <c r="M28" s="83">
        <v>0</v>
      </c>
      <c r="N28" s="84">
        <v>89.44</v>
      </c>
      <c r="O28" s="85">
        <v>2</v>
      </c>
      <c r="P28" s="86"/>
      <c r="Q28" s="87">
        <f t="shared" si="0"/>
        <v>0</v>
      </c>
      <c r="R28" s="88">
        <f t="shared" si="1"/>
        <v>5</v>
      </c>
      <c r="S28" s="89">
        <f t="shared" si="2"/>
        <v>0</v>
      </c>
      <c r="T28" s="89">
        <f t="shared" si="3"/>
        <v>0</v>
      </c>
      <c r="U28" s="89">
        <f t="shared" si="4"/>
        <v>0</v>
      </c>
      <c r="V28" s="89">
        <f t="shared" si="5"/>
        <v>0</v>
      </c>
      <c r="W28" s="89">
        <f t="shared" si="6"/>
        <v>0</v>
      </c>
      <c r="X28" s="89">
        <f t="shared" si="7"/>
        <v>0</v>
      </c>
      <c r="Y28" s="89">
        <f t="shared" si="8"/>
        <v>0</v>
      </c>
      <c r="Z28" s="89">
        <f t="shared" si="10"/>
        <v>0</v>
      </c>
      <c r="AA28" s="41">
        <f t="shared" si="11"/>
        <v>0</v>
      </c>
      <c r="AB28" s="49"/>
      <c r="AC28" s="50"/>
      <c r="AD28" s="49" t="s">
        <v>5</v>
      </c>
      <c r="AE28" s="50" t="s">
        <v>433</v>
      </c>
      <c r="AF28" s="49" t="s">
        <v>5</v>
      </c>
      <c r="AG28" s="50" t="s">
        <v>427</v>
      </c>
      <c r="AH28" s="49"/>
      <c r="AI28" s="50"/>
      <c r="AJ28" s="49"/>
      <c r="AK28" s="50"/>
      <c r="AL28" s="49"/>
      <c r="AM28" s="50"/>
      <c r="AN28" s="49"/>
      <c r="AO28" s="50"/>
      <c r="AP28" s="49"/>
      <c r="AQ28" s="50"/>
      <c r="AR28" s="49"/>
      <c r="AS28" s="50"/>
      <c r="AT28" s="49"/>
      <c r="AU28" s="50"/>
      <c r="AV28" s="49" t="s">
        <v>5</v>
      </c>
      <c r="AW28" s="50" t="s">
        <v>420</v>
      </c>
      <c r="AX28" s="49"/>
      <c r="AY28" s="50"/>
      <c r="AZ28" s="49"/>
      <c r="BA28" s="50"/>
      <c r="BB28" s="49" t="s">
        <v>5</v>
      </c>
      <c r="BC28" s="50" t="s">
        <v>92</v>
      </c>
      <c r="BD28" s="49"/>
      <c r="BE28" s="50"/>
      <c r="BF28" s="49"/>
      <c r="BG28" s="50"/>
      <c r="BH28" s="49"/>
      <c r="BI28" s="50"/>
      <c r="BJ28" s="49"/>
      <c r="BK28" s="50"/>
      <c r="BL28" s="49"/>
      <c r="BM28" s="50"/>
      <c r="BN28" s="49"/>
      <c r="BO28" s="50"/>
      <c r="BP28" s="49"/>
      <c r="BQ28" s="50"/>
      <c r="BR28" s="49"/>
      <c r="BS28" s="50"/>
      <c r="BT28" s="49"/>
      <c r="BU28" s="50"/>
      <c r="BV28" s="49" t="s">
        <v>5</v>
      </c>
      <c r="BW28" s="50" t="s">
        <v>436</v>
      </c>
      <c r="BX28" s="49"/>
      <c r="BY28" s="50"/>
      <c r="BZ28" s="49"/>
      <c r="CA28" s="50"/>
    </row>
    <row r="29" spans="1:79" s="91" customFormat="1" x14ac:dyDescent="0.25">
      <c r="A29" s="76">
        <v>160061</v>
      </c>
      <c r="B29" s="77" t="s">
        <v>471</v>
      </c>
      <c r="C29" s="78" t="s">
        <v>418</v>
      </c>
      <c r="D29" s="76" t="s">
        <v>12</v>
      </c>
      <c r="E29" s="79" t="s">
        <v>14</v>
      </c>
      <c r="F29" s="79" t="s">
        <v>71</v>
      </c>
      <c r="G29" s="79" t="s">
        <v>14</v>
      </c>
      <c r="H29" s="78" t="s">
        <v>14</v>
      </c>
      <c r="I29" s="79" t="s">
        <v>14</v>
      </c>
      <c r="J29" s="80">
        <v>6.7</v>
      </c>
      <c r="K29" s="81">
        <v>0</v>
      </c>
      <c r="L29" s="82">
        <v>0</v>
      </c>
      <c r="M29" s="83">
        <v>0</v>
      </c>
      <c r="N29" s="84">
        <v>99.08</v>
      </c>
      <c r="O29" s="85">
        <v>1</v>
      </c>
      <c r="P29" s="86"/>
      <c r="Q29" s="87">
        <f t="shared" si="0"/>
        <v>0</v>
      </c>
      <c r="R29" s="88">
        <f t="shared" si="1"/>
        <v>4</v>
      </c>
      <c r="S29" s="89">
        <f t="shared" si="2"/>
        <v>0</v>
      </c>
      <c r="T29" s="89">
        <f t="shared" si="3"/>
        <v>0</v>
      </c>
      <c r="U29" s="89">
        <f t="shared" si="4"/>
        <v>0</v>
      </c>
      <c r="V29" s="89">
        <f t="shared" si="5"/>
        <v>0</v>
      </c>
      <c r="W29" s="89">
        <f t="shared" si="6"/>
        <v>0</v>
      </c>
      <c r="X29" s="89">
        <f t="shared" si="7"/>
        <v>0</v>
      </c>
      <c r="Y29" s="89">
        <f t="shared" si="8"/>
        <v>0</v>
      </c>
      <c r="Z29" s="89">
        <f t="shared" si="10"/>
        <v>0</v>
      </c>
      <c r="AA29" s="41">
        <f t="shared" si="11"/>
        <v>0</v>
      </c>
      <c r="AB29" s="49"/>
      <c r="AC29" s="50"/>
      <c r="AD29" s="49" t="s">
        <v>5</v>
      </c>
      <c r="AE29" s="50" t="s">
        <v>154</v>
      </c>
      <c r="AF29" s="49"/>
      <c r="AG29" s="50"/>
      <c r="AH29" s="49"/>
      <c r="AI29" s="50"/>
      <c r="AJ29" s="49"/>
      <c r="AK29" s="50"/>
      <c r="AL29" s="49"/>
      <c r="AM29" s="50"/>
      <c r="AN29" s="49"/>
      <c r="AO29" s="50"/>
      <c r="AP29" s="49"/>
      <c r="AQ29" s="50"/>
      <c r="AR29" s="49"/>
      <c r="AS29" s="50"/>
      <c r="AT29" s="49"/>
      <c r="AU29" s="50"/>
      <c r="AV29" s="49" t="s">
        <v>5</v>
      </c>
      <c r="AW29" s="50" t="s">
        <v>420</v>
      </c>
      <c r="AX29" s="49"/>
      <c r="AY29" s="50"/>
      <c r="AZ29" s="49"/>
      <c r="BA29" s="50"/>
      <c r="BB29" s="49"/>
      <c r="BC29" s="50"/>
      <c r="BD29" s="49"/>
      <c r="BE29" s="50"/>
      <c r="BF29" s="49"/>
      <c r="BG29" s="50"/>
      <c r="BH29" s="49"/>
      <c r="BI29" s="50"/>
      <c r="BJ29" s="49"/>
      <c r="BK29" s="50"/>
      <c r="BL29" s="49"/>
      <c r="BM29" s="50"/>
      <c r="BN29" s="49"/>
      <c r="BO29" s="50"/>
      <c r="BP29" s="49" t="s">
        <v>5</v>
      </c>
      <c r="BQ29" s="50" t="s">
        <v>81</v>
      </c>
      <c r="BR29" s="49"/>
      <c r="BS29" s="50"/>
      <c r="BT29" s="49"/>
      <c r="BU29" s="50"/>
      <c r="BV29" s="49" t="s">
        <v>5</v>
      </c>
      <c r="BW29" s="50" t="s">
        <v>425</v>
      </c>
      <c r="BX29" s="49"/>
      <c r="BY29" s="50"/>
      <c r="BZ29" s="49"/>
      <c r="CA29" s="50"/>
    </row>
    <row r="30" spans="1:79" s="91" customFormat="1" x14ac:dyDescent="0.25">
      <c r="A30" s="76">
        <v>150813</v>
      </c>
      <c r="B30" s="77" t="s">
        <v>472</v>
      </c>
      <c r="C30" s="78" t="s">
        <v>418</v>
      </c>
      <c r="D30" s="76" t="s">
        <v>12</v>
      </c>
      <c r="E30" s="79" t="s">
        <v>14</v>
      </c>
      <c r="F30" s="79" t="s">
        <v>150</v>
      </c>
      <c r="G30" s="79" t="s">
        <v>14</v>
      </c>
      <c r="H30" s="78" t="s">
        <v>14</v>
      </c>
      <c r="I30" s="79" t="s">
        <v>14</v>
      </c>
      <c r="J30" s="80">
        <v>6.4</v>
      </c>
      <c r="K30" s="81">
        <v>0</v>
      </c>
      <c r="L30" s="82">
        <v>0</v>
      </c>
      <c r="M30" s="83">
        <v>0</v>
      </c>
      <c r="N30" s="84">
        <v>97.39</v>
      </c>
      <c r="O30" s="85">
        <v>0</v>
      </c>
      <c r="P30" s="86"/>
      <c r="Q30" s="87">
        <f t="shared" si="0"/>
        <v>1</v>
      </c>
      <c r="R30" s="88">
        <f t="shared" si="1"/>
        <v>3</v>
      </c>
      <c r="S30" s="89">
        <f t="shared" si="2"/>
        <v>0</v>
      </c>
      <c r="T30" s="89">
        <f t="shared" si="3"/>
        <v>0</v>
      </c>
      <c r="U30" s="89">
        <f t="shared" si="4"/>
        <v>0</v>
      </c>
      <c r="V30" s="89">
        <f t="shared" si="5"/>
        <v>0</v>
      </c>
      <c r="W30" s="89">
        <f t="shared" si="6"/>
        <v>0</v>
      </c>
      <c r="X30" s="89">
        <f t="shared" si="7"/>
        <v>0</v>
      </c>
      <c r="Y30" s="89">
        <f t="shared" si="8"/>
        <v>0</v>
      </c>
      <c r="Z30" s="89">
        <f t="shared" si="10"/>
        <v>0</v>
      </c>
      <c r="AA30" s="41">
        <f t="shared" si="11"/>
        <v>0</v>
      </c>
      <c r="AB30" s="49"/>
      <c r="AC30" s="50"/>
      <c r="AD30" s="49"/>
      <c r="AE30" s="50"/>
      <c r="AF30" s="49"/>
      <c r="AG30" s="50"/>
      <c r="AH30" s="49"/>
      <c r="AI30" s="50"/>
      <c r="AJ30" s="49" t="s">
        <v>1</v>
      </c>
      <c r="AK30" s="50" t="s">
        <v>163</v>
      </c>
      <c r="AL30" s="49"/>
      <c r="AM30" s="50"/>
      <c r="AN30" s="49"/>
      <c r="AO30" s="50"/>
      <c r="AP30" s="49"/>
      <c r="AQ30" s="50"/>
      <c r="AR30" s="49"/>
      <c r="AS30" s="50"/>
      <c r="AT30" s="49"/>
      <c r="AU30" s="50"/>
      <c r="AV30" s="49" t="s">
        <v>5</v>
      </c>
      <c r="AW30" s="50" t="s">
        <v>420</v>
      </c>
      <c r="AX30" s="49"/>
      <c r="AY30" s="50"/>
      <c r="AZ30" s="49"/>
      <c r="BA30" s="50"/>
      <c r="BB30" s="49"/>
      <c r="BC30" s="50"/>
      <c r="BD30" s="49"/>
      <c r="BE30" s="50"/>
      <c r="BF30" s="49"/>
      <c r="BG30" s="50"/>
      <c r="BH30" s="49"/>
      <c r="BI30" s="50"/>
      <c r="BJ30" s="49" t="s">
        <v>5</v>
      </c>
      <c r="BK30" s="50" t="s">
        <v>422</v>
      </c>
      <c r="BL30" s="49"/>
      <c r="BM30" s="50"/>
      <c r="BN30" s="49"/>
      <c r="BO30" s="50"/>
      <c r="BP30" s="49"/>
      <c r="BQ30" s="50"/>
      <c r="BR30" s="49" t="s">
        <v>5</v>
      </c>
      <c r="BS30" s="50" t="s">
        <v>109</v>
      </c>
      <c r="BT30" s="49"/>
      <c r="BU30" s="50"/>
      <c r="BV30" s="49"/>
      <c r="BW30" s="50"/>
      <c r="BX30" s="49"/>
      <c r="BY30" s="50"/>
      <c r="BZ30" s="49"/>
      <c r="CA30" s="50"/>
    </row>
    <row r="31" spans="1:79" s="91" customFormat="1" x14ac:dyDescent="0.25">
      <c r="A31" s="76">
        <v>150887</v>
      </c>
      <c r="B31" s="77" t="s">
        <v>473</v>
      </c>
      <c r="C31" s="78" t="s">
        <v>464</v>
      </c>
      <c r="D31" s="76" t="s">
        <v>12</v>
      </c>
      <c r="E31" s="79" t="s">
        <v>14</v>
      </c>
      <c r="F31" s="79" t="s">
        <v>71</v>
      </c>
      <c r="G31" s="79" t="s">
        <v>14</v>
      </c>
      <c r="H31" s="78" t="s">
        <v>14</v>
      </c>
      <c r="I31" s="79" t="s">
        <v>14</v>
      </c>
      <c r="J31" s="80">
        <v>4.2</v>
      </c>
      <c r="K31" s="81">
        <v>1</v>
      </c>
      <c r="L31" s="82">
        <v>0</v>
      </c>
      <c r="M31" s="83">
        <v>0</v>
      </c>
      <c r="N31" s="84">
        <v>99.17</v>
      </c>
      <c r="O31" s="85">
        <v>0</v>
      </c>
      <c r="P31" s="86"/>
      <c r="Q31" s="87">
        <f t="shared" si="0"/>
        <v>0</v>
      </c>
      <c r="R31" s="88">
        <f t="shared" si="1"/>
        <v>4</v>
      </c>
      <c r="S31" s="89">
        <f t="shared" si="2"/>
        <v>0</v>
      </c>
      <c r="T31" s="89">
        <f t="shared" si="3"/>
        <v>0</v>
      </c>
      <c r="U31" s="89">
        <f t="shared" si="4"/>
        <v>0</v>
      </c>
      <c r="V31" s="89">
        <f t="shared" si="5"/>
        <v>0</v>
      </c>
      <c r="W31" s="89">
        <f t="shared" si="6"/>
        <v>0</v>
      </c>
      <c r="X31" s="89">
        <f t="shared" si="7"/>
        <v>0</v>
      </c>
      <c r="Y31" s="89">
        <f t="shared" si="8"/>
        <v>0</v>
      </c>
      <c r="Z31" s="89">
        <f t="shared" si="10"/>
        <v>0</v>
      </c>
      <c r="AA31" s="41">
        <f t="shared" si="11"/>
        <v>0</v>
      </c>
      <c r="AB31" s="49" t="s">
        <v>5</v>
      </c>
      <c r="AC31" s="50" t="s">
        <v>116</v>
      </c>
      <c r="AD31" s="49"/>
      <c r="AE31" s="50"/>
      <c r="AF31" s="49" t="s">
        <v>5</v>
      </c>
      <c r="AG31" s="50" t="s">
        <v>427</v>
      </c>
      <c r="AH31" s="49"/>
      <c r="AI31" s="50"/>
      <c r="AJ31" s="49"/>
      <c r="AK31" s="50"/>
      <c r="AL31" s="49"/>
      <c r="AM31" s="50"/>
      <c r="AN31" s="49"/>
      <c r="AO31" s="50"/>
      <c r="AP31" s="49"/>
      <c r="AQ31" s="50"/>
      <c r="AR31" s="49"/>
      <c r="AS31" s="50"/>
      <c r="AT31" s="49"/>
      <c r="AU31" s="50"/>
      <c r="AV31" s="49" t="s">
        <v>5</v>
      </c>
      <c r="AW31" s="50" t="s">
        <v>448</v>
      </c>
      <c r="AX31" s="49"/>
      <c r="AY31" s="50"/>
      <c r="AZ31" s="49"/>
      <c r="BA31" s="50"/>
      <c r="BB31" s="49"/>
      <c r="BC31" s="50"/>
      <c r="BD31" s="49"/>
      <c r="BE31" s="50"/>
      <c r="BF31" s="49"/>
      <c r="BG31" s="50"/>
      <c r="BH31" s="49"/>
      <c r="BI31" s="50"/>
      <c r="BJ31" s="49"/>
      <c r="BK31" s="50"/>
      <c r="BL31" s="49"/>
      <c r="BM31" s="50"/>
      <c r="BN31" s="49"/>
      <c r="BO31" s="50"/>
      <c r="BP31" s="49"/>
      <c r="BQ31" s="50"/>
      <c r="BR31" s="49"/>
      <c r="BS31" s="50"/>
      <c r="BT31" s="49"/>
      <c r="BU31" s="50"/>
      <c r="BV31" s="49" t="s">
        <v>5</v>
      </c>
      <c r="BW31" s="50" t="s">
        <v>436</v>
      </c>
      <c r="BX31" s="49"/>
      <c r="BY31" s="50"/>
      <c r="BZ31" s="49"/>
      <c r="CA31" s="50"/>
    </row>
    <row r="32" spans="1:79" s="91" customFormat="1" x14ac:dyDescent="0.25">
      <c r="A32" s="76">
        <v>160066</v>
      </c>
      <c r="B32" s="77" t="s">
        <v>474</v>
      </c>
      <c r="C32" s="78" t="s">
        <v>452</v>
      </c>
      <c r="D32" s="76" t="s">
        <v>70</v>
      </c>
      <c r="E32" s="79" t="s">
        <v>14</v>
      </c>
      <c r="F32" s="79" t="s">
        <v>71</v>
      </c>
      <c r="G32" s="79" t="s">
        <v>14</v>
      </c>
      <c r="H32" s="78" t="s">
        <v>14</v>
      </c>
      <c r="I32" s="79" t="s">
        <v>14</v>
      </c>
      <c r="J32" s="80">
        <v>6.9</v>
      </c>
      <c r="K32" s="81">
        <v>8</v>
      </c>
      <c r="L32" s="82">
        <v>0</v>
      </c>
      <c r="M32" s="83">
        <v>0</v>
      </c>
      <c r="N32" s="84">
        <v>89.74</v>
      </c>
      <c r="O32" s="85">
        <v>0</v>
      </c>
      <c r="P32" s="86"/>
      <c r="Q32" s="87">
        <f t="shared" si="0"/>
        <v>1</v>
      </c>
      <c r="R32" s="88">
        <f t="shared" si="1"/>
        <v>3</v>
      </c>
      <c r="S32" s="89">
        <f t="shared" si="2"/>
        <v>0</v>
      </c>
      <c r="T32" s="89">
        <f t="shared" si="3"/>
        <v>0</v>
      </c>
      <c r="U32" s="89">
        <f t="shared" si="4"/>
        <v>0</v>
      </c>
      <c r="V32" s="89">
        <f t="shared" si="5"/>
        <v>0</v>
      </c>
      <c r="W32" s="89">
        <f t="shared" si="6"/>
        <v>0</v>
      </c>
      <c r="X32" s="89">
        <f t="shared" si="7"/>
        <v>0</v>
      </c>
      <c r="Y32" s="89">
        <f t="shared" si="8"/>
        <v>0</v>
      </c>
      <c r="Z32" s="89">
        <f t="shared" si="10"/>
        <v>0</v>
      </c>
      <c r="AA32" s="41">
        <f t="shared" si="11"/>
        <v>0</v>
      </c>
      <c r="AB32" s="49"/>
      <c r="AC32" s="50"/>
      <c r="AD32" s="49" t="s">
        <v>1</v>
      </c>
      <c r="AE32" s="50" t="s">
        <v>438</v>
      </c>
      <c r="AF32" s="49"/>
      <c r="AG32" s="50"/>
      <c r="AH32" s="49" t="s">
        <v>5</v>
      </c>
      <c r="AI32" s="50" t="s">
        <v>206</v>
      </c>
      <c r="AJ32" s="49"/>
      <c r="AK32" s="50"/>
      <c r="AL32" s="49"/>
      <c r="AM32" s="50"/>
      <c r="AN32" s="49"/>
      <c r="AO32" s="50"/>
      <c r="AP32" s="49"/>
      <c r="AQ32" s="50"/>
      <c r="AR32" s="49"/>
      <c r="AS32" s="50"/>
      <c r="AT32" s="49"/>
      <c r="AU32" s="50"/>
      <c r="AV32" s="49" t="s">
        <v>5</v>
      </c>
      <c r="AW32" s="50" t="s">
        <v>453</v>
      </c>
      <c r="AX32" s="49" t="s">
        <v>5</v>
      </c>
      <c r="AY32" s="50" t="s">
        <v>421</v>
      </c>
      <c r="AZ32" s="49"/>
      <c r="BA32" s="50"/>
      <c r="BB32" s="49"/>
      <c r="BC32" s="50"/>
      <c r="BD32" s="49"/>
      <c r="BE32" s="50"/>
      <c r="BF32" s="49"/>
      <c r="BG32" s="50"/>
      <c r="BH32" s="49"/>
      <c r="BI32" s="50"/>
      <c r="BJ32" s="49"/>
      <c r="BK32" s="50"/>
      <c r="BL32" s="49"/>
      <c r="BM32" s="50"/>
      <c r="BN32" s="49"/>
      <c r="BO32" s="50"/>
      <c r="BP32" s="49"/>
      <c r="BQ32" s="50"/>
      <c r="BR32" s="49"/>
      <c r="BS32" s="50"/>
      <c r="BT32" s="49"/>
      <c r="BU32" s="50"/>
      <c r="BV32" s="49"/>
      <c r="BW32" s="50"/>
      <c r="BX32" s="49"/>
      <c r="BY32" s="50"/>
      <c r="BZ32" s="49"/>
      <c r="CA32" s="50"/>
    </row>
    <row r="33" spans="1:79" s="91" customFormat="1" x14ac:dyDescent="0.25">
      <c r="A33" s="76">
        <v>160078</v>
      </c>
      <c r="B33" s="77" t="s">
        <v>475</v>
      </c>
      <c r="C33" s="78" t="s">
        <v>466</v>
      </c>
      <c r="D33" s="76" t="s">
        <v>70</v>
      </c>
      <c r="E33" s="79" t="s">
        <v>14</v>
      </c>
      <c r="F33" s="79" t="s">
        <v>71</v>
      </c>
      <c r="G33" s="79" t="s">
        <v>14</v>
      </c>
      <c r="H33" s="78" t="s">
        <v>14</v>
      </c>
      <c r="I33" s="79" t="s">
        <v>14</v>
      </c>
      <c r="J33" s="80">
        <v>8.1</v>
      </c>
      <c r="K33" s="81">
        <v>0</v>
      </c>
      <c r="L33" s="82">
        <v>0</v>
      </c>
      <c r="M33" s="83">
        <v>1</v>
      </c>
      <c r="N33" s="84">
        <v>100</v>
      </c>
      <c r="O33" s="85">
        <v>0</v>
      </c>
      <c r="P33" s="86"/>
      <c r="Q33" s="87">
        <f t="shared" si="0"/>
        <v>0</v>
      </c>
      <c r="R33" s="88">
        <f t="shared" si="1"/>
        <v>4</v>
      </c>
      <c r="S33" s="89">
        <f t="shared" si="2"/>
        <v>0</v>
      </c>
      <c r="T33" s="89">
        <f t="shared" si="3"/>
        <v>0</v>
      </c>
      <c r="U33" s="89">
        <f t="shared" si="4"/>
        <v>0</v>
      </c>
      <c r="V33" s="89">
        <f t="shared" si="5"/>
        <v>0</v>
      </c>
      <c r="W33" s="89">
        <f t="shared" si="6"/>
        <v>0</v>
      </c>
      <c r="X33" s="89">
        <f t="shared" si="7"/>
        <v>0</v>
      </c>
      <c r="Y33" s="89">
        <f t="shared" si="8"/>
        <v>0</v>
      </c>
      <c r="Z33" s="89">
        <f t="shared" si="10"/>
        <v>0</v>
      </c>
      <c r="AA33" s="41">
        <f t="shared" si="11"/>
        <v>0</v>
      </c>
      <c r="AB33" s="49"/>
      <c r="AC33" s="50"/>
      <c r="AD33" s="49" t="s">
        <v>5</v>
      </c>
      <c r="AE33" s="50" t="s">
        <v>133</v>
      </c>
      <c r="AF33" s="49"/>
      <c r="AG33" s="50"/>
      <c r="AH33" s="49" t="s">
        <v>5</v>
      </c>
      <c r="AI33" s="50" t="s">
        <v>424</v>
      </c>
      <c r="AJ33" s="49"/>
      <c r="AK33" s="50"/>
      <c r="AL33" s="49"/>
      <c r="AM33" s="50"/>
      <c r="AN33" s="49"/>
      <c r="AO33" s="50"/>
      <c r="AP33" s="49"/>
      <c r="AQ33" s="50"/>
      <c r="AR33" s="49"/>
      <c r="AS33" s="50"/>
      <c r="AT33" s="49"/>
      <c r="AU33" s="50"/>
      <c r="AV33" s="49" t="s">
        <v>5</v>
      </c>
      <c r="AW33" s="50" t="s">
        <v>476</v>
      </c>
      <c r="AX33" s="49"/>
      <c r="AY33" s="50"/>
      <c r="AZ33" s="49"/>
      <c r="BA33" s="50"/>
      <c r="BB33" s="49"/>
      <c r="BC33" s="50"/>
      <c r="BD33" s="49"/>
      <c r="BE33" s="50"/>
      <c r="BF33" s="49"/>
      <c r="BG33" s="50"/>
      <c r="BH33" s="49"/>
      <c r="BI33" s="50"/>
      <c r="BJ33" s="49"/>
      <c r="BK33" s="50"/>
      <c r="BL33" s="49"/>
      <c r="BM33" s="50"/>
      <c r="BN33" s="49"/>
      <c r="BO33" s="50"/>
      <c r="BP33" s="49"/>
      <c r="BQ33" s="50"/>
      <c r="BR33" s="49"/>
      <c r="BS33" s="50"/>
      <c r="BT33" s="49"/>
      <c r="BU33" s="50"/>
      <c r="BV33" s="49" t="s">
        <v>5</v>
      </c>
      <c r="BW33" s="50" t="s">
        <v>436</v>
      </c>
      <c r="BX33" s="49"/>
      <c r="BY33" s="50"/>
      <c r="BZ33" s="49"/>
      <c r="CA33" s="50"/>
    </row>
    <row r="34" spans="1:79" s="91" customFormat="1" x14ac:dyDescent="0.25">
      <c r="A34" s="76">
        <v>150890</v>
      </c>
      <c r="B34" s="77" t="s">
        <v>477</v>
      </c>
      <c r="C34" s="78" t="s">
        <v>464</v>
      </c>
      <c r="D34" s="76" t="s">
        <v>70</v>
      </c>
      <c r="E34" s="79" t="s">
        <v>14</v>
      </c>
      <c r="F34" s="79" t="s">
        <v>88</v>
      </c>
      <c r="G34" s="79" t="s">
        <v>14</v>
      </c>
      <c r="H34" s="78" t="s">
        <v>14</v>
      </c>
      <c r="I34" s="79" t="s">
        <v>14</v>
      </c>
      <c r="J34" s="80">
        <v>4.7</v>
      </c>
      <c r="K34" s="81">
        <v>2</v>
      </c>
      <c r="L34" s="82">
        <v>0</v>
      </c>
      <c r="M34" s="83">
        <v>0</v>
      </c>
      <c r="N34" s="84">
        <v>99.17</v>
      </c>
      <c r="O34" s="85">
        <v>0</v>
      </c>
      <c r="P34" s="86"/>
      <c r="Q34" s="87">
        <f t="shared" si="0"/>
        <v>1</v>
      </c>
      <c r="R34" s="88">
        <f t="shared" si="1"/>
        <v>2</v>
      </c>
      <c r="S34" s="89">
        <f t="shared" si="2"/>
        <v>0</v>
      </c>
      <c r="T34" s="89">
        <f t="shared" si="3"/>
        <v>0</v>
      </c>
      <c r="U34" s="89">
        <f t="shared" si="4"/>
        <v>1</v>
      </c>
      <c r="V34" s="89">
        <f t="shared" si="5"/>
        <v>1</v>
      </c>
      <c r="W34" s="89">
        <f t="shared" si="6"/>
        <v>0</v>
      </c>
      <c r="X34" s="89">
        <f t="shared" si="7"/>
        <v>0</v>
      </c>
      <c r="Y34" s="89">
        <f t="shared" si="8"/>
        <v>0</v>
      </c>
      <c r="Z34" s="89">
        <f t="shared" si="10"/>
        <v>0</v>
      </c>
      <c r="AA34" s="41">
        <f t="shared" si="11"/>
        <v>0</v>
      </c>
      <c r="AB34" s="49"/>
      <c r="AC34" s="50"/>
      <c r="AD34" s="49"/>
      <c r="AE34" s="50"/>
      <c r="AF34" s="49"/>
      <c r="AG34" s="50"/>
      <c r="AH34" s="49"/>
      <c r="AI34" s="50"/>
      <c r="AJ34" s="49"/>
      <c r="AK34" s="50"/>
      <c r="AL34" s="49"/>
      <c r="AM34" s="50"/>
      <c r="AN34" s="49"/>
      <c r="AO34" s="50"/>
      <c r="AP34" s="49"/>
      <c r="AQ34" s="50"/>
      <c r="AR34" s="49"/>
      <c r="AS34" s="50"/>
      <c r="AT34" s="49" t="s">
        <v>5</v>
      </c>
      <c r="AU34" s="50" t="s">
        <v>478</v>
      </c>
      <c r="AV34" s="49" t="s">
        <v>5</v>
      </c>
      <c r="AW34" s="50" t="s">
        <v>457</v>
      </c>
      <c r="AX34" s="49"/>
      <c r="AY34" s="50"/>
      <c r="AZ34" s="49"/>
      <c r="BA34" s="50"/>
      <c r="BB34" s="49"/>
      <c r="BC34" s="50"/>
      <c r="BD34" s="49" t="s">
        <v>1</v>
      </c>
      <c r="BE34" s="50" t="s">
        <v>436</v>
      </c>
      <c r="BF34" s="49"/>
      <c r="BG34" s="50"/>
      <c r="BH34" s="49"/>
      <c r="BI34" s="50"/>
      <c r="BJ34" s="49"/>
      <c r="BK34" s="50"/>
      <c r="BL34" s="49"/>
      <c r="BM34" s="50"/>
      <c r="BN34" s="49" t="s">
        <v>32</v>
      </c>
      <c r="BO34" s="50" t="s">
        <v>82</v>
      </c>
      <c r="BP34" s="49"/>
      <c r="BQ34" s="50"/>
      <c r="BR34" s="49"/>
      <c r="BS34" s="50"/>
      <c r="BT34" s="49"/>
      <c r="BU34" s="50"/>
      <c r="BV34" s="49"/>
      <c r="BW34" s="50"/>
      <c r="BX34" s="49"/>
      <c r="BY34" s="50"/>
      <c r="BZ34" s="49"/>
      <c r="CA34" s="50"/>
    </row>
    <row r="35" spans="1:79" s="91" customFormat="1" x14ac:dyDescent="0.25">
      <c r="A35" s="76">
        <v>150836</v>
      </c>
      <c r="B35" s="77" t="s">
        <v>479</v>
      </c>
      <c r="C35" s="78" t="s">
        <v>464</v>
      </c>
      <c r="D35" s="76" t="s">
        <v>12</v>
      </c>
      <c r="E35" s="79" t="s">
        <v>14</v>
      </c>
      <c r="F35" s="79" t="s">
        <v>71</v>
      </c>
      <c r="G35" s="79" t="s">
        <v>14</v>
      </c>
      <c r="H35" s="78" t="s">
        <v>14</v>
      </c>
      <c r="I35" s="79" t="s">
        <v>14</v>
      </c>
      <c r="J35" s="80">
        <v>6.3</v>
      </c>
      <c r="K35" s="81">
        <v>0</v>
      </c>
      <c r="L35" s="82">
        <v>0</v>
      </c>
      <c r="M35" s="83">
        <v>1</v>
      </c>
      <c r="N35" s="84">
        <v>100</v>
      </c>
      <c r="O35" s="85">
        <v>0</v>
      </c>
      <c r="P35" s="86"/>
      <c r="Q35" s="87">
        <f t="shared" si="0"/>
        <v>0</v>
      </c>
      <c r="R35" s="88">
        <f t="shared" si="1"/>
        <v>4</v>
      </c>
      <c r="S35" s="89">
        <f t="shared" si="2"/>
        <v>0</v>
      </c>
      <c r="T35" s="89">
        <f t="shared" si="3"/>
        <v>0</v>
      </c>
      <c r="U35" s="89">
        <f t="shared" si="4"/>
        <v>0</v>
      </c>
      <c r="V35" s="89">
        <f t="shared" si="5"/>
        <v>0</v>
      </c>
      <c r="W35" s="89">
        <f t="shared" si="6"/>
        <v>0</v>
      </c>
      <c r="X35" s="89">
        <f t="shared" si="7"/>
        <v>0</v>
      </c>
      <c r="Y35" s="89">
        <f t="shared" si="8"/>
        <v>0</v>
      </c>
      <c r="Z35" s="89">
        <f t="shared" si="10"/>
        <v>0</v>
      </c>
      <c r="AA35" s="41">
        <f t="shared" si="11"/>
        <v>0</v>
      </c>
      <c r="AB35" s="49"/>
      <c r="AC35" s="50"/>
      <c r="AD35" s="49"/>
      <c r="AE35" s="50"/>
      <c r="AF35" s="49"/>
      <c r="AG35" s="50"/>
      <c r="AH35" s="49"/>
      <c r="AI35" s="50"/>
      <c r="AJ35" s="49"/>
      <c r="AK35" s="50"/>
      <c r="AL35" s="49"/>
      <c r="AM35" s="50"/>
      <c r="AN35" s="49" t="s">
        <v>5</v>
      </c>
      <c r="AO35" s="50" t="s">
        <v>101</v>
      </c>
      <c r="AP35" s="49"/>
      <c r="AQ35" s="50"/>
      <c r="AR35" s="49"/>
      <c r="AS35" s="50"/>
      <c r="AT35" s="49"/>
      <c r="AU35" s="50"/>
      <c r="AV35" s="49" t="s">
        <v>5</v>
      </c>
      <c r="AW35" s="50" t="s">
        <v>448</v>
      </c>
      <c r="AX35" s="49"/>
      <c r="AY35" s="50"/>
      <c r="AZ35" s="49"/>
      <c r="BA35" s="50"/>
      <c r="BB35" s="49"/>
      <c r="BC35" s="50"/>
      <c r="BD35" s="49"/>
      <c r="BE35" s="50"/>
      <c r="BF35" s="49"/>
      <c r="BG35" s="50"/>
      <c r="BH35" s="49"/>
      <c r="BI35" s="50"/>
      <c r="BJ35" s="49" t="s">
        <v>5</v>
      </c>
      <c r="BK35" s="50" t="s">
        <v>430</v>
      </c>
      <c r="BL35" s="49"/>
      <c r="BM35" s="50"/>
      <c r="BN35" s="49"/>
      <c r="BO35" s="50"/>
      <c r="BP35" s="49"/>
      <c r="BQ35" s="50"/>
      <c r="BR35" s="49"/>
      <c r="BS35" s="50"/>
      <c r="BT35" s="49" t="s">
        <v>5</v>
      </c>
      <c r="BU35" s="50" t="s">
        <v>93</v>
      </c>
      <c r="BV35" s="49"/>
      <c r="BW35" s="50"/>
      <c r="BX35" s="49"/>
      <c r="BY35" s="50"/>
      <c r="BZ35" s="49"/>
      <c r="CA35" s="50"/>
    </row>
    <row r="36" spans="1:79" s="91" customFormat="1" x14ac:dyDescent="0.25">
      <c r="A36" s="76">
        <v>150925</v>
      </c>
      <c r="B36" s="77" t="s">
        <v>480</v>
      </c>
      <c r="C36" s="78" t="s">
        <v>464</v>
      </c>
      <c r="D36" s="76" t="s">
        <v>12</v>
      </c>
      <c r="E36" s="79" t="s">
        <v>14</v>
      </c>
      <c r="F36" s="79" t="s">
        <v>71</v>
      </c>
      <c r="G36" s="79" t="s">
        <v>14</v>
      </c>
      <c r="H36" s="78" t="s">
        <v>14</v>
      </c>
      <c r="I36" s="79" t="s">
        <v>14</v>
      </c>
      <c r="J36" s="80">
        <v>5.6</v>
      </c>
      <c r="K36" s="81">
        <v>0</v>
      </c>
      <c r="L36" s="82">
        <v>0</v>
      </c>
      <c r="M36" s="83">
        <v>0</v>
      </c>
      <c r="N36" s="84">
        <v>88.78</v>
      </c>
      <c r="O36" s="85">
        <v>0</v>
      </c>
      <c r="P36" s="86"/>
      <c r="Q36" s="87">
        <f t="shared" si="0"/>
        <v>0</v>
      </c>
      <c r="R36" s="88">
        <f t="shared" si="1"/>
        <v>4</v>
      </c>
      <c r="S36" s="89">
        <f t="shared" si="2"/>
        <v>0</v>
      </c>
      <c r="T36" s="89">
        <f t="shared" si="3"/>
        <v>0</v>
      </c>
      <c r="U36" s="89">
        <f t="shared" si="4"/>
        <v>0</v>
      </c>
      <c r="V36" s="89">
        <f t="shared" si="5"/>
        <v>0</v>
      </c>
      <c r="W36" s="89">
        <f t="shared" si="6"/>
        <v>0</v>
      </c>
      <c r="X36" s="89">
        <f t="shared" si="7"/>
        <v>0</v>
      </c>
      <c r="Y36" s="89">
        <f t="shared" si="8"/>
        <v>0</v>
      </c>
      <c r="Z36" s="89">
        <f t="shared" si="10"/>
        <v>0</v>
      </c>
      <c r="AA36" s="41">
        <f t="shared" si="11"/>
        <v>0</v>
      </c>
      <c r="AB36" s="49"/>
      <c r="AC36" s="50"/>
      <c r="AD36" s="49"/>
      <c r="AE36" s="50"/>
      <c r="AF36" s="49"/>
      <c r="AG36" s="50"/>
      <c r="AH36" s="49"/>
      <c r="AI36" s="50"/>
      <c r="AJ36" s="49"/>
      <c r="AK36" s="50"/>
      <c r="AL36" s="49"/>
      <c r="AM36" s="50"/>
      <c r="AN36" s="49"/>
      <c r="AO36" s="50"/>
      <c r="AP36" s="49"/>
      <c r="AQ36" s="50"/>
      <c r="AR36" s="49"/>
      <c r="AS36" s="50"/>
      <c r="AT36" s="49"/>
      <c r="AU36" s="50"/>
      <c r="AV36" s="49" t="s">
        <v>5</v>
      </c>
      <c r="AW36" s="50" t="s">
        <v>448</v>
      </c>
      <c r="AX36" s="49"/>
      <c r="AY36" s="50"/>
      <c r="AZ36" s="49"/>
      <c r="BA36" s="50"/>
      <c r="BB36" s="49"/>
      <c r="BC36" s="50"/>
      <c r="BD36" s="49"/>
      <c r="BE36" s="50"/>
      <c r="BF36" s="49"/>
      <c r="BG36" s="50"/>
      <c r="BH36" s="49"/>
      <c r="BI36" s="50"/>
      <c r="BJ36" s="49"/>
      <c r="BK36" s="50"/>
      <c r="BL36" s="49"/>
      <c r="BM36" s="50"/>
      <c r="BN36" s="49" t="s">
        <v>5</v>
      </c>
      <c r="BO36" s="50"/>
      <c r="BP36" s="49"/>
      <c r="BQ36" s="50"/>
      <c r="BR36" s="49"/>
      <c r="BS36" s="50"/>
      <c r="BT36" s="49"/>
      <c r="BU36" s="50"/>
      <c r="BV36" s="49" t="s">
        <v>5</v>
      </c>
      <c r="BW36" s="50" t="s">
        <v>425</v>
      </c>
      <c r="BX36" s="49" t="s">
        <v>5</v>
      </c>
      <c r="BY36" s="50" t="s">
        <v>462</v>
      </c>
      <c r="BZ36" s="49"/>
      <c r="CA36" s="50"/>
    </row>
    <row r="37" spans="1:79" s="91" customFormat="1" x14ac:dyDescent="0.25">
      <c r="A37" s="76">
        <v>150861</v>
      </c>
      <c r="B37" s="77" t="s">
        <v>481</v>
      </c>
      <c r="C37" s="78" t="s">
        <v>464</v>
      </c>
      <c r="D37" s="76" t="s">
        <v>70</v>
      </c>
      <c r="E37" s="79" t="s">
        <v>14</v>
      </c>
      <c r="F37" s="79" t="s">
        <v>71</v>
      </c>
      <c r="G37" s="79" t="s">
        <v>14</v>
      </c>
      <c r="H37" s="78" t="s">
        <v>14</v>
      </c>
      <c r="I37" s="79" t="s">
        <v>14</v>
      </c>
      <c r="J37" s="80">
        <v>7</v>
      </c>
      <c r="K37" s="81">
        <v>2</v>
      </c>
      <c r="L37" s="82">
        <v>0</v>
      </c>
      <c r="M37" s="83">
        <v>0</v>
      </c>
      <c r="N37" s="84">
        <v>100</v>
      </c>
      <c r="O37" s="85">
        <v>0</v>
      </c>
      <c r="P37" s="86"/>
      <c r="Q37" s="87">
        <f t="shared" si="0"/>
        <v>0</v>
      </c>
      <c r="R37" s="88">
        <f t="shared" si="1"/>
        <v>4</v>
      </c>
      <c r="S37" s="89">
        <f t="shared" si="2"/>
        <v>0</v>
      </c>
      <c r="T37" s="89">
        <f t="shared" si="3"/>
        <v>0</v>
      </c>
      <c r="U37" s="89">
        <f t="shared" si="4"/>
        <v>0</v>
      </c>
      <c r="V37" s="89">
        <f t="shared" si="5"/>
        <v>0</v>
      </c>
      <c r="W37" s="89">
        <f t="shared" si="6"/>
        <v>0</v>
      </c>
      <c r="X37" s="89">
        <f t="shared" si="7"/>
        <v>0</v>
      </c>
      <c r="Y37" s="89">
        <f t="shared" si="8"/>
        <v>0</v>
      </c>
      <c r="Z37" s="89">
        <f t="shared" si="10"/>
        <v>0</v>
      </c>
      <c r="AA37" s="41">
        <f t="shared" si="11"/>
        <v>0</v>
      </c>
      <c r="AB37" s="49" t="s">
        <v>5</v>
      </c>
      <c r="AC37" s="50" t="s">
        <v>116</v>
      </c>
      <c r="AD37" s="49" t="s">
        <v>5</v>
      </c>
      <c r="AE37" s="50" t="s">
        <v>438</v>
      </c>
      <c r="AF37" s="49"/>
      <c r="AG37" s="50"/>
      <c r="AH37" s="49"/>
      <c r="AI37" s="50"/>
      <c r="AJ37" s="49"/>
      <c r="AK37" s="50"/>
      <c r="AL37" s="49"/>
      <c r="AM37" s="50"/>
      <c r="AN37" s="49"/>
      <c r="AO37" s="50"/>
      <c r="AP37" s="49"/>
      <c r="AQ37" s="50"/>
      <c r="AR37" s="49"/>
      <c r="AS37" s="50"/>
      <c r="AT37" s="49"/>
      <c r="AU37" s="50"/>
      <c r="AV37" s="49" t="s">
        <v>5</v>
      </c>
      <c r="AW37" s="50" t="s">
        <v>448</v>
      </c>
      <c r="AX37" s="49"/>
      <c r="AY37" s="50"/>
      <c r="AZ37" s="49"/>
      <c r="BA37" s="50"/>
      <c r="BB37" s="49"/>
      <c r="BC37" s="50"/>
      <c r="BD37" s="49"/>
      <c r="BE37" s="50"/>
      <c r="BF37" s="49"/>
      <c r="BG37" s="50"/>
      <c r="BH37" s="49"/>
      <c r="BI37" s="50"/>
      <c r="BJ37" s="49"/>
      <c r="BK37" s="50"/>
      <c r="BL37" s="49"/>
      <c r="BM37" s="50"/>
      <c r="BN37" s="49"/>
      <c r="BO37" s="50"/>
      <c r="BP37" s="49"/>
      <c r="BQ37" s="50"/>
      <c r="BR37" s="49"/>
      <c r="BS37" s="50"/>
      <c r="BT37" s="49"/>
      <c r="BU37" s="50"/>
      <c r="BV37" s="49"/>
      <c r="BW37" s="50"/>
      <c r="BX37" s="49"/>
      <c r="BY37" s="50"/>
      <c r="BZ37" s="49" t="s">
        <v>5</v>
      </c>
      <c r="CA37" s="50" t="s">
        <v>421</v>
      </c>
    </row>
    <row r="38" spans="1:79" s="91" customFormat="1" x14ac:dyDescent="0.25">
      <c r="A38" s="76">
        <v>160108</v>
      </c>
      <c r="B38" s="77" t="s">
        <v>482</v>
      </c>
      <c r="C38" s="78" t="s">
        <v>418</v>
      </c>
      <c r="D38" s="76" t="s">
        <v>70</v>
      </c>
      <c r="E38" s="79" t="s">
        <v>14</v>
      </c>
      <c r="F38" s="79" t="s">
        <v>71</v>
      </c>
      <c r="G38" s="79" t="s">
        <v>14</v>
      </c>
      <c r="H38" s="78" t="s">
        <v>14</v>
      </c>
      <c r="I38" s="79" t="s">
        <v>14</v>
      </c>
      <c r="J38" s="80">
        <v>5.4</v>
      </c>
      <c r="K38" s="81">
        <v>1</v>
      </c>
      <c r="L38" s="82">
        <v>0</v>
      </c>
      <c r="M38" s="83">
        <v>0</v>
      </c>
      <c r="N38" s="84">
        <v>100</v>
      </c>
      <c r="O38" s="85">
        <v>0</v>
      </c>
      <c r="P38" s="86"/>
      <c r="Q38" s="87">
        <f t="shared" si="0"/>
        <v>1</v>
      </c>
      <c r="R38" s="88">
        <f t="shared" si="1"/>
        <v>3</v>
      </c>
      <c r="S38" s="89">
        <f t="shared" si="2"/>
        <v>0</v>
      </c>
      <c r="T38" s="89">
        <f t="shared" si="3"/>
        <v>0</v>
      </c>
      <c r="U38" s="89">
        <f t="shared" si="4"/>
        <v>0</v>
      </c>
      <c r="V38" s="89">
        <f t="shared" si="5"/>
        <v>0</v>
      </c>
      <c r="W38" s="89">
        <f t="shared" si="6"/>
        <v>0</v>
      </c>
      <c r="X38" s="89">
        <f t="shared" si="7"/>
        <v>0</v>
      </c>
      <c r="Y38" s="89">
        <f t="shared" si="8"/>
        <v>0</v>
      </c>
      <c r="Z38" s="89">
        <f t="shared" si="10"/>
        <v>0</v>
      </c>
      <c r="AA38" s="41">
        <f t="shared" si="11"/>
        <v>0</v>
      </c>
      <c r="AB38" s="49"/>
      <c r="AC38" s="50"/>
      <c r="AD38" s="49"/>
      <c r="AE38" s="50"/>
      <c r="AF38" s="49"/>
      <c r="AG38" s="50"/>
      <c r="AH38" s="49"/>
      <c r="AI38" s="50"/>
      <c r="AJ38" s="49"/>
      <c r="AK38" s="50"/>
      <c r="AL38" s="49"/>
      <c r="AM38" s="50"/>
      <c r="AN38" s="49"/>
      <c r="AO38" s="50"/>
      <c r="AP38" s="49"/>
      <c r="AQ38" s="50"/>
      <c r="AR38" s="49"/>
      <c r="AS38" s="50"/>
      <c r="AT38" s="49"/>
      <c r="AU38" s="50"/>
      <c r="AV38" s="49" t="s">
        <v>5</v>
      </c>
      <c r="AW38" s="50" t="s">
        <v>420</v>
      </c>
      <c r="AX38" s="49"/>
      <c r="AY38" s="50"/>
      <c r="AZ38" s="49"/>
      <c r="BA38" s="50"/>
      <c r="BB38" s="49"/>
      <c r="BC38" s="50"/>
      <c r="BD38" s="49"/>
      <c r="BE38" s="50"/>
      <c r="BF38" s="49"/>
      <c r="BG38" s="50"/>
      <c r="BH38" s="49"/>
      <c r="BI38" s="50"/>
      <c r="BJ38" s="49"/>
      <c r="BK38" s="50"/>
      <c r="BL38" s="49"/>
      <c r="BM38" s="50"/>
      <c r="BN38" s="49" t="s">
        <v>5</v>
      </c>
      <c r="BO38" s="50" t="s">
        <v>82</v>
      </c>
      <c r="BP38" s="49"/>
      <c r="BQ38" s="50"/>
      <c r="BR38" s="49"/>
      <c r="BS38" s="50"/>
      <c r="BT38" s="49"/>
      <c r="BU38" s="50"/>
      <c r="BV38" s="49" t="s">
        <v>1</v>
      </c>
      <c r="BW38" s="50" t="s">
        <v>425</v>
      </c>
      <c r="BX38" s="49" t="s">
        <v>5</v>
      </c>
      <c r="BY38" s="50" t="s">
        <v>462</v>
      </c>
      <c r="BZ38" s="49"/>
      <c r="CA38" s="50"/>
    </row>
    <row r="39" spans="1:79" s="91" customFormat="1" x14ac:dyDescent="0.25">
      <c r="A39" s="76">
        <v>160124</v>
      </c>
      <c r="B39" s="77" t="s">
        <v>483</v>
      </c>
      <c r="C39" s="78" t="s">
        <v>440</v>
      </c>
      <c r="D39" s="76" t="s">
        <v>70</v>
      </c>
      <c r="E39" s="79" t="s">
        <v>14</v>
      </c>
      <c r="F39" s="79" t="s">
        <v>71</v>
      </c>
      <c r="G39" s="79" t="s">
        <v>14</v>
      </c>
      <c r="H39" s="78" t="s">
        <v>14</v>
      </c>
      <c r="I39" s="79" t="s">
        <v>14</v>
      </c>
      <c r="J39" s="80">
        <v>7.1</v>
      </c>
      <c r="K39" s="81">
        <v>0</v>
      </c>
      <c r="L39" s="82">
        <v>0</v>
      </c>
      <c r="M39" s="83">
        <v>0</v>
      </c>
      <c r="N39" s="84">
        <v>98.32</v>
      </c>
      <c r="O39" s="85">
        <v>4</v>
      </c>
      <c r="P39" s="86"/>
      <c r="Q39" s="87">
        <f t="shared" si="0"/>
        <v>0</v>
      </c>
      <c r="R39" s="88">
        <f t="shared" si="1"/>
        <v>3</v>
      </c>
      <c r="S39" s="89">
        <f t="shared" si="2"/>
        <v>1</v>
      </c>
      <c r="T39" s="89">
        <f t="shared" si="3"/>
        <v>0</v>
      </c>
      <c r="U39" s="89">
        <f t="shared" si="4"/>
        <v>0</v>
      </c>
      <c r="V39" s="89">
        <f t="shared" si="5"/>
        <v>1</v>
      </c>
      <c r="W39" s="89">
        <f t="shared" si="6"/>
        <v>0</v>
      </c>
      <c r="X39" s="89">
        <f t="shared" si="7"/>
        <v>0</v>
      </c>
      <c r="Y39" s="89">
        <f t="shared" si="8"/>
        <v>0</v>
      </c>
      <c r="Z39" s="89">
        <f t="shared" si="10"/>
        <v>0</v>
      </c>
      <c r="AA39" s="41">
        <f t="shared" si="11"/>
        <v>0</v>
      </c>
      <c r="AB39" s="49"/>
      <c r="AC39" s="50"/>
      <c r="AD39" s="49" t="s">
        <v>5</v>
      </c>
      <c r="AE39" s="50" t="s">
        <v>133</v>
      </c>
      <c r="AF39" s="49"/>
      <c r="AG39" s="50"/>
      <c r="AH39" s="49" t="s">
        <v>5</v>
      </c>
      <c r="AI39" s="50" t="s">
        <v>424</v>
      </c>
      <c r="AJ39" s="49"/>
      <c r="AK39" s="50"/>
      <c r="AL39" s="49"/>
      <c r="AM39" s="50"/>
      <c r="AN39" s="49"/>
      <c r="AO39" s="50"/>
      <c r="AP39" s="49"/>
      <c r="AQ39" s="50"/>
      <c r="AR39" s="49"/>
      <c r="AS39" s="50"/>
      <c r="AT39" s="49"/>
      <c r="AU39" s="50"/>
      <c r="AV39" s="49" t="s">
        <v>5</v>
      </c>
      <c r="AW39" s="50" t="s">
        <v>428</v>
      </c>
      <c r="AX39" s="49"/>
      <c r="AY39" s="50"/>
      <c r="AZ39" s="49"/>
      <c r="BA39" s="50"/>
      <c r="BB39" s="49"/>
      <c r="BC39" s="50"/>
      <c r="BD39" s="49"/>
      <c r="BE39" s="50"/>
      <c r="BF39" s="49"/>
      <c r="BG39" s="50"/>
      <c r="BH39" s="49"/>
      <c r="BI39" s="50"/>
      <c r="BJ39" s="49"/>
      <c r="BK39" s="50"/>
      <c r="BL39" s="49"/>
      <c r="BM39" s="50"/>
      <c r="BN39" s="49"/>
      <c r="BO39" s="50"/>
      <c r="BP39" s="49"/>
      <c r="BQ39" s="50"/>
      <c r="BR39" s="49"/>
      <c r="BS39" s="50"/>
      <c r="BT39" s="49"/>
      <c r="BU39" s="50"/>
      <c r="BV39" s="49" t="s">
        <v>30</v>
      </c>
      <c r="BW39" s="50" t="s">
        <v>436</v>
      </c>
      <c r="BX39" s="49"/>
      <c r="BY39" s="50"/>
      <c r="BZ39" s="49"/>
      <c r="CA39" s="50"/>
    </row>
    <row r="40" spans="1:79" s="91" customFormat="1" x14ac:dyDescent="0.25">
      <c r="A40" s="76">
        <v>150860</v>
      </c>
      <c r="B40" s="77" t="s">
        <v>484</v>
      </c>
      <c r="C40" s="78" t="s">
        <v>464</v>
      </c>
      <c r="D40" s="76" t="s">
        <v>70</v>
      </c>
      <c r="E40" s="79" t="s">
        <v>14</v>
      </c>
      <c r="F40" s="79" t="s">
        <v>220</v>
      </c>
      <c r="G40" s="79" t="s">
        <v>14</v>
      </c>
      <c r="H40" s="78" t="s">
        <v>14</v>
      </c>
      <c r="I40" s="79" t="s">
        <v>14</v>
      </c>
      <c r="J40" s="80">
        <v>8.8000000000000007</v>
      </c>
      <c r="K40" s="81">
        <v>0</v>
      </c>
      <c r="L40" s="82">
        <v>0</v>
      </c>
      <c r="M40" s="83">
        <v>0</v>
      </c>
      <c r="N40" s="84">
        <v>100</v>
      </c>
      <c r="O40" s="85">
        <v>0</v>
      </c>
      <c r="P40" s="86"/>
      <c r="Q40" s="87">
        <f t="shared" si="0"/>
        <v>0</v>
      </c>
      <c r="R40" s="88">
        <f t="shared" si="1"/>
        <v>5</v>
      </c>
      <c r="S40" s="89">
        <f t="shared" si="2"/>
        <v>0</v>
      </c>
      <c r="T40" s="89">
        <f t="shared" si="3"/>
        <v>0</v>
      </c>
      <c r="U40" s="89">
        <f t="shared" si="4"/>
        <v>0</v>
      </c>
      <c r="V40" s="89">
        <f t="shared" si="5"/>
        <v>0</v>
      </c>
      <c r="W40" s="89">
        <f t="shared" si="6"/>
        <v>0</v>
      </c>
      <c r="X40" s="89">
        <f t="shared" si="7"/>
        <v>0</v>
      </c>
      <c r="Y40" s="89">
        <f t="shared" si="8"/>
        <v>0</v>
      </c>
      <c r="Z40" s="89">
        <f t="shared" si="10"/>
        <v>0</v>
      </c>
      <c r="AA40" s="41">
        <f t="shared" si="11"/>
        <v>0</v>
      </c>
      <c r="AB40" s="49"/>
      <c r="AC40" s="50"/>
      <c r="AD40" s="49" t="s">
        <v>5</v>
      </c>
      <c r="AE40" s="50" t="s">
        <v>433</v>
      </c>
      <c r="AF40" s="49"/>
      <c r="AG40" s="50"/>
      <c r="AH40" s="49" t="s">
        <v>5</v>
      </c>
      <c r="AI40" s="50" t="s">
        <v>419</v>
      </c>
      <c r="AJ40" s="49"/>
      <c r="AK40" s="50"/>
      <c r="AL40" s="49"/>
      <c r="AM40" s="50"/>
      <c r="AN40" s="49"/>
      <c r="AO40" s="50"/>
      <c r="AP40" s="49"/>
      <c r="AQ40" s="50"/>
      <c r="AR40" s="49"/>
      <c r="AS40" s="50"/>
      <c r="AT40" s="49"/>
      <c r="AU40" s="50"/>
      <c r="AV40" s="49" t="s">
        <v>5</v>
      </c>
      <c r="AW40" s="50" t="s">
        <v>448</v>
      </c>
      <c r="AX40" s="49"/>
      <c r="AY40" s="50"/>
      <c r="AZ40" s="49"/>
      <c r="BA40" s="50"/>
      <c r="BB40" s="49"/>
      <c r="BC40" s="50"/>
      <c r="BD40" s="49"/>
      <c r="BE40" s="50"/>
      <c r="BF40" s="49"/>
      <c r="BG40" s="50"/>
      <c r="BH40" s="49"/>
      <c r="BI40" s="50"/>
      <c r="BJ40" s="49" t="s">
        <v>5</v>
      </c>
      <c r="BK40" s="50" t="s">
        <v>430</v>
      </c>
      <c r="BL40" s="49"/>
      <c r="BM40" s="50"/>
      <c r="BN40" s="49"/>
      <c r="BO40" s="50"/>
      <c r="BP40" s="49"/>
      <c r="BQ40" s="50"/>
      <c r="BR40" s="49" t="s">
        <v>5</v>
      </c>
      <c r="BS40" s="50" t="s">
        <v>98</v>
      </c>
      <c r="BT40" s="49"/>
      <c r="BU40" s="50"/>
      <c r="BV40" s="49"/>
      <c r="BW40" s="50"/>
      <c r="BX40" s="49"/>
      <c r="BY40" s="50"/>
      <c r="BZ40" s="49"/>
      <c r="CA40" s="50"/>
    </row>
    <row r="41" spans="1:79" s="91" customFormat="1" x14ac:dyDescent="0.25">
      <c r="A41" s="76">
        <v>150992</v>
      </c>
      <c r="B41" s="77" t="s">
        <v>485</v>
      </c>
      <c r="C41" s="78" t="s">
        <v>464</v>
      </c>
      <c r="D41" s="76" t="s">
        <v>70</v>
      </c>
      <c r="E41" s="79" t="s">
        <v>87</v>
      </c>
      <c r="F41" s="79" t="s">
        <v>198</v>
      </c>
      <c r="G41" s="79" t="s">
        <v>14</v>
      </c>
      <c r="H41" s="78" t="s">
        <v>14</v>
      </c>
      <c r="I41" s="79" t="s">
        <v>14</v>
      </c>
      <c r="J41" s="80">
        <v>6.1</v>
      </c>
      <c r="K41" s="81">
        <v>0</v>
      </c>
      <c r="L41" s="82">
        <v>0</v>
      </c>
      <c r="M41" s="83">
        <v>0</v>
      </c>
      <c r="N41" s="84">
        <v>83.76</v>
      </c>
      <c r="O41" s="85">
        <v>0</v>
      </c>
      <c r="P41" s="86"/>
      <c r="Q41" s="87">
        <f t="shared" si="0"/>
        <v>0</v>
      </c>
      <c r="R41" s="88">
        <f t="shared" si="1"/>
        <v>4</v>
      </c>
      <c r="S41" s="89">
        <f t="shared" si="2"/>
        <v>0</v>
      </c>
      <c r="T41" s="89">
        <f t="shared" si="3"/>
        <v>0</v>
      </c>
      <c r="U41" s="89">
        <f t="shared" si="4"/>
        <v>0</v>
      </c>
      <c r="V41" s="89">
        <f t="shared" si="5"/>
        <v>0</v>
      </c>
      <c r="W41" s="89">
        <f t="shared" si="6"/>
        <v>0</v>
      </c>
      <c r="X41" s="89">
        <f t="shared" si="7"/>
        <v>0</v>
      </c>
      <c r="Y41" s="89">
        <f t="shared" si="8"/>
        <v>0</v>
      </c>
      <c r="Z41" s="89">
        <f t="shared" si="10"/>
        <v>0</v>
      </c>
      <c r="AA41" s="41">
        <f t="shared" si="11"/>
        <v>0</v>
      </c>
      <c r="AB41" s="49"/>
      <c r="AC41" s="50"/>
      <c r="AD41" s="49" t="s">
        <v>5</v>
      </c>
      <c r="AE41" s="50" t="s">
        <v>154</v>
      </c>
      <c r="AF41" s="49"/>
      <c r="AG41" s="50"/>
      <c r="AH41" s="49" t="s">
        <v>5</v>
      </c>
      <c r="AI41" s="50" t="s">
        <v>206</v>
      </c>
      <c r="AJ41" s="49"/>
      <c r="AK41" s="50"/>
      <c r="AL41" s="49"/>
      <c r="AM41" s="50"/>
      <c r="AN41" s="49" t="s">
        <v>5</v>
      </c>
      <c r="AO41" s="50" t="s">
        <v>101</v>
      </c>
      <c r="AP41" s="49"/>
      <c r="AQ41" s="50"/>
      <c r="AR41" s="49"/>
      <c r="AS41" s="50"/>
      <c r="AT41" s="49"/>
      <c r="AU41" s="50"/>
      <c r="AV41" s="49" t="s">
        <v>5</v>
      </c>
      <c r="AW41" s="50" t="s">
        <v>448</v>
      </c>
      <c r="AX41" s="49"/>
      <c r="AY41" s="50"/>
      <c r="AZ41" s="49"/>
      <c r="BA41" s="50"/>
      <c r="BB41" s="49"/>
      <c r="BC41" s="50"/>
      <c r="BD41" s="49"/>
      <c r="BE41" s="50"/>
      <c r="BF41" s="49"/>
      <c r="BG41" s="50"/>
      <c r="BH41" s="49"/>
      <c r="BI41" s="50"/>
      <c r="BJ41" s="49"/>
      <c r="BK41" s="50"/>
      <c r="BL41" s="49"/>
      <c r="BM41" s="50"/>
      <c r="BN41" s="49"/>
      <c r="BO41" s="50"/>
      <c r="BP41" s="49"/>
      <c r="BQ41" s="50"/>
      <c r="BR41" s="49"/>
      <c r="BS41" s="50"/>
      <c r="BT41" s="49"/>
      <c r="BU41" s="50"/>
      <c r="BV41" s="49"/>
      <c r="BW41" s="50"/>
      <c r="BX41" s="49"/>
      <c r="BY41" s="50"/>
      <c r="BZ41" s="49"/>
      <c r="CA41" s="50"/>
    </row>
    <row r="42" spans="1:79" s="91" customFormat="1" x14ac:dyDescent="0.25">
      <c r="A42" s="76">
        <v>150835</v>
      </c>
      <c r="B42" s="77" t="s">
        <v>486</v>
      </c>
      <c r="C42" s="78" t="s">
        <v>464</v>
      </c>
      <c r="D42" s="76" t="s">
        <v>12</v>
      </c>
      <c r="E42" s="79" t="s">
        <v>14</v>
      </c>
      <c r="F42" s="79" t="s">
        <v>71</v>
      </c>
      <c r="G42" s="79" t="s">
        <v>14</v>
      </c>
      <c r="H42" s="78" t="s">
        <v>14</v>
      </c>
      <c r="I42" s="79" t="s">
        <v>14</v>
      </c>
      <c r="J42" s="80">
        <v>8.6999999999999993</v>
      </c>
      <c r="K42" s="81">
        <v>1</v>
      </c>
      <c r="L42" s="82">
        <v>0</v>
      </c>
      <c r="M42" s="83">
        <v>0</v>
      </c>
      <c r="N42" s="84">
        <v>98.58</v>
      </c>
      <c r="O42" s="85">
        <v>0</v>
      </c>
      <c r="P42" s="86"/>
      <c r="Q42" s="87">
        <f t="shared" si="0"/>
        <v>0</v>
      </c>
      <c r="R42" s="88">
        <f t="shared" si="1"/>
        <v>5</v>
      </c>
      <c r="S42" s="89">
        <f t="shared" si="2"/>
        <v>0</v>
      </c>
      <c r="T42" s="89">
        <f t="shared" si="3"/>
        <v>0</v>
      </c>
      <c r="U42" s="89">
        <f t="shared" si="4"/>
        <v>0</v>
      </c>
      <c r="V42" s="89">
        <f t="shared" si="5"/>
        <v>0</v>
      </c>
      <c r="W42" s="89">
        <f t="shared" si="6"/>
        <v>0</v>
      </c>
      <c r="X42" s="89">
        <f t="shared" si="7"/>
        <v>0</v>
      </c>
      <c r="Y42" s="89">
        <f t="shared" si="8"/>
        <v>0</v>
      </c>
      <c r="Z42" s="89">
        <f t="shared" si="10"/>
        <v>0</v>
      </c>
      <c r="AA42" s="41">
        <f t="shared" si="11"/>
        <v>0</v>
      </c>
      <c r="AB42" s="49"/>
      <c r="AC42" s="50"/>
      <c r="AD42" s="49"/>
      <c r="AE42" s="50"/>
      <c r="AF42" s="49"/>
      <c r="AG42" s="50"/>
      <c r="AH42" s="49"/>
      <c r="AI42" s="50"/>
      <c r="AJ42" s="49"/>
      <c r="AK42" s="50"/>
      <c r="AL42" s="49"/>
      <c r="AM42" s="50"/>
      <c r="AN42" s="49"/>
      <c r="AO42" s="50"/>
      <c r="AP42" s="49"/>
      <c r="AQ42" s="50"/>
      <c r="AR42" s="49"/>
      <c r="AS42" s="50"/>
      <c r="AT42" s="49"/>
      <c r="AU42" s="50"/>
      <c r="AV42" s="49" t="s">
        <v>5</v>
      </c>
      <c r="AW42" s="50" t="s">
        <v>448</v>
      </c>
      <c r="AX42" s="49"/>
      <c r="AY42" s="50"/>
      <c r="AZ42" s="49"/>
      <c r="BA42" s="50"/>
      <c r="BB42" s="49"/>
      <c r="BC42" s="50"/>
      <c r="BD42" s="49"/>
      <c r="BE42" s="50"/>
      <c r="BF42" s="49"/>
      <c r="BG42" s="50"/>
      <c r="BH42" s="49" t="s">
        <v>5</v>
      </c>
      <c r="BI42" s="50" t="s">
        <v>77</v>
      </c>
      <c r="BJ42" s="49" t="s">
        <v>5</v>
      </c>
      <c r="BK42" s="50" t="s">
        <v>422</v>
      </c>
      <c r="BL42" s="49"/>
      <c r="BM42" s="50"/>
      <c r="BN42" s="49"/>
      <c r="BO42" s="50"/>
      <c r="BP42" s="49"/>
      <c r="BQ42" s="50"/>
      <c r="BR42" s="49" t="s">
        <v>5</v>
      </c>
      <c r="BS42" s="50" t="s">
        <v>98</v>
      </c>
      <c r="BT42" s="49" t="s">
        <v>5</v>
      </c>
      <c r="BU42" s="50" t="s">
        <v>93</v>
      </c>
      <c r="BV42" s="49"/>
      <c r="BW42" s="50"/>
      <c r="BX42" s="49"/>
      <c r="BY42" s="50"/>
      <c r="BZ42" s="49"/>
      <c r="CA42" s="50"/>
    </row>
    <row r="43" spans="1:79" s="91" customFormat="1" x14ac:dyDescent="0.25">
      <c r="A43" s="76">
        <v>150866</v>
      </c>
      <c r="B43" s="77" t="s">
        <v>487</v>
      </c>
      <c r="C43" s="78" t="s">
        <v>464</v>
      </c>
      <c r="D43" s="76" t="s">
        <v>12</v>
      </c>
      <c r="E43" s="79" t="s">
        <v>14</v>
      </c>
      <c r="F43" s="79" t="s">
        <v>71</v>
      </c>
      <c r="G43" s="79" t="s">
        <v>14</v>
      </c>
      <c r="H43" s="78" t="s">
        <v>14</v>
      </c>
      <c r="I43" s="79" t="s">
        <v>14</v>
      </c>
      <c r="J43" s="80">
        <v>6.5</v>
      </c>
      <c r="K43" s="81">
        <v>0</v>
      </c>
      <c r="L43" s="82">
        <v>0</v>
      </c>
      <c r="M43" s="83">
        <v>1</v>
      </c>
      <c r="N43" s="84">
        <v>100</v>
      </c>
      <c r="O43" s="85">
        <v>0</v>
      </c>
      <c r="P43" s="86"/>
      <c r="Q43" s="87">
        <f t="shared" si="0"/>
        <v>0</v>
      </c>
      <c r="R43" s="88">
        <f t="shared" si="1"/>
        <v>5</v>
      </c>
      <c r="S43" s="89">
        <f t="shared" si="2"/>
        <v>0</v>
      </c>
      <c r="T43" s="89">
        <f t="shared" si="3"/>
        <v>0</v>
      </c>
      <c r="U43" s="89">
        <f t="shared" si="4"/>
        <v>0</v>
      </c>
      <c r="V43" s="89">
        <f t="shared" si="5"/>
        <v>0</v>
      </c>
      <c r="W43" s="89">
        <f t="shared" si="6"/>
        <v>0</v>
      </c>
      <c r="X43" s="89">
        <f t="shared" si="7"/>
        <v>0</v>
      </c>
      <c r="Y43" s="89">
        <f t="shared" si="8"/>
        <v>0</v>
      </c>
      <c r="Z43" s="89">
        <f t="shared" si="10"/>
        <v>0</v>
      </c>
      <c r="AA43" s="41">
        <f t="shared" si="11"/>
        <v>0</v>
      </c>
      <c r="AB43" s="49"/>
      <c r="AC43" s="50"/>
      <c r="AD43" s="49"/>
      <c r="AE43" s="50"/>
      <c r="AF43" s="49"/>
      <c r="AG43" s="50"/>
      <c r="AH43" s="49" t="s">
        <v>5</v>
      </c>
      <c r="AI43" s="50" t="s">
        <v>424</v>
      </c>
      <c r="AJ43" s="49"/>
      <c r="AK43" s="50"/>
      <c r="AL43" s="49"/>
      <c r="AM43" s="50"/>
      <c r="AN43" s="49"/>
      <c r="AO43" s="50"/>
      <c r="AP43" s="49"/>
      <c r="AQ43" s="50"/>
      <c r="AR43" s="49"/>
      <c r="AS43" s="50"/>
      <c r="AT43" s="49"/>
      <c r="AU43" s="50"/>
      <c r="AV43" s="49" t="s">
        <v>5</v>
      </c>
      <c r="AW43" s="50" t="s">
        <v>448</v>
      </c>
      <c r="AX43" s="49"/>
      <c r="AY43" s="50"/>
      <c r="AZ43" s="49" t="s">
        <v>5</v>
      </c>
      <c r="BA43" s="50" t="s">
        <v>430</v>
      </c>
      <c r="BB43" s="49"/>
      <c r="BC43" s="50"/>
      <c r="BD43" s="49"/>
      <c r="BE43" s="50"/>
      <c r="BF43" s="49"/>
      <c r="BG43" s="50"/>
      <c r="BH43" s="49"/>
      <c r="BI43" s="50"/>
      <c r="BJ43" s="49" t="s">
        <v>5</v>
      </c>
      <c r="BK43" s="50" t="s">
        <v>430</v>
      </c>
      <c r="BL43" s="49"/>
      <c r="BM43" s="50"/>
      <c r="BN43" s="49"/>
      <c r="BO43" s="50"/>
      <c r="BP43" s="49"/>
      <c r="BQ43" s="50"/>
      <c r="BR43" s="49" t="s">
        <v>5</v>
      </c>
      <c r="BS43" s="50" t="s">
        <v>98</v>
      </c>
      <c r="BT43" s="49"/>
      <c r="BU43" s="50"/>
      <c r="BV43" s="49"/>
      <c r="BW43" s="50"/>
      <c r="BX43" s="49"/>
      <c r="BY43" s="50"/>
      <c r="BZ43" s="49"/>
      <c r="CA43" s="50"/>
    </row>
    <row r="44" spans="1:79" s="91" customFormat="1" x14ac:dyDescent="0.25">
      <c r="A44" s="76">
        <v>150929</v>
      </c>
      <c r="B44" s="77" t="s">
        <v>488</v>
      </c>
      <c r="C44" s="78" t="s">
        <v>464</v>
      </c>
      <c r="D44" s="76" t="s">
        <v>70</v>
      </c>
      <c r="E44" s="79" t="s">
        <v>14</v>
      </c>
      <c r="F44" s="79" t="s">
        <v>71</v>
      </c>
      <c r="G44" s="79" t="s">
        <v>14</v>
      </c>
      <c r="H44" s="78" t="s">
        <v>14</v>
      </c>
      <c r="I44" s="79" t="s">
        <v>14</v>
      </c>
      <c r="J44" s="80">
        <v>5</v>
      </c>
      <c r="K44" s="81">
        <v>1</v>
      </c>
      <c r="L44" s="82">
        <v>0</v>
      </c>
      <c r="M44" s="83">
        <v>0</v>
      </c>
      <c r="N44" s="84">
        <v>83.76</v>
      </c>
      <c r="O44" s="85">
        <v>0</v>
      </c>
      <c r="P44" s="86"/>
      <c r="Q44" s="87">
        <f t="shared" si="0"/>
        <v>1</v>
      </c>
      <c r="R44" s="88">
        <f t="shared" si="1"/>
        <v>3</v>
      </c>
      <c r="S44" s="89">
        <f t="shared" si="2"/>
        <v>0</v>
      </c>
      <c r="T44" s="89">
        <f t="shared" si="3"/>
        <v>0</v>
      </c>
      <c r="U44" s="89">
        <f t="shared" si="4"/>
        <v>0</v>
      </c>
      <c r="V44" s="89">
        <f t="shared" si="5"/>
        <v>0</v>
      </c>
      <c r="W44" s="89">
        <f t="shared" si="6"/>
        <v>0</v>
      </c>
      <c r="X44" s="89">
        <f t="shared" si="7"/>
        <v>0</v>
      </c>
      <c r="Y44" s="89">
        <f t="shared" si="8"/>
        <v>0</v>
      </c>
      <c r="Z44" s="89">
        <f t="shared" si="10"/>
        <v>0</v>
      </c>
      <c r="AA44" s="41">
        <f t="shared" si="11"/>
        <v>0</v>
      </c>
      <c r="AB44" s="49"/>
      <c r="AC44" s="50"/>
      <c r="AD44" s="49"/>
      <c r="AE44" s="50"/>
      <c r="AF44" s="49"/>
      <c r="AG44" s="50"/>
      <c r="AH44" s="49"/>
      <c r="AI44" s="50"/>
      <c r="AJ44" s="49"/>
      <c r="AK44" s="50"/>
      <c r="AL44" s="49"/>
      <c r="AM44" s="50"/>
      <c r="AN44" s="49"/>
      <c r="AO44" s="50"/>
      <c r="AP44" s="49"/>
      <c r="AQ44" s="50"/>
      <c r="AR44" s="49" t="s">
        <v>5</v>
      </c>
      <c r="AS44" s="50" t="s">
        <v>127</v>
      </c>
      <c r="AT44" s="49"/>
      <c r="AU44" s="50"/>
      <c r="AV44" s="49" t="s">
        <v>5</v>
      </c>
      <c r="AW44" s="50" t="s">
        <v>448</v>
      </c>
      <c r="AX44" s="49"/>
      <c r="AY44" s="50"/>
      <c r="AZ44" s="49"/>
      <c r="BA44" s="50"/>
      <c r="BB44" s="49"/>
      <c r="BC44" s="50"/>
      <c r="BD44" s="49"/>
      <c r="BE44" s="50"/>
      <c r="BF44" s="49"/>
      <c r="BG44" s="50"/>
      <c r="BH44" s="49"/>
      <c r="BI44" s="50"/>
      <c r="BJ44" s="49"/>
      <c r="BK44" s="50"/>
      <c r="BL44" s="49"/>
      <c r="BM44" s="50"/>
      <c r="BN44" s="49"/>
      <c r="BO44" s="50"/>
      <c r="BP44" s="49"/>
      <c r="BQ44" s="50"/>
      <c r="BR44" s="49"/>
      <c r="BS44" s="50"/>
      <c r="BT44" s="49"/>
      <c r="BU44" s="50"/>
      <c r="BV44" s="49" t="s">
        <v>5</v>
      </c>
      <c r="BW44" s="50" t="s">
        <v>425</v>
      </c>
      <c r="BX44" s="49" t="s">
        <v>1</v>
      </c>
      <c r="BY44" s="50" t="s">
        <v>462</v>
      </c>
      <c r="BZ44" s="49"/>
      <c r="CA44" s="50"/>
    </row>
    <row r="45" spans="1:79" s="91" customFormat="1" x14ac:dyDescent="0.25">
      <c r="A45" s="76">
        <v>160063</v>
      </c>
      <c r="B45" s="77" t="s">
        <v>489</v>
      </c>
      <c r="C45" s="78" t="s">
        <v>490</v>
      </c>
      <c r="D45" s="76" t="s">
        <v>12</v>
      </c>
      <c r="E45" s="79" t="s">
        <v>14</v>
      </c>
      <c r="F45" s="79" t="s">
        <v>71</v>
      </c>
      <c r="G45" s="79" t="s">
        <v>14</v>
      </c>
      <c r="H45" s="78" t="s">
        <v>14</v>
      </c>
      <c r="I45" s="79" t="s">
        <v>14</v>
      </c>
      <c r="J45" s="80">
        <v>6.9</v>
      </c>
      <c r="K45" s="81">
        <v>0</v>
      </c>
      <c r="L45" s="82">
        <v>0</v>
      </c>
      <c r="M45" s="83">
        <v>0</v>
      </c>
      <c r="N45" s="84">
        <v>95.76</v>
      </c>
      <c r="O45" s="85">
        <v>4</v>
      </c>
      <c r="P45" s="86"/>
      <c r="Q45" s="87">
        <f t="shared" si="0"/>
        <v>0</v>
      </c>
      <c r="R45" s="88">
        <f t="shared" si="1"/>
        <v>4</v>
      </c>
      <c r="S45" s="89">
        <f t="shared" si="2"/>
        <v>0</v>
      </c>
      <c r="T45" s="89">
        <f t="shared" si="3"/>
        <v>0</v>
      </c>
      <c r="U45" s="89">
        <f t="shared" si="4"/>
        <v>0</v>
      </c>
      <c r="V45" s="89">
        <f t="shared" si="5"/>
        <v>0</v>
      </c>
      <c r="W45" s="89">
        <f t="shared" si="6"/>
        <v>0</v>
      </c>
      <c r="X45" s="89">
        <f t="shared" si="7"/>
        <v>0</v>
      </c>
      <c r="Y45" s="89">
        <f t="shared" si="8"/>
        <v>0</v>
      </c>
      <c r="Z45" s="89">
        <f t="shared" si="10"/>
        <v>0</v>
      </c>
      <c r="AA45" s="41">
        <f t="shared" si="11"/>
        <v>0</v>
      </c>
      <c r="AB45" s="49"/>
      <c r="AC45" s="50"/>
      <c r="AD45" s="49"/>
      <c r="AE45" s="50"/>
      <c r="AF45" s="49"/>
      <c r="AG45" s="50"/>
      <c r="AH45" s="49"/>
      <c r="AI45" s="50"/>
      <c r="AJ45" s="49"/>
      <c r="AK45" s="50"/>
      <c r="AL45" s="49"/>
      <c r="AM45" s="50"/>
      <c r="AN45" s="49"/>
      <c r="AO45" s="50"/>
      <c r="AP45" s="49" t="s">
        <v>5</v>
      </c>
      <c r="AQ45" s="50" t="s">
        <v>428</v>
      </c>
      <c r="AR45" s="49"/>
      <c r="AS45" s="50"/>
      <c r="AT45" s="49"/>
      <c r="AU45" s="50"/>
      <c r="AV45" s="49" t="s">
        <v>5</v>
      </c>
      <c r="AW45" s="50" t="s">
        <v>459</v>
      </c>
      <c r="AX45" s="49"/>
      <c r="AY45" s="50"/>
      <c r="AZ45" s="49"/>
      <c r="BA45" s="50"/>
      <c r="BB45" s="49"/>
      <c r="BC45" s="50"/>
      <c r="BD45" s="49"/>
      <c r="BE45" s="50"/>
      <c r="BF45" s="49"/>
      <c r="BG45" s="50"/>
      <c r="BH45" s="49" t="s">
        <v>5</v>
      </c>
      <c r="BI45" s="50" t="s">
        <v>77</v>
      </c>
      <c r="BJ45" s="49" t="s">
        <v>5</v>
      </c>
      <c r="BK45" s="50" t="s">
        <v>422</v>
      </c>
      <c r="BL45" s="49"/>
      <c r="BM45" s="50"/>
      <c r="BN45" s="49"/>
      <c r="BO45" s="50"/>
      <c r="BP45" s="49"/>
      <c r="BQ45" s="50"/>
      <c r="BR45" s="49"/>
      <c r="BS45" s="50"/>
      <c r="BT45" s="49"/>
      <c r="BU45" s="50"/>
      <c r="BV45" s="49"/>
      <c r="BW45" s="50"/>
      <c r="BX45" s="49"/>
      <c r="BY45" s="50"/>
      <c r="BZ45" s="49"/>
      <c r="CA45" s="50"/>
    </row>
    <row r="46" spans="1:79" s="91" customFormat="1" x14ac:dyDescent="0.25">
      <c r="A46" s="76">
        <v>150975</v>
      </c>
      <c r="B46" s="77" t="s">
        <v>491</v>
      </c>
      <c r="C46" s="78" t="s">
        <v>464</v>
      </c>
      <c r="D46" s="76" t="s">
        <v>12</v>
      </c>
      <c r="E46" s="79" t="s">
        <v>14</v>
      </c>
      <c r="F46" s="79" t="s">
        <v>71</v>
      </c>
      <c r="G46" s="79" t="s">
        <v>14</v>
      </c>
      <c r="H46" s="78" t="s">
        <v>14</v>
      </c>
      <c r="I46" s="79" t="s">
        <v>14</v>
      </c>
      <c r="J46" s="80">
        <v>5.9</v>
      </c>
      <c r="K46" s="81">
        <v>0</v>
      </c>
      <c r="L46" s="82">
        <v>0</v>
      </c>
      <c r="M46" s="83">
        <v>0</v>
      </c>
      <c r="N46" s="84">
        <v>97.41</v>
      </c>
      <c r="O46" s="85">
        <v>0</v>
      </c>
      <c r="P46" s="86"/>
      <c r="Q46" s="87">
        <f t="shared" si="0"/>
        <v>2</v>
      </c>
      <c r="R46" s="88">
        <f t="shared" si="1"/>
        <v>2</v>
      </c>
      <c r="S46" s="89">
        <f t="shared" si="2"/>
        <v>0</v>
      </c>
      <c r="T46" s="89">
        <f t="shared" si="3"/>
        <v>0</v>
      </c>
      <c r="U46" s="89">
        <f t="shared" si="4"/>
        <v>0</v>
      </c>
      <c r="V46" s="89">
        <f t="shared" si="5"/>
        <v>0</v>
      </c>
      <c r="W46" s="89">
        <f t="shared" si="6"/>
        <v>0</v>
      </c>
      <c r="X46" s="89">
        <f t="shared" si="7"/>
        <v>0</v>
      </c>
      <c r="Y46" s="89">
        <f t="shared" si="8"/>
        <v>0</v>
      </c>
      <c r="Z46" s="89">
        <f t="shared" si="10"/>
        <v>0</v>
      </c>
      <c r="AA46" s="41">
        <f t="shared" si="11"/>
        <v>0</v>
      </c>
      <c r="AB46" s="49"/>
      <c r="AC46" s="50"/>
      <c r="AD46" s="49" t="s">
        <v>5</v>
      </c>
      <c r="AE46" s="50" t="s">
        <v>438</v>
      </c>
      <c r="AF46" s="49"/>
      <c r="AG46" s="50"/>
      <c r="AH46" s="49"/>
      <c r="AI46" s="50"/>
      <c r="AJ46" s="49"/>
      <c r="AK46" s="50"/>
      <c r="AL46" s="49"/>
      <c r="AM46" s="50"/>
      <c r="AN46" s="49"/>
      <c r="AO46" s="50"/>
      <c r="AP46" s="49"/>
      <c r="AQ46" s="50"/>
      <c r="AR46" s="49"/>
      <c r="AS46" s="50"/>
      <c r="AT46" s="49"/>
      <c r="AU46" s="50"/>
      <c r="AV46" s="49" t="s">
        <v>5</v>
      </c>
      <c r="AW46" s="50" t="s">
        <v>448</v>
      </c>
      <c r="AX46" s="49"/>
      <c r="AY46" s="50"/>
      <c r="AZ46" s="49"/>
      <c r="BA46" s="50"/>
      <c r="BB46" s="49"/>
      <c r="BC46" s="50"/>
      <c r="BD46" s="49"/>
      <c r="BE46" s="50"/>
      <c r="BF46" s="49"/>
      <c r="BG46" s="50"/>
      <c r="BH46" s="49"/>
      <c r="BI46" s="50"/>
      <c r="BJ46" s="49"/>
      <c r="BK46" s="50"/>
      <c r="BL46" s="49"/>
      <c r="BM46" s="50"/>
      <c r="BN46" s="49"/>
      <c r="BO46" s="50"/>
      <c r="BP46" s="49" t="s">
        <v>1</v>
      </c>
      <c r="BQ46" s="50" t="s">
        <v>81</v>
      </c>
      <c r="BR46" s="49"/>
      <c r="BS46" s="50"/>
      <c r="BT46" s="49"/>
      <c r="BU46" s="50"/>
      <c r="BV46" s="49" t="s">
        <v>1</v>
      </c>
      <c r="BW46" s="50" t="s">
        <v>425</v>
      </c>
      <c r="BX46" s="49"/>
      <c r="BY46" s="50"/>
      <c r="BZ46" s="49"/>
      <c r="CA46" s="50"/>
    </row>
    <row r="47" spans="1:79" s="91" customFormat="1" x14ac:dyDescent="0.25">
      <c r="A47" s="76">
        <v>150922</v>
      </c>
      <c r="B47" s="77" t="s">
        <v>492</v>
      </c>
      <c r="C47" s="78" t="s">
        <v>464</v>
      </c>
      <c r="D47" s="76" t="s">
        <v>70</v>
      </c>
      <c r="E47" s="79" t="s">
        <v>14</v>
      </c>
      <c r="F47" s="79" t="s">
        <v>71</v>
      </c>
      <c r="G47" s="79" t="s">
        <v>14</v>
      </c>
      <c r="H47" s="78" t="s">
        <v>14</v>
      </c>
      <c r="I47" s="79" t="s">
        <v>14</v>
      </c>
      <c r="J47" s="80">
        <v>6.4</v>
      </c>
      <c r="K47" s="81">
        <v>0</v>
      </c>
      <c r="L47" s="82">
        <v>0</v>
      </c>
      <c r="M47" s="83">
        <v>0</v>
      </c>
      <c r="N47" s="84">
        <v>97.2</v>
      </c>
      <c r="O47" s="85">
        <v>0</v>
      </c>
      <c r="P47" s="86"/>
      <c r="Q47" s="87">
        <f t="shared" si="0"/>
        <v>1</v>
      </c>
      <c r="R47" s="88">
        <f t="shared" si="1"/>
        <v>4</v>
      </c>
      <c r="S47" s="89">
        <f t="shared" si="2"/>
        <v>0</v>
      </c>
      <c r="T47" s="89">
        <f t="shared" si="3"/>
        <v>0</v>
      </c>
      <c r="U47" s="89">
        <f t="shared" si="4"/>
        <v>0</v>
      </c>
      <c r="V47" s="89">
        <f t="shared" si="5"/>
        <v>0</v>
      </c>
      <c r="W47" s="89">
        <f t="shared" si="6"/>
        <v>0</v>
      </c>
      <c r="X47" s="89">
        <f t="shared" si="7"/>
        <v>0</v>
      </c>
      <c r="Y47" s="89">
        <f t="shared" si="8"/>
        <v>0</v>
      </c>
      <c r="Z47" s="89">
        <f t="shared" si="10"/>
        <v>0</v>
      </c>
      <c r="AA47" s="41">
        <f t="shared" si="11"/>
        <v>0</v>
      </c>
      <c r="AB47" s="49"/>
      <c r="AC47" s="50"/>
      <c r="AD47" s="49" t="s">
        <v>5</v>
      </c>
      <c r="AE47" s="50" t="s">
        <v>133</v>
      </c>
      <c r="AF47" s="49"/>
      <c r="AG47" s="50"/>
      <c r="AH47" s="49"/>
      <c r="AI47" s="50"/>
      <c r="AJ47" s="49"/>
      <c r="AK47" s="50"/>
      <c r="AL47" s="49"/>
      <c r="AM47" s="50"/>
      <c r="AN47" s="49"/>
      <c r="AO47" s="50"/>
      <c r="AP47" s="49"/>
      <c r="AQ47" s="50"/>
      <c r="AR47" s="49"/>
      <c r="AS47" s="50"/>
      <c r="AT47" s="49" t="s">
        <v>5</v>
      </c>
      <c r="AU47" s="50" t="s">
        <v>478</v>
      </c>
      <c r="AV47" s="49" t="s">
        <v>5</v>
      </c>
      <c r="AW47" s="50" t="s">
        <v>448</v>
      </c>
      <c r="AX47" s="49"/>
      <c r="AY47" s="50"/>
      <c r="AZ47" s="49"/>
      <c r="BA47" s="50"/>
      <c r="BB47" s="49"/>
      <c r="BC47" s="50"/>
      <c r="BD47" s="49"/>
      <c r="BE47" s="50"/>
      <c r="BF47" s="49"/>
      <c r="BG47" s="50"/>
      <c r="BH47" s="49"/>
      <c r="BI47" s="50"/>
      <c r="BJ47" s="49"/>
      <c r="BK47" s="50"/>
      <c r="BL47" s="49"/>
      <c r="BM47" s="50"/>
      <c r="BN47" s="49" t="s">
        <v>5</v>
      </c>
      <c r="BO47" s="50" t="s">
        <v>122</v>
      </c>
      <c r="BP47" s="49" t="s">
        <v>1</v>
      </c>
      <c r="BQ47" s="50" t="s">
        <v>81</v>
      </c>
      <c r="BR47" s="49"/>
      <c r="BS47" s="50"/>
      <c r="BT47" s="49"/>
      <c r="BU47" s="50"/>
      <c r="BV47" s="49"/>
      <c r="BW47" s="50"/>
      <c r="BX47" s="49"/>
      <c r="BY47" s="50"/>
      <c r="BZ47" s="49"/>
      <c r="CA47" s="50"/>
    </row>
    <row r="48" spans="1:79" s="91" customFormat="1" x14ac:dyDescent="0.25">
      <c r="A48" s="76">
        <v>160047</v>
      </c>
      <c r="B48" s="77" t="s">
        <v>493</v>
      </c>
      <c r="C48" s="78" t="s">
        <v>452</v>
      </c>
      <c r="D48" s="76" t="s">
        <v>12</v>
      </c>
      <c r="E48" s="79" t="s">
        <v>14</v>
      </c>
      <c r="F48" s="79" t="s">
        <v>71</v>
      </c>
      <c r="G48" s="79" t="s">
        <v>14</v>
      </c>
      <c r="H48" s="78" t="s">
        <v>14</v>
      </c>
      <c r="I48" s="79" t="s">
        <v>14</v>
      </c>
      <c r="J48" s="80">
        <v>6.6</v>
      </c>
      <c r="K48" s="81">
        <v>2</v>
      </c>
      <c r="L48" s="82">
        <v>0</v>
      </c>
      <c r="M48" s="83">
        <v>0</v>
      </c>
      <c r="N48" s="84">
        <v>93.66</v>
      </c>
      <c r="O48" s="85">
        <v>0</v>
      </c>
      <c r="P48" s="86"/>
      <c r="Q48" s="87">
        <f t="shared" si="0"/>
        <v>0</v>
      </c>
      <c r="R48" s="88">
        <f t="shared" si="1"/>
        <v>5</v>
      </c>
      <c r="S48" s="89">
        <f t="shared" si="2"/>
        <v>0</v>
      </c>
      <c r="T48" s="89">
        <f t="shared" si="3"/>
        <v>0</v>
      </c>
      <c r="U48" s="89">
        <f t="shared" si="4"/>
        <v>0</v>
      </c>
      <c r="V48" s="89">
        <f t="shared" si="5"/>
        <v>0</v>
      </c>
      <c r="W48" s="89">
        <f t="shared" si="6"/>
        <v>0</v>
      </c>
      <c r="X48" s="89">
        <f t="shared" si="7"/>
        <v>0</v>
      </c>
      <c r="Y48" s="89">
        <f t="shared" si="8"/>
        <v>0</v>
      </c>
      <c r="Z48" s="89">
        <f t="shared" si="10"/>
        <v>0</v>
      </c>
      <c r="AA48" s="41">
        <f t="shared" si="11"/>
        <v>0</v>
      </c>
      <c r="AB48" s="49"/>
      <c r="AC48" s="50"/>
      <c r="AD48" s="49"/>
      <c r="AE48" s="50"/>
      <c r="AF48" s="49"/>
      <c r="AG48" s="50"/>
      <c r="AH48" s="49"/>
      <c r="AI48" s="50"/>
      <c r="AJ48" s="49" t="s">
        <v>5</v>
      </c>
      <c r="AK48" s="50" t="s">
        <v>163</v>
      </c>
      <c r="AL48" s="49"/>
      <c r="AM48" s="50"/>
      <c r="AN48" s="49"/>
      <c r="AO48" s="50"/>
      <c r="AP48" s="49"/>
      <c r="AQ48" s="50"/>
      <c r="AR48" s="49"/>
      <c r="AS48" s="50"/>
      <c r="AT48" s="49"/>
      <c r="AU48" s="50"/>
      <c r="AV48" s="49" t="s">
        <v>5</v>
      </c>
      <c r="AW48" s="50" t="s">
        <v>457</v>
      </c>
      <c r="AX48" s="49"/>
      <c r="AY48" s="50"/>
      <c r="AZ48" s="49" t="s">
        <v>5</v>
      </c>
      <c r="BA48" s="50" t="s">
        <v>430</v>
      </c>
      <c r="BB48" s="49"/>
      <c r="BC48" s="50"/>
      <c r="BD48" s="49"/>
      <c r="BE48" s="50"/>
      <c r="BF48" s="49"/>
      <c r="BG48" s="50"/>
      <c r="BH48" s="49"/>
      <c r="BI48" s="50"/>
      <c r="BJ48" s="49" t="s">
        <v>5</v>
      </c>
      <c r="BK48" s="50" t="s">
        <v>430</v>
      </c>
      <c r="BL48" s="49"/>
      <c r="BM48" s="50"/>
      <c r="BN48" s="49"/>
      <c r="BO48" s="50"/>
      <c r="BP48" s="49"/>
      <c r="BQ48" s="50"/>
      <c r="BR48" s="49" t="s">
        <v>5</v>
      </c>
      <c r="BS48" s="50" t="s">
        <v>98</v>
      </c>
      <c r="BT48" s="49"/>
      <c r="BU48" s="50"/>
      <c r="BV48" s="49"/>
      <c r="BW48" s="50"/>
      <c r="BX48" s="49"/>
      <c r="BY48" s="50"/>
      <c r="BZ48" s="49"/>
      <c r="CA48" s="50"/>
    </row>
    <row r="49" spans="1:79" s="91" customFormat="1" ht="30" x14ac:dyDescent="0.25">
      <c r="A49" s="76">
        <v>160042</v>
      </c>
      <c r="B49" s="77" t="s">
        <v>494</v>
      </c>
      <c r="C49" s="78" t="s">
        <v>466</v>
      </c>
      <c r="D49" s="76" t="s">
        <v>70</v>
      </c>
      <c r="E49" s="79" t="s">
        <v>14</v>
      </c>
      <c r="F49" s="79" t="s">
        <v>71</v>
      </c>
      <c r="G49" s="79" t="s">
        <v>14</v>
      </c>
      <c r="H49" s="78" t="s">
        <v>14</v>
      </c>
      <c r="I49" s="79" t="s">
        <v>14</v>
      </c>
      <c r="J49" s="80">
        <v>6</v>
      </c>
      <c r="K49" s="81">
        <v>2</v>
      </c>
      <c r="L49" s="82">
        <v>0</v>
      </c>
      <c r="M49" s="83">
        <v>0</v>
      </c>
      <c r="N49" s="84">
        <v>81.25</v>
      </c>
      <c r="O49" s="85">
        <v>1</v>
      </c>
      <c r="P49" s="86"/>
      <c r="Q49" s="87">
        <f t="shared" si="0"/>
        <v>0</v>
      </c>
      <c r="R49" s="88">
        <f t="shared" si="1"/>
        <v>4</v>
      </c>
      <c r="S49" s="89">
        <f t="shared" si="2"/>
        <v>0</v>
      </c>
      <c r="T49" s="89">
        <f t="shared" si="3"/>
        <v>0</v>
      </c>
      <c r="U49" s="89">
        <f t="shared" si="4"/>
        <v>0</v>
      </c>
      <c r="V49" s="89">
        <f t="shared" si="5"/>
        <v>0</v>
      </c>
      <c r="W49" s="89">
        <f t="shared" si="6"/>
        <v>0</v>
      </c>
      <c r="X49" s="89">
        <f t="shared" si="7"/>
        <v>0</v>
      </c>
      <c r="Y49" s="89">
        <f t="shared" si="8"/>
        <v>0</v>
      </c>
      <c r="Z49" s="89">
        <f t="shared" si="10"/>
        <v>0</v>
      </c>
      <c r="AA49" s="41">
        <f t="shared" si="11"/>
        <v>0</v>
      </c>
      <c r="AB49" s="49"/>
      <c r="AC49" s="50"/>
      <c r="AD49" s="49"/>
      <c r="AE49" s="50"/>
      <c r="AF49" s="49"/>
      <c r="AG49" s="50"/>
      <c r="AH49" s="49"/>
      <c r="AI49" s="50"/>
      <c r="AJ49" s="49"/>
      <c r="AK49" s="50"/>
      <c r="AL49" s="49"/>
      <c r="AM49" s="50"/>
      <c r="AN49" s="49"/>
      <c r="AO49" s="50"/>
      <c r="AP49" s="49"/>
      <c r="AQ49" s="50"/>
      <c r="AR49" s="49" t="s">
        <v>5</v>
      </c>
      <c r="AS49" s="50" t="s">
        <v>459</v>
      </c>
      <c r="AT49" s="49"/>
      <c r="AU49" s="50"/>
      <c r="AV49" s="49" t="s">
        <v>5</v>
      </c>
      <c r="AW49" s="50" t="s">
        <v>457</v>
      </c>
      <c r="AX49" s="49"/>
      <c r="AY49" s="50"/>
      <c r="AZ49" s="49"/>
      <c r="BA49" s="50"/>
      <c r="BB49" s="49"/>
      <c r="BC49" s="50"/>
      <c r="BD49" s="49"/>
      <c r="BE49" s="50"/>
      <c r="BF49" s="49"/>
      <c r="BG49" s="50"/>
      <c r="BH49" s="49" t="s">
        <v>5</v>
      </c>
      <c r="BI49" s="50" t="s">
        <v>77</v>
      </c>
      <c r="BJ49" s="49"/>
      <c r="BK49" s="50"/>
      <c r="BL49" s="49"/>
      <c r="BM49" s="50"/>
      <c r="BN49" s="49" t="s">
        <v>5</v>
      </c>
      <c r="BO49" s="50" t="s">
        <v>495</v>
      </c>
      <c r="BP49" s="49"/>
      <c r="BQ49" s="50"/>
      <c r="BR49" s="49"/>
      <c r="BS49" s="50"/>
      <c r="BT49" s="49"/>
      <c r="BU49" s="50"/>
      <c r="BV49" s="49"/>
      <c r="BW49" s="50"/>
      <c r="BX49" s="49"/>
      <c r="BY49" s="50"/>
      <c r="BZ49" s="49"/>
      <c r="CA49" s="50"/>
    </row>
    <row r="50" spans="1:79" s="91" customFormat="1" x14ac:dyDescent="0.25">
      <c r="A50" s="76">
        <v>160121</v>
      </c>
      <c r="B50" s="77" t="s">
        <v>496</v>
      </c>
      <c r="C50" s="78" t="s">
        <v>497</v>
      </c>
      <c r="D50" s="76" t="s">
        <v>70</v>
      </c>
      <c r="E50" s="79" t="s">
        <v>87</v>
      </c>
      <c r="F50" s="79" t="s">
        <v>312</v>
      </c>
      <c r="G50" s="79" t="s">
        <v>14</v>
      </c>
      <c r="H50" s="78" t="s">
        <v>14</v>
      </c>
      <c r="I50" s="79" t="s">
        <v>14</v>
      </c>
      <c r="J50" s="80">
        <v>7.8</v>
      </c>
      <c r="K50" s="81">
        <v>1</v>
      </c>
      <c r="L50" s="82">
        <v>0</v>
      </c>
      <c r="M50" s="83">
        <v>0</v>
      </c>
      <c r="N50" s="84">
        <v>98.48</v>
      </c>
      <c r="O50" s="85">
        <v>1</v>
      </c>
      <c r="P50" s="86"/>
      <c r="Q50" s="87">
        <f t="shared" si="0"/>
        <v>0</v>
      </c>
      <c r="R50" s="88">
        <f t="shared" si="1"/>
        <v>5</v>
      </c>
      <c r="S50" s="89">
        <f t="shared" si="2"/>
        <v>0</v>
      </c>
      <c r="T50" s="89">
        <f t="shared" si="3"/>
        <v>0</v>
      </c>
      <c r="U50" s="89">
        <f t="shared" si="4"/>
        <v>0</v>
      </c>
      <c r="V50" s="89">
        <f t="shared" si="5"/>
        <v>0</v>
      </c>
      <c r="W50" s="89">
        <f t="shared" si="6"/>
        <v>0</v>
      </c>
      <c r="X50" s="89">
        <f t="shared" si="7"/>
        <v>0</v>
      </c>
      <c r="Y50" s="89">
        <f t="shared" si="8"/>
        <v>0</v>
      </c>
      <c r="Z50" s="89">
        <f t="shared" si="10"/>
        <v>0</v>
      </c>
      <c r="AA50" s="41">
        <f t="shared" si="11"/>
        <v>0</v>
      </c>
      <c r="AB50" s="49"/>
      <c r="AC50" s="50"/>
      <c r="AD50" s="49" t="s">
        <v>5</v>
      </c>
      <c r="AE50" s="50" t="s">
        <v>433</v>
      </c>
      <c r="AF50" s="49"/>
      <c r="AG50" s="50"/>
      <c r="AH50" s="49" t="s">
        <v>5</v>
      </c>
      <c r="AI50" s="50" t="s">
        <v>419</v>
      </c>
      <c r="AJ50" s="49"/>
      <c r="AK50" s="50"/>
      <c r="AL50" s="49"/>
      <c r="AM50" s="50"/>
      <c r="AN50" s="49"/>
      <c r="AO50" s="50"/>
      <c r="AP50" s="49"/>
      <c r="AQ50" s="50"/>
      <c r="AR50" s="49"/>
      <c r="AS50" s="50"/>
      <c r="AT50" s="49"/>
      <c r="AU50" s="50"/>
      <c r="AV50" s="49" t="s">
        <v>5</v>
      </c>
      <c r="AW50" s="50" t="s">
        <v>476</v>
      </c>
      <c r="AX50" s="49"/>
      <c r="AY50" s="50"/>
      <c r="AZ50" s="49"/>
      <c r="BA50" s="50"/>
      <c r="BB50" s="49"/>
      <c r="BC50" s="50"/>
      <c r="BD50" s="49"/>
      <c r="BE50" s="50"/>
      <c r="BF50" s="49"/>
      <c r="BG50" s="50"/>
      <c r="BH50" s="49"/>
      <c r="BI50" s="50"/>
      <c r="BJ50" s="49" t="s">
        <v>5</v>
      </c>
      <c r="BK50" s="50" t="s">
        <v>430</v>
      </c>
      <c r="BL50" s="49"/>
      <c r="BM50" s="50"/>
      <c r="BN50" s="49"/>
      <c r="BO50" s="50"/>
      <c r="BP50" s="49"/>
      <c r="BQ50" s="50"/>
      <c r="BR50" s="49"/>
      <c r="BS50" s="50"/>
      <c r="BT50" s="49"/>
      <c r="BU50" s="50"/>
      <c r="BV50" s="49" t="s">
        <v>5</v>
      </c>
      <c r="BW50" s="50" t="s">
        <v>425</v>
      </c>
      <c r="BX50" s="49"/>
      <c r="BY50" s="50"/>
      <c r="BZ50" s="49"/>
      <c r="CA50" s="50"/>
    </row>
    <row r="51" spans="1:79" s="91" customFormat="1" x14ac:dyDescent="0.25">
      <c r="A51" s="76">
        <v>160114</v>
      </c>
      <c r="B51" s="77" t="s">
        <v>498</v>
      </c>
      <c r="C51" s="78" t="s">
        <v>464</v>
      </c>
      <c r="D51" s="76" t="s">
        <v>12</v>
      </c>
      <c r="E51" s="79" t="s">
        <v>14</v>
      </c>
      <c r="F51" s="79" t="s">
        <v>71</v>
      </c>
      <c r="G51" s="79" t="s">
        <v>14</v>
      </c>
      <c r="H51" s="78" t="s">
        <v>14</v>
      </c>
      <c r="I51" s="79" t="s">
        <v>14</v>
      </c>
      <c r="J51" s="80">
        <v>7.6</v>
      </c>
      <c r="K51" s="81">
        <v>0</v>
      </c>
      <c r="L51" s="82">
        <v>0</v>
      </c>
      <c r="M51" s="83">
        <v>1</v>
      </c>
      <c r="N51" s="84">
        <v>100</v>
      </c>
      <c r="O51" s="85">
        <v>1</v>
      </c>
      <c r="P51" s="86"/>
      <c r="Q51" s="87">
        <f t="shared" si="0"/>
        <v>0</v>
      </c>
      <c r="R51" s="88">
        <f t="shared" si="1"/>
        <v>3</v>
      </c>
      <c r="S51" s="89">
        <f t="shared" si="2"/>
        <v>0</v>
      </c>
      <c r="T51" s="89">
        <f t="shared" si="3"/>
        <v>0</v>
      </c>
      <c r="U51" s="89">
        <f t="shared" si="4"/>
        <v>1</v>
      </c>
      <c r="V51" s="89">
        <f t="shared" si="5"/>
        <v>1</v>
      </c>
      <c r="W51" s="89">
        <f t="shared" si="6"/>
        <v>0</v>
      </c>
      <c r="X51" s="89">
        <f t="shared" si="7"/>
        <v>0</v>
      </c>
      <c r="Y51" s="89">
        <f t="shared" si="8"/>
        <v>0</v>
      </c>
      <c r="Z51" s="89">
        <f t="shared" si="10"/>
        <v>0</v>
      </c>
      <c r="AA51" s="41">
        <f t="shared" si="11"/>
        <v>0</v>
      </c>
      <c r="AB51" s="49"/>
      <c r="AC51" s="50"/>
      <c r="AD51" s="49"/>
      <c r="AE51" s="50"/>
      <c r="AF51" s="49"/>
      <c r="AG51" s="50"/>
      <c r="AH51" s="49" t="s">
        <v>32</v>
      </c>
      <c r="AI51" s="50" t="s">
        <v>206</v>
      </c>
      <c r="AJ51" s="49"/>
      <c r="AK51" s="50"/>
      <c r="AL51" s="49"/>
      <c r="AM51" s="50"/>
      <c r="AN51" s="49"/>
      <c r="AO51" s="50"/>
      <c r="AP51" s="49"/>
      <c r="AQ51" s="50"/>
      <c r="AR51" s="49"/>
      <c r="AS51" s="50"/>
      <c r="AT51" s="49"/>
      <c r="AU51" s="50"/>
      <c r="AV51" s="49" t="s">
        <v>5</v>
      </c>
      <c r="AW51" s="50" t="s">
        <v>448</v>
      </c>
      <c r="AX51" s="49"/>
      <c r="AY51" s="50"/>
      <c r="AZ51" s="49"/>
      <c r="BA51" s="50"/>
      <c r="BB51" s="49"/>
      <c r="BC51" s="50"/>
      <c r="BD51" s="49"/>
      <c r="BE51" s="50"/>
      <c r="BF51" s="49"/>
      <c r="BG51" s="50"/>
      <c r="BH51" s="49"/>
      <c r="BI51" s="50"/>
      <c r="BJ51" s="49" t="s">
        <v>5</v>
      </c>
      <c r="BK51" s="50" t="s">
        <v>422</v>
      </c>
      <c r="BL51" s="49"/>
      <c r="BM51" s="50"/>
      <c r="BN51" s="49"/>
      <c r="BO51" s="50"/>
      <c r="BP51" s="49"/>
      <c r="BQ51" s="50"/>
      <c r="BR51" s="49" t="s">
        <v>5</v>
      </c>
      <c r="BS51" s="50" t="s">
        <v>98</v>
      </c>
      <c r="BT51" s="49"/>
      <c r="BU51" s="50"/>
      <c r="BV51" s="49"/>
      <c r="BW51" s="50"/>
      <c r="BX51" s="49"/>
      <c r="BY51" s="50"/>
      <c r="BZ51" s="49"/>
      <c r="CA51" s="50"/>
    </row>
    <row r="52" spans="1:79" s="91" customFormat="1" x14ac:dyDescent="0.25">
      <c r="A52" s="76">
        <v>150849</v>
      </c>
      <c r="B52" s="77" t="s">
        <v>499</v>
      </c>
      <c r="C52" s="78" t="s">
        <v>464</v>
      </c>
      <c r="D52" s="76" t="s">
        <v>12</v>
      </c>
      <c r="E52" s="79" t="s">
        <v>14</v>
      </c>
      <c r="F52" s="79" t="s">
        <v>71</v>
      </c>
      <c r="G52" s="79" t="s">
        <v>14</v>
      </c>
      <c r="H52" s="78" t="s">
        <v>14</v>
      </c>
      <c r="I52" s="79" t="s">
        <v>14</v>
      </c>
      <c r="J52" s="80">
        <v>7.9</v>
      </c>
      <c r="K52" s="81">
        <v>1</v>
      </c>
      <c r="L52" s="82">
        <v>0</v>
      </c>
      <c r="M52" s="83">
        <v>0</v>
      </c>
      <c r="N52" s="84">
        <v>100</v>
      </c>
      <c r="O52" s="85">
        <v>0</v>
      </c>
      <c r="P52" s="86"/>
      <c r="Q52" s="87">
        <f t="shared" si="0"/>
        <v>1</v>
      </c>
      <c r="R52" s="88">
        <f t="shared" si="1"/>
        <v>4</v>
      </c>
      <c r="S52" s="89">
        <f t="shared" si="2"/>
        <v>0</v>
      </c>
      <c r="T52" s="89">
        <f t="shared" si="3"/>
        <v>0</v>
      </c>
      <c r="U52" s="89">
        <f t="shared" si="4"/>
        <v>0</v>
      </c>
      <c r="V52" s="89">
        <f t="shared" si="5"/>
        <v>0</v>
      </c>
      <c r="W52" s="89">
        <f t="shared" si="6"/>
        <v>0</v>
      </c>
      <c r="X52" s="89">
        <f t="shared" si="7"/>
        <v>0</v>
      </c>
      <c r="Y52" s="89">
        <f t="shared" si="8"/>
        <v>0</v>
      </c>
      <c r="Z52" s="89">
        <f t="shared" si="10"/>
        <v>0</v>
      </c>
      <c r="AA52" s="41">
        <f t="shared" si="11"/>
        <v>0</v>
      </c>
      <c r="AB52" s="49"/>
      <c r="AC52" s="50"/>
      <c r="AD52" s="49"/>
      <c r="AE52" s="50"/>
      <c r="AF52" s="49"/>
      <c r="AG52" s="50"/>
      <c r="AH52" s="49"/>
      <c r="AI52" s="50"/>
      <c r="AJ52" s="49"/>
      <c r="AK52" s="50"/>
      <c r="AL52" s="49"/>
      <c r="AM52" s="50"/>
      <c r="AN52" s="49"/>
      <c r="AO52" s="50"/>
      <c r="AP52" s="49"/>
      <c r="AQ52" s="50"/>
      <c r="AR52" s="49"/>
      <c r="AS52" s="50"/>
      <c r="AT52" s="49" t="s">
        <v>5</v>
      </c>
      <c r="AU52" s="50" t="s">
        <v>448</v>
      </c>
      <c r="AV52" s="49" t="s">
        <v>5</v>
      </c>
      <c r="AW52" s="50" t="s">
        <v>448</v>
      </c>
      <c r="AX52" s="49"/>
      <c r="AY52" s="50"/>
      <c r="AZ52" s="49"/>
      <c r="BA52" s="50"/>
      <c r="BB52" s="49"/>
      <c r="BC52" s="50"/>
      <c r="BD52" s="49"/>
      <c r="BE52" s="50"/>
      <c r="BF52" s="49"/>
      <c r="BG52" s="50"/>
      <c r="BH52" s="49"/>
      <c r="BI52" s="50"/>
      <c r="BJ52" s="49"/>
      <c r="BK52" s="50"/>
      <c r="BL52" s="49"/>
      <c r="BM52" s="50"/>
      <c r="BN52" s="49" t="s">
        <v>1</v>
      </c>
      <c r="BO52" s="50" t="s">
        <v>122</v>
      </c>
      <c r="BP52" s="49"/>
      <c r="BQ52" s="50"/>
      <c r="BR52" s="49" t="s">
        <v>5</v>
      </c>
      <c r="BS52" s="50" t="s">
        <v>109</v>
      </c>
      <c r="BT52" s="49" t="s">
        <v>5</v>
      </c>
      <c r="BU52" s="50" t="s">
        <v>93</v>
      </c>
      <c r="BV52" s="49"/>
      <c r="BW52" s="50"/>
      <c r="BX52" s="49"/>
      <c r="BY52" s="50"/>
      <c r="BZ52" s="49"/>
      <c r="CA52" s="50"/>
    </row>
    <row r="53" spans="1:79" s="91" customFormat="1" x14ac:dyDescent="0.25">
      <c r="A53" s="76">
        <v>160058</v>
      </c>
      <c r="B53" s="77" t="s">
        <v>500</v>
      </c>
      <c r="C53" s="78" t="s">
        <v>501</v>
      </c>
      <c r="D53" s="76" t="s">
        <v>12</v>
      </c>
      <c r="E53" s="79" t="s">
        <v>14</v>
      </c>
      <c r="F53" s="79" t="s">
        <v>71</v>
      </c>
      <c r="G53" s="79" t="s">
        <v>14</v>
      </c>
      <c r="H53" s="78" t="s">
        <v>14</v>
      </c>
      <c r="I53" s="79" t="s">
        <v>14</v>
      </c>
      <c r="J53" s="80">
        <v>5.9</v>
      </c>
      <c r="K53" s="81">
        <v>4</v>
      </c>
      <c r="L53" s="82">
        <v>0</v>
      </c>
      <c r="M53" s="83">
        <v>0</v>
      </c>
      <c r="N53" s="84">
        <v>93.91</v>
      </c>
      <c r="O53" s="85">
        <v>1</v>
      </c>
      <c r="P53" s="86"/>
      <c r="Q53" s="87">
        <f t="shared" si="0"/>
        <v>1</v>
      </c>
      <c r="R53" s="88">
        <f t="shared" si="1"/>
        <v>3</v>
      </c>
      <c r="S53" s="89">
        <f t="shared" si="2"/>
        <v>0</v>
      </c>
      <c r="T53" s="89">
        <f t="shared" si="3"/>
        <v>0</v>
      </c>
      <c r="U53" s="89">
        <f t="shared" si="4"/>
        <v>0</v>
      </c>
      <c r="V53" s="89">
        <f t="shared" si="5"/>
        <v>0</v>
      </c>
      <c r="W53" s="89">
        <f t="shared" si="6"/>
        <v>0</v>
      </c>
      <c r="X53" s="89">
        <f t="shared" si="7"/>
        <v>0</v>
      </c>
      <c r="Y53" s="89">
        <f t="shared" si="8"/>
        <v>0</v>
      </c>
      <c r="Z53" s="89">
        <f t="shared" si="10"/>
        <v>0</v>
      </c>
      <c r="AA53" s="41">
        <f t="shared" si="11"/>
        <v>0</v>
      </c>
      <c r="AB53" s="49"/>
      <c r="AC53" s="50"/>
      <c r="AD53" s="49"/>
      <c r="AE53" s="50"/>
      <c r="AF53" s="49"/>
      <c r="AG53" s="50"/>
      <c r="AH53" s="49"/>
      <c r="AI53" s="50"/>
      <c r="AJ53" s="49"/>
      <c r="AK53" s="50"/>
      <c r="AL53" s="49"/>
      <c r="AM53" s="50"/>
      <c r="AN53" s="49"/>
      <c r="AO53" s="50"/>
      <c r="AP53" s="49"/>
      <c r="AQ53" s="50"/>
      <c r="AR53" s="49" t="s">
        <v>5</v>
      </c>
      <c r="AS53" s="50" t="s">
        <v>459</v>
      </c>
      <c r="AT53" s="49"/>
      <c r="AU53" s="50"/>
      <c r="AV53" s="49" t="s">
        <v>5</v>
      </c>
      <c r="AW53" s="50" t="s">
        <v>457</v>
      </c>
      <c r="AX53" s="49"/>
      <c r="AY53" s="50"/>
      <c r="AZ53" s="49"/>
      <c r="BA53" s="50"/>
      <c r="BB53" s="49"/>
      <c r="BC53" s="50"/>
      <c r="BD53" s="49"/>
      <c r="BE53" s="50"/>
      <c r="BF53" s="49"/>
      <c r="BG53" s="50"/>
      <c r="BH53" s="49" t="s">
        <v>1</v>
      </c>
      <c r="BI53" s="50" t="s">
        <v>77</v>
      </c>
      <c r="BJ53" s="49"/>
      <c r="BK53" s="50"/>
      <c r="BL53" s="49"/>
      <c r="BM53" s="50"/>
      <c r="BN53" s="49"/>
      <c r="BO53" s="50"/>
      <c r="BP53" s="49"/>
      <c r="BQ53" s="50"/>
      <c r="BR53" s="49"/>
      <c r="BS53" s="50"/>
      <c r="BT53" s="49" t="s">
        <v>5</v>
      </c>
      <c r="BU53" s="50" t="s">
        <v>93</v>
      </c>
      <c r="BV53" s="49"/>
      <c r="BW53" s="50"/>
      <c r="BX53" s="49"/>
      <c r="BY53" s="50"/>
      <c r="BZ53" s="49"/>
      <c r="CA53" s="50"/>
    </row>
    <row r="54" spans="1:79" s="91" customFormat="1" x14ac:dyDescent="0.25">
      <c r="A54" s="76">
        <v>150886</v>
      </c>
      <c r="B54" s="77" t="s">
        <v>502</v>
      </c>
      <c r="C54" s="78" t="s">
        <v>464</v>
      </c>
      <c r="D54" s="76" t="s">
        <v>12</v>
      </c>
      <c r="E54" s="79" t="s">
        <v>14</v>
      </c>
      <c r="F54" s="77" t="s">
        <v>503</v>
      </c>
      <c r="G54" s="79" t="s">
        <v>14</v>
      </c>
      <c r="H54" s="78" t="s">
        <v>14</v>
      </c>
      <c r="I54" s="79" t="s">
        <v>14</v>
      </c>
      <c r="J54" s="80">
        <v>6</v>
      </c>
      <c r="K54" s="81">
        <v>0</v>
      </c>
      <c r="L54" s="82">
        <v>0</v>
      </c>
      <c r="M54" s="83">
        <v>0</v>
      </c>
      <c r="N54" s="84">
        <v>92.98</v>
      </c>
      <c r="O54" s="85">
        <v>1</v>
      </c>
      <c r="P54" s="86"/>
      <c r="Q54" s="87">
        <f t="shared" si="0"/>
        <v>0</v>
      </c>
      <c r="R54" s="88">
        <f t="shared" si="1"/>
        <v>4</v>
      </c>
      <c r="S54" s="89">
        <f t="shared" si="2"/>
        <v>0</v>
      </c>
      <c r="T54" s="89">
        <f t="shared" si="3"/>
        <v>0</v>
      </c>
      <c r="U54" s="89">
        <f t="shared" si="4"/>
        <v>0</v>
      </c>
      <c r="V54" s="89">
        <f t="shared" si="5"/>
        <v>0</v>
      </c>
      <c r="W54" s="89">
        <f t="shared" si="6"/>
        <v>0</v>
      </c>
      <c r="X54" s="89">
        <f t="shared" si="7"/>
        <v>0</v>
      </c>
      <c r="Y54" s="89">
        <f t="shared" si="8"/>
        <v>0</v>
      </c>
      <c r="Z54" s="89">
        <f t="shared" si="10"/>
        <v>0</v>
      </c>
      <c r="AA54" s="41">
        <f t="shared" si="11"/>
        <v>0</v>
      </c>
      <c r="AB54" s="49"/>
      <c r="AC54" s="50"/>
      <c r="AD54" s="49"/>
      <c r="AE54" s="50"/>
      <c r="AF54" s="49"/>
      <c r="AG54" s="50"/>
      <c r="AH54" s="49"/>
      <c r="AI54" s="50"/>
      <c r="AJ54" s="49" t="s">
        <v>5</v>
      </c>
      <c r="AK54" s="50" t="s">
        <v>163</v>
      </c>
      <c r="AL54" s="49"/>
      <c r="AM54" s="50"/>
      <c r="AN54" s="49"/>
      <c r="AO54" s="50"/>
      <c r="AP54" s="49"/>
      <c r="AQ54" s="50"/>
      <c r="AR54" s="49"/>
      <c r="AS54" s="50"/>
      <c r="AT54" s="49"/>
      <c r="AU54" s="50"/>
      <c r="AV54" s="49" t="s">
        <v>5</v>
      </c>
      <c r="AW54" s="50" t="s">
        <v>448</v>
      </c>
      <c r="AX54" s="49"/>
      <c r="AY54" s="50"/>
      <c r="AZ54" s="49"/>
      <c r="BA54" s="50"/>
      <c r="BB54" s="49"/>
      <c r="BC54" s="50"/>
      <c r="BD54" s="49"/>
      <c r="BE54" s="50"/>
      <c r="BF54" s="49"/>
      <c r="BG54" s="50"/>
      <c r="BH54" s="49"/>
      <c r="BI54" s="50"/>
      <c r="BJ54" s="49" t="s">
        <v>5</v>
      </c>
      <c r="BK54" s="50" t="s">
        <v>422</v>
      </c>
      <c r="BL54" s="49"/>
      <c r="BM54" s="50"/>
      <c r="BN54" s="49"/>
      <c r="BO54" s="50"/>
      <c r="BP54" s="49"/>
      <c r="BQ54" s="50"/>
      <c r="BR54" s="49" t="s">
        <v>5</v>
      </c>
      <c r="BS54" s="50" t="s">
        <v>98</v>
      </c>
      <c r="BT54" s="49"/>
      <c r="BU54" s="50"/>
      <c r="BV54" s="49"/>
      <c r="BW54" s="50"/>
      <c r="BX54" s="49"/>
      <c r="BY54" s="50"/>
      <c r="BZ54" s="49"/>
      <c r="CA54" s="50"/>
    </row>
    <row r="55" spans="1:79" s="91" customFormat="1" x14ac:dyDescent="0.25">
      <c r="A55" s="76">
        <v>150873</v>
      </c>
      <c r="B55" s="77" t="s">
        <v>504</v>
      </c>
      <c r="C55" s="78" t="s">
        <v>464</v>
      </c>
      <c r="D55" s="76" t="s">
        <v>70</v>
      </c>
      <c r="E55" s="79" t="s">
        <v>14</v>
      </c>
      <c r="F55" s="79" t="s">
        <v>158</v>
      </c>
      <c r="G55" s="79" t="s">
        <v>14</v>
      </c>
      <c r="H55" s="78" t="s">
        <v>14</v>
      </c>
      <c r="I55" s="79" t="s">
        <v>14</v>
      </c>
      <c r="J55" s="80">
        <v>3.5</v>
      </c>
      <c r="K55" s="81">
        <v>0</v>
      </c>
      <c r="L55" s="82">
        <v>0</v>
      </c>
      <c r="M55" s="83">
        <v>0</v>
      </c>
      <c r="N55" s="84">
        <v>99.19</v>
      </c>
      <c r="O55" s="85">
        <v>0</v>
      </c>
      <c r="P55" s="86"/>
      <c r="Q55" s="87">
        <f t="shared" si="0"/>
        <v>3</v>
      </c>
      <c r="R55" s="88">
        <f t="shared" si="1"/>
        <v>1</v>
      </c>
      <c r="S55" s="89">
        <f t="shared" si="2"/>
        <v>0</v>
      </c>
      <c r="T55" s="89">
        <f t="shared" si="3"/>
        <v>0</v>
      </c>
      <c r="U55" s="89">
        <f t="shared" si="4"/>
        <v>0</v>
      </c>
      <c r="V55" s="89">
        <f t="shared" si="5"/>
        <v>0</v>
      </c>
      <c r="W55" s="89">
        <f t="shared" si="6"/>
        <v>0</v>
      </c>
      <c r="X55" s="89">
        <f t="shared" si="7"/>
        <v>0</v>
      </c>
      <c r="Y55" s="89">
        <f t="shared" si="8"/>
        <v>0</v>
      </c>
      <c r="Z55" s="89">
        <f t="shared" si="10"/>
        <v>0</v>
      </c>
      <c r="AA55" s="41">
        <f t="shared" si="11"/>
        <v>0</v>
      </c>
      <c r="AB55" s="49"/>
      <c r="AC55" s="50"/>
      <c r="AD55" s="49"/>
      <c r="AE55" s="50"/>
      <c r="AF55" s="49"/>
      <c r="AG55" s="50"/>
      <c r="AH55" s="49"/>
      <c r="AI55" s="50"/>
      <c r="AJ55" s="49"/>
      <c r="AK55" s="50"/>
      <c r="AL55" s="49"/>
      <c r="AM55" s="50"/>
      <c r="AN55" s="49"/>
      <c r="AO55" s="50"/>
      <c r="AP55" s="49"/>
      <c r="AQ55" s="50"/>
      <c r="AR55" s="49"/>
      <c r="AS55" s="50"/>
      <c r="AT55" s="49"/>
      <c r="AU55" s="50"/>
      <c r="AV55" s="49" t="s">
        <v>5</v>
      </c>
      <c r="AW55" s="50" t="s">
        <v>505</v>
      </c>
      <c r="AX55" s="49"/>
      <c r="AY55" s="50"/>
      <c r="AZ55" s="49"/>
      <c r="BA55" s="50"/>
      <c r="BB55" s="49"/>
      <c r="BC55" s="50"/>
      <c r="BD55" s="49" t="s">
        <v>1</v>
      </c>
      <c r="BE55" s="50" t="s">
        <v>436</v>
      </c>
      <c r="BF55" s="49" t="s">
        <v>1</v>
      </c>
      <c r="BG55" s="50" t="s">
        <v>436</v>
      </c>
      <c r="BH55" s="49"/>
      <c r="BI55" s="50"/>
      <c r="BJ55" s="49"/>
      <c r="BK55" s="50"/>
      <c r="BL55" s="49"/>
      <c r="BM55" s="50"/>
      <c r="BN55" s="49"/>
      <c r="BO55" s="50"/>
      <c r="BP55" s="49"/>
      <c r="BQ55" s="50"/>
      <c r="BR55" s="49"/>
      <c r="BS55" s="50"/>
      <c r="BT55" s="49"/>
      <c r="BU55" s="50"/>
      <c r="BV55" s="49"/>
      <c r="BW55" s="50"/>
      <c r="BX55" s="49" t="s">
        <v>1</v>
      </c>
      <c r="BY55" s="50" t="s">
        <v>462</v>
      </c>
      <c r="BZ55" s="49"/>
      <c r="CA55" s="50"/>
    </row>
    <row r="56" spans="1:79" s="91" customFormat="1" x14ac:dyDescent="0.25">
      <c r="A56" s="76">
        <v>150837</v>
      </c>
      <c r="B56" s="77" t="s">
        <v>506</v>
      </c>
      <c r="C56" s="78" t="s">
        <v>440</v>
      </c>
      <c r="D56" s="76" t="s">
        <v>12</v>
      </c>
      <c r="E56" s="79" t="s">
        <v>14</v>
      </c>
      <c r="F56" s="79" t="s">
        <v>71</v>
      </c>
      <c r="G56" s="79" t="s">
        <v>14</v>
      </c>
      <c r="H56" s="78" t="s">
        <v>14</v>
      </c>
      <c r="I56" s="79" t="s">
        <v>14</v>
      </c>
      <c r="J56" s="80">
        <v>8</v>
      </c>
      <c r="K56" s="81">
        <v>2</v>
      </c>
      <c r="L56" s="82">
        <v>0</v>
      </c>
      <c r="M56" s="83">
        <v>0</v>
      </c>
      <c r="N56" s="84">
        <v>100</v>
      </c>
      <c r="O56" s="85">
        <v>0</v>
      </c>
      <c r="P56" s="86"/>
      <c r="Q56" s="87">
        <f t="shared" si="0"/>
        <v>0</v>
      </c>
      <c r="R56" s="88">
        <f t="shared" si="1"/>
        <v>4</v>
      </c>
      <c r="S56" s="89">
        <f t="shared" si="2"/>
        <v>0</v>
      </c>
      <c r="T56" s="89">
        <f t="shared" si="3"/>
        <v>0</v>
      </c>
      <c r="U56" s="89">
        <f t="shared" si="4"/>
        <v>0</v>
      </c>
      <c r="V56" s="89">
        <f t="shared" si="5"/>
        <v>0</v>
      </c>
      <c r="W56" s="89">
        <f t="shared" si="6"/>
        <v>0</v>
      </c>
      <c r="X56" s="89">
        <f t="shared" si="7"/>
        <v>0</v>
      </c>
      <c r="Y56" s="89">
        <f t="shared" si="8"/>
        <v>0</v>
      </c>
      <c r="Z56" s="89">
        <f t="shared" si="10"/>
        <v>0</v>
      </c>
      <c r="AA56" s="41">
        <f t="shared" si="11"/>
        <v>0</v>
      </c>
      <c r="AB56" s="49"/>
      <c r="AC56" s="50"/>
      <c r="AD56" s="49"/>
      <c r="AE56" s="50"/>
      <c r="AF56" s="49"/>
      <c r="AG56" s="50"/>
      <c r="AH56" s="49"/>
      <c r="AI56" s="50"/>
      <c r="AJ56" s="49"/>
      <c r="AK56" s="50"/>
      <c r="AL56" s="49"/>
      <c r="AM56" s="50"/>
      <c r="AN56" s="49"/>
      <c r="AO56" s="50"/>
      <c r="AP56" s="49"/>
      <c r="AQ56" s="50"/>
      <c r="AR56" s="49"/>
      <c r="AS56" s="50"/>
      <c r="AT56" s="49"/>
      <c r="AU56" s="50"/>
      <c r="AV56" s="49" t="s">
        <v>5</v>
      </c>
      <c r="AW56" s="50" t="s">
        <v>457</v>
      </c>
      <c r="AX56" s="49"/>
      <c r="AY56" s="50"/>
      <c r="AZ56" s="49" t="s">
        <v>5</v>
      </c>
      <c r="BA56" s="50" t="s">
        <v>430</v>
      </c>
      <c r="BB56" s="49"/>
      <c r="BC56" s="50"/>
      <c r="BD56" s="49"/>
      <c r="BE56" s="50"/>
      <c r="BF56" s="49"/>
      <c r="BG56" s="50"/>
      <c r="BH56" s="49"/>
      <c r="BI56" s="50"/>
      <c r="BJ56" s="49" t="s">
        <v>5</v>
      </c>
      <c r="BK56" s="50" t="s">
        <v>430</v>
      </c>
      <c r="BL56" s="49"/>
      <c r="BM56" s="50"/>
      <c r="BN56" s="49"/>
      <c r="BO56" s="50"/>
      <c r="BP56" s="49"/>
      <c r="BQ56" s="50"/>
      <c r="BR56" s="49" t="s">
        <v>5</v>
      </c>
      <c r="BS56" s="50" t="s">
        <v>98</v>
      </c>
      <c r="BT56" s="49"/>
      <c r="BU56" s="50"/>
      <c r="BV56" s="49"/>
      <c r="BW56" s="50"/>
      <c r="BX56" s="49"/>
      <c r="BY56" s="50"/>
      <c r="BZ56" s="49"/>
      <c r="CA56" s="50"/>
    </row>
    <row r="57" spans="1:79" s="91" customFormat="1" x14ac:dyDescent="0.25">
      <c r="A57" s="76">
        <v>150913</v>
      </c>
      <c r="B57" s="77" t="s">
        <v>507</v>
      </c>
      <c r="C57" s="78" t="s">
        <v>464</v>
      </c>
      <c r="D57" s="76" t="s">
        <v>70</v>
      </c>
      <c r="E57" s="79" t="s">
        <v>14</v>
      </c>
      <c r="F57" s="79" t="s">
        <v>508</v>
      </c>
      <c r="G57" s="79" t="s">
        <v>14</v>
      </c>
      <c r="H57" s="78" t="s">
        <v>14</v>
      </c>
      <c r="I57" s="79" t="s">
        <v>14</v>
      </c>
      <c r="J57" s="80">
        <v>6.6</v>
      </c>
      <c r="K57" s="81">
        <v>0</v>
      </c>
      <c r="L57" s="82">
        <v>0</v>
      </c>
      <c r="M57" s="83">
        <v>0</v>
      </c>
      <c r="N57" s="84">
        <v>99.1</v>
      </c>
      <c r="O57" s="85">
        <v>0</v>
      </c>
      <c r="P57" s="86"/>
      <c r="Q57" s="87">
        <f t="shared" si="0"/>
        <v>0</v>
      </c>
      <c r="R57" s="88">
        <f t="shared" si="1"/>
        <v>4</v>
      </c>
      <c r="S57" s="89">
        <f t="shared" si="2"/>
        <v>0</v>
      </c>
      <c r="T57" s="89">
        <f t="shared" si="3"/>
        <v>0</v>
      </c>
      <c r="U57" s="89">
        <f t="shared" si="4"/>
        <v>0</v>
      </c>
      <c r="V57" s="89">
        <f t="shared" si="5"/>
        <v>0</v>
      </c>
      <c r="W57" s="89">
        <f t="shared" si="6"/>
        <v>0</v>
      </c>
      <c r="X57" s="89">
        <f t="shared" si="7"/>
        <v>0</v>
      </c>
      <c r="Y57" s="89">
        <f t="shared" si="8"/>
        <v>0</v>
      </c>
      <c r="Z57" s="89">
        <f t="shared" si="10"/>
        <v>0</v>
      </c>
      <c r="AA57" s="41">
        <f t="shared" si="11"/>
        <v>0</v>
      </c>
      <c r="AB57" s="49"/>
      <c r="AC57" s="50"/>
      <c r="AD57" s="49" t="s">
        <v>5</v>
      </c>
      <c r="AE57" s="50" t="s">
        <v>133</v>
      </c>
      <c r="AF57" s="49"/>
      <c r="AG57" s="50"/>
      <c r="AH57" s="49" t="s">
        <v>5</v>
      </c>
      <c r="AI57" s="50" t="s">
        <v>424</v>
      </c>
      <c r="AJ57" s="49"/>
      <c r="AK57" s="50"/>
      <c r="AL57" s="49"/>
      <c r="AM57" s="50"/>
      <c r="AN57" s="49"/>
      <c r="AO57" s="50"/>
      <c r="AP57" s="49"/>
      <c r="AQ57" s="50"/>
      <c r="AR57" s="49"/>
      <c r="AS57" s="50"/>
      <c r="AT57" s="49"/>
      <c r="AU57" s="50"/>
      <c r="AV57" s="49" t="s">
        <v>5</v>
      </c>
      <c r="AW57" s="50" t="s">
        <v>448</v>
      </c>
      <c r="AX57" s="49"/>
      <c r="AY57" s="50"/>
      <c r="AZ57" s="49"/>
      <c r="BA57" s="50"/>
      <c r="BB57" s="49"/>
      <c r="BC57" s="50"/>
      <c r="BD57" s="49"/>
      <c r="BE57" s="50"/>
      <c r="BF57" s="49"/>
      <c r="BG57" s="50"/>
      <c r="BH57" s="49"/>
      <c r="BI57" s="50"/>
      <c r="BJ57" s="49"/>
      <c r="BK57" s="50"/>
      <c r="BL57" s="49"/>
      <c r="BM57" s="50"/>
      <c r="BN57" s="49"/>
      <c r="BO57" s="50"/>
      <c r="BP57" s="49"/>
      <c r="BQ57" s="50"/>
      <c r="BR57" s="49"/>
      <c r="BS57" s="50"/>
      <c r="BT57" s="49"/>
      <c r="BU57" s="50"/>
      <c r="BV57" s="49" t="s">
        <v>5</v>
      </c>
      <c r="BW57" s="50" t="s">
        <v>425</v>
      </c>
      <c r="BX57" s="49"/>
      <c r="BY57" s="50"/>
      <c r="BZ57" s="49"/>
      <c r="CA57" s="50"/>
    </row>
    <row r="58" spans="1:79" s="91" customFormat="1" x14ac:dyDescent="0.25">
      <c r="A58" s="76">
        <v>150852</v>
      </c>
      <c r="B58" s="77" t="s">
        <v>509</v>
      </c>
      <c r="C58" s="78" t="s">
        <v>432</v>
      </c>
      <c r="D58" s="76" t="s">
        <v>70</v>
      </c>
      <c r="E58" s="79" t="s">
        <v>14</v>
      </c>
      <c r="F58" s="79" t="s">
        <v>220</v>
      </c>
      <c r="G58" s="79" t="s">
        <v>14</v>
      </c>
      <c r="H58" s="78" t="s">
        <v>14</v>
      </c>
      <c r="I58" s="79" t="s">
        <v>14</v>
      </c>
      <c r="J58" s="80">
        <v>6</v>
      </c>
      <c r="K58" s="81">
        <v>3</v>
      </c>
      <c r="L58" s="82">
        <v>0</v>
      </c>
      <c r="M58" s="83">
        <v>0</v>
      </c>
      <c r="N58" s="84">
        <v>100</v>
      </c>
      <c r="O58" s="85">
        <v>0</v>
      </c>
      <c r="P58" s="86"/>
      <c r="Q58" s="87">
        <f t="shared" si="0"/>
        <v>0</v>
      </c>
      <c r="R58" s="88">
        <f t="shared" si="1"/>
        <v>4</v>
      </c>
      <c r="S58" s="89">
        <f t="shared" si="2"/>
        <v>0</v>
      </c>
      <c r="T58" s="89">
        <f t="shared" si="3"/>
        <v>0</v>
      </c>
      <c r="U58" s="89">
        <f t="shared" si="4"/>
        <v>0</v>
      </c>
      <c r="V58" s="89">
        <f t="shared" si="5"/>
        <v>0</v>
      </c>
      <c r="W58" s="89">
        <f t="shared" si="6"/>
        <v>0</v>
      </c>
      <c r="X58" s="89">
        <f t="shared" si="7"/>
        <v>0</v>
      </c>
      <c r="Y58" s="89">
        <f t="shared" si="8"/>
        <v>0</v>
      </c>
      <c r="Z58" s="89">
        <f t="shared" si="10"/>
        <v>0</v>
      </c>
      <c r="AA58" s="41">
        <f t="shared" si="11"/>
        <v>0</v>
      </c>
      <c r="AB58" s="49"/>
      <c r="AC58" s="50"/>
      <c r="AD58" s="49" t="s">
        <v>5</v>
      </c>
      <c r="AE58" s="50" t="s">
        <v>154</v>
      </c>
      <c r="AF58" s="49"/>
      <c r="AG58" s="50"/>
      <c r="AH58" s="49" t="s">
        <v>5</v>
      </c>
      <c r="AI58" s="50" t="s">
        <v>419</v>
      </c>
      <c r="AJ58" s="49"/>
      <c r="AK58" s="50"/>
      <c r="AL58" s="49"/>
      <c r="AM58" s="50"/>
      <c r="AN58" s="49"/>
      <c r="AO58" s="50"/>
      <c r="AP58" s="49"/>
      <c r="AQ58" s="50"/>
      <c r="AR58" s="49"/>
      <c r="AS58" s="50"/>
      <c r="AT58" s="49"/>
      <c r="AU58" s="50"/>
      <c r="AV58" s="49" t="s">
        <v>5</v>
      </c>
      <c r="AW58" s="50" t="s">
        <v>457</v>
      </c>
      <c r="AX58" s="49"/>
      <c r="AY58" s="50"/>
      <c r="AZ58" s="49"/>
      <c r="BA58" s="50"/>
      <c r="BB58" s="49"/>
      <c r="BC58" s="50"/>
      <c r="BD58" s="49"/>
      <c r="BE58" s="50"/>
      <c r="BF58" s="49"/>
      <c r="BG58" s="50"/>
      <c r="BH58" s="49"/>
      <c r="BI58" s="50"/>
      <c r="BJ58" s="49" t="s">
        <v>5</v>
      </c>
      <c r="BK58" s="50" t="s">
        <v>430</v>
      </c>
      <c r="BL58" s="49"/>
      <c r="BM58" s="50"/>
      <c r="BN58" s="49"/>
      <c r="BO58" s="50"/>
      <c r="BP58" s="49"/>
      <c r="BQ58" s="50"/>
      <c r="BR58" s="49"/>
      <c r="BS58" s="50"/>
      <c r="BT58" s="49"/>
      <c r="BU58" s="50"/>
      <c r="BV58" s="49"/>
      <c r="BW58" s="50"/>
      <c r="BX58" s="49"/>
      <c r="BY58" s="50"/>
      <c r="BZ58" s="49"/>
      <c r="CA58" s="50"/>
    </row>
    <row r="59" spans="1:79" s="91" customFormat="1" x14ac:dyDescent="0.25">
      <c r="A59" s="76">
        <v>100349</v>
      </c>
      <c r="B59" s="77" t="s">
        <v>510</v>
      </c>
      <c r="C59" s="78" t="s">
        <v>440</v>
      </c>
      <c r="D59" s="76" t="s">
        <v>70</v>
      </c>
      <c r="E59" s="79" t="s">
        <v>14</v>
      </c>
      <c r="F59" s="79" t="s">
        <v>71</v>
      </c>
      <c r="G59" s="79" t="s">
        <v>14</v>
      </c>
      <c r="H59" s="78" t="s">
        <v>14</v>
      </c>
      <c r="I59" s="79" t="s">
        <v>14</v>
      </c>
      <c r="J59" s="80">
        <v>6.4</v>
      </c>
      <c r="K59" s="81">
        <v>0</v>
      </c>
      <c r="L59" s="82">
        <v>0</v>
      </c>
      <c r="M59" s="83">
        <v>0</v>
      </c>
      <c r="N59" s="84">
        <v>94.64</v>
      </c>
      <c r="O59" s="85">
        <v>3</v>
      </c>
      <c r="P59" s="86"/>
      <c r="Q59" s="87">
        <f t="shared" si="0"/>
        <v>2</v>
      </c>
      <c r="R59" s="88">
        <f t="shared" si="1"/>
        <v>2</v>
      </c>
      <c r="S59" s="89">
        <f t="shared" si="2"/>
        <v>0</v>
      </c>
      <c r="T59" s="89">
        <f t="shared" si="3"/>
        <v>0</v>
      </c>
      <c r="U59" s="89">
        <f t="shared" si="4"/>
        <v>0</v>
      </c>
      <c r="V59" s="89">
        <f t="shared" si="5"/>
        <v>0</v>
      </c>
      <c r="W59" s="89">
        <f t="shared" si="6"/>
        <v>0</v>
      </c>
      <c r="X59" s="89">
        <f t="shared" si="7"/>
        <v>0</v>
      </c>
      <c r="Y59" s="89">
        <f t="shared" si="8"/>
        <v>0</v>
      </c>
      <c r="Z59" s="89">
        <f t="shared" si="10"/>
        <v>0</v>
      </c>
      <c r="AA59" s="41">
        <f t="shared" si="11"/>
        <v>0</v>
      </c>
      <c r="AB59" s="49"/>
      <c r="AC59" s="50"/>
      <c r="AD59" s="49"/>
      <c r="AE59" s="50"/>
      <c r="AF59" s="49"/>
      <c r="AG59" s="50"/>
      <c r="AH59" s="49"/>
      <c r="AI59" s="50"/>
      <c r="AJ59" s="49"/>
      <c r="AK59" s="50"/>
      <c r="AL59" s="49"/>
      <c r="AM59" s="50"/>
      <c r="AN59" s="49"/>
      <c r="AO59" s="50"/>
      <c r="AP59" s="49" t="s">
        <v>1</v>
      </c>
      <c r="AQ59" s="50" t="s">
        <v>428</v>
      </c>
      <c r="AR59" s="49" t="s">
        <v>5</v>
      </c>
      <c r="AS59" s="50" t="s">
        <v>459</v>
      </c>
      <c r="AT59" s="49"/>
      <c r="AU59" s="50"/>
      <c r="AV59" s="49" t="s">
        <v>5</v>
      </c>
      <c r="AW59" s="50" t="s">
        <v>428</v>
      </c>
      <c r="AX59" s="49"/>
      <c r="AY59" s="50"/>
      <c r="AZ59" s="49"/>
      <c r="BA59" s="50"/>
      <c r="BB59" s="49"/>
      <c r="BC59" s="50"/>
      <c r="BD59" s="49"/>
      <c r="BE59" s="50"/>
      <c r="BF59" s="49"/>
      <c r="BG59" s="50"/>
      <c r="BH59" s="49"/>
      <c r="BI59" s="50"/>
      <c r="BJ59" s="49"/>
      <c r="BK59" s="50"/>
      <c r="BL59" s="49"/>
      <c r="BM59" s="50"/>
      <c r="BN59" s="49"/>
      <c r="BO59" s="50"/>
      <c r="BP59" s="49"/>
      <c r="BQ59" s="50"/>
      <c r="BR59" s="49"/>
      <c r="BS59" s="50"/>
      <c r="BT59" s="49"/>
      <c r="BU59" s="50"/>
      <c r="BV59" s="49"/>
      <c r="BW59" s="50"/>
      <c r="BX59" s="49" t="s">
        <v>1</v>
      </c>
      <c r="BY59" s="50" t="s">
        <v>462</v>
      </c>
      <c r="BZ59" s="49"/>
      <c r="CA59" s="50"/>
    </row>
    <row r="60" spans="1:79" s="91" customFormat="1" x14ac:dyDescent="0.25">
      <c r="A60" s="76">
        <v>152117</v>
      </c>
      <c r="B60" s="77" t="s">
        <v>511</v>
      </c>
      <c r="C60" s="78" t="s">
        <v>452</v>
      </c>
      <c r="D60" s="76" t="s">
        <v>70</v>
      </c>
      <c r="E60" s="79" t="s">
        <v>14</v>
      </c>
      <c r="F60" s="79" t="s">
        <v>71</v>
      </c>
      <c r="G60" s="79" t="s">
        <v>14</v>
      </c>
      <c r="H60" s="78" t="s">
        <v>14</v>
      </c>
      <c r="I60" s="79" t="s">
        <v>14</v>
      </c>
      <c r="J60" s="80" t="s">
        <v>1406</v>
      </c>
      <c r="K60" s="81">
        <v>7</v>
      </c>
      <c r="L60" s="82">
        <v>1</v>
      </c>
      <c r="M60" s="83">
        <v>2</v>
      </c>
      <c r="N60" s="84">
        <v>96.46</v>
      </c>
      <c r="O60" s="85">
        <v>0</v>
      </c>
      <c r="P60" s="86"/>
      <c r="Q60" s="87">
        <f t="shared" si="0"/>
        <v>0</v>
      </c>
      <c r="R60" s="88">
        <f t="shared" si="1"/>
        <v>1</v>
      </c>
      <c r="S60" s="89">
        <f t="shared" si="2"/>
        <v>2</v>
      </c>
      <c r="T60" s="89">
        <f t="shared" si="3"/>
        <v>0</v>
      </c>
      <c r="U60" s="89">
        <f t="shared" si="4"/>
        <v>0</v>
      </c>
      <c r="V60" s="89">
        <f t="shared" si="5"/>
        <v>2</v>
      </c>
      <c r="W60" s="89">
        <f t="shared" si="6"/>
        <v>1</v>
      </c>
      <c r="X60" s="89">
        <f t="shared" si="7"/>
        <v>0</v>
      </c>
      <c r="Y60" s="89">
        <f t="shared" si="8"/>
        <v>0</v>
      </c>
      <c r="Z60" s="89">
        <f t="shared" si="10"/>
        <v>1</v>
      </c>
      <c r="AA60" s="41">
        <f t="shared" si="11"/>
        <v>0</v>
      </c>
      <c r="AB60" s="49"/>
      <c r="AC60" s="50"/>
      <c r="AD60" s="49" t="s">
        <v>512</v>
      </c>
      <c r="AE60" s="50"/>
      <c r="AF60" s="49"/>
      <c r="AG60" s="50"/>
      <c r="AH60" s="49"/>
      <c r="AI60" s="50"/>
      <c r="AJ60" s="49"/>
      <c r="AK60" s="50"/>
      <c r="AL60" s="49"/>
      <c r="AM60" s="50"/>
      <c r="AN60" s="49"/>
      <c r="AO60" s="50"/>
      <c r="AP60" s="49"/>
      <c r="AQ60" s="50"/>
      <c r="AR60" s="49" t="s">
        <v>30</v>
      </c>
      <c r="AS60" s="50" t="s">
        <v>127</v>
      </c>
      <c r="AT60" s="49"/>
      <c r="AU60" s="50"/>
      <c r="AV60" s="49" t="s">
        <v>5</v>
      </c>
      <c r="AW60" s="50" t="s">
        <v>457</v>
      </c>
      <c r="AX60" s="49" t="s">
        <v>34</v>
      </c>
      <c r="AY60" s="50" t="s">
        <v>421</v>
      </c>
      <c r="AZ60" s="49"/>
      <c r="BA60" s="50"/>
      <c r="BB60" s="49"/>
      <c r="BC60" s="50"/>
      <c r="BD60" s="49"/>
      <c r="BE60" s="50"/>
      <c r="BF60" s="49"/>
      <c r="BG60" s="50"/>
      <c r="BH60" s="49" t="s">
        <v>30</v>
      </c>
      <c r="BI60" s="50" t="s">
        <v>77</v>
      </c>
      <c r="BJ60" s="49"/>
      <c r="BK60" s="50"/>
      <c r="BL60" s="49"/>
      <c r="BM60" s="50"/>
      <c r="BN60" s="49"/>
      <c r="BO60" s="50"/>
      <c r="BP60" s="49"/>
      <c r="BQ60" s="50"/>
      <c r="BR60" s="49"/>
      <c r="BS60" s="50"/>
      <c r="BT60" s="49"/>
      <c r="BU60" s="50"/>
      <c r="BV60" s="49"/>
      <c r="BW60" s="50"/>
      <c r="BX60" s="49"/>
      <c r="BY60" s="50"/>
      <c r="BZ60" s="49"/>
      <c r="CA60" s="50"/>
    </row>
    <row r="61" spans="1:79" s="91" customFormat="1" x14ac:dyDescent="0.25">
      <c r="A61" s="76">
        <v>150885</v>
      </c>
      <c r="B61" s="77" t="s">
        <v>513</v>
      </c>
      <c r="C61" s="78" t="s">
        <v>440</v>
      </c>
      <c r="D61" s="76" t="s">
        <v>12</v>
      </c>
      <c r="E61" s="79" t="s">
        <v>14</v>
      </c>
      <c r="F61" s="79" t="s">
        <v>88</v>
      </c>
      <c r="G61" s="79" t="s">
        <v>14</v>
      </c>
      <c r="H61" s="78" t="s">
        <v>14</v>
      </c>
      <c r="I61" s="79" t="s">
        <v>14</v>
      </c>
      <c r="J61" s="80">
        <v>4.5999999999999996</v>
      </c>
      <c r="K61" s="81">
        <v>1</v>
      </c>
      <c r="L61" s="82">
        <v>2</v>
      </c>
      <c r="M61" s="83">
        <v>1</v>
      </c>
      <c r="N61" s="84">
        <v>97.46</v>
      </c>
      <c r="O61" s="85">
        <v>1</v>
      </c>
      <c r="P61" s="86"/>
      <c r="Q61" s="87">
        <f t="shared" si="0"/>
        <v>0</v>
      </c>
      <c r="R61" s="88">
        <f t="shared" si="1"/>
        <v>3</v>
      </c>
      <c r="S61" s="89">
        <f t="shared" si="2"/>
        <v>1</v>
      </c>
      <c r="T61" s="89">
        <f t="shared" si="3"/>
        <v>0</v>
      </c>
      <c r="U61" s="89">
        <f t="shared" si="4"/>
        <v>0</v>
      </c>
      <c r="V61" s="89">
        <f t="shared" si="5"/>
        <v>1</v>
      </c>
      <c r="W61" s="89">
        <f t="shared" si="6"/>
        <v>0</v>
      </c>
      <c r="X61" s="89">
        <f t="shared" si="7"/>
        <v>0</v>
      </c>
      <c r="Y61" s="89">
        <f t="shared" si="8"/>
        <v>0</v>
      </c>
      <c r="Z61" s="89">
        <f t="shared" si="10"/>
        <v>0</v>
      </c>
      <c r="AA61" s="41">
        <f t="shared" si="11"/>
        <v>0</v>
      </c>
      <c r="AB61" s="49"/>
      <c r="AC61" s="50"/>
      <c r="AD61" s="49"/>
      <c r="AE61" s="50"/>
      <c r="AF61" s="49" t="s">
        <v>5</v>
      </c>
      <c r="AG61" s="50" t="s">
        <v>427</v>
      </c>
      <c r="AH61" s="49"/>
      <c r="AI61" s="50"/>
      <c r="AJ61" s="49"/>
      <c r="AK61" s="50"/>
      <c r="AL61" s="49"/>
      <c r="AM61" s="50"/>
      <c r="AN61" s="49"/>
      <c r="AO61" s="50"/>
      <c r="AP61" s="49"/>
      <c r="AQ61" s="50"/>
      <c r="AR61" s="49"/>
      <c r="AS61" s="50"/>
      <c r="AT61" s="49"/>
      <c r="AU61" s="50"/>
      <c r="AV61" s="49" t="s">
        <v>5</v>
      </c>
      <c r="AW61" s="50" t="s">
        <v>428</v>
      </c>
      <c r="AX61" s="49"/>
      <c r="AY61" s="50"/>
      <c r="AZ61" s="49"/>
      <c r="BA61" s="50"/>
      <c r="BB61" s="49"/>
      <c r="BC61" s="50"/>
      <c r="BD61" s="49"/>
      <c r="BE61" s="50"/>
      <c r="BF61" s="49"/>
      <c r="BG61" s="50"/>
      <c r="BH61" s="49"/>
      <c r="BI61" s="50"/>
      <c r="BJ61" s="49"/>
      <c r="BK61" s="50"/>
      <c r="BL61" s="49"/>
      <c r="BM61" s="50"/>
      <c r="BN61" s="49" t="s">
        <v>30</v>
      </c>
      <c r="BO61" s="50" t="s">
        <v>82</v>
      </c>
      <c r="BP61" s="49"/>
      <c r="BQ61" s="50"/>
      <c r="BR61" s="49"/>
      <c r="BS61" s="50"/>
      <c r="BT61" s="49"/>
      <c r="BU61" s="50"/>
      <c r="BV61" s="49" t="s">
        <v>5</v>
      </c>
      <c r="BW61" s="50" t="s">
        <v>436</v>
      </c>
      <c r="BX61" s="49"/>
      <c r="BY61" s="50"/>
      <c r="BZ61" s="49"/>
      <c r="CA61" s="50"/>
    </row>
    <row r="62" spans="1:79" s="91" customFormat="1" x14ac:dyDescent="0.25">
      <c r="A62" s="76">
        <v>150819</v>
      </c>
      <c r="B62" s="77" t="s">
        <v>514</v>
      </c>
      <c r="C62" s="78" t="s">
        <v>440</v>
      </c>
      <c r="D62" s="76" t="s">
        <v>70</v>
      </c>
      <c r="E62" s="79" t="s">
        <v>14</v>
      </c>
      <c r="F62" s="79" t="s">
        <v>71</v>
      </c>
      <c r="G62" s="79" t="s">
        <v>14</v>
      </c>
      <c r="H62" s="78" t="s">
        <v>14</v>
      </c>
      <c r="I62" s="79" t="s">
        <v>14</v>
      </c>
      <c r="J62" s="80">
        <v>6</v>
      </c>
      <c r="K62" s="81">
        <v>1</v>
      </c>
      <c r="L62" s="82">
        <v>0</v>
      </c>
      <c r="M62" s="83">
        <v>0</v>
      </c>
      <c r="N62" s="84">
        <v>98.33</v>
      </c>
      <c r="O62" s="85">
        <v>0</v>
      </c>
      <c r="P62" s="86"/>
      <c r="Q62" s="87">
        <f t="shared" si="0"/>
        <v>1</v>
      </c>
      <c r="R62" s="88">
        <f t="shared" si="1"/>
        <v>3</v>
      </c>
      <c r="S62" s="89">
        <f t="shared" si="2"/>
        <v>0</v>
      </c>
      <c r="T62" s="89">
        <f t="shared" si="3"/>
        <v>0</v>
      </c>
      <c r="U62" s="89">
        <f t="shared" si="4"/>
        <v>0</v>
      </c>
      <c r="V62" s="89">
        <f t="shared" si="5"/>
        <v>0</v>
      </c>
      <c r="W62" s="89">
        <f t="shared" si="6"/>
        <v>0</v>
      </c>
      <c r="X62" s="89">
        <f t="shared" si="7"/>
        <v>0</v>
      </c>
      <c r="Y62" s="89">
        <f t="shared" si="8"/>
        <v>0</v>
      </c>
      <c r="Z62" s="89">
        <f t="shared" si="10"/>
        <v>0</v>
      </c>
      <c r="AA62" s="41">
        <f t="shared" si="11"/>
        <v>0</v>
      </c>
      <c r="AB62" s="49"/>
      <c r="AC62" s="50"/>
      <c r="AD62" s="49"/>
      <c r="AE62" s="50"/>
      <c r="AF62" s="49"/>
      <c r="AG62" s="50"/>
      <c r="AH62" s="49"/>
      <c r="AI62" s="50"/>
      <c r="AJ62" s="49"/>
      <c r="AK62" s="50"/>
      <c r="AL62" s="49"/>
      <c r="AM62" s="50"/>
      <c r="AN62" s="49"/>
      <c r="AO62" s="50"/>
      <c r="AP62" s="49"/>
      <c r="AQ62" s="50"/>
      <c r="AR62" s="49"/>
      <c r="AS62" s="50"/>
      <c r="AT62" s="49"/>
      <c r="AU62" s="50"/>
      <c r="AV62" s="49" t="s">
        <v>5</v>
      </c>
      <c r="AW62" s="50" t="s">
        <v>428</v>
      </c>
      <c r="AX62" s="49"/>
      <c r="AY62" s="50"/>
      <c r="AZ62" s="49"/>
      <c r="BA62" s="50"/>
      <c r="BB62" s="49"/>
      <c r="BC62" s="50"/>
      <c r="BD62" s="49"/>
      <c r="BE62" s="50"/>
      <c r="BF62" s="49"/>
      <c r="BG62" s="50"/>
      <c r="BH62" s="49"/>
      <c r="BI62" s="50"/>
      <c r="BJ62" s="49"/>
      <c r="BK62" s="50"/>
      <c r="BL62" s="49"/>
      <c r="BM62" s="50"/>
      <c r="BN62" s="49" t="s">
        <v>5</v>
      </c>
      <c r="BO62" s="50" t="s">
        <v>122</v>
      </c>
      <c r="BP62" s="49"/>
      <c r="BQ62" s="50"/>
      <c r="BR62" s="49"/>
      <c r="BS62" s="50"/>
      <c r="BT62" s="49"/>
      <c r="BU62" s="50"/>
      <c r="BV62" s="49" t="s">
        <v>5</v>
      </c>
      <c r="BW62" s="50" t="s">
        <v>425</v>
      </c>
      <c r="BX62" s="49" t="s">
        <v>1</v>
      </c>
      <c r="BY62" s="50" t="s">
        <v>462</v>
      </c>
      <c r="BZ62" s="49"/>
      <c r="CA62" s="50"/>
    </row>
    <row r="63" spans="1:79" s="91" customFormat="1" x14ac:dyDescent="0.25">
      <c r="A63" s="76">
        <v>160100</v>
      </c>
      <c r="B63" s="77" t="s">
        <v>515</v>
      </c>
      <c r="C63" s="78" t="s">
        <v>432</v>
      </c>
      <c r="D63" s="76" t="s">
        <v>12</v>
      </c>
      <c r="E63" s="79" t="s">
        <v>14</v>
      </c>
      <c r="F63" s="77" t="s">
        <v>503</v>
      </c>
      <c r="G63" s="79" t="s">
        <v>14</v>
      </c>
      <c r="H63" s="78" t="s">
        <v>14</v>
      </c>
      <c r="I63" s="79" t="s">
        <v>14</v>
      </c>
      <c r="J63" s="80">
        <v>5.3</v>
      </c>
      <c r="K63" s="81">
        <v>1</v>
      </c>
      <c r="L63" s="82">
        <v>0</v>
      </c>
      <c r="M63" s="83">
        <v>1</v>
      </c>
      <c r="N63" s="84">
        <v>98.26</v>
      </c>
      <c r="O63" s="85">
        <v>1</v>
      </c>
      <c r="P63" s="86"/>
      <c r="Q63" s="87">
        <f t="shared" si="0"/>
        <v>0</v>
      </c>
      <c r="R63" s="88">
        <f t="shared" si="1"/>
        <v>3</v>
      </c>
      <c r="S63" s="89">
        <f t="shared" si="2"/>
        <v>0</v>
      </c>
      <c r="T63" s="89">
        <f t="shared" si="3"/>
        <v>0</v>
      </c>
      <c r="U63" s="89">
        <f t="shared" si="4"/>
        <v>1</v>
      </c>
      <c r="V63" s="89">
        <f t="shared" si="5"/>
        <v>1</v>
      </c>
      <c r="W63" s="89">
        <f t="shared" si="6"/>
        <v>0</v>
      </c>
      <c r="X63" s="89">
        <f t="shared" si="7"/>
        <v>0</v>
      </c>
      <c r="Y63" s="89">
        <f t="shared" si="8"/>
        <v>0</v>
      </c>
      <c r="Z63" s="89">
        <f t="shared" si="10"/>
        <v>0</v>
      </c>
      <c r="AA63" s="41">
        <f t="shared" si="11"/>
        <v>0</v>
      </c>
      <c r="AB63" s="49"/>
      <c r="AC63" s="50"/>
      <c r="AD63" s="49" t="s">
        <v>32</v>
      </c>
      <c r="AE63" s="50" t="s">
        <v>433</v>
      </c>
      <c r="AF63" s="49"/>
      <c r="AG63" s="50"/>
      <c r="AH63" s="49" t="s">
        <v>5</v>
      </c>
      <c r="AI63" s="50" t="s">
        <v>206</v>
      </c>
      <c r="AJ63" s="49"/>
      <c r="AK63" s="50"/>
      <c r="AL63" s="49"/>
      <c r="AM63" s="50"/>
      <c r="AN63" s="49"/>
      <c r="AO63" s="50"/>
      <c r="AP63" s="49"/>
      <c r="AQ63" s="50"/>
      <c r="AR63" s="49"/>
      <c r="AS63" s="50"/>
      <c r="AT63" s="49"/>
      <c r="AU63" s="50"/>
      <c r="AV63" s="49" t="s">
        <v>5</v>
      </c>
      <c r="AW63" s="50" t="s">
        <v>123</v>
      </c>
      <c r="AX63" s="49"/>
      <c r="AY63" s="50"/>
      <c r="AZ63" s="49"/>
      <c r="BA63" s="50"/>
      <c r="BB63" s="49" t="s">
        <v>5</v>
      </c>
      <c r="BC63" s="50" t="s">
        <v>92</v>
      </c>
      <c r="BD63" s="49"/>
      <c r="BE63" s="50"/>
      <c r="BF63" s="49"/>
      <c r="BG63" s="50"/>
      <c r="BH63" s="49"/>
      <c r="BI63" s="50"/>
      <c r="BJ63" s="49"/>
      <c r="BK63" s="50"/>
      <c r="BL63" s="49"/>
      <c r="BM63" s="50"/>
      <c r="BN63" s="49"/>
      <c r="BO63" s="50"/>
      <c r="BP63" s="49"/>
      <c r="BQ63" s="50"/>
      <c r="BR63" s="49"/>
      <c r="BS63" s="50"/>
      <c r="BT63" s="49"/>
      <c r="BU63" s="50"/>
      <c r="BV63" s="49"/>
      <c r="BW63" s="50"/>
      <c r="BX63" s="49"/>
      <c r="BY63" s="50"/>
      <c r="BZ63" s="49"/>
      <c r="CA63" s="50"/>
    </row>
    <row r="64" spans="1:79" s="91" customFormat="1" x14ac:dyDescent="0.25">
      <c r="A64" s="76">
        <v>150960</v>
      </c>
      <c r="B64" s="77" t="s">
        <v>516</v>
      </c>
      <c r="C64" s="78" t="s">
        <v>440</v>
      </c>
      <c r="D64" s="76" t="s">
        <v>70</v>
      </c>
      <c r="E64" s="79" t="s">
        <v>14</v>
      </c>
      <c r="F64" s="79" t="s">
        <v>71</v>
      </c>
      <c r="G64" s="79" t="s">
        <v>14</v>
      </c>
      <c r="H64" s="78" t="s">
        <v>14</v>
      </c>
      <c r="I64" s="79" t="s">
        <v>14</v>
      </c>
      <c r="J64" s="80">
        <v>8.1999999999999993</v>
      </c>
      <c r="K64" s="81">
        <v>2</v>
      </c>
      <c r="L64" s="82">
        <v>0</v>
      </c>
      <c r="M64" s="83">
        <v>0</v>
      </c>
      <c r="N64" s="84">
        <v>95.69</v>
      </c>
      <c r="O64" s="85">
        <v>0</v>
      </c>
      <c r="P64" s="86"/>
      <c r="Q64" s="87">
        <f t="shared" si="0"/>
        <v>1</v>
      </c>
      <c r="R64" s="88">
        <f t="shared" si="1"/>
        <v>3</v>
      </c>
      <c r="S64" s="89">
        <f t="shared" si="2"/>
        <v>0</v>
      </c>
      <c r="T64" s="89">
        <f t="shared" si="3"/>
        <v>0</v>
      </c>
      <c r="U64" s="89">
        <f t="shared" si="4"/>
        <v>0</v>
      </c>
      <c r="V64" s="89">
        <f t="shared" si="5"/>
        <v>0</v>
      </c>
      <c r="W64" s="89">
        <f t="shared" si="6"/>
        <v>0</v>
      </c>
      <c r="X64" s="89">
        <f t="shared" si="7"/>
        <v>0</v>
      </c>
      <c r="Y64" s="89">
        <f t="shared" si="8"/>
        <v>0</v>
      </c>
      <c r="Z64" s="89">
        <f t="shared" si="10"/>
        <v>0</v>
      </c>
      <c r="AA64" s="41">
        <f t="shared" si="11"/>
        <v>0</v>
      </c>
      <c r="AB64" s="49"/>
      <c r="AC64" s="50"/>
      <c r="AD64" s="49" t="s">
        <v>5</v>
      </c>
      <c r="AE64" s="50" t="s">
        <v>438</v>
      </c>
      <c r="AF64" s="49"/>
      <c r="AG64" s="50"/>
      <c r="AH64" s="49"/>
      <c r="AI64" s="50"/>
      <c r="AJ64" s="49"/>
      <c r="AK64" s="50"/>
      <c r="AL64" s="49"/>
      <c r="AM64" s="50"/>
      <c r="AN64" s="49"/>
      <c r="AO64" s="50"/>
      <c r="AP64" s="49"/>
      <c r="AQ64" s="50"/>
      <c r="AR64" s="49"/>
      <c r="AS64" s="50"/>
      <c r="AT64" s="49"/>
      <c r="AU64" s="50"/>
      <c r="AV64" s="49" t="s">
        <v>5</v>
      </c>
      <c r="AW64" s="50" t="s">
        <v>457</v>
      </c>
      <c r="AX64" s="49"/>
      <c r="AY64" s="50"/>
      <c r="AZ64" s="49"/>
      <c r="BA64" s="50"/>
      <c r="BB64" s="49"/>
      <c r="BC64" s="50"/>
      <c r="BD64" s="49"/>
      <c r="BE64" s="50"/>
      <c r="BF64" s="49"/>
      <c r="BG64" s="50"/>
      <c r="BH64" s="49" t="s">
        <v>5</v>
      </c>
      <c r="BI64" s="50" t="s">
        <v>77</v>
      </c>
      <c r="BJ64" s="49"/>
      <c r="BK64" s="50"/>
      <c r="BL64" s="49"/>
      <c r="BM64" s="50"/>
      <c r="BN64" s="49"/>
      <c r="BO64" s="50"/>
      <c r="BP64" s="49"/>
      <c r="BQ64" s="50"/>
      <c r="BR64" s="49"/>
      <c r="BS64" s="50"/>
      <c r="BT64" s="49"/>
      <c r="BU64" s="50"/>
      <c r="BV64" s="49" t="s">
        <v>1</v>
      </c>
      <c r="BW64" s="50" t="s">
        <v>436</v>
      </c>
      <c r="BX64" s="49"/>
      <c r="BY64" s="50"/>
      <c r="BZ64" s="49"/>
      <c r="CA64" s="50"/>
    </row>
    <row r="65" spans="1:79" s="91" customFormat="1" x14ac:dyDescent="0.25">
      <c r="A65" s="76">
        <v>160119</v>
      </c>
      <c r="B65" s="77" t="s">
        <v>517</v>
      </c>
      <c r="C65" s="78" t="s">
        <v>418</v>
      </c>
      <c r="D65" s="76" t="s">
        <v>70</v>
      </c>
      <c r="E65" s="79" t="s">
        <v>14</v>
      </c>
      <c r="F65" s="79" t="s">
        <v>158</v>
      </c>
      <c r="G65" s="79" t="s">
        <v>14</v>
      </c>
      <c r="H65" s="78" t="s">
        <v>14</v>
      </c>
      <c r="I65" s="79" t="s">
        <v>14</v>
      </c>
      <c r="J65" s="80">
        <v>7.7</v>
      </c>
      <c r="K65" s="81">
        <v>0</v>
      </c>
      <c r="L65" s="82">
        <v>0</v>
      </c>
      <c r="M65" s="83">
        <v>0</v>
      </c>
      <c r="N65" s="84">
        <v>78.81</v>
      </c>
      <c r="O65" s="85">
        <v>0</v>
      </c>
      <c r="P65" s="86"/>
      <c r="Q65" s="87">
        <f t="shared" si="0"/>
        <v>0</v>
      </c>
      <c r="R65" s="88">
        <f t="shared" si="1"/>
        <v>4</v>
      </c>
      <c r="S65" s="89">
        <f t="shared" si="2"/>
        <v>0</v>
      </c>
      <c r="T65" s="89">
        <f t="shared" si="3"/>
        <v>0</v>
      </c>
      <c r="U65" s="89">
        <f t="shared" si="4"/>
        <v>0</v>
      </c>
      <c r="V65" s="89">
        <f t="shared" si="5"/>
        <v>0</v>
      </c>
      <c r="W65" s="89">
        <f t="shared" si="6"/>
        <v>0</v>
      </c>
      <c r="X65" s="89">
        <f t="shared" si="7"/>
        <v>0</v>
      </c>
      <c r="Y65" s="89">
        <f t="shared" si="8"/>
        <v>0</v>
      </c>
      <c r="Z65" s="89">
        <f t="shared" si="10"/>
        <v>0</v>
      </c>
      <c r="AA65" s="41">
        <f t="shared" si="11"/>
        <v>0</v>
      </c>
      <c r="AB65" s="49"/>
      <c r="AC65" s="50"/>
      <c r="AD65" s="49"/>
      <c r="AE65" s="50"/>
      <c r="AF65" s="49" t="s">
        <v>5</v>
      </c>
      <c r="AG65" s="50" t="s">
        <v>427</v>
      </c>
      <c r="AH65" s="49"/>
      <c r="AI65" s="50"/>
      <c r="AJ65" s="49"/>
      <c r="AK65" s="50"/>
      <c r="AL65" s="49"/>
      <c r="AM65" s="50"/>
      <c r="AN65" s="49"/>
      <c r="AO65" s="50"/>
      <c r="AP65" s="49"/>
      <c r="AQ65" s="50"/>
      <c r="AR65" s="49"/>
      <c r="AS65" s="50"/>
      <c r="AT65" s="49" t="s">
        <v>5</v>
      </c>
      <c r="AU65" s="50" t="s">
        <v>448</v>
      </c>
      <c r="AV65" s="49" t="s">
        <v>5</v>
      </c>
      <c r="AW65" s="50" t="s">
        <v>420</v>
      </c>
      <c r="AX65" s="49"/>
      <c r="AY65" s="50"/>
      <c r="AZ65" s="49"/>
      <c r="BA65" s="50"/>
      <c r="BB65" s="49"/>
      <c r="BC65" s="50"/>
      <c r="BD65" s="49"/>
      <c r="BE65" s="50"/>
      <c r="BF65" s="49"/>
      <c r="BG65" s="50"/>
      <c r="BH65" s="49" t="s">
        <v>5</v>
      </c>
      <c r="BI65" s="50" t="s">
        <v>77</v>
      </c>
      <c r="BJ65" s="49"/>
      <c r="BK65" s="50"/>
      <c r="BL65" s="49"/>
      <c r="BM65" s="50"/>
      <c r="BN65" s="49"/>
      <c r="BO65" s="50"/>
      <c r="BP65" s="49"/>
      <c r="BQ65" s="50"/>
      <c r="BR65" s="49"/>
      <c r="BS65" s="50"/>
      <c r="BT65" s="49"/>
      <c r="BU65" s="50"/>
      <c r="BV65" s="49"/>
      <c r="BW65" s="50"/>
      <c r="BX65" s="49"/>
      <c r="BY65" s="50"/>
      <c r="BZ65" s="49"/>
      <c r="CA65" s="50"/>
    </row>
    <row r="66" spans="1:79" s="91" customFormat="1" x14ac:dyDescent="0.25">
      <c r="A66" s="76">
        <v>160358</v>
      </c>
      <c r="B66" s="77" t="s">
        <v>518</v>
      </c>
      <c r="C66" s="78" t="s">
        <v>466</v>
      </c>
      <c r="D66" s="76" t="s">
        <v>70</v>
      </c>
      <c r="E66" s="79" t="s">
        <v>14</v>
      </c>
      <c r="F66" s="79" t="s">
        <v>71</v>
      </c>
      <c r="G66" s="79" t="s">
        <v>14</v>
      </c>
      <c r="H66" s="78" t="s">
        <v>14</v>
      </c>
      <c r="I66" s="79" t="s">
        <v>14</v>
      </c>
      <c r="J66" s="80">
        <v>4.8</v>
      </c>
      <c r="K66" s="81">
        <v>0</v>
      </c>
      <c r="L66" s="82">
        <v>0</v>
      </c>
      <c r="M66" s="83">
        <v>0</v>
      </c>
      <c r="N66" s="84">
        <v>99.12</v>
      </c>
      <c r="O66" s="85">
        <v>0</v>
      </c>
      <c r="P66" s="86"/>
      <c r="Q66" s="87">
        <f t="shared" ref="Q66:Q129" si="12">COUNTIF($AB66:$CL66,"Outstanding")</f>
        <v>0</v>
      </c>
      <c r="R66" s="88">
        <f t="shared" ref="R66:R129" si="13">COUNTIF($AB66:$CL66,"Good")</f>
        <v>4</v>
      </c>
      <c r="S66" s="89">
        <f t="shared" ref="S66:S129" si="14">COUNTIF($AB66:$CL66,"N2Improve - Engagement")</f>
        <v>0</v>
      </c>
      <c r="T66" s="89">
        <f t="shared" ref="T66:T129" si="15">COUNTIF($AB66:$CL66,"N2Improve - Community Conduct")</f>
        <v>0</v>
      </c>
      <c r="U66" s="89">
        <f t="shared" ref="U66:U129" si="16">COUNTIF($AB66:$CL66,"N2Improve - Personal Org.")</f>
        <v>0</v>
      </c>
      <c r="V66" s="89">
        <f t="shared" ref="V66:V129" si="17">SUM(S66:U66)</f>
        <v>0</v>
      </c>
      <c r="W66" s="89">
        <f t="shared" ref="W66:W129" si="18">COUNTIF($AB66:$CL66,"Serious Conc - Engagement")</f>
        <v>0</v>
      </c>
      <c r="X66" s="89">
        <f t="shared" ref="X66:X129" si="19">COUNTIF($AB66:$CL66,"Serious Conc - Comm. Concern")</f>
        <v>0</v>
      </c>
      <c r="Y66" s="89">
        <f t="shared" ref="Y66:Y129" si="20">COUNTIF($AB66:$CL66,"Serious Conc - Personal Org.")</f>
        <v>0</v>
      </c>
      <c r="Z66" s="89">
        <f t="shared" si="10"/>
        <v>0</v>
      </c>
      <c r="AA66" s="41">
        <f t="shared" si="11"/>
        <v>0</v>
      </c>
      <c r="AB66" s="49" t="s">
        <v>5</v>
      </c>
      <c r="AC66" s="50" t="s">
        <v>116</v>
      </c>
      <c r="AD66" s="49"/>
      <c r="AE66" s="50"/>
      <c r="AF66" s="49"/>
      <c r="AG66" s="50"/>
      <c r="AH66" s="49"/>
      <c r="AI66" s="50"/>
      <c r="AJ66" s="49"/>
      <c r="AK66" s="50"/>
      <c r="AL66" s="49"/>
      <c r="AM66" s="50"/>
      <c r="AN66" s="49" t="s">
        <v>5</v>
      </c>
      <c r="AO66" s="50" t="s">
        <v>101</v>
      </c>
      <c r="AP66" s="49"/>
      <c r="AQ66" s="50"/>
      <c r="AR66" s="49"/>
      <c r="AS66" s="50"/>
      <c r="AT66" s="49" t="s">
        <v>5</v>
      </c>
      <c r="AU66" s="50" t="s">
        <v>478</v>
      </c>
      <c r="AV66" s="49" t="s">
        <v>5</v>
      </c>
      <c r="AW66" s="50" t="s">
        <v>476</v>
      </c>
      <c r="AX66" s="49"/>
      <c r="AY66" s="50"/>
      <c r="AZ66" s="49"/>
      <c r="BA66" s="50"/>
      <c r="BB66" s="49"/>
      <c r="BC66" s="50"/>
      <c r="BD66" s="49"/>
      <c r="BE66" s="50"/>
      <c r="BF66" s="49"/>
      <c r="BG66" s="50"/>
      <c r="BH66" s="49"/>
      <c r="BI66" s="50"/>
      <c r="BJ66" s="49"/>
      <c r="BK66" s="50"/>
      <c r="BL66" s="49"/>
      <c r="BM66" s="50"/>
      <c r="BN66" s="49"/>
      <c r="BO66" s="50"/>
      <c r="BP66" s="49"/>
      <c r="BQ66" s="50"/>
      <c r="BR66" s="49"/>
      <c r="BS66" s="50"/>
      <c r="BT66" s="49"/>
      <c r="BU66" s="50"/>
      <c r="BV66" s="49"/>
      <c r="BW66" s="50"/>
      <c r="BX66" s="49"/>
      <c r="BY66" s="50"/>
      <c r="BZ66" s="49"/>
      <c r="CA66" s="50"/>
    </row>
    <row r="67" spans="1:79" s="91" customFormat="1" x14ac:dyDescent="0.25">
      <c r="A67" s="76">
        <v>160104</v>
      </c>
      <c r="B67" s="77" t="s">
        <v>519</v>
      </c>
      <c r="C67" s="78" t="s">
        <v>466</v>
      </c>
      <c r="D67" s="76" t="s">
        <v>12</v>
      </c>
      <c r="E67" s="79" t="s">
        <v>14</v>
      </c>
      <c r="F67" s="79" t="s">
        <v>71</v>
      </c>
      <c r="G67" s="79" t="s">
        <v>14</v>
      </c>
      <c r="H67" s="78" t="s">
        <v>14</v>
      </c>
      <c r="I67" s="79" t="s">
        <v>14</v>
      </c>
      <c r="J67" s="80">
        <v>6.4</v>
      </c>
      <c r="K67" s="81">
        <v>0</v>
      </c>
      <c r="L67" s="82">
        <v>0</v>
      </c>
      <c r="M67" s="83">
        <v>2</v>
      </c>
      <c r="N67" s="84">
        <v>100</v>
      </c>
      <c r="O67" s="85">
        <v>1</v>
      </c>
      <c r="P67" s="86"/>
      <c r="Q67" s="87">
        <f t="shared" si="12"/>
        <v>0</v>
      </c>
      <c r="R67" s="88">
        <f t="shared" si="13"/>
        <v>3</v>
      </c>
      <c r="S67" s="89">
        <f t="shared" si="14"/>
        <v>0</v>
      </c>
      <c r="T67" s="89">
        <f t="shared" si="15"/>
        <v>0</v>
      </c>
      <c r="U67" s="89">
        <f t="shared" si="16"/>
        <v>1</v>
      </c>
      <c r="V67" s="89">
        <f t="shared" si="17"/>
        <v>1</v>
      </c>
      <c r="W67" s="89">
        <f t="shared" si="18"/>
        <v>0</v>
      </c>
      <c r="X67" s="89">
        <f t="shared" si="19"/>
        <v>0</v>
      </c>
      <c r="Y67" s="89">
        <f t="shared" si="20"/>
        <v>0</v>
      </c>
      <c r="Z67" s="89">
        <f t="shared" ref="Z67:Z130" si="21">SUM(W67:Y67)</f>
        <v>0</v>
      </c>
      <c r="AA67" s="41">
        <f t="shared" ref="AA67:AA130" si="22">COUNTIF(AB67:BY67,"*still*")</f>
        <v>0</v>
      </c>
      <c r="AB67" s="49"/>
      <c r="AC67" s="50"/>
      <c r="AD67" s="49" t="s">
        <v>5</v>
      </c>
      <c r="AE67" s="50" t="s">
        <v>433</v>
      </c>
      <c r="AF67" s="49"/>
      <c r="AG67" s="50"/>
      <c r="AH67" s="49" t="s">
        <v>32</v>
      </c>
      <c r="AI67" s="50" t="s">
        <v>206</v>
      </c>
      <c r="AJ67" s="49"/>
      <c r="AK67" s="50"/>
      <c r="AL67" s="49"/>
      <c r="AM67" s="50"/>
      <c r="AN67" s="49"/>
      <c r="AO67" s="50"/>
      <c r="AP67" s="49"/>
      <c r="AQ67" s="50"/>
      <c r="AR67" s="49"/>
      <c r="AS67" s="50"/>
      <c r="AT67" s="49"/>
      <c r="AU67" s="50"/>
      <c r="AV67" s="49" t="s">
        <v>5</v>
      </c>
      <c r="AW67" s="50" t="s">
        <v>476</v>
      </c>
      <c r="AX67" s="49"/>
      <c r="AY67" s="50"/>
      <c r="AZ67" s="49"/>
      <c r="BA67" s="50"/>
      <c r="BB67" s="49"/>
      <c r="BC67" s="50"/>
      <c r="BD67" s="49"/>
      <c r="BE67" s="50"/>
      <c r="BF67" s="49"/>
      <c r="BG67" s="50"/>
      <c r="BH67" s="49"/>
      <c r="BI67" s="50"/>
      <c r="BJ67" s="49" t="s">
        <v>5</v>
      </c>
      <c r="BK67" s="50" t="s">
        <v>430</v>
      </c>
      <c r="BL67" s="49"/>
      <c r="BM67" s="50"/>
      <c r="BN67" s="49"/>
      <c r="BO67" s="50"/>
      <c r="BP67" s="49"/>
      <c r="BQ67" s="50"/>
      <c r="BR67" s="49"/>
      <c r="BS67" s="50"/>
      <c r="BT67" s="49"/>
      <c r="BU67" s="50"/>
      <c r="BV67" s="49"/>
      <c r="BW67" s="50"/>
      <c r="BX67" s="49"/>
      <c r="BY67" s="50"/>
      <c r="BZ67" s="49"/>
      <c r="CA67" s="50"/>
    </row>
    <row r="68" spans="1:79" s="91" customFormat="1" x14ac:dyDescent="0.25">
      <c r="A68" s="76">
        <v>150996</v>
      </c>
      <c r="B68" s="77" t="s">
        <v>520</v>
      </c>
      <c r="C68" s="78" t="s">
        <v>440</v>
      </c>
      <c r="D68" s="76" t="s">
        <v>12</v>
      </c>
      <c r="E68" s="79" t="s">
        <v>14</v>
      </c>
      <c r="F68" s="79" t="s">
        <v>115</v>
      </c>
      <c r="G68" s="79" t="s">
        <v>14</v>
      </c>
      <c r="H68" s="78" t="s">
        <v>14</v>
      </c>
      <c r="I68" s="79" t="s">
        <v>14</v>
      </c>
      <c r="J68" s="80">
        <v>6.5</v>
      </c>
      <c r="K68" s="81">
        <v>0</v>
      </c>
      <c r="L68" s="82">
        <v>0</v>
      </c>
      <c r="M68" s="83">
        <v>0</v>
      </c>
      <c r="N68" s="84">
        <v>58.2</v>
      </c>
      <c r="O68" s="85">
        <v>1</v>
      </c>
      <c r="P68" s="86"/>
      <c r="Q68" s="87">
        <f t="shared" si="12"/>
        <v>0</v>
      </c>
      <c r="R68" s="88">
        <f t="shared" si="13"/>
        <v>4</v>
      </c>
      <c r="S68" s="89">
        <f t="shared" si="14"/>
        <v>1</v>
      </c>
      <c r="T68" s="89">
        <f t="shared" si="15"/>
        <v>0</v>
      </c>
      <c r="U68" s="89">
        <f t="shared" si="16"/>
        <v>0</v>
      </c>
      <c r="V68" s="89">
        <f t="shared" si="17"/>
        <v>1</v>
      </c>
      <c r="W68" s="89">
        <f t="shared" si="18"/>
        <v>0</v>
      </c>
      <c r="X68" s="89">
        <f t="shared" si="19"/>
        <v>0</v>
      </c>
      <c r="Y68" s="89">
        <f t="shared" si="20"/>
        <v>0</v>
      </c>
      <c r="Z68" s="89">
        <f t="shared" si="21"/>
        <v>0</v>
      </c>
      <c r="AA68" s="41">
        <f t="shared" si="22"/>
        <v>0</v>
      </c>
      <c r="AB68" s="49"/>
      <c r="AC68" s="50"/>
      <c r="AD68" s="49"/>
      <c r="AE68" s="50"/>
      <c r="AF68" s="49"/>
      <c r="AG68" s="50"/>
      <c r="AH68" s="49" t="s">
        <v>30</v>
      </c>
      <c r="AI68" s="50"/>
      <c r="AJ68" s="49" t="s">
        <v>5</v>
      </c>
      <c r="AK68" s="50" t="s">
        <v>163</v>
      </c>
      <c r="AL68" s="49"/>
      <c r="AM68" s="50"/>
      <c r="AN68" s="49"/>
      <c r="AO68" s="50"/>
      <c r="AP68" s="49"/>
      <c r="AQ68" s="50"/>
      <c r="AR68" s="49"/>
      <c r="AS68" s="50"/>
      <c r="AT68" s="49"/>
      <c r="AU68" s="50"/>
      <c r="AV68" s="49" t="s">
        <v>5</v>
      </c>
      <c r="AW68" s="50" t="s">
        <v>428</v>
      </c>
      <c r="AX68" s="49"/>
      <c r="AY68" s="50"/>
      <c r="AZ68" s="49"/>
      <c r="BA68" s="50"/>
      <c r="BB68" s="49"/>
      <c r="BC68" s="50"/>
      <c r="BD68" s="49"/>
      <c r="BE68" s="50"/>
      <c r="BF68" s="49"/>
      <c r="BG68" s="50"/>
      <c r="BH68" s="49"/>
      <c r="BI68" s="50"/>
      <c r="BJ68" s="49" t="s">
        <v>5</v>
      </c>
      <c r="BK68" s="50" t="s">
        <v>430</v>
      </c>
      <c r="BL68" s="49"/>
      <c r="BM68" s="50"/>
      <c r="BN68" s="49"/>
      <c r="BO68" s="50"/>
      <c r="BP68" s="49"/>
      <c r="BQ68" s="50"/>
      <c r="BR68" s="49" t="s">
        <v>5</v>
      </c>
      <c r="BS68" s="50" t="s">
        <v>109</v>
      </c>
      <c r="BT68" s="49"/>
      <c r="BU68" s="50"/>
      <c r="BV68" s="49"/>
      <c r="BW68" s="50"/>
      <c r="BX68" s="49"/>
      <c r="BY68" s="50"/>
      <c r="BZ68" s="49"/>
      <c r="CA68" s="50"/>
    </row>
    <row r="69" spans="1:79" s="91" customFormat="1" x14ac:dyDescent="0.25">
      <c r="A69" s="76">
        <v>160095</v>
      </c>
      <c r="B69" s="77" t="s">
        <v>521</v>
      </c>
      <c r="C69" s="78" t="s">
        <v>418</v>
      </c>
      <c r="D69" s="76" t="s">
        <v>70</v>
      </c>
      <c r="E69" s="79" t="s">
        <v>14</v>
      </c>
      <c r="F69" s="79" t="s">
        <v>71</v>
      </c>
      <c r="G69" s="79" t="s">
        <v>14</v>
      </c>
      <c r="H69" s="78" t="s">
        <v>14</v>
      </c>
      <c r="I69" s="79" t="s">
        <v>14</v>
      </c>
      <c r="J69" s="80">
        <v>4.0999999999999996</v>
      </c>
      <c r="K69" s="81">
        <v>0</v>
      </c>
      <c r="L69" s="82">
        <v>0</v>
      </c>
      <c r="M69" s="83">
        <v>0</v>
      </c>
      <c r="N69" s="84">
        <v>100</v>
      </c>
      <c r="O69" s="85">
        <v>1</v>
      </c>
      <c r="P69" s="86"/>
      <c r="Q69" s="87">
        <f t="shared" si="12"/>
        <v>0</v>
      </c>
      <c r="R69" s="88">
        <f t="shared" si="13"/>
        <v>4</v>
      </c>
      <c r="S69" s="89">
        <f t="shared" si="14"/>
        <v>0</v>
      </c>
      <c r="T69" s="89">
        <f t="shared" si="15"/>
        <v>0</v>
      </c>
      <c r="U69" s="89">
        <f t="shared" si="16"/>
        <v>0</v>
      </c>
      <c r="V69" s="89">
        <f t="shared" si="17"/>
        <v>0</v>
      </c>
      <c r="W69" s="89">
        <f t="shared" si="18"/>
        <v>0</v>
      </c>
      <c r="X69" s="89">
        <f t="shared" si="19"/>
        <v>0</v>
      </c>
      <c r="Y69" s="89">
        <f t="shared" si="20"/>
        <v>0</v>
      </c>
      <c r="Z69" s="89">
        <f t="shared" si="21"/>
        <v>0</v>
      </c>
      <c r="AA69" s="41">
        <f t="shared" si="22"/>
        <v>0</v>
      </c>
      <c r="AB69" s="49"/>
      <c r="AC69" s="50"/>
      <c r="AD69" s="49"/>
      <c r="AE69" s="50"/>
      <c r="AF69" s="49"/>
      <c r="AG69" s="50"/>
      <c r="AH69" s="49"/>
      <c r="AI69" s="50"/>
      <c r="AJ69" s="49"/>
      <c r="AK69" s="50"/>
      <c r="AL69" s="49"/>
      <c r="AM69" s="50"/>
      <c r="AN69" s="49"/>
      <c r="AO69" s="50"/>
      <c r="AP69" s="49"/>
      <c r="AQ69" s="50"/>
      <c r="AR69" s="49"/>
      <c r="AS69" s="50"/>
      <c r="AT69" s="49"/>
      <c r="AU69" s="50"/>
      <c r="AV69" s="49" t="s">
        <v>5</v>
      </c>
      <c r="AW69" s="50" t="s">
        <v>420</v>
      </c>
      <c r="AX69" s="49"/>
      <c r="AY69" s="50"/>
      <c r="AZ69" s="49"/>
      <c r="BA69" s="50"/>
      <c r="BB69" s="49"/>
      <c r="BC69" s="50"/>
      <c r="BD69" s="49"/>
      <c r="BE69" s="50"/>
      <c r="BF69" s="49"/>
      <c r="BG69" s="50"/>
      <c r="BH69" s="49"/>
      <c r="BI69" s="50"/>
      <c r="BJ69" s="49"/>
      <c r="BK69" s="50"/>
      <c r="BL69" s="49"/>
      <c r="BM69" s="50"/>
      <c r="BN69" s="49" t="s">
        <v>5</v>
      </c>
      <c r="BO69" s="50" t="s">
        <v>82</v>
      </c>
      <c r="BP69" s="49"/>
      <c r="BQ69" s="50"/>
      <c r="BR69" s="49"/>
      <c r="BS69" s="50"/>
      <c r="BT69" s="49" t="s">
        <v>5</v>
      </c>
      <c r="BU69" s="50" t="s">
        <v>93</v>
      </c>
      <c r="BV69" s="49"/>
      <c r="BW69" s="50"/>
      <c r="BX69" s="49" t="s">
        <v>5</v>
      </c>
      <c r="BY69" s="50" t="s">
        <v>462</v>
      </c>
      <c r="BZ69" s="49"/>
      <c r="CA69" s="50"/>
    </row>
    <row r="70" spans="1:79" s="91" customFormat="1" x14ac:dyDescent="0.25">
      <c r="A70" s="76">
        <v>150808</v>
      </c>
      <c r="B70" s="77" t="s">
        <v>522</v>
      </c>
      <c r="C70" s="78" t="s">
        <v>440</v>
      </c>
      <c r="D70" s="76" t="s">
        <v>70</v>
      </c>
      <c r="E70" s="79" t="s">
        <v>14</v>
      </c>
      <c r="F70" s="79" t="s">
        <v>71</v>
      </c>
      <c r="G70" s="79" t="s">
        <v>14</v>
      </c>
      <c r="H70" s="78" t="s">
        <v>14</v>
      </c>
      <c r="I70" s="79" t="s">
        <v>14</v>
      </c>
      <c r="J70" s="80">
        <v>7.1</v>
      </c>
      <c r="K70" s="81">
        <v>0</v>
      </c>
      <c r="L70" s="82">
        <v>0</v>
      </c>
      <c r="M70" s="83">
        <v>0</v>
      </c>
      <c r="N70" s="84">
        <v>100</v>
      </c>
      <c r="O70" s="85">
        <v>1</v>
      </c>
      <c r="P70" s="86"/>
      <c r="Q70" s="87">
        <f t="shared" si="12"/>
        <v>0</v>
      </c>
      <c r="R70" s="88">
        <f t="shared" si="13"/>
        <v>4</v>
      </c>
      <c r="S70" s="89">
        <f t="shared" si="14"/>
        <v>0</v>
      </c>
      <c r="T70" s="89">
        <f t="shared" si="15"/>
        <v>0</v>
      </c>
      <c r="U70" s="89">
        <f t="shared" si="16"/>
        <v>0</v>
      </c>
      <c r="V70" s="89">
        <f t="shared" si="17"/>
        <v>0</v>
      </c>
      <c r="W70" s="89">
        <f t="shared" si="18"/>
        <v>0</v>
      </c>
      <c r="X70" s="89">
        <f t="shared" si="19"/>
        <v>0</v>
      </c>
      <c r="Y70" s="89">
        <f t="shared" si="20"/>
        <v>0</v>
      </c>
      <c r="Z70" s="89">
        <f t="shared" si="21"/>
        <v>0</v>
      </c>
      <c r="AA70" s="41">
        <f t="shared" si="22"/>
        <v>0</v>
      </c>
      <c r="AB70" s="49"/>
      <c r="AC70" s="50"/>
      <c r="AD70" s="49" t="s">
        <v>5</v>
      </c>
      <c r="AE70" s="50" t="s">
        <v>433</v>
      </c>
      <c r="AF70" s="49"/>
      <c r="AG70" s="50"/>
      <c r="AH70" s="49" t="s">
        <v>5</v>
      </c>
      <c r="AI70" s="50" t="s">
        <v>419</v>
      </c>
      <c r="AJ70" s="49"/>
      <c r="AK70" s="50"/>
      <c r="AL70" s="49"/>
      <c r="AM70" s="50"/>
      <c r="AN70" s="49"/>
      <c r="AO70" s="50"/>
      <c r="AP70" s="49"/>
      <c r="AQ70" s="50"/>
      <c r="AR70" s="49"/>
      <c r="AS70" s="50"/>
      <c r="AT70" s="49"/>
      <c r="AU70" s="50"/>
      <c r="AV70" s="49" t="s">
        <v>5</v>
      </c>
      <c r="AW70" s="50" t="s">
        <v>428</v>
      </c>
      <c r="AX70" s="49"/>
      <c r="AY70" s="50"/>
      <c r="AZ70" s="49"/>
      <c r="BA70" s="50"/>
      <c r="BB70" s="49"/>
      <c r="BC70" s="50"/>
      <c r="BD70" s="49"/>
      <c r="BE70" s="50"/>
      <c r="BF70" s="49"/>
      <c r="BG70" s="50"/>
      <c r="BH70" s="49"/>
      <c r="BI70" s="50"/>
      <c r="BJ70" s="49" t="s">
        <v>5</v>
      </c>
      <c r="BK70" s="50" t="s">
        <v>430</v>
      </c>
      <c r="BL70" s="49"/>
      <c r="BM70" s="50"/>
      <c r="BN70" s="49"/>
      <c r="BO70" s="50"/>
      <c r="BP70" s="49"/>
      <c r="BQ70" s="50"/>
      <c r="BR70" s="49"/>
      <c r="BS70" s="50"/>
      <c r="BT70" s="49"/>
      <c r="BU70" s="50"/>
      <c r="BV70" s="49"/>
      <c r="BW70" s="50"/>
      <c r="BX70" s="49"/>
      <c r="BY70" s="50"/>
      <c r="BZ70" s="49"/>
      <c r="CA70" s="50"/>
    </row>
    <row r="71" spans="1:79" s="91" customFormat="1" x14ac:dyDescent="0.25">
      <c r="A71" s="76">
        <v>150967</v>
      </c>
      <c r="B71" s="77" t="s">
        <v>523</v>
      </c>
      <c r="C71" s="78" t="s">
        <v>440</v>
      </c>
      <c r="D71" s="76" t="s">
        <v>70</v>
      </c>
      <c r="E71" s="79" t="s">
        <v>14</v>
      </c>
      <c r="F71" s="79" t="s">
        <v>71</v>
      </c>
      <c r="G71" s="79" t="s">
        <v>14</v>
      </c>
      <c r="H71" s="78" t="s">
        <v>14</v>
      </c>
      <c r="I71" s="79" t="s">
        <v>14</v>
      </c>
      <c r="J71" s="80">
        <v>7.1</v>
      </c>
      <c r="K71" s="81">
        <v>2</v>
      </c>
      <c r="L71" s="82">
        <v>0</v>
      </c>
      <c r="M71" s="83">
        <v>1</v>
      </c>
      <c r="N71" s="84">
        <v>100</v>
      </c>
      <c r="O71" s="85">
        <v>0</v>
      </c>
      <c r="P71" s="86"/>
      <c r="Q71" s="87">
        <f t="shared" si="12"/>
        <v>0</v>
      </c>
      <c r="R71" s="88">
        <f t="shared" si="13"/>
        <v>4</v>
      </c>
      <c r="S71" s="89">
        <f t="shared" si="14"/>
        <v>0</v>
      </c>
      <c r="T71" s="89">
        <f t="shared" si="15"/>
        <v>0</v>
      </c>
      <c r="U71" s="89">
        <f t="shared" si="16"/>
        <v>0</v>
      </c>
      <c r="V71" s="89">
        <f t="shared" si="17"/>
        <v>0</v>
      </c>
      <c r="W71" s="89">
        <f t="shared" si="18"/>
        <v>0</v>
      </c>
      <c r="X71" s="89">
        <f t="shared" si="19"/>
        <v>0</v>
      </c>
      <c r="Y71" s="89">
        <f t="shared" si="20"/>
        <v>0</v>
      </c>
      <c r="Z71" s="89">
        <f t="shared" si="21"/>
        <v>0</v>
      </c>
      <c r="AA71" s="41">
        <f t="shared" si="22"/>
        <v>0</v>
      </c>
      <c r="AB71" s="49"/>
      <c r="AC71" s="50"/>
      <c r="AD71" s="49"/>
      <c r="AE71" s="50"/>
      <c r="AF71" s="49"/>
      <c r="AG71" s="50"/>
      <c r="AH71" s="49"/>
      <c r="AI71" s="50"/>
      <c r="AJ71" s="49"/>
      <c r="AK71" s="50"/>
      <c r="AL71" s="49"/>
      <c r="AM71" s="50"/>
      <c r="AN71" s="49"/>
      <c r="AO71" s="50"/>
      <c r="AP71" s="49"/>
      <c r="AQ71" s="50"/>
      <c r="AR71" s="49"/>
      <c r="AS71" s="50"/>
      <c r="AT71" s="49" t="s">
        <v>5</v>
      </c>
      <c r="AU71" s="50" t="s">
        <v>478</v>
      </c>
      <c r="AV71" s="49" t="s">
        <v>5</v>
      </c>
      <c r="AW71" s="50" t="s">
        <v>428</v>
      </c>
      <c r="AX71" s="49"/>
      <c r="AY71" s="50"/>
      <c r="AZ71" s="49"/>
      <c r="BA71" s="50"/>
      <c r="BB71" s="49"/>
      <c r="BC71" s="50"/>
      <c r="BD71" s="49"/>
      <c r="BE71" s="50"/>
      <c r="BF71" s="49"/>
      <c r="BG71" s="50"/>
      <c r="BH71" s="49" t="s">
        <v>5</v>
      </c>
      <c r="BI71" s="50" t="s">
        <v>77</v>
      </c>
      <c r="BJ71" s="49"/>
      <c r="BK71" s="50"/>
      <c r="BL71" s="49"/>
      <c r="BM71" s="50"/>
      <c r="BN71" s="49"/>
      <c r="BO71" s="50"/>
      <c r="BP71" s="49"/>
      <c r="BQ71" s="50"/>
      <c r="BR71" s="49"/>
      <c r="BS71" s="50"/>
      <c r="BT71" s="49" t="s">
        <v>5</v>
      </c>
      <c r="BU71" s="50" t="s">
        <v>93</v>
      </c>
      <c r="BV71" s="49"/>
      <c r="BW71" s="50"/>
      <c r="BX71" s="49"/>
      <c r="BY71" s="50"/>
      <c r="BZ71" s="49"/>
      <c r="CA71" s="50"/>
    </row>
    <row r="72" spans="1:79" s="91" customFormat="1" x14ac:dyDescent="0.25">
      <c r="A72" s="76">
        <v>150881</v>
      </c>
      <c r="B72" s="77" t="s">
        <v>524</v>
      </c>
      <c r="C72" s="78" t="s">
        <v>440</v>
      </c>
      <c r="D72" s="76" t="s">
        <v>70</v>
      </c>
      <c r="E72" s="79" t="s">
        <v>14</v>
      </c>
      <c r="F72" s="79" t="s">
        <v>220</v>
      </c>
      <c r="G72" s="79" t="s">
        <v>14</v>
      </c>
      <c r="H72" s="78" t="s">
        <v>14</v>
      </c>
      <c r="I72" s="79" t="s">
        <v>14</v>
      </c>
      <c r="J72" s="80">
        <v>7.8</v>
      </c>
      <c r="K72" s="81">
        <v>1</v>
      </c>
      <c r="L72" s="82">
        <v>0</v>
      </c>
      <c r="M72" s="83">
        <v>0</v>
      </c>
      <c r="N72" s="84">
        <v>100</v>
      </c>
      <c r="O72" s="85">
        <v>0</v>
      </c>
      <c r="P72" s="86"/>
      <c r="Q72" s="87">
        <f t="shared" si="12"/>
        <v>1</v>
      </c>
      <c r="R72" s="88">
        <f t="shared" si="13"/>
        <v>3</v>
      </c>
      <c r="S72" s="89">
        <f t="shared" si="14"/>
        <v>0</v>
      </c>
      <c r="T72" s="89">
        <f t="shared" si="15"/>
        <v>0</v>
      </c>
      <c r="U72" s="89">
        <f t="shared" si="16"/>
        <v>0</v>
      </c>
      <c r="V72" s="89">
        <f t="shared" si="17"/>
        <v>0</v>
      </c>
      <c r="W72" s="89">
        <f t="shared" si="18"/>
        <v>0</v>
      </c>
      <c r="X72" s="89">
        <f t="shared" si="19"/>
        <v>0</v>
      </c>
      <c r="Y72" s="89">
        <f t="shared" si="20"/>
        <v>0</v>
      </c>
      <c r="Z72" s="89">
        <f t="shared" si="21"/>
        <v>0</v>
      </c>
      <c r="AA72" s="41">
        <f t="shared" si="22"/>
        <v>0</v>
      </c>
      <c r="AB72" s="49"/>
      <c r="AC72" s="50"/>
      <c r="AD72" s="49"/>
      <c r="AE72" s="50"/>
      <c r="AF72" s="49"/>
      <c r="AG72" s="50"/>
      <c r="AH72" s="49"/>
      <c r="AI72" s="50"/>
      <c r="AJ72" s="49"/>
      <c r="AK72" s="50"/>
      <c r="AL72" s="49"/>
      <c r="AM72" s="50"/>
      <c r="AN72" s="49"/>
      <c r="AO72" s="50"/>
      <c r="AP72" s="49"/>
      <c r="AQ72" s="50"/>
      <c r="AR72" s="49"/>
      <c r="AS72" s="50"/>
      <c r="AT72" s="49"/>
      <c r="AU72" s="50"/>
      <c r="AV72" s="49" t="s">
        <v>5</v>
      </c>
      <c r="AW72" s="50" t="s">
        <v>428</v>
      </c>
      <c r="AX72" s="49"/>
      <c r="AY72" s="50"/>
      <c r="AZ72" s="49"/>
      <c r="BA72" s="50"/>
      <c r="BB72" s="49"/>
      <c r="BC72" s="50"/>
      <c r="BD72" s="49"/>
      <c r="BE72" s="50"/>
      <c r="BF72" s="49"/>
      <c r="BG72" s="50"/>
      <c r="BH72" s="49"/>
      <c r="BI72" s="50"/>
      <c r="BJ72" s="49" t="s">
        <v>5</v>
      </c>
      <c r="BK72" s="50" t="s">
        <v>430</v>
      </c>
      <c r="BL72" s="49"/>
      <c r="BM72" s="50"/>
      <c r="BN72" s="49" t="s">
        <v>5</v>
      </c>
      <c r="BO72" s="50" t="s">
        <v>82</v>
      </c>
      <c r="BP72" s="49"/>
      <c r="BQ72" s="50"/>
      <c r="BR72" s="49"/>
      <c r="BS72" s="50"/>
      <c r="BT72" s="49"/>
      <c r="BU72" s="50"/>
      <c r="BV72" s="49"/>
      <c r="BW72" s="50"/>
      <c r="BX72" s="49" t="s">
        <v>1</v>
      </c>
      <c r="BY72" s="50" t="s">
        <v>462</v>
      </c>
      <c r="BZ72" s="49"/>
      <c r="CA72" s="50"/>
    </row>
    <row r="73" spans="1:79" s="91" customFormat="1" x14ac:dyDescent="0.25">
      <c r="A73" s="76">
        <v>150842</v>
      </c>
      <c r="B73" s="77" t="s">
        <v>525</v>
      </c>
      <c r="C73" s="78" t="s">
        <v>440</v>
      </c>
      <c r="D73" s="76" t="s">
        <v>70</v>
      </c>
      <c r="E73" s="79" t="s">
        <v>14</v>
      </c>
      <c r="F73" s="79" t="s">
        <v>71</v>
      </c>
      <c r="G73" s="79" t="s">
        <v>14</v>
      </c>
      <c r="H73" s="78" t="s">
        <v>14</v>
      </c>
      <c r="I73" s="79" t="s">
        <v>14</v>
      </c>
      <c r="J73" s="80">
        <v>7.8</v>
      </c>
      <c r="K73" s="81">
        <v>1</v>
      </c>
      <c r="L73" s="82">
        <v>0</v>
      </c>
      <c r="M73" s="83">
        <v>0</v>
      </c>
      <c r="N73" s="84">
        <v>100</v>
      </c>
      <c r="O73" s="85">
        <v>0</v>
      </c>
      <c r="P73" s="86"/>
      <c r="Q73" s="87">
        <f t="shared" si="12"/>
        <v>2</v>
      </c>
      <c r="R73" s="88">
        <f t="shared" si="13"/>
        <v>2</v>
      </c>
      <c r="S73" s="89">
        <f t="shared" si="14"/>
        <v>0</v>
      </c>
      <c r="T73" s="89">
        <f t="shared" si="15"/>
        <v>0</v>
      </c>
      <c r="U73" s="89">
        <f t="shared" si="16"/>
        <v>0</v>
      </c>
      <c r="V73" s="89">
        <f t="shared" si="17"/>
        <v>0</v>
      </c>
      <c r="W73" s="89">
        <f t="shared" si="18"/>
        <v>0</v>
      </c>
      <c r="X73" s="89">
        <f t="shared" si="19"/>
        <v>0</v>
      </c>
      <c r="Y73" s="89">
        <f t="shared" si="20"/>
        <v>0</v>
      </c>
      <c r="Z73" s="89">
        <f t="shared" si="21"/>
        <v>0</v>
      </c>
      <c r="AA73" s="41">
        <f t="shared" si="22"/>
        <v>0</v>
      </c>
      <c r="AB73" s="49"/>
      <c r="AC73" s="50"/>
      <c r="AD73" s="49" t="s">
        <v>1</v>
      </c>
      <c r="AE73" s="50" t="s">
        <v>154</v>
      </c>
      <c r="AF73" s="49"/>
      <c r="AG73" s="50"/>
      <c r="AH73" s="49" t="s">
        <v>1</v>
      </c>
      <c r="AI73" s="50" t="s">
        <v>206</v>
      </c>
      <c r="AJ73" s="49"/>
      <c r="AK73" s="50"/>
      <c r="AL73" s="49"/>
      <c r="AM73" s="50"/>
      <c r="AN73" s="49"/>
      <c r="AO73" s="50"/>
      <c r="AP73" s="49"/>
      <c r="AQ73" s="50"/>
      <c r="AR73" s="49"/>
      <c r="AS73" s="50"/>
      <c r="AT73" s="49"/>
      <c r="AU73" s="50"/>
      <c r="AV73" s="49" t="s">
        <v>5</v>
      </c>
      <c r="AW73" s="50" t="s">
        <v>428</v>
      </c>
      <c r="AX73" s="49"/>
      <c r="AY73" s="50"/>
      <c r="AZ73" s="49"/>
      <c r="BA73" s="50"/>
      <c r="BB73" s="49"/>
      <c r="BC73" s="50"/>
      <c r="BD73" s="49"/>
      <c r="BE73" s="50"/>
      <c r="BF73" s="49"/>
      <c r="BG73" s="50"/>
      <c r="BH73" s="49"/>
      <c r="BI73" s="50"/>
      <c r="BJ73" s="49" t="s">
        <v>5</v>
      </c>
      <c r="BK73" s="50" t="s">
        <v>422</v>
      </c>
      <c r="BL73" s="49"/>
      <c r="BM73" s="50"/>
      <c r="BN73" s="49"/>
      <c r="BO73" s="50"/>
      <c r="BP73" s="49"/>
      <c r="BQ73" s="50"/>
      <c r="BR73" s="49"/>
      <c r="BS73" s="50"/>
      <c r="BT73" s="49"/>
      <c r="BU73" s="50"/>
      <c r="BV73" s="49"/>
      <c r="BW73" s="50"/>
      <c r="BX73" s="49"/>
      <c r="BY73" s="50"/>
      <c r="BZ73" s="49"/>
      <c r="CA73" s="50"/>
    </row>
    <row r="74" spans="1:79" s="91" customFormat="1" x14ac:dyDescent="0.25">
      <c r="A74" s="76">
        <v>160116</v>
      </c>
      <c r="B74" s="77" t="s">
        <v>526</v>
      </c>
      <c r="C74" s="78" t="s">
        <v>432</v>
      </c>
      <c r="D74" s="76" t="s">
        <v>70</v>
      </c>
      <c r="E74" s="79" t="s">
        <v>14</v>
      </c>
      <c r="F74" s="79" t="s">
        <v>527</v>
      </c>
      <c r="G74" s="79" t="s">
        <v>14</v>
      </c>
      <c r="H74" s="78" t="s">
        <v>14</v>
      </c>
      <c r="I74" s="79" t="s">
        <v>14</v>
      </c>
      <c r="J74" s="80">
        <v>7.4</v>
      </c>
      <c r="K74" s="81">
        <v>0</v>
      </c>
      <c r="L74" s="82">
        <v>0</v>
      </c>
      <c r="M74" s="83">
        <v>0</v>
      </c>
      <c r="N74" s="84">
        <v>90.91</v>
      </c>
      <c r="O74" s="85">
        <v>0</v>
      </c>
      <c r="P74" s="86"/>
      <c r="Q74" s="87">
        <f t="shared" si="12"/>
        <v>0</v>
      </c>
      <c r="R74" s="88">
        <f t="shared" si="13"/>
        <v>4</v>
      </c>
      <c r="S74" s="89">
        <f t="shared" si="14"/>
        <v>0</v>
      </c>
      <c r="T74" s="89">
        <f t="shared" si="15"/>
        <v>0</v>
      </c>
      <c r="U74" s="89">
        <f t="shared" si="16"/>
        <v>0</v>
      </c>
      <c r="V74" s="89">
        <f t="shared" si="17"/>
        <v>0</v>
      </c>
      <c r="W74" s="89">
        <f t="shared" si="18"/>
        <v>0</v>
      </c>
      <c r="X74" s="89">
        <f t="shared" si="19"/>
        <v>0</v>
      </c>
      <c r="Y74" s="89">
        <f t="shared" si="20"/>
        <v>0</v>
      </c>
      <c r="Z74" s="89">
        <f t="shared" si="21"/>
        <v>0</v>
      </c>
      <c r="AA74" s="41">
        <f t="shared" si="22"/>
        <v>0</v>
      </c>
      <c r="AB74" s="49"/>
      <c r="AC74" s="50"/>
      <c r="AD74" s="49" t="s">
        <v>5</v>
      </c>
      <c r="AE74" s="50" t="s">
        <v>438</v>
      </c>
      <c r="AF74" s="49"/>
      <c r="AG74" s="50"/>
      <c r="AH74" s="49" t="s">
        <v>5</v>
      </c>
      <c r="AI74" s="50" t="s">
        <v>419</v>
      </c>
      <c r="AJ74" s="49"/>
      <c r="AK74" s="50"/>
      <c r="AL74" s="49"/>
      <c r="AM74" s="50"/>
      <c r="AN74" s="49"/>
      <c r="AO74" s="50"/>
      <c r="AP74" s="49"/>
      <c r="AQ74" s="50"/>
      <c r="AR74" s="49"/>
      <c r="AS74" s="50"/>
      <c r="AT74" s="49" t="s">
        <v>5</v>
      </c>
      <c r="AU74" s="50" t="s">
        <v>448</v>
      </c>
      <c r="AV74" s="49" t="s">
        <v>5</v>
      </c>
      <c r="AW74" s="50" t="s">
        <v>123</v>
      </c>
      <c r="AX74" s="49"/>
      <c r="AY74" s="50"/>
      <c r="AZ74" s="49"/>
      <c r="BA74" s="50"/>
      <c r="BB74" s="49"/>
      <c r="BC74" s="50"/>
      <c r="BD74" s="49"/>
      <c r="BE74" s="50"/>
      <c r="BF74" s="49"/>
      <c r="BG74" s="50"/>
      <c r="BH74" s="49"/>
      <c r="BI74" s="50"/>
      <c r="BJ74" s="49"/>
      <c r="BK74" s="50"/>
      <c r="BL74" s="49"/>
      <c r="BM74" s="50"/>
      <c r="BN74" s="49"/>
      <c r="BO74" s="50"/>
      <c r="BP74" s="49"/>
      <c r="BQ74" s="50"/>
      <c r="BR74" s="49"/>
      <c r="BS74" s="50"/>
      <c r="BT74" s="49"/>
      <c r="BU74" s="50"/>
      <c r="BV74" s="49"/>
      <c r="BW74" s="50"/>
      <c r="BX74" s="49"/>
      <c r="BY74" s="50"/>
      <c r="BZ74" s="49"/>
      <c r="CA74" s="50"/>
    </row>
    <row r="75" spans="1:79" s="91" customFormat="1" x14ac:dyDescent="0.25">
      <c r="A75" s="76">
        <v>150916</v>
      </c>
      <c r="B75" s="77" t="s">
        <v>528</v>
      </c>
      <c r="C75" s="78" t="s">
        <v>440</v>
      </c>
      <c r="D75" s="76" t="s">
        <v>70</v>
      </c>
      <c r="E75" s="79" t="s">
        <v>14</v>
      </c>
      <c r="F75" s="79" t="s">
        <v>71</v>
      </c>
      <c r="G75" s="79" t="s">
        <v>14</v>
      </c>
      <c r="H75" s="78" t="s">
        <v>14</v>
      </c>
      <c r="I75" s="79" t="s">
        <v>14</v>
      </c>
      <c r="J75" s="80">
        <v>6.8</v>
      </c>
      <c r="K75" s="81">
        <v>1</v>
      </c>
      <c r="L75" s="82">
        <v>0</v>
      </c>
      <c r="M75" s="83">
        <v>0</v>
      </c>
      <c r="N75" s="84">
        <v>99.04</v>
      </c>
      <c r="O75" s="85">
        <v>1</v>
      </c>
      <c r="P75" s="86"/>
      <c r="Q75" s="87">
        <f t="shared" si="12"/>
        <v>0</v>
      </c>
      <c r="R75" s="88">
        <f t="shared" si="13"/>
        <v>5</v>
      </c>
      <c r="S75" s="89">
        <f t="shared" si="14"/>
        <v>0</v>
      </c>
      <c r="T75" s="89">
        <f t="shared" si="15"/>
        <v>0</v>
      </c>
      <c r="U75" s="89">
        <f t="shared" si="16"/>
        <v>0</v>
      </c>
      <c r="V75" s="89">
        <f t="shared" si="17"/>
        <v>0</v>
      </c>
      <c r="W75" s="89">
        <f t="shared" si="18"/>
        <v>0</v>
      </c>
      <c r="X75" s="89">
        <f t="shared" si="19"/>
        <v>0</v>
      </c>
      <c r="Y75" s="89">
        <f t="shared" si="20"/>
        <v>0</v>
      </c>
      <c r="Z75" s="89">
        <f t="shared" si="21"/>
        <v>0</v>
      </c>
      <c r="AA75" s="41">
        <f t="shared" si="22"/>
        <v>0</v>
      </c>
      <c r="AB75" s="49"/>
      <c r="AC75" s="50"/>
      <c r="AD75" s="49"/>
      <c r="AE75" s="50"/>
      <c r="AF75" s="49"/>
      <c r="AG75" s="50"/>
      <c r="AH75" s="49"/>
      <c r="AI75" s="50"/>
      <c r="AJ75" s="49"/>
      <c r="AK75" s="50"/>
      <c r="AL75" s="49"/>
      <c r="AM75" s="50"/>
      <c r="AN75" s="49"/>
      <c r="AO75" s="50"/>
      <c r="AP75" s="49" t="s">
        <v>5</v>
      </c>
      <c r="AQ75" s="50" t="s">
        <v>428</v>
      </c>
      <c r="AR75" s="49" t="s">
        <v>5</v>
      </c>
      <c r="AS75" s="50" t="s">
        <v>459</v>
      </c>
      <c r="AT75" s="49" t="s">
        <v>5</v>
      </c>
      <c r="AU75" s="50"/>
      <c r="AV75" s="49" t="s">
        <v>5</v>
      </c>
      <c r="AW75" s="50" t="s">
        <v>428</v>
      </c>
      <c r="AX75" s="49"/>
      <c r="AY75" s="50"/>
      <c r="AZ75" s="49"/>
      <c r="BA75" s="50"/>
      <c r="BB75" s="49" t="s">
        <v>5</v>
      </c>
      <c r="BC75" s="50" t="s">
        <v>92</v>
      </c>
      <c r="BD75" s="49"/>
      <c r="BE75" s="50"/>
      <c r="BF75" s="49"/>
      <c r="BG75" s="50"/>
      <c r="BH75" s="49"/>
      <c r="BI75" s="50"/>
      <c r="BJ75" s="49"/>
      <c r="BK75" s="50"/>
      <c r="BL75" s="49"/>
      <c r="BM75" s="50"/>
      <c r="BN75" s="49"/>
      <c r="BO75" s="50"/>
      <c r="BP75" s="49"/>
      <c r="BQ75" s="50"/>
      <c r="BR75" s="49"/>
      <c r="BS75" s="50"/>
      <c r="BT75" s="49"/>
      <c r="BU75" s="50"/>
      <c r="BV75" s="49"/>
      <c r="BW75" s="50"/>
      <c r="BX75" s="49"/>
      <c r="BY75" s="50"/>
      <c r="BZ75" s="49"/>
      <c r="CA75" s="50"/>
    </row>
    <row r="76" spans="1:79" s="91" customFormat="1" x14ac:dyDescent="0.25">
      <c r="A76" s="76">
        <v>150818</v>
      </c>
      <c r="B76" s="77" t="s">
        <v>529</v>
      </c>
      <c r="C76" s="78" t="s">
        <v>432</v>
      </c>
      <c r="D76" s="76" t="s">
        <v>70</v>
      </c>
      <c r="E76" s="79" t="s">
        <v>14</v>
      </c>
      <c r="F76" s="79" t="s">
        <v>71</v>
      </c>
      <c r="G76" s="79" t="s">
        <v>14</v>
      </c>
      <c r="H76" s="78" t="s">
        <v>14</v>
      </c>
      <c r="I76" s="79" t="s">
        <v>14</v>
      </c>
      <c r="J76" s="80">
        <v>8.1999999999999993</v>
      </c>
      <c r="K76" s="81">
        <v>3</v>
      </c>
      <c r="L76" s="82">
        <v>0</v>
      </c>
      <c r="M76" s="83">
        <v>0</v>
      </c>
      <c r="N76" s="84">
        <v>95.56</v>
      </c>
      <c r="O76" s="85">
        <v>0</v>
      </c>
      <c r="P76" s="86"/>
      <c r="Q76" s="87">
        <f t="shared" si="12"/>
        <v>1</v>
      </c>
      <c r="R76" s="88">
        <f t="shared" si="13"/>
        <v>4</v>
      </c>
      <c r="S76" s="89">
        <f t="shared" si="14"/>
        <v>0</v>
      </c>
      <c r="T76" s="89">
        <f t="shared" si="15"/>
        <v>0</v>
      </c>
      <c r="U76" s="89">
        <f t="shared" si="16"/>
        <v>0</v>
      </c>
      <c r="V76" s="89">
        <f t="shared" si="17"/>
        <v>0</v>
      </c>
      <c r="W76" s="89">
        <f t="shared" si="18"/>
        <v>0</v>
      </c>
      <c r="X76" s="89">
        <f t="shared" si="19"/>
        <v>0</v>
      </c>
      <c r="Y76" s="89">
        <f t="shared" si="20"/>
        <v>0</v>
      </c>
      <c r="Z76" s="89">
        <f t="shared" si="21"/>
        <v>0</v>
      </c>
      <c r="AA76" s="41">
        <f t="shared" si="22"/>
        <v>0</v>
      </c>
      <c r="AB76" s="49"/>
      <c r="AC76" s="50"/>
      <c r="AD76" s="49"/>
      <c r="AE76" s="50"/>
      <c r="AF76" s="49"/>
      <c r="AG76" s="50"/>
      <c r="AH76" s="49"/>
      <c r="AI76" s="50"/>
      <c r="AJ76" s="49"/>
      <c r="AK76" s="50"/>
      <c r="AL76" s="49"/>
      <c r="AM76" s="50"/>
      <c r="AN76" s="49"/>
      <c r="AO76" s="50"/>
      <c r="AP76" s="49" t="s">
        <v>1</v>
      </c>
      <c r="AQ76" s="50" t="s">
        <v>428</v>
      </c>
      <c r="AR76" s="49"/>
      <c r="AS76" s="50"/>
      <c r="AT76" s="49"/>
      <c r="AU76" s="50"/>
      <c r="AV76" s="49" t="s">
        <v>5</v>
      </c>
      <c r="AW76" s="50" t="s">
        <v>123</v>
      </c>
      <c r="AX76" s="49"/>
      <c r="AY76" s="50"/>
      <c r="AZ76" s="49"/>
      <c r="BA76" s="50"/>
      <c r="BB76" s="49" t="s">
        <v>5</v>
      </c>
      <c r="BC76" s="50" t="s">
        <v>92</v>
      </c>
      <c r="BD76" s="49"/>
      <c r="BE76" s="50"/>
      <c r="BF76" s="49"/>
      <c r="BG76" s="50"/>
      <c r="BH76" s="49"/>
      <c r="BI76" s="50"/>
      <c r="BJ76" s="49"/>
      <c r="BK76" s="50"/>
      <c r="BL76" s="49"/>
      <c r="BM76" s="50"/>
      <c r="BN76" s="49"/>
      <c r="BO76" s="50"/>
      <c r="BP76" s="49"/>
      <c r="BQ76" s="50"/>
      <c r="BR76" s="49"/>
      <c r="BS76" s="50"/>
      <c r="BT76" s="49" t="s">
        <v>5</v>
      </c>
      <c r="BU76" s="50" t="s">
        <v>93</v>
      </c>
      <c r="BV76" s="49"/>
      <c r="BW76" s="50"/>
      <c r="BX76" s="49"/>
      <c r="BY76" s="50"/>
      <c r="BZ76" s="49" t="s">
        <v>5</v>
      </c>
      <c r="CA76" s="50" t="s">
        <v>421</v>
      </c>
    </row>
    <row r="77" spans="1:79" s="91" customFormat="1" x14ac:dyDescent="0.25">
      <c r="A77" s="76">
        <v>150779</v>
      </c>
      <c r="B77" s="77" t="s">
        <v>530</v>
      </c>
      <c r="C77" s="78" t="s">
        <v>432</v>
      </c>
      <c r="D77" s="76" t="s">
        <v>70</v>
      </c>
      <c r="E77" s="79" t="s">
        <v>14</v>
      </c>
      <c r="F77" s="79" t="s">
        <v>71</v>
      </c>
      <c r="G77" s="79" t="s">
        <v>14</v>
      </c>
      <c r="H77" s="78" t="s">
        <v>14</v>
      </c>
      <c r="I77" s="79" t="s">
        <v>14</v>
      </c>
      <c r="J77" s="80">
        <v>6.6</v>
      </c>
      <c r="K77" s="81">
        <v>9</v>
      </c>
      <c r="L77" s="82">
        <v>0</v>
      </c>
      <c r="M77" s="83">
        <v>0</v>
      </c>
      <c r="N77" s="84">
        <v>100</v>
      </c>
      <c r="O77" s="85">
        <v>0</v>
      </c>
      <c r="P77" s="86"/>
      <c r="Q77" s="87">
        <f t="shared" si="12"/>
        <v>0</v>
      </c>
      <c r="R77" s="88">
        <f t="shared" si="13"/>
        <v>4</v>
      </c>
      <c r="S77" s="89">
        <f t="shared" si="14"/>
        <v>0</v>
      </c>
      <c r="T77" s="89">
        <f t="shared" si="15"/>
        <v>0</v>
      </c>
      <c r="U77" s="89">
        <f t="shared" si="16"/>
        <v>0</v>
      </c>
      <c r="V77" s="89">
        <f t="shared" si="17"/>
        <v>0</v>
      </c>
      <c r="W77" s="89">
        <f t="shared" si="18"/>
        <v>0</v>
      </c>
      <c r="X77" s="89">
        <f t="shared" si="19"/>
        <v>0</v>
      </c>
      <c r="Y77" s="89">
        <f t="shared" si="20"/>
        <v>0</v>
      </c>
      <c r="Z77" s="89">
        <f t="shared" si="21"/>
        <v>0</v>
      </c>
      <c r="AA77" s="41">
        <f t="shared" si="22"/>
        <v>0</v>
      </c>
      <c r="AB77" s="49" t="s">
        <v>5</v>
      </c>
      <c r="AC77" s="50" t="s">
        <v>116</v>
      </c>
      <c r="AD77" s="49"/>
      <c r="AE77" s="50"/>
      <c r="AF77" s="49"/>
      <c r="AG77" s="50"/>
      <c r="AH77" s="49"/>
      <c r="AI77" s="50"/>
      <c r="AJ77" s="49"/>
      <c r="AK77" s="50"/>
      <c r="AL77" s="49"/>
      <c r="AM77" s="50"/>
      <c r="AN77" s="49"/>
      <c r="AO77" s="50"/>
      <c r="AP77" s="49"/>
      <c r="AQ77" s="50"/>
      <c r="AR77" s="49"/>
      <c r="AS77" s="50"/>
      <c r="AT77" s="49" t="s">
        <v>5</v>
      </c>
      <c r="AU77" s="50" t="s">
        <v>448</v>
      </c>
      <c r="AV77" s="49" t="s">
        <v>5</v>
      </c>
      <c r="AW77" s="50" t="s">
        <v>123</v>
      </c>
      <c r="AX77" s="49" t="s">
        <v>5</v>
      </c>
      <c r="AY77" s="50" t="s">
        <v>421</v>
      </c>
      <c r="AZ77" s="49"/>
      <c r="BA77" s="50"/>
      <c r="BB77" s="49"/>
      <c r="BC77" s="50"/>
      <c r="BD77" s="49"/>
      <c r="BE77" s="50"/>
      <c r="BF77" s="49"/>
      <c r="BG77" s="50"/>
      <c r="BH77" s="49"/>
      <c r="BI77" s="50"/>
      <c r="BJ77" s="49"/>
      <c r="BK77" s="50"/>
      <c r="BL77" s="49"/>
      <c r="BM77" s="50"/>
      <c r="BN77" s="49"/>
      <c r="BO77" s="50"/>
      <c r="BP77" s="49"/>
      <c r="BQ77" s="50"/>
      <c r="BR77" s="49"/>
      <c r="BS77" s="50"/>
      <c r="BT77" s="49"/>
      <c r="BU77" s="50"/>
      <c r="BV77" s="49"/>
      <c r="BW77" s="50"/>
      <c r="BX77" s="49"/>
      <c r="BY77" s="50"/>
      <c r="BZ77" s="49"/>
      <c r="CA77" s="50"/>
    </row>
    <row r="78" spans="1:79" s="91" customFormat="1" x14ac:dyDescent="0.25">
      <c r="A78" s="76">
        <v>150980</v>
      </c>
      <c r="B78" s="77" t="s">
        <v>531</v>
      </c>
      <c r="C78" s="78" t="s">
        <v>432</v>
      </c>
      <c r="D78" s="76" t="s">
        <v>70</v>
      </c>
      <c r="E78" s="79" t="s">
        <v>14</v>
      </c>
      <c r="F78" s="79" t="s">
        <v>71</v>
      </c>
      <c r="G78" s="79" t="s">
        <v>14</v>
      </c>
      <c r="H78" s="78" t="s">
        <v>14</v>
      </c>
      <c r="I78" s="79" t="s">
        <v>14</v>
      </c>
      <c r="J78" s="80">
        <v>8.6999999999999993</v>
      </c>
      <c r="K78" s="81">
        <v>0</v>
      </c>
      <c r="L78" s="82">
        <v>0</v>
      </c>
      <c r="M78" s="83">
        <v>0</v>
      </c>
      <c r="N78" s="84">
        <v>100</v>
      </c>
      <c r="O78" s="85">
        <v>0</v>
      </c>
      <c r="P78" s="86"/>
      <c r="Q78" s="87">
        <f t="shared" si="12"/>
        <v>3</v>
      </c>
      <c r="R78" s="88">
        <f t="shared" si="13"/>
        <v>2</v>
      </c>
      <c r="S78" s="89">
        <f t="shared" si="14"/>
        <v>0</v>
      </c>
      <c r="T78" s="89">
        <f t="shared" si="15"/>
        <v>0</v>
      </c>
      <c r="U78" s="89">
        <f t="shared" si="16"/>
        <v>0</v>
      </c>
      <c r="V78" s="89">
        <f t="shared" si="17"/>
        <v>0</v>
      </c>
      <c r="W78" s="89">
        <f t="shared" si="18"/>
        <v>0</v>
      </c>
      <c r="X78" s="89">
        <f t="shared" si="19"/>
        <v>0</v>
      </c>
      <c r="Y78" s="89">
        <f t="shared" si="20"/>
        <v>0</v>
      </c>
      <c r="Z78" s="89">
        <f t="shared" si="21"/>
        <v>0</v>
      </c>
      <c r="AA78" s="41">
        <f t="shared" si="22"/>
        <v>0</v>
      </c>
      <c r="AB78" s="49"/>
      <c r="AC78" s="50"/>
      <c r="AD78" s="49" t="s">
        <v>1</v>
      </c>
      <c r="AE78" s="50" t="s">
        <v>133</v>
      </c>
      <c r="AF78" s="49"/>
      <c r="AG78" s="50"/>
      <c r="AH78" s="49" t="s">
        <v>5</v>
      </c>
      <c r="AI78" s="50" t="s">
        <v>424</v>
      </c>
      <c r="AJ78" s="49"/>
      <c r="AK78" s="50"/>
      <c r="AL78" s="49"/>
      <c r="AM78" s="50"/>
      <c r="AN78" s="49"/>
      <c r="AO78" s="50"/>
      <c r="AP78" s="49"/>
      <c r="AQ78" s="50"/>
      <c r="AR78" s="49"/>
      <c r="AS78" s="50"/>
      <c r="AT78" s="49"/>
      <c r="AU78" s="50"/>
      <c r="AV78" s="49" t="s">
        <v>5</v>
      </c>
      <c r="AW78" s="50" t="s">
        <v>123</v>
      </c>
      <c r="AX78" s="49"/>
      <c r="AY78" s="50"/>
      <c r="AZ78" s="49"/>
      <c r="BA78" s="50"/>
      <c r="BB78" s="49"/>
      <c r="BC78" s="50"/>
      <c r="BD78" s="49"/>
      <c r="BE78" s="50"/>
      <c r="BF78" s="49"/>
      <c r="BG78" s="50"/>
      <c r="BH78" s="49"/>
      <c r="BI78" s="50"/>
      <c r="BJ78" s="49" t="s">
        <v>1</v>
      </c>
      <c r="BK78" s="50" t="s">
        <v>430</v>
      </c>
      <c r="BL78" s="49"/>
      <c r="BM78" s="50"/>
      <c r="BN78" s="49"/>
      <c r="BO78" s="50"/>
      <c r="BP78" s="49"/>
      <c r="BQ78" s="50"/>
      <c r="BR78" s="49" t="s">
        <v>1</v>
      </c>
      <c r="BS78" s="50" t="s">
        <v>109</v>
      </c>
      <c r="BT78" s="49"/>
      <c r="BU78" s="50"/>
      <c r="BV78" s="49"/>
      <c r="BW78" s="50"/>
      <c r="BX78" s="49"/>
      <c r="BY78" s="50"/>
      <c r="BZ78" s="49"/>
      <c r="CA78" s="50"/>
    </row>
    <row r="79" spans="1:79" s="91" customFormat="1" x14ac:dyDescent="0.25">
      <c r="A79" s="76">
        <v>160088</v>
      </c>
      <c r="B79" s="77" t="s">
        <v>532</v>
      </c>
      <c r="C79" s="78" t="s">
        <v>452</v>
      </c>
      <c r="D79" s="76" t="s">
        <v>12</v>
      </c>
      <c r="E79" s="79" t="s">
        <v>14</v>
      </c>
      <c r="F79" s="79" t="s">
        <v>71</v>
      </c>
      <c r="G79" s="79" t="s">
        <v>14</v>
      </c>
      <c r="H79" s="78" t="s">
        <v>14</v>
      </c>
      <c r="I79" s="79" t="s">
        <v>14</v>
      </c>
      <c r="J79" s="80">
        <v>6.4</v>
      </c>
      <c r="K79" s="81">
        <v>2</v>
      </c>
      <c r="L79" s="82">
        <v>0</v>
      </c>
      <c r="M79" s="83">
        <v>0</v>
      </c>
      <c r="N79" s="84">
        <v>100</v>
      </c>
      <c r="O79" s="85">
        <v>0</v>
      </c>
      <c r="P79" s="86"/>
      <c r="Q79" s="87">
        <f t="shared" si="12"/>
        <v>0</v>
      </c>
      <c r="R79" s="88">
        <f t="shared" si="13"/>
        <v>4</v>
      </c>
      <c r="S79" s="89">
        <f t="shared" si="14"/>
        <v>0</v>
      </c>
      <c r="T79" s="89">
        <f t="shared" si="15"/>
        <v>0</v>
      </c>
      <c r="U79" s="89">
        <f t="shared" si="16"/>
        <v>0</v>
      </c>
      <c r="V79" s="89">
        <f t="shared" si="17"/>
        <v>0</v>
      </c>
      <c r="W79" s="89">
        <f t="shared" si="18"/>
        <v>0</v>
      </c>
      <c r="X79" s="89">
        <f t="shared" si="19"/>
        <v>0</v>
      </c>
      <c r="Y79" s="89">
        <f t="shared" si="20"/>
        <v>0</v>
      </c>
      <c r="Z79" s="89">
        <f t="shared" si="21"/>
        <v>0</v>
      </c>
      <c r="AA79" s="41">
        <f t="shared" si="22"/>
        <v>0</v>
      </c>
      <c r="AB79" s="49"/>
      <c r="AC79" s="50"/>
      <c r="AD79" s="49"/>
      <c r="AE79" s="50"/>
      <c r="AF79" s="49" t="s">
        <v>5</v>
      </c>
      <c r="AG79" s="50" t="s">
        <v>427</v>
      </c>
      <c r="AH79" s="49"/>
      <c r="AI79" s="50"/>
      <c r="AJ79" s="49"/>
      <c r="AK79" s="50"/>
      <c r="AL79" s="49"/>
      <c r="AM79" s="50"/>
      <c r="AN79" s="49"/>
      <c r="AO79" s="50"/>
      <c r="AP79" s="49" t="s">
        <v>5</v>
      </c>
      <c r="AQ79" s="50" t="s">
        <v>428</v>
      </c>
      <c r="AR79" s="49"/>
      <c r="AS79" s="50"/>
      <c r="AT79" s="49"/>
      <c r="AU79" s="50"/>
      <c r="AV79" s="49" t="s">
        <v>5</v>
      </c>
      <c r="AW79" s="50" t="s">
        <v>108</v>
      </c>
      <c r="AX79" s="49"/>
      <c r="AY79" s="50"/>
      <c r="AZ79" s="49"/>
      <c r="BA79" s="50"/>
      <c r="BB79" s="49"/>
      <c r="BC79" s="50"/>
      <c r="BD79" s="49"/>
      <c r="BE79" s="50"/>
      <c r="BF79" s="49"/>
      <c r="BG79" s="50"/>
      <c r="BH79" s="49"/>
      <c r="BI79" s="50"/>
      <c r="BJ79" s="49" t="s">
        <v>5</v>
      </c>
      <c r="BK79" s="50" t="s">
        <v>430</v>
      </c>
      <c r="BL79" s="49"/>
      <c r="BM79" s="50"/>
      <c r="BN79" s="49"/>
      <c r="BO79" s="50"/>
      <c r="BP79" s="49"/>
      <c r="BQ79" s="50"/>
      <c r="BR79" s="49"/>
      <c r="BS79" s="50"/>
      <c r="BT79" s="49"/>
      <c r="BU79" s="50"/>
      <c r="BV79" s="49"/>
      <c r="BW79" s="50"/>
      <c r="BX79" s="49"/>
      <c r="BY79" s="50"/>
      <c r="BZ79" s="49"/>
      <c r="CA79" s="50"/>
    </row>
    <row r="80" spans="1:79" s="91" customFormat="1" x14ac:dyDescent="0.25">
      <c r="A80" s="76">
        <v>150846</v>
      </c>
      <c r="B80" s="77" t="s">
        <v>533</v>
      </c>
      <c r="C80" s="78" t="s">
        <v>432</v>
      </c>
      <c r="D80" s="76" t="s">
        <v>70</v>
      </c>
      <c r="E80" s="79" t="s">
        <v>14</v>
      </c>
      <c r="F80" s="79" t="s">
        <v>71</v>
      </c>
      <c r="G80" s="79" t="s">
        <v>14</v>
      </c>
      <c r="H80" s="78" t="s">
        <v>14</v>
      </c>
      <c r="I80" s="79" t="s">
        <v>14</v>
      </c>
      <c r="J80" s="80">
        <v>7.2</v>
      </c>
      <c r="K80" s="81">
        <v>3</v>
      </c>
      <c r="L80" s="82">
        <v>0</v>
      </c>
      <c r="M80" s="83">
        <v>0</v>
      </c>
      <c r="N80" s="84">
        <v>98.31</v>
      </c>
      <c r="O80" s="85">
        <v>0</v>
      </c>
      <c r="P80" s="86"/>
      <c r="Q80" s="87">
        <f t="shared" si="12"/>
        <v>0</v>
      </c>
      <c r="R80" s="88">
        <f t="shared" si="13"/>
        <v>4</v>
      </c>
      <c r="S80" s="89">
        <f t="shared" si="14"/>
        <v>0</v>
      </c>
      <c r="T80" s="89">
        <f t="shared" si="15"/>
        <v>0</v>
      </c>
      <c r="U80" s="89">
        <f t="shared" si="16"/>
        <v>0</v>
      </c>
      <c r="V80" s="89">
        <f t="shared" si="17"/>
        <v>0</v>
      </c>
      <c r="W80" s="89">
        <f t="shared" si="18"/>
        <v>0</v>
      </c>
      <c r="X80" s="89">
        <f t="shared" si="19"/>
        <v>0</v>
      </c>
      <c r="Y80" s="89">
        <f t="shared" si="20"/>
        <v>0</v>
      </c>
      <c r="Z80" s="89">
        <f t="shared" si="21"/>
        <v>0</v>
      </c>
      <c r="AA80" s="41">
        <f t="shared" si="22"/>
        <v>0</v>
      </c>
      <c r="AB80" s="49"/>
      <c r="AC80" s="50"/>
      <c r="AD80" s="49"/>
      <c r="AE80" s="50"/>
      <c r="AF80" s="49"/>
      <c r="AG80" s="50"/>
      <c r="AH80" s="49"/>
      <c r="AI80" s="50"/>
      <c r="AJ80" s="49"/>
      <c r="AK80" s="50"/>
      <c r="AL80" s="49"/>
      <c r="AM80" s="50"/>
      <c r="AN80" s="49"/>
      <c r="AO80" s="50"/>
      <c r="AP80" s="49"/>
      <c r="AQ80" s="50"/>
      <c r="AR80" s="49"/>
      <c r="AS80" s="50"/>
      <c r="AT80" s="49" t="s">
        <v>5</v>
      </c>
      <c r="AU80" s="50" t="s">
        <v>478</v>
      </c>
      <c r="AV80" s="49" t="s">
        <v>5</v>
      </c>
      <c r="AW80" s="50" t="s">
        <v>457</v>
      </c>
      <c r="AX80" s="49"/>
      <c r="AY80" s="50"/>
      <c r="AZ80" s="49"/>
      <c r="BA80" s="50"/>
      <c r="BB80" s="49"/>
      <c r="BC80" s="50"/>
      <c r="BD80" s="49"/>
      <c r="BE80" s="50"/>
      <c r="BF80" s="49"/>
      <c r="BG80" s="50"/>
      <c r="BH80" s="49" t="s">
        <v>5</v>
      </c>
      <c r="BI80" s="50" t="s">
        <v>77</v>
      </c>
      <c r="BJ80" s="49"/>
      <c r="BK80" s="50"/>
      <c r="BL80" s="49"/>
      <c r="BM80" s="50"/>
      <c r="BN80" s="49"/>
      <c r="BO80" s="50"/>
      <c r="BP80" s="49"/>
      <c r="BQ80" s="50"/>
      <c r="BR80" s="49"/>
      <c r="BS80" s="50"/>
      <c r="BT80" s="49" t="s">
        <v>5</v>
      </c>
      <c r="BU80" s="50" t="s">
        <v>93</v>
      </c>
      <c r="BV80" s="49"/>
      <c r="BW80" s="50"/>
      <c r="BX80" s="49"/>
      <c r="BY80" s="50"/>
      <c r="BZ80" s="49"/>
      <c r="CA80" s="50"/>
    </row>
    <row r="81" spans="1:79" s="91" customFormat="1" x14ac:dyDescent="0.25">
      <c r="A81" s="76">
        <v>160360</v>
      </c>
      <c r="B81" s="77" t="s">
        <v>534</v>
      </c>
      <c r="C81" s="78" t="s">
        <v>466</v>
      </c>
      <c r="D81" s="76" t="s">
        <v>70</v>
      </c>
      <c r="E81" s="79" t="s">
        <v>14</v>
      </c>
      <c r="F81" s="79" t="s">
        <v>71</v>
      </c>
      <c r="G81" s="79" t="s">
        <v>14</v>
      </c>
      <c r="H81" s="78" t="s">
        <v>14</v>
      </c>
      <c r="I81" s="79" t="s">
        <v>14</v>
      </c>
      <c r="J81" s="80">
        <v>5.3</v>
      </c>
      <c r="K81" s="81">
        <v>3</v>
      </c>
      <c r="L81" s="82">
        <v>0</v>
      </c>
      <c r="M81" s="83">
        <v>0</v>
      </c>
      <c r="N81" s="84">
        <v>94.12</v>
      </c>
      <c r="O81" s="85">
        <v>0</v>
      </c>
      <c r="P81" s="86"/>
      <c r="Q81" s="87">
        <f t="shared" si="12"/>
        <v>1</v>
      </c>
      <c r="R81" s="88">
        <f t="shared" si="13"/>
        <v>3</v>
      </c>
      <c r="S81" s="89">
        <f t="shared" si="14"/>
        <v>0</v>
      </c>
      <c r="T81" s="89">
        <f t="shared" si="15"/>
        <v>0</v>
      </c>
      <c r="U81" s="89">
        <f t="shared" si="16"/>
        <v>0</v>
      </c>
      <c r="V81" s="89">
        <f t="shared" si="17"/>
        <v>0</v>
      </c>
      <c r="W81" s="89">
        <f t="shared" si="18"/>
        <v>0</v>
      </c>
      <c r="X81" s="89">
        <f t="shared" si="19"/>
        <v>0</v>
      </c>
      <c r="Y81" s="89">
        <f t="shared" si="20"/>
        <v>0</v>
      </c>
      <c r="Z81" s="89">
        <f t="shared" si="21"/>
        <v>0</v>
      </c>
      <c r="AA81" s="41">
        <f t="shared" si="22"/>
        <v>0</v>
      </c>
      <c r="AB81" s="49"/>
      <c r="AC81" s="50"/>
      <c r="AD81" s="49"/>
      <c r="AE81" s="50"/>
      <c r="AF81" s="49" t="s">
        <v>5</v>
      </c>
      <c r="AG81" s="50" t="s">
        <v>427</v>
      </c>
      <c r="AH81" s="49"/>
      <c r="AI81" s="50"/>
      <c r="AJ81" s="49"/>
      <c r="AK81" s="50"/>
      <c r="AL81" s="49"/>
      <c r="AM81" s="50"/>
      <c r="AN81" s="49"/>
      <c r="AO81" s="50"/>
      <c r="AP81" s="49"/>
      <c r="AQ81" s="50"/>
      <c r="AR81" s="49"/>
      <c r="AS81" s="50"/>
      <c r="AT81" s="49"/>
      <c r="AU81" s="50"/>
      <c r="AV81" s="49" t="s">
        <v>5</v>
      </c>
      <c r="AW81" s="50" t="s">
        <v>108</v>
      </c>
      <c r="AX81" s="49"/>
      <c r="AY81" s="50"/>
      <c r="AZ81" s="49"/>
      <c r="BA81" s="50"/>
      <c r="BB81" s="49"/>
      <c r="BC81" s="50"/>
      <c r="BD81" s="49"/>
      <c r="BE81" s="50"/>
      <c r="BF81" s="49"/>
      <c r="BG81" s="50"/>
      <c r="BH81" s="49"/>
      <c r="BI81" s="50"/>
      <c r="BJ81" s="49"/>
      <c r="BK81" s="50"/>
      <c r="BL81" s="49"/>
      <c r="BM81" s="50"/>
      <c r="BN81" s="49"/>
      <c r="BO81" s="50"/>
      <c r="BP81" s="49"/>
      <c r="BQ81" s="50"/>
      <c r="BR81" s="49"/>
      <c r="BS81" s="50"/>
      <c r="BT81" s="49" t="s">
        <v>5</v>
      </c>
      <c r="BU81" s="50" t="s">
        <v>93</v>
      </c>
      <c r="BV81" s="49" t="s">
        <v>1</v>
      </c>
      <c r="BW81" s="50" t="s">
        <v>436</v>
      </c>
      <c r="BX81" s="49"/>
      <c r="BY81" s="50"/>
      <c r="BZ81" s="49"/>
      <c r="CA81" s="50"/>
    </row>
    <row r="82" spans="1:79" s="91" customFormat="1" x14ac:dyDescent="0.25">
      <c r="A82" s="76">
        <v>150803</v>
      </c>
      <c r="B82" s="77" t="s">
        <v>535</v>
      </c>
      <c r="C82" s="78" t="s">
        <v>440</v>
      </c>
      <c r="D82" s="76" t="s">
        <v>12</v>
      </c>
      <c r="E82" s="79" t="s">
        <v>14</v>
      </c>
      <c r="F82" s="77" t="s">
        <v>503</v>
      </c>
      <c r="G82" s="79" t="s">
        <v>14</v>
      </c>
      <c r="H82" s="78" t="s">
        <v>14</v>
      </c>
      <c r="I82" s="79" t="s">
        <v>14</v>
      </c>
      <c r="J82" s="80">
        <v>4.9000000000000004</v>
      </c>
      <c r="K82" s="81">
        <v>1</v>
      </c>
      <c r="L82" s="82">
        <v>0</v>
      </c>
      <c r="M82" s="83">
        <v>0</v>
      </c>
      <c r="N82" s="84">
        <v>93.28</v>
      </c>
      <c r="O82" s="85">
        <v>2</v>
      </c>
      <c r="P82" s="86"/>
      <c r="Q82" s="87">
        <f t="shared" si="12"/>
        <v>0</v>
      </c>
      <c r="R82" s="88">
        <f t="shared" si="13"/>
        <v>3</v>
      </c>
      <c r="S82" s="89">
        <f t="shared" si="14"/>
        <v>0</v>
      </c>
      <c r="T82" s="89">
        <f t="shared" si="15"/>
        <v>0</v>
      </c>
      <c r="U82" s="89">
        <f t="shared" si="16"/>
        <v>1</v>
      </c>
      <c r="V82" s="89">
        <f t="shared" si="17"/>
        <v>1</v>
      </c>
      <c r="W82" s="89">
        <f t="shared" si="18"/>
        <v>0</v>
      </c>
      <c r="X82" s="89">
        <f t="shared" si="19"/>
        <v>0</v>
      </c>
      <c r="Y82" s="89">
        <f t="shared" si="20"/>
        <v>0</v>
      </c>
      <c r="Z82" s="89">
        <f t="shared" si="21"/>
        <v>0</v>
      </c>
      <c r="AA82" s="41">
        <f t="shared" si="22"/>
        <v>0</v>
      </c>
      <c r="AB82" s="49"/>
      <c r="AC82" s="50"/>
      <c r="AD82" s="49"/>
      <c r="AE82" s="50"/>
      <c r="AF82" s="49" t="s">
        <v>5</v>
      </c>
      <c r="AG82" s="50" t="s">
        <v>427</v>
      </c>
      <c r="AH82" s="49"/>
      <c r="AI82" s="50"/>
      <c r="AJ82" s="49" t="s">
        <v>5</v>
      </c>
      <c r="AK82" s="50" t="s">
        <v>163</v>
      </c>
      <c r="AL82" s="49"/>
      <c r="AM82" s="50"/>
      <c r="AN82" s="49"/>
      <c r="AO82" s="50"/>
      <c r="AP82" s="49" t="s">
        <v>5</v>
      </c>
      <c r="AQ82" s="50" t="s">
        <v>428</v>
      </c>
      <c r="AR82" s="49"/>
      <c r="AS82" s="50"/>
      <c r="AT82" s="49"/>
      <c r="AU82" s="50"/>
      <c r="AV82" s="49" t="s">
        <v>32</v>
      </c>
      <c r="AW82" s="50" t="s">
        <v>428</v>
      </c>
      <c r="AX82" s="49"/>
      <c r="AY82" s="50"/>
      <c r="AZ82" s="49"/>
      <c r="BA82" s="50"/>
      <c r="BB82" s="49"/>
      <c r="BC82" s="50"/>
      <c r="BD82" s="49"/>
      <c r="BE82" s="50"/>
      <c r="BF82" s="49"/>
      <c r="BG82" s="50"/>
      <c r="BH82" s="49"/>
      <c r="BI82" s="50"/>
      <c r="BJ82" s="49"/>
      <c r="BK82" s="50"/>
      <c r="BL82" s="49"/>
      <c r="BM82" s="50"/>
      <c r="BN82" s="49"/>
      <c r="BO82" s="50"/>
      <c r="BP82" s="49"/>
      <c r="BQ82" s="50"/>
      <c r="BR82" s="49"/>
      <c r="BS82" s="50"/>
      <c r="BT82" s="49"/>
      <c r="BU82" s="50"/>
      <c r="BV82" s="49"/>
      <c r="BW82" s="50"/>
      <c r="BX82" s="49"/>
      <c r="BY82" s="50"/>
      <c r="BZ82" s="49"/>
      <c r="CA82" s="50"/>
    </row>
    <row r="83" spans="1:79" s="91" customFormat="1" x14ac:dyDescent="0.25">
      <c r="A83" s="76">
        <v>150958</v>
      </c>
      <c r="B83" s="77" t="s">
        <v>536</v>
      </c>
      <c r="C83" s="78" t="s">
        <v>440</v>
      </c>
      <c r="D83" s="76" t="s">
        <v>12</v>
      </c>
      <c r="E83" s="79" t="s">
        <v>14</v>
      </c>
      <c r="F83" s="79" t="s">
        <v>71</v>
      </c>
      <c r="G83" s="79" t="s">
        <v>14</v>
      </c>
      <c r="H83" s="78" t="s">
        <v>14</v>
      </c>
      <c r="I83" s="79" t="s">
        <v>14</v>
      </c>
      <c r="J83" s="80">
        <v>5.9</v>
      </c>
      <c r="K83" s="81">
        <v>2</v>
      </c>
      <c r="L83" s="82">
        <v>0</v>
      </c>
      <c r="M83" s="83">
        <v>0</v>
      </c>
      <c r="N83" s="84">
        <v>96.43</v>
      </c>
      <c r="O83" s="85">
        <v>0</v>
      </c>
      <c r="P83" s="86"/>
      <c r="Q83" s="87">
        <f t="shared" si="12"/>
        <v>0</v>
      </c>
      <c r="R83" s="88">
        <f t="shared" si="13"/>
        <v>4</v>
      </c>
      <c r="S83" s="89">
        <f t="shared" si="14"/>
        <v>0</v>
      </c>
      <c r="T83" s="89">
        <f t="shared" si="15"/>
        <v>0</v>
      </c>
      <c r="U83" s="89">
        <f t="shared" si="16"/>
        <v>0</v>
      </c>
      <c r="V83" s="89">
        <f t="shared" si="17"/>
        <v>0</v>
      </c>
      <c r="W83" s="89">
        <f t="shared" si="18"/>
        <v>0</v>
      </c>
      <c r="X83" s="89">
        <f t="shared" si="19"/>
        <v>0</v>
      </c>
      <c r="Y83" s="89">
        <f t="shared" si="20"/>
        <v>0</v>
      </c>
      <c r="Z83" s="89">
        <f t="shared" si="21"/>
        <v>0</v>
      </c>
      <c r="AA83" s="41">
        <f t="shared" si="22"/>
        <v>0</v>
      </c>
      <c r="AB83" s="49"/>
      <c r="AC83" s="50"/>
      <c r="AD83" s="49" t="s">
        <v>5</v>
      </c>
      <c r="AE83" s="50" t="s">
        <v>154</v>
      </c>
      <c r="AF83" s="49"/>
      <c r="AG83" s="50"/>
      <c r="AH83" s="49"/>
      <c r="AI83" s="50"/>
      <c r="AJ83" s="49"/>
      <c r="AK83" s="50"/>
      <c r="AL83" s="49"/>
      <c r="AM83" s="50"/>
      <c r="AN83" s="49"/>
      <c r="AO83" s="50"/>
      <c r="AP83" s="49"/>
      <c r="AQ83" s="50"/>
      <c r="AR83" s="49"/>
      <c r="AS83" s="50"/>
      <c r="AT83" s="49"/>
      <c r="AU83" s="50"/>
      <c r="AV83" s="49" t="s">
        <v>5</v>
      </c>
      <c r="AW83" s="50" t="s">
        <v>457</v>
      </c>
      <c r="AX83" s="49"/>
      <c r="AY83" s="50"/>
      <c r="AZ83" s="49"/>
      <c r="BA83" s="50"/>
      <c r="BB83" s="49"/>
      <c r="BC83" s="50"/>
      <c r="BD83" s="49"/>
      <c r="BE83" s="50"/>
      <c r="BF83" s="49"/>
      <c r="BG83" s="50"/>
      <c r="BH83" s="49"/>
      <c r="BI83" s="50"/>
      <c r="BJ83" s="49" t="s">
        <v>5</v>
      </c>
      <c r="BK83" s="50" t="s">
        <v>430</v>
      </c>
      <c r="BL83" s="49"/>
      <c r="BM83" s="50"/>
      <c r="BN83" s="49"/>
      <c r="BO83" s="50"/>
      <c r="BP83" s="49"/>
      <c r="BQ83" s="50"/>
      <c r="BR83" s="49"/>
      <c r="BS83" s="50"/>
      <c r="BT83" s="49"/>
      <c r="BU83" s="50"/>
      <c r="BV83" s="49" t="s">
        <v>5</v>
      </c>
      <c r="BW83" s="50" t="s">
        <v>436</v>
      </c>
      <c r="BX83" s="49"/>
      <c r="BY83" s="50"/>
      <c r="BZ83" s="49"/>
      <c r="CA83" s="50"/>
    </row>
    <row r="84" spans="1:79" s="91" customFormat="1" x14ac:dyDescent="0.25">
      <c r="A84" s="76">
        <v>160083</v>
      </c>
      <c r="B84" s="77" t="s">
        <v>537</v>
      </c>
      <c r="C84" s="78" t="s">
        <v>497</v>
      </c>
      <c r="D84" s="76" t="s">
        <v>70</v>
      </c>
      <c r="E84" s="79" t="s">
        <v>14</v>
      </c>
      <c r="F84" s="79" t="s">
        <v>71</v>
      </c>
      <c r="G84" s="79" t="s">
        <v>14</v>
      </c>
      <c r="H84" s="78" t="s">
        <v>14</v>
      </c>
      <c r="I84" s="79" t="s">
        <v>14</v>
      </c>
      <c r="J84" s="80">
        <v>8.6999999999999993</v>
      </c>
      <c r="K84" s="81">
        <v>0</v>
      </c>
      <c r="L84" s="82">
        <v>0</v>
      </c>
      <c r="M84" s="83">
        <v>0</v>
      </c>
      <c r="N84" s="84">
        <v>100</v>
      </c>
      <c r="O84" s="85">
        <v>0</v>
      </c>
      <c r="P84" s="86"/>
      <c r="Q84" s="87">
        <f t="shared" si="12"/>
        <v>1</v>
      </c>
      <c r="R84" s="88">
        <f t="shared" si="13"/>
        <v>3</v>
      </c>
      <c r="S84" s="89">
        <f t="shared" si="14"/>
        <v>0</v>
      </c>
      <c r="T84" s="89">
        <f t="shared" si="15"/>
        <v>0</v>
      </c>
      <c r="U84" s="89">
        <f t="shared" si="16"/>
        <v>0</v>
      </c>
      <c r="V84" s="89">
        <f t="shared" si="17"/>
        <v>0</v>
      </c>
      <c r="W84" s="89">
        <f t="shared" si="18"/>
        <v>0</v>
      </c>
      <c r="X84" s="89">
        <f t="shared" si="19"/>
        <v>0</v>
      </c>
      <c r="Y84" s="89">
        <f t="shared" si="20"/>
        <v>0</v>
      </c>
      <c r="Z84" s="89">
        <f t="shared" si="21"/>
        <v>0</v>
      </c>
      <c r="AA84" s="41">
        <f t="shared" si="22"/>
        <v>0</v>
      </c>
      <c r="AB84" s="49"/>
      <c r="AC84" s="50"/>
      <c r="AD84" s="49" t="s">
        <v>5</v>
      </c>
      <c r="AE84" s="50" t="s">
        <v>438</v>
      </c>
      <c r="AF84" s="49"/>
      <c r="AG84" s="50"/>
      <c r="AH84" s="49" t="s">
        <v>5</v>
      </c>
      <c r="AI84" s="50" t="s">
        <v>419</v>
      </c>
      <c r="AJ84" s="49"/>
      <c r="AK84" s="50"/>
      <c r="AL84" s="49"/>
      <c r="AM84" s="50"/>
      <c r="AN84" s="49"/>
      <c r="AO84" s="50"/>
      <c r="AP84" s="49"/>
      <c r="AQ84" s="50"/>
      <c r="AR84" s="49"/>
      <c r="AS84" s="50"/>
      <c r="AT84" s="49"/>
      <c r="AU84" s="50"/>
      <c r="AV84" s="49" t="s">
        <v>1</v>
      </c>
      <c r="AW84" s="50" t="s">
        <v>476</v>
      </c>
      <c r="AX84" s="49"/>
      <c r="AY84" s="50"/>
      <c r="AZ84" s="49"/>
      <c r="BA84" s="50"/>
      <c r="BB84" s="49"/>
      <c r="BC84" s="50"/>
      <c r="BD84" s="49"/>
      <c r="BE84" s="50"/>
      <c r="BF84" s="49"/>
      <c r="BG84" s="50"/>
      <c r="BH84" s="49"/>
      <c r="BI84" s="50"/>
      <c r="BJ84" s="49" t="s">
        <v>5</v>
      </c>
      <c r="BK84" s="50" t="s">
        <v>430</v>
      </c>
      <c r="BL84" s="49"/>
      <c r="BM84" s="50"/>
      <c r="BN84" s="49"/>
      <c r="BO84" s="50"/>
      <c r="BP84" s="49"/>
      <c r="BQ84" s="50"/>
      <c r="BR84" s="49"/>
      <c r="BS84" s="50"/>
      <c r="BT84" s="49"/>
      <c r="BU84" s="50"/>
      <c r="BV84" s="49"/>
      <c r="BW84" s="50"/>
      <c r="BX84" s="49"/>
      <c r="BY84" s="50"/>
      <c r="BZ84" s="49"/>
      <c r="CA84" s="50"/>
    </row>
    <row r="85" spans="1:79" s="91" customFormat="1" x14ac:dyDescent="0.25">
      <c r="A85" s="76">
        <v>160135</v>
      </c>
      <c r="B85" s="77" t="s">
        <v>538</v>
      </c>
      <c r="C85" s="78" t="s">
        <v>490</v>
      </c>
      <c r="D85" s="76" t="s">
        <v>70</v>
      </c>
      <c r="E85" s="79" t="s">
        <v>87</v>
      </c>
      <c r="F85" s="79" t="s">
        <v>539</v>
      </c>
      <c r="G85" s="79" t="s">
        <v>14</v>
      </c>
      <c r="H85" s="78" t="s">
        <v>14</v>
      </c>
      <c r="I85" s="79" t="s">
        <v>14</v>
      </c>
      <c r="J85" s="80">
        <v>3.8</v>
      </c>
      <c r="K85" s="81">
        <v>0</v>
      </c>
      <c r="L85" s="82">
        <v>0</v>
      </c>
      <c r="M85" s="83">
        <v>0</v>
      </c>
      <c r="N85" s="84">
        <v>89.15</v>
      </c>
      <c r="O85" s="85">
        <v>4</v>
      </c>
      <c r="P85" s="86"/>
      <c r="Q85" s="87">
        <f t="shared" si="12"/>
        <v>2</v>
      </c>
      <c r="R85" s="88">
        <f t="shared" si="13"/>
        <v>1</v>
      </c>
      <c r="S85" s="89">
        <f t="shared" si="14"/>
        <v>0</v>
      </c>
      <c r="T85" s="89">
        <f t="shared" si="15"/>
        <v>0</v>
      </c>
      <c r="U85" s="89">
        <f t="shared" si="16"/>
        <v>1</v>
      </c>
      <c r="V85" s="89">
        <f t="shared" si="17"/>
        <v>1</v>
      </c>
      <c r="W85" s="89">
        <f t="shared" si="18"/>
        <v>0</v>
      </c>
      <c r="X85" s="89">
        <f t="shared" si="19"/>
        <v>0</v>
      </c>
      <c r="Y85" s="89">
        <f t="shared" si="20"/>
        <v>0</v>
      </c>
      <c r="Z85" s="89">
        <f t="shared" si="21"/>
        <v>0</v>
      </c>
      <c r="AA85" s="41">
        <f t="shared" si="22"/>
        <v>0</v>
      </c>
      <c r="AB85" s="49"/>
      <c r="AC85" s="50"/>
      <c r="AD85" s="49"/>
      <c r="AE85" s="50"/>
      <c r="AF85" s="49"/>
      <c r="AG85" s="50"/>
      <c r="AH85" s="49"/>
      <c r="AI85" s="50"/>
      <c r="AJ85" s="49"/>
      <c r="AK85" s="50"/>
      <c r="AL85" s="49"/>
      <c r="AM85" s="50"/>
      <c r="AN85" s="49"/>
      <c r="AO85" s="50"/>
      <c r="AP85" s="49"/>
      <c r="AQ85" s="50"/>
      <c r="AR85" s="49"/>
      <c r="AS85" s="50"/>
      <c r="AT85" s="49"/>
      <c r="AU85" s="50"/>
      <c r="AV85" s="49" t="s">
        <v>32</v>
      </c>
      <c r="AW85" s="50" t="s">
        <v>459</v>
      </c>
      <c r="AX85" s="49"/>
      <c r="AY85" s="50"/>
      <c r="AZ85" s="49"/>
      <c r="BA85" s="50"/>
      <c r="BB85" s="49"/>
      <c r="BC85" s="50"/>
      <c r="BD85" s="49" t="s">
        <v>1</v>
      </c>
      <c r="BE85" s="50" t="s">
        <v>436</v>
      </c>
      <c r="BF85" s="49"/>
      <c r="BG85" s="50"/>
      <c r="BH85" s="49"/>
      <c r="BI85" s="50"/>
      <c r="BJ85" s="49"/>
      <c r="BK85" s="50"/>
      <c r="BL85" s="49"/>
      <c r="BM85" s="50"/>
      <c r="BN85" s="49"/>
      <c r="BO85" s="50"/>
      <c r="BP85" s="49"/>
      <c r="BQ85" s="50"/>
      <c r="BR85" s="49"/>
      <c r="BS85" s="50"/>
      <c r="BT85" s="49"/>
      <c r="BU85" s="50"/>
      <c r="BV85" s="49" t="s">
        <v>5</v>
      </c>
      <c r="BW85" s="50" t="s">
        <v>425</v>
      </c>
      <c r="BX85" s="49" t="s">
        <v>1</v>
      </c>
      <c r="BY85" s="50" t="s">
        <v>462</v>
      </c>
      <c r="BZ85" s="49"/>
      <c r="CA85" s="50"/>
    </row>
    <row r="86" spans="1:79" s="91" customFormat="1" x14ac:dyDescent="0.25">
      <c r="A86" s="76">
        <v>150981</v>
      </c>
      <c r="B86" s="77" t="s">
        <v>540</v>
      </c>
      <c r="C86" s="78" t="s">
        <v>432</v>
      </c>
      <c r="D86" s="76" t="s">
        <v>70</v>
      </c>
      <c r="E86" s="79" t="s">
        <v>14</v>
      </c>
      <c r="F86" s="79" t="s">
        <v>71</v>
      </c>
      <c r="G86" s="79" t="s">
        <v>14</v>
      </c>
      <c r="H86" s="78" t="s">
        <v>14</v>
      </c>
      <c r="I86" s="79" t="s">
        <v>14</v>
      </c>
      <c r="J86" s="80">
        <v>3.2</v>
      </c>
      <c r="K86" s="81">
        <v>0</v>
      </c>
      <c r="L86" s="82">
        <v>0</v>
      </c>
      <c r="M86" s="83">
        <v>0</v>
      </c>
      <c r="N86" s="84">
        <v>79.61</v>
      </c>
      <c r="O86" s="85">
        <v>2</v>
      </c>
      <c r="P86" s="86"/>
      <c r="Q86" s="87">
        <f t="shared" si="12"/>
        <v>0</v>
      </c>
      <c r="R86" s="88">
        <f t="shared" si="13"/>
        <v>2</v>
      </c>
      <c r="S86" s="89">
        <f t="shared" si="14"/>
        <v>0</v>
      </c>
      <c r="T86" s="89">
        <f t="shared" si="15"/>
        <v>0</v>
      </c>
      <c r="U86" s="89">
        <f t="shared" si="16"/>
        <v>1</v>
      </c>
      <c r="V86" s="89">
        <f t="shared" si="17"/>
        <v>1</v>
      </c>
      <c r="W86" s="89">
        <f t="shared" si="18"/>
        <v>0</v>
      </c>
      <c r="X86" s="89">
        <f t="shared" si="19"/>
        <v>0</v>
      </c>
      <c r="Y86" s="89">
        <f t="shared" si="20"/>
        <v>0</v>
      </c>
      <c r="Z86" s="89">
        <f t="shared" si="21"/>
        <v>0</v>
      </c>
      <c r="AA86" s="41">
        <f t="shared" si="22"/>
        <v>0</v>
      </c>
      <c r="AB86" s="49"/>
      <c r="AC86" s="50"/>
      <c r="AD86" s="49"/>
      <c r="AE86" s="50"/>
      <c r="AF86" s="49"/>
      <c r="AG86" s="50"/>
      <c r="AH86" s="49"/>
      <c r="AI86" s="50"/>
      <c r="AJ86" s="49"/>
      <c r="AK86" s="50"/>
      <c r="AL86" s="49"/>
      <c r="AM86" s="50"/>
      <c r="AN86" s="49"/>
      <c r="AO86" s="50"/>
      <c r="AP86" s="49"/>
      <c r="AQ86" s="50"/>
      <c r="AR86" s="49"/>
      <c r="AS86" s="50"/>
      <c r="AT86" s="49"/>
      <c r="AU86" s="50"/>
      <c r="AV86" s="49" t="s">
        <v>32</v>
      </c>
      <c r="AW86" s="50" t="s">
        <v>151</v>
      </c>
      <c r="AX86" s="49"/>
      <c r="AY86" s="50"/>
      <c r="AZ86" s="49"/>
      <c r="BA86" s="50"/>
      <c r="BB86" s="49"/>
      <c r="BC86" s="50"/>
      <c r="BD86" s="49" t="s">
        <v>5</v>
      </c>
      <c r="BE86" s="50" t="s">
        <v>436</v>
      </c>
      <c r="BF86" s="49" t="s">
        <v>5</v>
      </c>
      <c r="BG86" s="50" t="s">
        <v>436</v>
      </c>
      <c r="BH86" s="49"/>
      <c r="BI86" s="50"/>
      <c r="BJ86" s="49"/>
      <c r="BK86" s="50"/>
      <c r="BL86" s="49"/>
      <c r="BM86" s="50"/>
      <c r="BN86" s="49"/>
      <c r="BO86" s="50"/>
      <c r="BP86" s="49"/>
      <c r="BQ86" s="50"/>
      <c r="BR86" s="49"/>
      <c r="BS86" s="50"/>
      <c r="BT86" s="49"/>
      <c r="BU86" s="50"/>
      <c r="BV86" s="49"/>
      <c r="BW86" s="50"/>
      <c r="BX86" s="49"/>
      <c r="BY86" s="50"/>
      <c r="BZ86" s="49"/>
      <c r="CA86" s="50"/>
    </row>
    <row r="87" spans="1:79" s="91" customFormat="1" x14ac:dyDescent="0.25">
      <c r="A87" s="76">
        <v>150951</v>
      </c>
      <c r="B87" s="77" t="s">
        <v>541</v>
      </c>
      <c r="C87" s="78" t="s">
        <v>432</v>
      </c>
      <c r="D87" s="76" t="s">
        <v>70</v>
      </c>
      <c r="E87" s="79" t="s">
        <v>14</v>
      </c>
      <c r="F87" s="79" t="s">
        <v>71</v>
      </c>
      <c r="G87" s="79" t="s">
        <v>14</v>
      </c>
      <c r="H87" s="78" t="s">
        <v>14</v>
      </c>
      <c r="I87" s="79" t="s">
        <v>14</v>
      </c>
      <c r="J87" s="80">
        <v>5.7</v>
      </c>
      <c r="K87" s="81">
        <v>1</v>
      </c>
      <c r="L87" s="82">
        <v>0</v>
      </c>
      <c r="M87" s="83">
        <v>0</v>
      </c>
      <c r="N87" s="84">
        <v>100</v>
      </c>
      <c r="O87" s="85">
        <v>0</v>
      </c>
      <c r="P87" s="86"/>
      <c r="Q87" s="87">
        <f t="shared" si="12"/>
        <v>1</v>
      </c>
      <c r="R87" s="88">
        <f t="shared" si="13"/>
        <v>3</v>
      </c>
      <c r="S87" s="89">
        <f t="shared" si="14"/>
        <v>0</v>
      </c>
      <c r="T87" s="89">
        <f t="shared" si="15"/>
        <v>0</v>
      </c>
      <c r="U87" s="89">
        <f t="shared" si="16"/>
        <v>0</v>
      </c>
      <c r="V87" s="89">
        <f t="shared" si="17"/>
        <v>0</v>
      </c>
      <c r="W87" s="89">
        <f t="shared" si="18"/>
        <v>0</v>
      </c>
      <c r="X87" s="89">
        <f t="shared" si="19"/>
        <v>0</v>
      </c>
      <c r="Y87" s="89">
        <f t="shared" si="20"/>
        <v>0</v>
      </c>
      <c r="Z87" s="89">
        <f t="shared" si="21"/>
        <v>0</v>
      </c>
      <c r="AA87" s="41">
        <f t="shared" si="22"/>
        <v>0</v>
      </c>
      <c r="AB87" s="49"/>
      <c r="AC87" s="50"/>
      <c r="AD87" s="49" t="s">
        <v>5</v>
      </c>
      <c r="AE87" s="50" t="s">
        <v>133</v>
      </c>
      <c r="AF87" s="49"/>
      <c r="AG87" s="50"/>
      <c r="AH87" s="49" t="s">
        <v>5</v>
      </c>
      <c r="AI87" s="50" t="s">
        <v>424</v>
      </c>
      <c r="AJ87" s="49"/>
      <c r="AK87" s="50"/>
      <c r="AL87" s="49"/>
      <c r="AM87" s="50"/>
      <c r="AN87" s="49"/>
      <c r="AO87" s="50"/>
      <c r="AP87" s="49"/>
      <c r="AQ87" s="50"/>
      <c r="AR87" s="49"/>
      <c r="AS87" s="50"/>
      <c r="AT87" s="49"/>
      <c r="AU87" s="50"/>
      <c r="AV87" s="49" t="s">
        <v>5</v>
      </c>
      <c r="AW87" s="50" t="s">
        <v>123</v>
      </c>
      <c r="AX87" s="49"/>
      <c r="AY87" s="50"/>
      <c r="AZ87" s="49"/>
      <c r="BA87" s="50"/>
      <c r="BB87" s="49"/>
      <c r="BC87" s="50"/>
      <c r="BD87" s="49"/>
      <c r="BE87" s="50"/>
      <c r="BF87" s="49"/>
      <c r="BG87" s="50"/>
      <c r="BH87" s="49"/>
      <c r="BI87" s="50"/>
      <c r="BJ87" s="49"/>
      <c r="BK87" s="50"/>
      <c r="BL87" s="49"/>
      <c r="BM87" s="50"/>
      <c r="BN87" s="49"/>
      <c r="BO87" s="50"/>
      <c r="BP87" s="49"/>
      <c r="BQ87" s="50"/>
      <c r="BR87" s="49"/>
      <c r="BS87" s="50"/>
      <c r="BT87" s="49"/>
      <c r="BU87" s="50"/>
      <c r="BV87" s="49" t="s">
        <v>1</v>
      </c>
      <c r="BW87" s="50" t="s">
        <v>436</v>
      </c>
      <c r="BX87" s="49"/>
      <c r="BY87" s="50"/>
      <c r="BZ87" s="49"/>
      <c r="CA87" s="50"/>
    </row>
    <row r="88" spans="1:79" s="91" customFormat="1" x14ac:dyDescent="0.25">
      <c r="A88" s="76">
        <v>150844</v>
      </c>
      <c r="B88" s="77" t="s">
        <v>542</v>
      </c>
      <c r="C88" s="78" t="s">
        <v>466</v>
      </c>
      <c r="D88" s="76" t="s">
        <v>70</v>
      </c>
      <c r="E88" s="79" t="s">
        <v>14</v>
      </c>
      <c r="F88" s="79" t="s">
        <v>71</v>
      </c>
      <c r="G88" s="79" t="s">
        <v>14</v>
      </c>
      <c r="H88" s="78" t="s">
        <v>14</v>
      </c>
      <c r="I88" s="79" t="s">
        <v>14</v>
      </c>
      <c r="J88" s="80">
        <v>7.3</v>
      </c>
      <c r="K88" s="81">
        <v>1</v>
      </c>
      <c r="L88" s="82">
        <v>0</v>
      </c>
      <c r="M88" s="83">
        <v>0</v>
      </c>
      <c r="N88" s="84">
        <v>99.15</v>
      </c>
      <c r="O88" s="85">
        <v>1</v>
      </c>
      <c r="P88" s="86"/>
      <c r="Q88" s="87">
        <f t="shared" si="12"/>
        <v>0</v>
      </c>
      <c r="R88" s="88">
        <f t="shared" si="13"/>
        <v>4</v>
      </c>
      <c r="S88" s="89">
        <f t="shared" si="14"/>
        <v>0</v>
      </c>
      <c r="T88" s="89">
        <f t="shared" si="15"/>
        <v>0</v>
      </c>
      <c r="U88" s="89">
        <f t="shared" si="16"/>
        <v>0</v>
      </c>
      <c r="V88" s="89">
        <f t="shared" si="17"/>
        <v>0</v>
      </c>
      <c r="W88" s="89">
        <f t="shared" si="18"/>
        <v>0</v>
      </c>
      <c r="X88" s="89">
        <f t="shared" si="19"/>
        <v>0</v>
      </c>
      <c r="Y88" s="89">
        <f t="shared" si="20"/>
        <v>0</v>
      </c>
      <c r="Z88" s="89">
        <f t="shared" si="21"/>
        <v>0</v>
      </c>
      <c r="AA88" s="41">
        <f t="shared" si="22"/>
        <v>0</v>
      </c>
      <c r="AB88" s="49"/>
      <c r="AC88" s="50"/>
      <c r="AD88" s="49"/>
      <c r="AE88" s="50"/>
      <c r="AF88" s="49"/>
      <c r="AG88" s="50"/>
      <c r="AH88" s="49"/>
      <c r="AI88" s="50"/>
      <c r="AJ88" s="49"/>
      <c r="AK88" s="50"/>
      <c r="AL88" s="49"/>
      <c r="AM88" s="50"/>
      <c r="AN88" s="49"/>
      <c r="AO88" s="50"/>
      <c r="AP88" s="49"/>
      <c r="AQ88" s="50"/>
      <c r="AR88" s="49"/>
      <c r="AS88" s="50"/>
      <c r="AT88" s="49" t="s">
        <v>5</v>
      </c>
      <c r="AU88" s="50" t="s">
        <v>448</v>
      </c>
      <c r="AV88" s="49" t="s">
        <v>5</v>
      </c>
      <c r="AW88" s="50" t="s">
        <v>476</v>
      </c>
      <c r="AX88" s="49"/>
      <c r="AY88" s="50"/>
      <c r="AZ88" s="49"/>
      <c r="BA88" s="50"/>
      <c r="BB88" s="49"/>
      <c r="BC88" s="50"/>
      <c r="BD88" s="49"/>
      <c r="BE88" s="50"/>
      <c r="BF88" s="49"/>
      <c r="BG88" s="50"/>
      <c r="BH88" s="49" t="s">
        <v>5</v>
      </c>
      <c r="BI88" s="50" t="s">
        <v>77</v>
      </c>
      <c r="BJ88" s="49"/>
      <c r="BK88" s="50"/>
      <c r="BL88" s="49"/>
      <c r="BM88" s="50"/>
      <c r="BN88" s="49"/>
      <c r="BO88" s="50"/>
      <c r="BP88" s="49"/>
      <c r="BQ88" s="50"/>
      <c r="BR88" s="49"/>
      <c r="BS88" s="50"/>
      <c r="BT88" s="49" t="s">
        <v>5</v>
      </c>
      <c r="BU88" s="50" t="s">
        <v>93</v>
      </c>
      <c r="BV88" s="49"/>
      <c r="BW88" s="50"/>
      <c r="BX88" s="49"/>
      <c r="BY88" s="50"/>
      <c r="BZ88" s="49"/>
      <c r="CA88" s="50"/>
    </row>
    <row r="89" spans="1:79" s="91" customFormat="1" x14ac:dyDescent="0.25">
      <c r="A89" s="76">
        <v>160123</v>
      </c>
      <c r="B89" s="77" t="s">
        <v>543</v>
      </c>
      <c r="C89" s="78" t="s">
        <v>440</v>
      </c>
      <c r="D89" s="76" t="s">
        <v>70</v>
      </c>
      <c r="E89" s="79" t="s">
        <v>14</v>
      </c>
      <c r="F89" s="79" t="s">
        <v>71</v>
      </c>
      <c r="G89" s="79" t="s">
        <v>14</v>
      </c>
      <c r="H89" s="78" t="s">
        <v>14</v>
      </c>
      <c r="I89" s="79" t="s">
        <v>14</v>
      </c>
      <c r="J89" s="80">
        <v>4.5</v>
      </c>
      <c r="K89" s="81">
        <v>2</v>
      </c>
      <c r="L89" s="82">
        <v>0</v>
      </c>
      <c r="M89" s="83">
        <v>0</v>
      </c>
      <c r="N89" s="84">
        <v>79.66</v>
      </c>
      <c r="O89" s="85">
        <v>0</v>
      </c>
      <c r="P89" s="86"/>
      <c r="Q89" s="87">
        <f t="shared" si="12"/>
        <v>0</v>
      </c>
      <c r="R89" s="88">
        <f t="shared" si="13"/>
        <v>4</v>
      </c>
      <c r="S89" s="89">
        <f t="shared" si="14"/>
        <v>0</v>
      </c>
      <c r="T89" s="89">
        <f t="shared" si="15"/>
        <v>0</v>
      </c>
      <c r="U89" s="89">
        <f t="shared" si="16"/>
        <v>0</v>
      </c>
      <c r="V89" s="89">
        <f t="shared" si="17"/>
        <v>0</v>
      </c>
      <c r="W89" s="89">
        <f t="shared" si="18"/>
        <v>0</v>
      </c>
      <c r="X89" s="89">
        <f t="shared" si="19"/>
        <v>0</v>
      </c>
      <c r="Y89" s="89">
        <f t="shared" si="20"/>
        <v>0</v>
      </c>
      <c r="Z89" s="89">
        <f t="shared" si="21"/>
        <v>0</v>
      </c>
      <c r="AA89" s="41">
        <f t="shared" si="22"/>
        <v>0</v>
      </c>
      <c r="AB89" s="49"/>
      <c r="AC89" s="50"/>
      <c r="AD89" s="49"/>
      <c r="AE89" s="50"/>
      <c r="AF89" s="49"/>
      <c r="AG89" s="50"/>
      <c r="AH89" s="49"/>
      <c r="AI89" s="50"/>
      <c r="AJ89" s="49"/>
      <c r="AK89" s="50"/>
      <c r="AL89" s="49"/>
      <c r="AM89" s="50"/>
      <c r="AN89" s="49"/>
      <c r="AO89" s="50"/>
      <c r="AP89" s="49"/>
      <c r="AQ89" s="50"/>
      <c r="AR89" s="49"/>
      <c r="AS89" s="50"/>
      <c r="AT89" s="49"/>
      <c r="AU89" s="50"/>
      <c r="AV89" s="49" t="s">
        <v>5</v>
      </c>
      <c r="AW89" s="50" t="s">
        <v>457</v>
      </c>
      <c r="AX89" s="49"/>
      <c r="AY89" s="50"/>
      <c r="AZ89" s="49"/>
      <c r="BA89" s="50"/>
      <c r="BB89" s="49"/>
      <c r="BC89" s="50"/>
      <c r="BD89" s="49" t="s">
        <v>5</v>
      </c>
      <c r="BE89" s="50" t="s">
        <v>436</v>
      </c>
      <c r="BF89" s="49"/>
      <c r="BG89" s="50"/>
      <c r="BH89" s="49"/>
      <c r="BI89" s="50"/>
      <c r="BJ89" s="49"/>
      <c r="BK89" s="50"/>
      <c r="BL89" s="49"/>
      <c r="BM89" s="50"/>
      <c r="BN89" s="49"/>
      <c r="BO89" s="50"/>
      <c r="BP89" s="49"/>
      <c r="BQ89" s="50"/>
      <c r="BR89" s="49"/>
      <c r="BS89" s="50"/>
      <c r="BT89" s="49"/>
      <c r="BU89" s="50"/>
      <c r="BV89" s="49" t="s">
        <v>5</v>
      </c>
      <c r="BW89" s="50" t="s">
        <v>425</v>
      </c>
      <c r="BX89" s="49" t="s">
        <v>5</v>
      </c>
      <c r="BY89" s="50" t="s">
        <v>462</v>
      </c>
      <c r="BZ89" s="49"/>
      <c r="CA89" s="50"/>
    </row>
    <row r="90" spans="1:79" s="91" customFormat="1" x14ac:dyDescent="0.25">
      <c r="A90" s="76">
        <v>150918</v>
      </c>
      <c r="B90" s="77" t="s">
        <v>544</v>
      </c>
      <c r="C90" s="78" t="s">
        <v>440</v>
      </c>
      <c r="D90" s="76" t="s">
        <v>12</v>
      </c>
      <c r="E90" s="79" t="s">
        <v>14</v>
      </c>
      <c r="F90" s="79" t="s">
        <v>71</v>
      </c>
      <c r="G90" s="79" t="s">
        <v>14</v>
      </c>
      <c r="H90" s="78" t="s">
        <v>14</v>
      </c>
      <c r="I90" s="79" t="s">
        <v>14</v>
      </c>
      <c r="J90" s="80">
        <v>5.6</v>
      </c>
      <c r="K90" s="81">
        <v>2</v>
      </c>
      <c r="L90" s="82">
        <v>0</v>
      </c>
      <c r="M90" s="83">
        <v>1</v>
      </c>
      <c r="N90" s="84">
        <v>88.89</v>
      </c>
      <c r="O90" s="85">
        <v>2</v>
      </c>
      <c r="P90" s="86"/>
      <c r="Q90" s="87">
        <f t="shared" si="12"/>
        <v>0</v>
      </c>
      <c r="R90" s="88">
        <f t="shared" si="13"/>
        <v>5</v>
      </c>
      <c r="S90" s="89">
        <f t="shared" si="14"/>
        <v>0</v>
      </c>
      <c r="T90" s="89">
        <f t="shared" si="15"/>
        <v>0</v>
      </c>
      <c r="U90" s="89">
        <f t="shared" si="16"/>
        <v>0</v>
      </c>
      <c r="V90" s="89">
        <f t="shared" si="17"/>
        <v>0</v>
      </c>
      <c r="W90" s="89">
        <f t="shared" si="18"/>
        <v>0</v>
      </c>
      <c r="X90" s="89">
        <f t="shared" si="19"/>
        <v>0</v>
      </c>
      <c r="Y90" s="89">
        <f t="shared" si="20"/>
        <v>0</v>
      </c>
      <c r="Z90" s="89">
        <f t="shared" si="21"/>
        <v>0</v>
      </c>
      <c r="AA90" s="41">
        <f t="shared" si="22"/>
        <v>0</v>
      </c>
      <c r="AB90" s="49" t="s">
        <v>5</v>
      </c>
      <c r="AC90" s="50" t="s">
        <v>116</v>
      </c>
      <c r="AD90" s="49" t="s">
        <v>5</v>
      </c>
      <c r="AE90" s="50" t="s">
        <v>438</v>
      </c>
      <c r="AF90" s="49"/>
      <c r="AG90" s="50"/>
      <c r="AH90" s="49" t="s">
        <v>5</v>
      </c>
      <c r="AI90" s="50" t="s">
        <v>419</v>
      </c>
      <c r="AJ90" s="49"/>
      <c r="AK90" s="50"/>
      <c r="AL90" s="49"/>
      <c r="AM90" s="50"/>
      <c r="AN90" s="49"/>
      <c r="AO90" s="50"/>
      <c r="AP90" s="49"/>
      <c r="AQ90" s="50"/>
      <c r="AR90" s="49"/>
      <c r="AS90" s="50"/>
      <c r="AT90" s="49"/>
      <c r="AU90" s="50"/>
      <c r="AV90" s="49" t="s">
        <v>5</v>
      </c>
      <c r="AW90" s="50" t="s">
        <v>457</v>
      </c>
      <c r="AX90" s="49"/>
      <c r="AY90" s="50"/>
      <c r="AZ90" s="49"/>
      <c r="BA90" s="50"/>
      <c r="BB90" s="49"/>
      <c r="BC90" s="50"/>
      <c r="BD90" s="49"/>
      <c r="BE90" s="50"/>
      <c r="BF90" s="49"/>
      <c r="BG90" s="50"/>
      <c r="BH90" s="49"/>
      <c r="BI90" s="50"/>
      <c r="BJ90" s="49" t="s">
        <v>5</v>
      </c>
      <c r="BK90" s="50" t="s">
        <v>430</v>
      </c>
      <c r="BL90" s="49"/>
      <c r="BM90" s="50"/>
      <c r="BN90" s="49"/>
      <c r="BO90" s="50"/>
      <c r="BP90" s="49"/>
      <c r="BQ90" s="50"/>
      <c r="BR90" s="49"/>
      <c r="BS90" s="50"/>
      <c r="BT90" s="49"/>
      <c r="BU90" s="50"/>
      <c r="BV90" s="49"/>
      <c r="BW90" s="50"/>
      <c r="BX90" s="49"/>
      <c r="BY90" s="50"/>
      <c r="BZ90" s="49"/>
      <c r="CA90" s="50"/>
    </row>
    <row r="91" spans="1:79" s="91" customFormat="1" x14ac:dyDescent="0.25">
      <c r="A91" s="76">
        <v>150823</v>
      </c>
      <c r="B91" s="77" t="s">
        <v>545</v>
      </c>
      <c r="C91" s="78" t="s">
        <v>432</v>
      </c>
      <c r="D91" s="76" t="s">
        <v>70</v>
      </c>
      <c r="E91" s="79" t="s">
        <v>87</v>
      </c>
      <c r="F91" s="79" t="s">
        <v>71</v>
      </c>
      <c r="G91" s="79" t="s">
        <v>14</v>
      </c>
      <c r="H91" s="78" t="s">
        <v>14</v>
      </c>
      <c r="I91" s="79" t="s">
        <v>14</v>
      </c>
      <c r="J91" s="80">
        <v>4.7</v>
      </c>
      <c r="K91" s="81">
        <v>0</v>
      </c>
      <c r="L91" s="82">
        <v>0</v>
      </c>
      <c r="M91" s="83">
        <v>0</v>
      </c>
      <c r="N91" s="84">
        <v>92.66</v>
      </c>
      <c r="O91" s="85">
        <v>0</v>
      </c>
      <c r="P91" s="86"/>
      <c r="Q91" s="87">
        <f t="shared" si="12"/>
        <v>0</v>
      </c>
      <c r="R91" s="88">
        <f t="shared" si="13"/>
        <v>4</v>
      </c>
      <c r="S91" s="89">
        <f t="shared" si="14"/>
        <v>0</v>
      </c>
      <c r="T91" s="89">
        <f t="shared" si="15"/>
        <v>0</v>
      </c>
      <c r="U91" s="89">
        <f t="shared" si="16"/>
        <v>0</v>
      </c>
      <c r="V91" s="89">
        <f t="shared" si="17"/>
        <v>0</v>
      </c>
      <c r="W91" s="89">
        <f t="shared" si="18"/>
        <v>0</v>
      </c>
      <c r="X91" s="89">
        <f t="shared" si="19"/>
        <v>0</v>
      </c>
      <c r="Y91" s="89">
        <f t="shared" si="20"/>
        <v>0</v>
      </c>
      <c r="Z91" s="89">
        <f t="shared" si="21"/>
        <v>0</v>
      </c>
      <c r="AA91" s="41">
        <f t="shared" si="22"/>
        <v>0</v>
      </c>
      <c r="AB91" s="49"/>
      <c r="AC91" s="50"/>
      <c r="AD91" s="49"/>
      <c r="AE91" s="50"/>
      <c r="AF91" s="49"/>
      <c r="AG91" s="50"/>
      <c r="AH91" s="49"/>
      <c r="AI91" s="50"/>
      <c r="AJ91" s="49"/>
      <c r="AK91" s="50"/>
      <c r="AL91" s="49"/>
      <c r="AM91" s="50"/>
      <c r="AN91" s="49"/>
      <c r="AO91" s="50"/>
      <c r="AP91" s="49"/>
      <c r="AQ91" s="50"/>
      <c r="AR91" s="49"/>
      <c r="AS91" s="50"/>
      <c r="AT91" s="49"/>
      <c r="AU91" s="50"/>
      <c r="AV91" s="49" t="s">
        <v>5</v>
      </c>
      <c r="AW91" s="50" t="s">
        <v>123</v>
      </c>
      <c r="AX91" s="49"/>
      <c r="AY91" s="50"/>
      <c r="AZ91" s="49"/>
      <c r="BA91" s="50"/>
      <c r="BB91" s="49"/>
      <c r="BC91" s="50"/>
      <c r="BD91" s="49" t="s">
        <v>5</v>
      </c>
      <c r="BE91" s="50" t="s">
        <v>436</v>
      </c>
      <c r="BF91" s="49"/>
      <c r="BG91" s="50"/>
      <c r="BH91" s="49"/>
      <c r="BI91" s="50"/>
      <c r="BJ91" s="49"/>
      <c r="BK91" s="50"/>
      <c r="BL91" s="49"/>
      <c r="BM91" s="50"/>
      <c r="BN91" s="49"/>
      <c r="BO91" s="50"/>
      <c r="BP91" s="49" t="s">
        <v>5</v>
      </c>
      <c r="BQ91" s="50" t="s">
        <v>81</v>
      </c>
      <c r="BR91" s="49"/>
      <c r="BS91" s="50"/>
      <c r="BT91" s="49"/>
      <c r="BU91" s="50"/>
      <c r="BV91" s="49" t="s">
        <v>5</v>
      </c>
      <c r="BW91" s="50" t="s">
        <v>436</v>
      </c>
      <c r="BX91" s="49"/>
      <c r="BY91" s="50"/>
      <c r="BZ91" s="49"/>
      <c r="CA91" s="50"/>
    </row>
    <row r="92" spans="1:79" s="91" customFormat="1" x14ac:dyDescent="0.25">
      <c r="A92" s="76">
        <v>160059</v>
      </c>
      <c r="B92" s="77" t="s">
        <v>546</v>
      </c>
      <c r="C92" s="78" t="s">
        <v>452</v>
      </c>
      <c r="D92" s="76" t="s">
        <v>70</v>
      </c>
      <c r="E92" s="79" t="s">
        <v>14</v>
      </c>
      <c r="F92" s="79" t="s">
        <v>71</v>
      </c>
      <c r="G92" s="79" t="s">
        <v>14</v>
      </c>
      <c r="H92" s="78" t="s">
        <v>14</v>
      </c>
      <c r="I92" s="79" t="s">
        <v>14</v>
      </c>
      <c r="J92" s="80">
        <v>6.6</v>
      </c>
      <c r="K92" s="81">
        <v>1</v>
      </c>
      <c r="L92" s="82">
        <v>0</v>
      </c>
      <c r="M92" s="83">
        <v>0</v>
      </c>
      <c r="N92" s="84">
        <v>82.69</v>
      </c>
      <c r="O92" s="85">
        <v>1</v>
      </c>
      <c r="P92" s="86"/>
      <c r="Q92" s="87">
        <f t="shared" si="12"/>
        <v>1</v>
      </c>
      <c r="R92" s="88">
        <f t="shared" si="13"/>
        <v>3</v>
      </c>
      <c r="S92" s="89">
        <f t="shared" si="14"/>
        <v>0</v>
      </c>
      <c r="T92" s="89">
        <f t="shared" si="15"/>
        <v>0</v>
      </c>
      <c r="U92" s="89">
        <f t="shared" si="16"/>
        <v>0</v>
      </c>
      <c r="V92" s="89">
        <f t="shared" si="17"/>
        <v>0</v>
      </c>
      <c r="W92" s="89">
        <f t="shared" si="18"/>
        <v>0</v>
      </c>
      <c r="X92" s="89">
        <f t="shared" si="19"/>
        <v>0</v>
      </c>
      <c r="Y92" s="89">
        <f t="shared" si="20"/>
        <v>0</v>
      </c>
      <c r="Z92" s="89">
        <f t="shared" si="21"/>
        <v>0</v>
      </c>
      <c r="AA92" s="41">
        <f t="shared" si="22"/>
        <v>0</v>
      </c>
      <c r="AB92" s="49"/>
      <c r="AC92" s="50"/>
      <c r="AD92" s="49"/>
      <c r="AE92" s="50"/>
      <c r="AF92" s="49"/>
      <c r="AG92" s="50"/>
      <c r="AH92" s="49"/>
      <c r="AI92" s="50"/>
      <c r="AJ92" s="49"/>
      <c r="AK92" s="50"/>
      <c r="AL92" s="49"/>
      <c r="AM92" s="50"/>
      <c r="AN92" s="49"/>
      <c r="AO92" s="50"/>
      <c r="AP92" s="49"/>
      <c r="AQ92" s="50"/>
      <c r="AR92" s="49"/>
      <c r="AS92" s="50"/>
      <c r="AT92" s="49" t="s">
        <v>5</v>
      </c>
      <c r="AU92" s="50" t="s">
        <v>448</v>
      </c>
      <c r="AV92" s="49" t="s">
        <v>5</v>
      </c>
      <c r="AW92" s="50" t="s">
        <v>453</v>
      </c>
      <c r="AX92" s="49"/>
      <c r="AY92" s="50"/>
      <c r="AZ92" s="49"/>
      <c r="BA92" s="50"/>
      <c r="BB92" s="49"/>
      <c r="BC92" s="50"/>
      <c r="BD92" s="49"/>
      <c r="BE92" s="50"/>
      <c r="BF92" s="49"/>
      <c r="BG92" s="50"/>
      <c r="BH92" s="49" t="s">
        <v>5</v>
      </c>
      <c r="BI92" s="50" t="s">
        <v>77</v>
      </c>
      <c r="BJ92" s="49"/>
      <c r="BK92" s="50"/>
      <c r="BL92" s="49"/>
      <c r="BM92" s="50"/>
      <c r="BN92" s="49"/>
      <c r="BO92" s="50"/>
      <c r="BP92" s="49"/>
      <c r="BQ92" s="50"/>
      <c r="BR92" s="49"/>
      <c r="BS92" s="50"/>
      <c r="BT92" s="49"/>
      <c r="BU92" s="50"/>
      <c r="BV92" s="49" t="s">
        <v>1</v>
      </c>
      <c r="BW92" s="50" t="s">
        <v>425</v>
      </c>
      <c r="BX92" s="49"/>
      <c r="BY92" s="50"/>
      <c r="BZ92" s="49"/>
      <c r="CA92" s="50"/>
    </row>
    <row r="93" spans="1:79" s="91" customFormat="1" x14ac:dyDescent="0.25">
      <c r="A93" s="76">
        <v>150977</v>
      </c>
      <c r="B93" s="77" t="s">
        <v>547</v>
      </c>
      <c r="C93" s="78" t="s">
        <v>440</v>
      </c>
      <c r="D93" s="76" t="s">
        <v>12</v>
      </c>
      <c r="E93" s="79" t="s">
        <v>87</v>
      </c>
      <c r="F93" s="79" t="s">
        <v>71</v>
      </c>
      <c r="G93" s="79" t="s">
        <v>14</v>
      </c>
      <c r="H93" s="78" t="s">
        <v>14</v>
      </c>
      <c r="I93" s="79" t="s">
        <v>14</v>
      </c>
      <c r="J93" s="80">
        <v>5</v>
      </c>
      <c r="K93" s="81">
        <v>0</v>
      </c>
      <c r="L93" s="82">
        <v>0</v>
      </c>
      <c r="M93" s="83">
        <v>0</v>
      </c>
      <c r="N93" s="84">
        <v>98.28</v>
      </c>
      <c r="O93" s="85">
        <v>8</v>
      </c>
      <c r="P93" s="86"/>
      <c r="Q93" s="87">
        <f t="shared" si="12"/>
        <v>0</v>
      </c>
      <c r="R93" s="88">
        <f t="shared" si="13"/>
        <v>2</v>
      </c>
      <c r="S93" s="89">
        <f t="shared" si="14"/>
        <v>1</v>
      </c>
      <c r="T93" s="89">
        <f t="shared" si="15"/>
        <v>0</v>
      </c>
      <c r="U93" s="89">
        <f t="shared" si="16"/>
        <v>1</v>
      </c>
      <c r="V93" s="89">
        <f t="shared" si="17"/>
        <v>2</v>
      </c>
      <c r="W93" s="89">
        <f t="shared" si="18"/>
        <v>0</v>
      </c>
      <c r="X93" s="89">
        <f t="shared" si="19"/>
        <v>0</v>
      </c>
      <c r="Y93" s="89">
        <f t="shared" si="20"/>
        <v>0</v>
      </c>
      <c r="Z93" s="89">
        <f t="shared" si="21"/>
        <v>0</v>
      </c>
      <c r="AA93" s="41">
        <f t="shared" si="22"/>
        <v>0</v>
      </c>
      <c r="AB93" s="49"/>
      <c r="AC93" s="50"/>
      <c r="AD93" s="49"/>
      <c r="AE93" s="50"/>
      <c r="AF93" s="49"/>
      <c r="AG93" s="50"/>
      <c r="AH93" s="49"/>
      <c r="AI93" s="50"/>
      <c r="AJ93" s="49"/>
      <c r="AK93" s="50"/>
      <c r="AL93" s="49" t="s">
        <v>5</v>
      </c>
      <c r="AM93" s="50" t="s">
        <v>135</v>
      </c>
      <c r="AN93" s="49"/>
      <c r="AO93" s="50"/>
      <c r="AP93" s="49"/>
      <c r="AQ93" s="50"/>
      <c r="AR93" s="49"/>
      <c r="AS93" s="50"/>
      <c r="AT93" s="49"/>
      <c r="AU93" s="50"/>
      <c r="AV93" s="49" t="s">
        <v>32</v>
      </c>
      <c r="AW93" s="50" t="s">
        <v>428</v>
      </c>
      <c r="AX93" s="49"/>
      <c r="AY93" s="50"/>
      <c r="AZ93" s="49"/>
      <c r="BA93" s="50"/>
      <c r="BB93" s="49"/>
      <c r="BC93" s="50"/>
      <c r="BD93" s="49"/>
      <c r="BE93" s="50"/>
      <c r="BF93" s="49"/>
      <c r="BG93" s="50"/>
      <c r="BH93" s="49"/>
      <c r="BI93" s="50"/>
      <c r="BJ93" s="49" t="s">
        <v>30</v>
      </c>
      <c r="BK93" s="50" t="s">
        <v>430</v>
      </c>
      <c r="BL93" s="49"/>
      <c r="BM93" s="50"/>
      <c r="BN93" s="49"/>
      <c r="BO93" s="50"/>
      <c r="BP93" s="49"/>
      <c r="BQ93" s="50"/>
      <c r="BR93" s="49" t="s">
        <v>5</v>
      </c>
      <c r="BS93" s="50" t="s">
        <v>109</v>
      </c>
      <c r="BT93" s="49"/>
      <c r="BU93" s="50"/>
      <c r="BV93" s="49"/>
      <c r="BW93" s="50"/>
      <c r="BX93" s="49"/>
      <c r="BY93" s="50"/>
      <c r="BZ93" s="49"/>
      <c r="CA93" s="50"/>
    </row>
    <row r="94" spans="1:79" s="91" customFormat="1" x14ac:dyDescent="0.25">
      <c r="A94" s="76">
        <v>150983</v>
      </c>
      <c r="B94" s="77" t="s">
        <v>548</v>
      </c>
      <c r="C94" s="78" t="s">
        <v>432</v>
      </c>
      <c r="D94" s="76" t="s">
        <v>70</v>
      </c>
      <c r="E94" s="79" t="s">
        <v>87</v>
      </c>
      <c r="F94" s="79" t="s">
        <v>115</v>
      </c>
      <c r="G94" s="79" t="s">
        <v>14</v>
      </c>
      <c r="H94" s="78" t="s">
        <v>14</v>
      </c>
      <c r="I94" s="79" t="s">
        <v>14</v>
      </c>
      <c r="J94" s="80">
        <v>6.5</v>
      </c>
      <c r="K94" s="81">
        <v>0</v>
      </c>
      <c r="L94" s="82">
        <v>0</v>
      </c>
      <c r="M94" s="83">
        <v>0</v>
      </c>
      <c r="N94" s="84">
        <v>85.87</v>
      </c>
      <c r="O94" s="85">
        <v>6</v>
      </c>
      <c r="P94" s="86"/>
      <c r="Q94" s="87">
        <f t="shared" si="12"/>
        <v>1</v>
      </c>
      <c r="R94" s="88">
        <f t="shared" si="13"/>
        <v>2</v>
      </c>
      <c r="S94" s="89">
        <f t="shared" si="14"/>
        <v>0</v>
      </c>
      <c r="T94" s="89">
        <f t="shared" si="15"/>
        <v>0</v>
      </c>
      <c r="U94" s="89">
        <f t="shared" si="16"/>
        <v>1</v>
      </c>
      <c r="V94" s="89">
        <f t="shared" si="17"/>
        <v>1</v>
      </c>
      <c r="W94" s="89">
        <f t="shared" si="18"/>
        <v>0</v>
      </c>
      <c r="X94" s="89">
        <f t="shared" si="19"/>
        <v>0</v>
      </c>
      <c r="Y94" s="89">
        <f t="shared" si="20"/>
        <v>0</v>
      </c>
      <c r="Z94" s="89">
        <f t="shared" si="21"/>
        <v>0</v>
      </c>
      <c r="AA94" s="41">
        <f t="shared" si="22"/>
        <v>0</v>
      </c>
      <c r="AB94" s="49"/>
      <c r="AC94" s="50"/>
      <c r="AD94" s="49" t="s">
        <v>189</v>
      </c>
      <c r="AE94" s="50" t="s">
        <v>154</v>
      </c>
      <c r="AF94" s="49"/>
      <c r="AG94" s="50"/>
      <c r="AH94" s="49" t="s">
        <v>1</v>
      </c>
      <c r="AI94" s="50" t="s">
        <v>424</v>
      </c>
      <c r="AJ94" s="49"/>
      <c r="AK94" s="50"/>
      <c r="AL94" s="49"/>
      <c r="AM94" s="50"/>
      <c r="AN94" s="49"/>
      <c r="AO94" s="50"/>
      <c r="AP94" s="49"/>
      <c r="AQ94" s="50"/>
      <c r="AR94" s="49"/>
      <c r="AS94" s="50"/>
      <c r="AT94" s="49"/>
      <c r="AU94" s="50"/>
      <c r="AV94" s="49" t="s">
        <v>32</v>
      </c>
      <c r="AW94" s="50" t="s">
        <v>123</v>
      </c>
      <c r="AX94" s="49"/>
      <c r="AY94" s="50"/>
      <c r="AZ94" s="49"/>
      <c r="BA94" s="50"/>
      <c r="BB94" s="49"/>
      <c r="BC94" s="50"/>
      <c r="BD94" s="49" t="s">
        <v>5</v>
      </c>
      <c r="BE94" s="50" t="s">
        <v>436</v>
      </c>
      <c r="BF94" s="49" t="s">
        <v>5</v>
      </c>
      <c r="BG94" s="50"/>
      <c r="BH94" s="49"/>
      <c r="BI94" s="50"/>
      <c r="BJ94" s="49"/>
      <c r="BK94" s="50"/>
      <c r="BL94" s="49"/>
      <c r="BM94" s="50"/>
      <c r="BN94" s="49"/>
      <c r="BO94" s="50"/>
      <c r="BP94" s="49"/>
      <c r="BQ94" s="50"/>
      <c r="BR94" s="49"/>
      <c r="BS94" s="50"/>
      <c r="BT94" s="49"/>
      <c r="BU94" s="50"/>
      <c r="BV94" s="49"/>
      <c r="BW94" s="50"/>
      <c r="BX94" s="49"/>
      <c r="BY94" s="50"/>
      <c r="BZ94" s="49"/>
      <c r="CA94" s="50"/>
    </row>
    <row r="95" spans="1:79" s="91" customFormat="1" x14ac:dyDescent="0.25">
      <c r="A95" s="76">
        <v>150997</v>
      </c>
      <c r="B95" s="77" t="s">
        <v>549</v>
      </c>
      <c r="C95" s="78" t="s">
        <v>440</v>
      </c>
      <c r="D95" s="76" t="s">
        <v>12</v>
      </c>
      <c r="E95" s="79" t="s">
        <v>14</v>
      </c>
      <c r="F95" s="79" t="s">
        <v>115</v>
      </c>
      <c r="G95" s="79" t="s">
        <v>14</v>
      </c>
      <c r="H95" s="78" t="s">
        <v>14</v>
      </c>
      <c r="I95" s="79" t="s">
        <v>14</v>
      </c>
      <c r="J95" s="80">
        <v>4.3</v>
      </c>
      <c r="K95" s="81">
        <v>0</v>
      </c>
      <c r="L95" s="82">
        <v>0</v>
      </c>
      <c r="M95" s="83">
        <v>0</v>
      </c>
      <c r="N95" s="84">
        <v>98.29</v>
      </c>
      <c r="O95" s="85">
        <v>0</v>
      </c>
      <c r="P95" s="86"/>
      <c r="Q95" s="87">
        <f t="shared" si="12"/>
        <v>0</v>
      </c>
      <c r="R95" s="88">
        <f t="shared" si="13"/>
        <v>4</v>
      </c>
      <c r="S95" s="89">
        <f t="shared" si="14"/>
        <v>0</v>
      </c>
      <c r="T95" s="89">
        <f t="shared" si="15"/>
        <v>0</v>
      </c>
      <c r="U95" s="89">
        <f t="shared" si="16"/>
        <v>0</v>
      </c>
      <c r="V95" s="89">
        <f t="shared" si="17"/>
        <v>0</v>
      </c>
      <c r="W95" s="89">
        <f t="shared" si="18"/>
        <v>0</v>
      </c>
      <c r="X95" s="89">
        <f t="shared" si="19"/>
        <v>0</v>
      </c>
      <c r="Y95" s="89">
        <f t="shared" si="20"/>
        <v>0</v>
      </c>
      <c r="Z95" s="89">
        <f t="shared" si="21"/>
        <v>0</v>
      </c>
      <c r="AA95" s="41">
        <f t="shared" si="22"/>
        <v>0</v>
      </c>
      <c r="AB95" s="49" t="s">
        <v>5</v>
      </c>
      <c r="AC95" s="50" t="s">
        <v>116</v>
      </c>
      <c r="AD95" s="49"/>
      <c r="AE95" s="50"/>
      <c r="AF95" s="49"/>
      <c r="AG95" s="50"/>
      <c r="AH95" s="49"/>
      <c r="AI95" s="50"/>
      <c r="AJ95" s="49"/>
      <c r="AK95" s="50"/>
      <c r="AL95" s="49" t="s">
        <v>5</v>
      </c>
      <c r="AM95" s="50" t="s">
        <v>135</v>
      </c>
      <c r="AN95" s="49"/>
      <c r="AO95" s="50"/>
      <c r="AP95" s="49"/>
      <c r="AQ95" s="50"/>
      <c r="AR95" s="49"/>
      <c r="AS95" s="50"/>
      <c r="AT95" s="49"/>
      <c r="AU95" s="50"/>
      <c r="AV95" s="49" t="s">
        <v>5</v>
      </c>
      <c r="AW95" s="50" t="s">
        <v>428</v>
      </c>
      <c r="AX95" s="49"/>
      <c r="AY95" s="50"/>
      <c r="AZ95" s="49"/>
      <c r="BA95" s="50"/>
      <c r="BB95" s="49"/>
      <c r="BC95" s="50"/>
      <c r="BD95" s="49"/>
      <c r="BE95" s="50"/>
      <c r="BF95" s="49"/>
      <c r="BG95" s="50"/>
      <c r="BH95" s="49"/>
      <c r="BI95" s="50"/>
      <c r="BJ95" s="49" t="s">
        <v>5</v>
      </c>
      <c r="BK95" s="50" t="s">
        <v>422</v>
      </c>
      <c r="BL95" s="49"/>
      <c r="BM95" s="50"/>
      <c r="BN95" s="49"/>
      <c r="BO95" s="50"/>
      <c r="BP95" s="49"/>
      <c r="BQ95" s="50"/>
      <c r="BR95" s="49"/>
      <c r="BS95" s="50"/>
      <c r="BT95" s="49"/>
      <c r="BU95" s="50"/>
      <c r="BV95" s="49"/>
      <c r="BW95" s="50"/>
      <c r="BX95" s="49"/>
      <c r="BY95" s="50"/>
      <c r="BZ95" s="49"/>
      <c r="CA95" s="50"/>
    </row>
    <row r="96" spans="1:79" s="91" customFormat="1" x14ac:dyDescent="0.25">
      <c r="A96" s="76">
        <v>160050</v>
      </c>
      <c r="B96" s="77" t="s">
        <v>550</v>
      </c>
      <c r="C96" s="78" t="s">
        <v>501</v>
      </c>
      <c r="D96" s="76" t="s">
        <v>12</v>
      </c>
      <c r="E96" s="79" t="s">
        <v>14</v>
      </c>
      <c r="F96" s="79" t="s">
        <v>71</v>
      </c>
      <c r="G96" s="79" t="s">
        <v>14</v>
      </c>
      <c r="H96" s="78" t="s">
        <v>14</v>
      </c>
      <c r="I96" s="79" t="s">
        <v>14</v>
      </c>
      <c r="J96" s="80">
        <v>3.9</v>
      </c>
      <c r="K96" s="81">
        <v>2</v>
      </c>
      <c r="L96" s="82">
        <v>0</v>
      </c>
      <c r="M96" s="83">
        <v>0</v>
      </c>
      <c r="N96" s="84">
        <v>100</v>
      </c>
      <c r="O96" s="85">
        <v>4</v>
      </c>
      <c r="P96" s="86"/>
      <c r="Q96" s="87">
        <f t="shared" si="12"/>
        <v>0</v>
      </c>
      <c r="R96" s="88">
        <f t="shared" si="13"/>
        <v>4</v>
      </c>
      <c r="S96" s="89">
        <f t="shared" si="14"/>
        <v>0</v>
      </c>
      <c r="T96" s="89">
        <f t="shared" si="15"/>
        <v>0</v>
      </c>
      <c r="U96" s="89">
        <f t="shared" si="16"/>
        <v>0</v>
      </c>
      <c r="V96" s="89">
        <f t="shared" si="17"/>
        <v>0</v>
      </c>
      <c r="W96" s="89">
        <f t="shared" si="18"/>
        <v>0</v>
      </c>
      <c r="X96" s="89">
        <f t="shared" si="19"/>
        <v>0</v>
      </c>
      <c r="Y96" s="89">
        <f t="shared" si="20"/>
        <v>0</v>
      </c>
      <c r="Z96" s="89">
        <f t="shared" si="21"/>
        <v>0</v>
      </c>
      <c r="AA96" s="41">
        <f t="shared" si="22"/>
        <v>0</v>
      </c>
      <c r="AB96" s="49"/>
      <c r="AC96" s="50"/>
      <c r="AD96" s="49"/>
      <c r="AE96" s="50"/>
      <c r="AF96" s="49" t="s">
        <v>5</v>
      </c>
      <c r="AG96" s="50" t="s">
        <v>427</v>
      </c>
      <c r="AH96" s="49"/>
      <c r="AI96" s="50"/>
      <c r="AJ96" s="49"/>
      <c r="AK96" s="50"/>
      <c r="AL96" s="49"/>
      <c r="AM96" s="50"/>
      <c r="AN96" s="49"/>
      <c r="AO96" s="50"/>
      <c r="AP96" s="49"/>
      <c r="AQ96" s="50"/>
      <c r="AR96" s="49"/>
      <c r="AS96" s="50"/>
      <c r="AT96" s="49"/>
      <c r="AU96" s="50"/>
      <c r="AV96" s="49" t="s">
        <v>5</v>
      </c>
      <c r="AW96" s="50" t="s">
        <v>108</v>
      </c>
      <c r="AX96" s="49"/>
      <c r="AY96" s="50"/>
      <c r="AZ96" s="49"/>
      <c r="BA96" s="50"/>
      <c r="BB96" s="49" t="s">
        <v>5</v>
      </c>
      <c r="BC96" s="50" t="s">
        <v>92</v>
      </c>
      <c r="BD96" s="49"/>
      <c r="BE96" s="50"/>
      <c r="BF96" s="49"/>
      <c r="BG96" s="50"/>
      <c r="BH96" s="49"/>
      <c r="BI96" s="50"/>
      <c r="BJ96" s="49"/>
      <c r="BK96" s="50"/>
      <c r="BL96" s="49"/>
      <c r="BM96" s="50"/>
      <c r="BN96" s="49"/>
      <c r="BO96" s="50"/>
      <c r="BP96" s="49"/>
      <c r="BQ96" s="50"/>
      <c r="BR96" s="49"/>
      <c r="BS96" s="50"/>
      <c r="BT96" s="49"/>
      <c r="BU96" s="50"/>
      <c r="BV96" s="49"/>
      <c r="BW96" s="50"/>
      <c r="BX96" s="49" t="s">
        <v>5</v>
      </c>
      <c r="BY96" s="50" t="s">
        <v>462</v>
      </c>
      <c r="BZ96" s="49"/>
      <c r="CA96" s="50"/>
    </row>
    <row r="97" spans="1:79" s="91" customFormat="1" x14ac:dyDescent="0.25">
      <c r="A97" s="76">
        <v>152720</v>
      </c>
      <c r="B97" s="77" t="s">
        <v>551</v>
      </c>
      <c r="C97" s="78" t="s">
        <v>432</v>
      </c>
      <c r="D97" s="76" t="s">
        <v>12</v>
      </c>
      <c r="E97" s="79" t="s">
        <v>14</v>
      </c>
      <c r="F97" s="79" t="s">
        <v>88</v>
      </c>
      <c r="G97" s="79" t="s">
        <v>14</v>
      </c>
      <c r="H97" s="78" t="s">
        <v>14</v>
      </c>
      <c r="I97" s="79" t="s">
        <v>14</v>
      </c>
      <c r="J97" s="80">
        <v>5.8</v>
      </c>
      <c r="K97" s="81">
        <v>3</v>
      </c>
      <c r="L97" s="82">
        <v>0</v>
      </c>
      <c r="M97" s="83">
        <v>0</v>
      </c>
      <c r="N97" s="84">
        <v>98.31</v>
      </c>
      <c r="O97" s="85">
        <v>0</v>
      </c>
      <c r="P97" s="86"/>
      <c r="Q97" s="87">
        <f t="shared" si="12"/>
        <v>0</v>
      </c>
      <c r="R97" s="88">
        <f t="shared" si="13"/>
        <v>4</v>
      </c>
      <c r="S97" s="89">
        <f t="shared" si="14"/>
        <v>0</v>
      </c>
      <c r="T97" s="89">
        <f t="shared" si="15"/>
        <v>0</v>
      </c>
      <c r="U97" s="89">
        <f t="shared" si="16"/>
        <v>0</v>
      </c>
      <c r="V97" s="89">
        <f t="shared" si="17"/>
        <v>0</v>
      </c>
      <c r="W97" s="89">
        <f t="shared" si="18"/>
        <v>0</v>
      </c>
      <c r="X97" s="89">
        <f t="shared" si="19"/>
        <v>0</v>
      </c>
      <c r="Y97" s="89">
        <f t="shared" si="20"/>
        <v>0</v>
      </c>
      <c r="Z97" s="89">
        <f t="shared" si="21"/>
        <v>0</v>
      </c>
      <c r="AA97" s="41">
        <f t="shared" si="22"/>
        <v>0</v>
      </c>
      <c r="AB97" s="49"/>
      <c r="AC97" s="50"/>
      <c r="AD97" s="49"/>
      <c r="AE97" s="50"/>
      <c r="AF97" s="49" t="s">
        <v>5</v>
      </c>
      <c r="AG97" s="50" t="s">
        <v>427</v>
      </c>
      <c r="AH97" s="49"/>
      <c r="AI97" s="50"/>
      <c r="AJ97" s="49"/>
      <c r="AK97" s="50"/>
      <c r="AL97" s="49"/>
      <c r="AM97" s="50"/>
      <c r="AN97" s="49"/>
      <c r="AO97" s="50"/>
      <c r="AP97" s="49"/>
      <c r="AQ97" s="50"/>
      <c r="AR97" s="49"/>
      <c r="AS97" s="50"/>
      <c r="AT97" s="49"/>
      <c r="AU97" s="50"/>
      <c r="AV97" s="49" t="s">
        <v>5</v>
      </c>
      <c r="AW97" s="50" t="s">
        <v>457</v>
      </c>
      <c r="AX97" s="49"/>
      <c r="AY97" s="50"/>
      <c r="AZ97" s="49"/>
      <c r="BA97" s="50"/>
      <c r="BB97" s="49"/>
      <c r="BC97" s="50"/>
      <c r="BD97" s="49"/>
      <c r="BE97" s="50"/>
      <c r="BF97" s="49"/>
      <c r="BG97" s="50"/>
      <c r="BH97" s="49"/>
      <c r="BI97" s="50"/>
      <c r="BJ97" s="49" t="s">
        <v>5</v>
      </c>
      <c r="BK97" s="50" t="s">
        <v>430</v>
      </c>
      <c r="BL97" s="49"/>
      <c r="BM97" s="50"/>
      <c r="BN97" s="49"/>
      <c r="BO97" s="50"/>
      <c r="BP97" s="49"/>
      <c r="BQ97" s="50"/>
      <c r="BR97" s="49" t="s">
        <v>5</v>
      </c>
      <c r="BS97" s="50" t="s">
        <v>98</v>
      </c>
      <c r="BT97" s="49"/>
      <c r="BU97" s="50"/>
      <c r="BV97" s="49"/>
      <c r="BW97" s="50"/>
      <c r="BX97" s="49"/>
      <c r="BY97" s="50"/>
      <c r="BZ97" s="49"/>
      <c r="CA97" s="50"/>
    </row>
    <row r="98" spans="1:79" s="91" customFormat="1" x14ac:dyDescent="0.25">
      <c r="A98" s="76">
        <v>150851</v>
      </c>
      <c r="B98" s="77" t="s">
        <v>552</v>
      </c>
      <c r="C98" s="78" t="s">
        <v>432</v>
      </c>
      <c r="D98" s="76" t="s">
        <v>12</v>
      </c>
      <c r="E98" s="79" t="s">
        <v>14</v>
      </c>
      <c r="F98" s="79" t="s">
        <v>450</v>
      </c>
      <c r="G98" s="79" t="s">
        <v>14</v>
      </c>
      <c r="H98" s="78" t="s">
        <v>14</v>
      </c>
      <c r="I98" s="79" t="s">
        <v>14</v>
      </c>
      <c r="J98" s="80">
        <v>6.8</v>
      </c>
      <c r="K98" s="81">
        <v>0</v>
      </c>
      <c r="L98" s="82">
        <v>0</v>
      </c>
      <c r="M98" s="83">
        <v>0</v>
      </c>
      <c r="N98" s="84">
        <v>99.12</v>
      </c>
      <c r="O98" s="85">
        <v>0</v>
      </c>
      <c r="P98" s="86"/>
      <c r="Q98" s="87">
        <f t="shared" si="12"/>
        <v>0</v>
      </c>
      <c r="R98" s="88">
        <f t="shared" si="13"/>
        <v>4</v>
      </c>
      <c r="S98" s="89">
        <f t="shared" si="14"/>
        <v>0</v>
      </c>
      <c r="T98" s="89">
        <f t="shared" si="15"/>
        <v>0</v>
      </c>
      <c r="U98" s="89">
        <f t="shared" si="16"/>
        <v>0</v>
      </c>
      <c r="V98" s="89">
        <f t="shared" si="17"/>
        <v>0</v>
      </c>
      <c r="W98" s="89">
        <f t="shared" si="18"/>
        <v>0</v>
      </c>
      <c r="X98" s="89">
        <f t="shared" si="19"/>
        <v>0</v>
      </c>
      <c r="Y98" s="89">
        <f t="shared" si="20"/>
        <v>0</v>
      </c>
      <c r="Z98" s="89">
        <f t="shared" si="21"/>
        <v>0</v>
      </c>
      <c r="AA98" s="41">
        <f t="shared" si="22"/>
        <v>0</v>
      </c>
      <c r="AB98" s="49"/>
      <c r="AC98" s="50"/>
      <c r="AD98" s="49"/>
      <c r="AE98" s="50"/>
      <c r="AF98" s="49"/>
      <c r="AG98" s="50"/>
      <c r="AH98" s="49" t="s">
        <v>5</v>
      </c>
      <c r="AI98" s="50" t="s">
        <v>424</v>
      </c>
      <c r="AJ98" s="49"/>
      <c r="AK98" s="50"/>
      <c r="AL98" s="49"/>
      <c r="AM98" s="50"/>
      <c r="AN98" s="49"/>
      <c r="AO98" s="50"/>
      <c r="AP98" s="49"/>
      <c r="AQ98" s="50"/>
      <c r="AR98" s="49"/>
      <c r="AS98" s="50"/>
      <c r="AT98" s="49"/>
      <c r="AU98" s="50"/>
      <c r="AV98" s="49" t="s">
        <v>5</v>
      </c>
      <c r="AW98" s="50" t="s">
        <v>123</v>
      </c>
      <c r="AX98" s="49"/>
      <c r="AY98" s="50"/>
      <c r="AZ98" s="49"/>
      <c r="BA98" s="50"/>
      <c r="BB98" s="49"/>
      <c r="BC98" s="50"/>
      <c r="BD98" s="49"/>
      <c r="BE98" s="50"/>
      <c r="BF98" s="49"/>
      <c r="BG98" s="50"/>
      <c r="BH98" s="49"/>
      <c r="BI98" s="50"/>
      <c r="BJ98" s="49" t="s">
        <v>5</v>
      </c>
      <c r="BK98" s="50" t="s">
        <v>430</v>
      </c>
      <c r="BL98" s="49"/>
      <c r="BM98" s="50"/>
      <c r="BN98" s="49"/>
      <c r="BO98" s="50"/>
      <c r="BP98" s="49"/>
      <c r="BQ98" s="50"/>
      <c r="BR98" s="49" t="s">
        <v>5</v>
      </c>
      <c r="BS98" s="50" t="s">
        <v>98</v>
      </c>
      <c r="BT98" s="49"/>
      <c r="BU98" s="50"/>
      <c r="BV98" s="49"/>
      <c r="BW98" s="50"/>
      <c r="BX98" s="49"/>
      <c r="BY98" s="50"/>
      <c r="BZ98" s="49"/>
      <c r="CA98" s="50"/>
    </row>
    <row r="99" spans="1:79" s="91" customFormat="1" x14ac:dyDescent="0.25">
      <c r="A99" s="76">
        <v>150952</v>
      </c>
      <c r="B99" s="77" t="s">
        <v>553</v>
      </c>
      <c r="C99" s="78" t="s">
        <v>432</v>
      </c>
      <c r="D99" s="76" t="s">
        <v>70</v>
      </c>
      <c r="E99" s="79" t="s">
        <v>14</v>
      </c>
      <c r="F99" s="79" t="s">
        <v>220</v>
      </c>
      <c r="G99" s="79" t="s">
        <v>14</v>
      </c>
      <c r="H99" s="78" t="s">
        <v>14</v>
      </c>
      <c r="I99" s="79" t="s">
        <v>14</v>
      </c>
      <c r="J99" s="80">
        <v>7.6</v>
      </c>
      <c r="K99" s="81">
        <v>1</v>
      </c>
      <c r="L99" s="82">
        <v>0</v>
      </c>
      <c r="M99" s="83">
        <v>0</v>
      </c>
      <c r="N99" s="84">
        <v>100</v>
      </c>
      <c r="O99" s="85">
        <v>0</v>
      </c>
      <c r="P99" s="86"/>
      <c r="Q99" s="87">
        <f t="shared" si="12"/>
        <v>0</v>
      </c>
      <c r="R99" s="88">
        <f t="shared" si="13"/>
        <v>4</v>
      </c>
      <c r="S99" s="89">
        <f t="shared" si="14"/>
        <v>0</v>
      </c>
      <c r="T99" s="89">
        <f t="shared" si="15"/>
        <v>0</v>
      </c>
      <c r="U99" s="89">
        <f t="shared" si="16"/>
        <v>0</v>
      </c>
      <c r="V99" s="89">
        <f t="shared" si="17"/>
        <v>0</v>
      </c>
      <c r="W99" s="89">
        <f t="shared" si="18"/>
        <v>0</v>
      </c>
      <c r="X99" s="89">
        <f t="shared" si="19"/>
        <v>0</v>
      </c>
      <c r="Y99" s="89">
        <f t="shared" si="20"/>
        <v>0</v>
      </c>
      <c r="Z99" s="89">
        <f t="shared" si="21"/>
        <v>0</v>
      </c>
      <c r="AA99" s="41">
        <f t="shared" si="22"/>
        <v>0</v>
      </c>
      <c r="AB99" s="49"/>
      <c r="AC99" s="50"/>
      <c r="AD99" s="49" t="s">
        <v>5</v>
      </c>
      <c r="AE99" s="50" t="s">
        <v>154</v>
      </c>
      <c r="AF99" s="49"/>
      <c r="AG99" s="50"/>
      <c r="AH99" s="49" t="s">
        <v>5</v>
      </c>
      <c r="AI99" s="50" t="s">
        <v>419</v>
      </c>
      <c r="AJ99" s="49"/>
      <c r="AK99" s="50"/>
      <c r="AL99" s="49"/>
      <c r="AM99" s="50"/>
      <c r="AN99" s="49"/>
      <c r="AO99" s="50"/>
      <c r="AP99" s="49"/>
      <c r="AQ99" s="50"/>
      <c r="AR99" s="49"/>
      <c r="AS99" s="50"/>
      <c r="AT99" s="49"/>
      <c r="AU99" s="50"/>
      <c r="AV99" s="49" t="s">
        <v>5</v>
      </c>
      <c r="AW99" s="50" t="s">
        <v>123</v>
      </c>
      <c r="AX99" s="49"/>
      <c r="AY99" s="50"/>
      <c r="AZ99" s="49"/>
      <c r="BA99" s="50"/>
      <c r="BB99" s="49"/>
      <c r="BC99" s="50"/>
      <c r="BD99" s="49"/>
      <c r="BE99" s="50"/>
      <c r="BF99" s="49"/>
      <c r="BG99" s="50"/>
      <c r="BH99" s="49"/>
      <c r="BI99" s="50"/>
      <c r="BJ99" s="49" t="s">
        <v>5</v>
      </c>
      <c r="BK99" s="50" t="s">
        <v>430</v>
      </c>
      <c r="BL99" s="49"/>
      <c r="BM99" s="50"/>
      <c r="BN99" s="49"/>
      <c r="BO99" s="50"/>
      <c r="BP99" s="49"/>
      <c r="BQ99" s="50"/>
      <c r="BR99" s="49"/>
      <c r="BS99" s="50"/>
      <c r="BT99" s="49"/>
      <c r="BU99" s="50"/>
      <c r="BV99" s="49"/>
      <c r="BW99" s="50"/>
      <c r="BX99" s="49"/>
      <c r="BY99" s="50"/>
      <c r="BZ99" s="49"/>
      <c r="CA99" s="50"/>
    </row>
    <row r="100" spans="1:79" s="91" customFormat="1" x14ac:dyDescent="0.25">
      <c r="A100" s="76">
        <v>150792</v>
      </c>
      <c r="B100" s="77" t="s">
        <v>554</v>
      </c>
      <c r="C100" s="78" t="s">
        <v>490</v>
      </c>
      <c r="D100" s="76" t="s">
        <v>70</v>
      </c>
      <c r="E100" s="79" t="s">
        <v>14</v>
      </c>
      <c r="F100" s="79" t="s">
        <v>275</v>
      </c>
      <c r="G100" s="79" t="s">
        <v>14</v>
      </c>
      <c r="H100" s="78" t="s">
        <v>14</v>
      </c>
      <c r="I100" s="79" t="s">
        <v>14</v>
      </c>
      <c r="J100" s="80">
        <v>6.1</v>
      </c>
      <c r="K100" s="81">
        <v>2</v>
      </c>
      <c r="L100" s="82">
        <v>0</v>
      </c>
      <c r="M100" s="83">
        <v>0</v>
      </c>
      <c r="N100" s="84">
        <v>93.97</v>
      </c>
      <c r="O100" s="85">
        <v>0</v>
      </c>
      <c r="P100" s="86"/>
      <c r="Q100" s="87">
        <f t="shared" si="12"/>
        <v>1</v>
      </c>
      <c r="R100" s="88">
        <f t="shared" si="13"/>
        <v>3</v>
      </c>
      <c r="S100" s="89">
        <f t="shared" si="14"/>
        <v>0</v>
      </c>
      <c r="T100" s="89">
        <f t="shared" si="15"/>
        <v>0</v>
      </c>
      <c r="U100" s="89">
        <f t="shared" si="16"/>
        <v>0</v>
      </c>
      <c r="V100" s="89">
        <f t="shared" si="17"/>
        <v>0</v>
      </c>
      <c r="W100" s="89">
        <f t="shared" si="18"/>
        <v>0</v>
      </c>
      <c r="X100" s="89">
        <f t="shared" si="19"/>
        <v>0</v>
      </c>
      <c r="Y100" s="89">
        <f t="shared" si="20"/>
        <v>0</v>
      </c>
      <c r="Z100" s="89">
        <f t="shared" si="21"/>
        <v>0</v>
      </c>
      <c r="AA100" s="41">
        <f t="shared" si="22"/>
        <v>0</v>
      </c>
      <c r="AB100" s="49"/>
      <c r="AC100" s="50"/>
      <c r="AD100" s="49"/>
      <c r="AE100" s="50"/>
      <c r="AF100" s="49"/>
      <c r="AG100" s="50"/>
      <c r="AH100" s="49"/>
      <c r="AI100" s="50"/>
      <c r="AJ100" s="49"/>
      <c r="AK100" s="50"/>
      <c r="AL100" s="49"/>
      <c r="AM100" s="50"/>
      <c r="AN100" s="49" t="s">
        <v>5</v>
      </c>
      <c r="AO100" s="50" t="s">
        <v>101</v>
      </c>
      <c r="AP100" s="49"/>
      <c r="AQ100" s="50"/>
      <c r="AR100" s="49" t="s">
        <v>5</v>
      </c>
      <c r="AS100" s="50" t="s">
        <v>127</v>
      </c>
      <c r="AT100" s="49"/>
      <c r="AU100" s="50"/>
      <c r="AV100" s="49" t="s">
        <v>5</v>
      </c>
      <c r="AW100" s="50" t="s">
        <v>459</v>
      </c>
      <c r="AX100" s="49"/>
      <c r="AY100" s="50"/>
      <c r="AZ100" s="49"/>
      <c r="BA100" s="50"/>
      <c r="BB100" s="49"/>
      <c r="BC100" s="50"/>
      <c r="BD100" s="49"/>
      <c r="BE100" s="50"/>
      <c r="BF100" s="49"/>
      <c r="BG100" s="50"/>
      <c r="BH100" s="49"/>
      <c r="BI100" s="50"/>
      <c r="BJ100" s="49"/>
      <c r="BK100" s="50"/>
      <c r="BL100" s="49"/>
      <c r="BM100" s="50"/>
      <c r="BN100" s="49"/>
      <c r="BO100" s="50"/>
      <c r="BP100" s="49"/>
      <c r="BQ100" s="50"/>
      <c r="BR100" s="49"/>
      <c r="BS100" s="50"/>
      <c r="BT100" s="49"/>
      <c r="BU100" s="50"/>
      <c r="BV100" s="49" t="s">
        <v>1</v>
      </c>
      <c r="BW100" s="50" t="s">
        <v>425</v>
      </c>
      <c r="BX100" s="49"/>
      <c r="BY100" s="50"/>
      <c r="BZ100" s="49"/>
      <c r="CA100" s="50"/>
    </row>
    <row r="101" spans="1:79" s="91" customFormat="1" x14ac:dyDescent="0.25">
      <c r="A101" s="76">
        <v>160091</v>
      </c>
      <c r="B101" s="77" t="s">
        <v>555</v>
      </c>
      <c r="C101" s="78" t="s">
        <v>466</v>
      </c>
      <c r="D101" s="76" t="s">
        <v>12</v>
      </c>
      <c r="E101" s="79" t="s">
        <v>14</v>
      </c>
      <c r="F101" s="79" t="s">
        <v>184</v>
      </c>
      <c r="G101" s="79" t="s">
        <v>14</v>
      </c>
      <c r="H101" s="78" t="s">
        <v>14</v>
      </c>
      <c r="I101" s="79" t="s">
        <v>4</v>
      </c>
      <c r="J101" s="80">
        <v>7</v>
      </c>
      <c r="K101" s="81">
        <v>0</v>
      </c>
      <c r="L101" s="82">
        <v>0</v>
      </c>
      <c r="M101" s="83">
        <v>1</v>
      </c>
      <c r="N101" s="84">
        <v>99.15</v>
      </c>
      <c r="O101" s="85">
        <v>0</v>
      </c>
      <c r="P101" s="86"/>
      <c r="Q101" s="87">
        <f t="shared" si="12"/>
        <v>1</v>
      </c>
      <c r="R101" s="88">
        <f t="shared" si="13"/>
        <v>3</v>
      </c>
      <c r="S101" s="89">
        <f t="shared" si="14"/>
        <v>0</v>
      </c>
      <c r="T101" s="89">
        <f t="shared" si="15"/>
        <v>0</v>
      </c>
      <c r="U101" s="89">
        <f t="shared" si="16"/>
        <v>0</v>
      </c>
      <c r="V101" s="89">
        <f t="shared" si="17"/>
        <v>0</v>
      </c>
      <c r="W101" s="89">
        <f t="shared" si="18"/>
        <v>0</v>
      </c>
      <c r="X101" s="89">
        <f t="shared" si="19"/>
        <v>0</v>
      </c>
      <c r="Y101" s="89">
        <f t="shared" si="20"/>
        <v>0</v>
      </c>
      <c r="Z101" s="89">
        <f t="shared" si="21"/>
        <v>0</v>
      </c>
      <c r="AA101" s="41">
        <f t="shared" si="22"/>
        <v>0</v>
      </c>
      <c r="AB101" s="49"/>
      <c r="AC101" s="50"/>
      <c r="AD101" s="49"/>
      <c r="AE101" s="50"/>
      <c r="AF101" s="49"/>
      <c r="AG101" s="50"/>
      <c r="AH101" s="49"/>
      <c r="AI101" s="50"/>
      <c r="AJ101" s="49" t="s">
        <v>1</v>
      </c>
      <c r="AK101" s="50" t="s">
        <v>163</v>
      </c>
      <c r="AL101" s="49"/>
      <c r="AM101" s="50"/>
      <c r="AN101" s="49"/>
      <c r="AO101" s="50"/>
      <c r="AP101" s="49"/>
      <c r="AQ101" s="50"/>
      <c r="AR101" s="49"/>
      <c r="AS101" s="50"/>
      <c r="AT101" s="49"/>
      <c r="AU101" s="50"/>
      <c r="AV101" s="49" t="s">
        <v>5</v>
      </c>
      <c r="AW101" s="50" t="s">
        <v>476</v>
      </c>
      <c r="AX101" s="49"/>
      <c r="AY101" s="50"/>
      <c r="AZ101" s="49"/>
      <c r="BA101" s="50"/>
      <c r="BB101" s="49"/>
      <c r="BC101" s="50"/>
      <c r="BD101" s="49"/>
      <c r="BE101" s="50"/>
      <c r="BF101" s="49"/>
      <c r="BG101" s="50"/>
      <c r="BH101" s="49"/>
      <c r="BI101" s="50"/>
      <c r="BJ101" s="49" t="s">
        <v>5</v>
      </c>
      <c r="BK101" s="50" t="s">
        <v>430</v>
      </c>
      <c r="BL101" s="49"/>
      <c r="BM101" s="50"/>
      <c r="BN101" s="49"/>
      <c r="BO101" s="50"/>
      <c r="BP101" s="49"/>
      <c r="BQ101" s="50"/>
      <c r="BR101" s="49" t="s">
        <v>5</v>
      </c>
      <c r="BS101" s="50" t="s">
        <v>109</v>
      </c>
      <c r="BT101" s="49"/>
      <c r="BU101" s="50"/>
      <c r="BV101" s="49"/>
      <c r="BW101" s="50"/>
      <c r="BX101" s="49"/>
      <c r="BY101" s="50"/>
      <c r="BZ101" s="49"/>
      <c r="CA101" s="50"/>
    </row>
    <row r="102" spans="1:79" s="91" customFormat="1" x14ac:dyDescent="0.25">
      <c r="A102" s="76">
        <v>152730</v>
      </c>
      <c r="B102" s="77" t="s">
        <v>556</v>
      </c>
      <c r="C102" s="78" t="s">
        <v>432</v>
      </c>
      <c r="D102" s="76" t="s">
        <v>12</v>
      </c>
      <c r="E102" s="79" t="s">
        <v>14</v>
      </c>
      <c r="F102" s="79" t="s">
        <v>220</v>
      </c>
      <c r="G102" s="79" t="s">
        <v>14</v>
      </c>
      <c r="H102" s="78" t="s">
        <v>14</v>
      </c>
      <c r="I102" s="79" t="s">
        <v>14</v>
      </c>
      <c r="J102" s="80">
        <v>4.0999999999999996</v>
      </c>
      <c r="K102" s="81">
        <v>0</v>
      </c>
      <c r="L102" s="82">
        <v>0</v>
      </c>
      <c r="M102" s="83">
        <v>1</v>
      </c>
      <c r="N102" s="84">
        <v>98.55</v>
      </c>
      <c r="O102" s="85">
        <v>1</v>
      </c>
      <c r="P102" s="86"/>
      <c r="Q102" s="87">
        <f t="shared" si="12"/>
        <v>1</v>
      </c>
      <c r="R102" s="88">
        <f t="shared" si="13"/>
        <v>4</v>
      </c>
      <c r="S102" s="89">
        <f t="shared" si="14"/>
        <v>0</v>
      </c>
      <c r="T102" s="89">
        <f t="shared" si="15"/>
        <v>0</v>
      </c>
      <c r="U102" s="89">
        <f t="shared" si="16"/>
        <v>0</v>
      </c>
      <c r="V102" s="89">
        <f t="shared" si="17"/>
        <v>0</v>
      </c>
      <c r="W102" s="89">
        <f t="shared" si="18"/>
        <v>0</v>
      </c>
      <c r="X102" s="89">
        <f t="shared" si="19"/>
        <v>0</v>
      </c>
      <c r="Y102" s="89">
        <f t="shared" si="20"/>
        <v>0</v>
      </c>
      <c r="Z102" s="89">
        <f t="shared" si="21"/>
        <v>0</v>
      </c>
      <c r="AA102" s="41">
        <f t="shared" si="22"/>
        <v>0</v>
      </c>
      <c r="AB102" s="49"/>
      <c r="AC102" s="50"/>
      <c r="AD102" s="49"/>
      <c r="AE102" s="50"/>
      <c r="AF102" s="49"/>
      <c r="AG102" s="50"/>
      <c r="AH102" s="49" t="s">
        <v>5</v>
      </c>
      <c r="AI102" s="50" t="s">
        <v>419</v>
      </c>
      <c r="AJ102" s="49" t="s">
        <v>5</v>
      </c>
      <c r="AK102" s="50" t="s">
        <v>163</v>
      </c>
      <c r="AL102" s="49"/>
      <c r="AM102" s="50"/>
      <c r="AN102" s="49"/>
      <c r="AO102" s="50"/>
      <c r="AP102" s="49"/>
      <c r="AQ102" s="50"/>
      <c r="AR102" s="49"/>
      <c r="AS102" s="50"/>
      <c r="AT102" s="49"/>
      <c r="AU102" s="50"/>
      <c r="AV102" s="49" t="s">
        <v>5</v>
      </c>
      <c r="AW102" s="50" t="s">
        <v>151</v>
      </c>
      <c r="AX102" s="49"/>
      <c r="AY102" s="50"/>
      <c r="AZ102" s="49"/>
      <c r="BA102" s="50"/>
      <c r="BB102" s="49"/>
      <c r="BC102" s="50"/>
      <c r="BD102" s="49" t="s">
        <v>1</v>
      </c>
      <c r="BE102" s="50" t="s">
        <v>436</v>
      </c>
      <c r="BF102" s="49"/>
      <c r="BG102" s="50"/>
      <c r="BH102" s="49"/>
      <c r="BI102" s="50"/>
      <c r="BJ102" s="49" t="s">
        <v>5</v>
      </c>
      <c r="BK102" s="50" t="s">
        <v>430</v>
      </c>
      <c r="BL102" s="49"/>
      <c r="BM102" s="50"/>
      <c r="BN102" s="49"/>
      <c r="BO102" s="50"/>
      <c r="BP102" s="49"/>
      <c r="BQ102" s="50"/>
      <c r="BR102" s="49"/>
      <c r="BS102" s="50"/>
      <c r="BT102" s="49"/>
      <c r="BU102" s="50"/>
      <c r="BV102" s="49"/>
      <c r="BW102" s="50"/>
      <c r="BX102" s="49"/>
      <c r="BY102" s="50"/>
      <c r="BZ102" s="49"/>
      <c r="CA102" s="50"/>
    </row>
    <row r="103" spans="1:79" s="91" customFormat="1" x14ac:dyDescent="0.25">
      <c r="A103" s="76">
        <v>160080</v>
      </c>
      <c r="B103" s="77" t="s">
        <v>557</v>
      </c>
      <c r="C103" s="78" t="s">
        <v>466</v>
      </c>
      <c r="D103" s="76" t="s">
        <v>12</v>
      </c>
      <c r="E103" s="79" t="s">
        <v>14</v>
      </c>
      <c r="F103" s="79" t="s">
        <v>368</v>
      </c>
      <c r="G103" s="79" t="s">
        <v>14</v>
      </c>
      <c r="H103" s="78" t="s">
        <v>14</v>
      </c>
      <c r="I103" s="79" t="s">
        <v>14</v>
      </c>
      <c r="J103" s="80">
        <v>7.9</v>
      </c>
      <c r="K103" s="81">
        <v>3</v>
      </c>
      <c r="L103" s="82">
        <v>0</v>
      </c>
      <c r="M103" s="83">
        <v>0</v>
      </c>
      <c r="N103" s="84">
        <v>100</v>
      </c>
      <c r="O103" s="85">
        <v>0</v>
      </c>
      <c r="P103" s="86"/>
      <c r="Q103" s="87">
        <f t="shared" si="12"/>
        <v>2</v>
      </c>
      <c r="R103" s="88">
        <f t="shared" si="13"/>
        <v>3</v>
      </c>
      <c r="S103" s="89">
        <f t="shared" si="14"/>
        <v>0</v>
      </c>
      <c r="T103" s="89">
        <f t="shared" si="15"/>
        <v>0</v>
      </c>
      <c r="U103" s="89">
        <f t="shared" si="16"/>
        <v>0</v>
      </c>
      <c r="V103" s="89">
        <f t="shared" si="17"/>
        <v>0</v>
      </c>
      <c r="W103" s="89">
        <f t="shared" si="18"/>
        <v>0</v>
      </c>
      <c r="X103" s="89">
        <f t="shared" si="19"/>
        <v>0</v>
      </c>
      <c r="Y103" s="89">
        <f t="shared" si="20"/>
        <v>0</v>
      </c>
      <c r="Z103" s="89">
        <f t="shared" si="21"/>
        <v>0</v>
      </c>
      <c r="AA103" s="41">
        <f t="shared" si="22"/>
        <v>0</v>
      </c>
      <c r="AB103" s="49"/>
      <c r="AC103" s="50"/>
      <c r="AD103" s="49"/>
      <c r="AE103" s="50"/>
      <c r="AF103" s="49"/>
      <c r="AG103" s="50"/>
      <c r="AH103" s="49" t="s">
        <v>5</v>
      </c>
      <c r="AI103" s="50" t="s">
        <v>206</v>
      </c>
      <c r="AJ103" s="49"/>
      <c r="AK103" s="50"/>
      <c r="AL103" s="49"/>
      <c r="AM103" s="50"/>
      <c r="AN103" s="49"/>
      <c r="AO103" s="50"/>
      <c r="AP103" s="49"/>
      <c r="AQ103" s="50"/>
      <c r="AR103" s="49"/>
      <c r="AS103" s="50"/>
      <c r="AT103" s="49"/>
      <c r="AU103" s="50"/>
      <c r="AV103" s="49" t="s">
        <v>5</v>
      </c>
      <c r="AW103" s="50" t="s">
        <v>476</v>
      </c>
      <c r="AX103" s="49"/>
      <c r="AY103" s="50"/>
      <c r="AZ103" s="49"/>
      <c r="BA103" s="50"/>
      <c r="BB103" s="49"/>
      <c r="BC103" s="50"/>
      <c r="BD103" s="49"/>
      <c r="BE103" s="50"/>
      <c r="BF103" s="49"/>
      <c r="BG103" s="50"/>
      <c r="BH103" s="49"/>
      <c r="BI103" s="50"/>
      <c r="BJ103" s="49" t="s">
        <v>1</v>
      </c>
      <c r="BK103" s="50" t="s">
        <v>430</v>
      </c>
      <c r="BL103" s="49"/>
      <c r="BM103" s="50"/>
      <c r="BN103" s="49"/>
      <c r="BO103" s="50"/>
      <c r="BP103" s="49"/>
      <c r="BQ103" s="50"/>
      <c r="BR103" s="49" t="s">
        <v>1</v>
      </c>
      <c r="BS103" s="50" t="s">
        <v>109</v>
      </c>
      <c r="BT103" s="49"/>
      <c r="BU103" s="50"/>
      <c r="BV103" s="49"/>
      <c r="BW103" s="50"/>
      <c r="BX103" s="49"/>
      <c r="BY103" s="50"/>
      <c r="BZ103" s="49" t="s">
        <v>5</v>
      </c>
      <c r="CA103" s="50" t="s">
        <v>421</v>
      </c>
    </row>
    <row r="104" spans="1:79" s="91" customFormat="1" x14ac:dyDescent="0.25">
      <c r="A104" s="76">
        <v>150859</v>
      </c>
      <c r="B104" s="77" t="s">
        <v>558</v>
      </c>
      <c r="C104" s="78" t="s">
        <v>432</v>
      </c>
      <c r="D104" s="76" t="s">
        <v>12</v>
      </c>
      <c r="E104" s="79" t="s">
        <v>14</v>
      </c>
      <c r="F104" s="79" t="s">
        <v>71</v>
      </c>
      <c r="G104" s="79" t="s">
        <v>14</v>
      </c>
      <c r="H104" s="78" t="s">
        <v>14</v>
      </c>
      <c r="I104" s="79" t="s">
        <v>14</v>
      </c>
      <c r="J104" s="80">
        <v>6.5</v>
      </c>
      <c r="K104" s="81">
        <v>1</v>
      </c>
      <c r="L104" s="82">
        <v>0</v>
      </c>
      <c r="M104" s="83">
        <v>0</v>
      </c>
      <c r="N104" s="84">
        <v>100</v>
      </c>
      <c r="O104" s="85">
        <v>0</v>
      </c>
      <c r="P104" s="86"/>
      <c r="Q104" s="87">
        <f t="shared" si="12"/>
        <v>0</v>
      </c>
      <c r="R104" s="88">
        <f t="shared" si="13"/>
        <v>4</v>
      </c>
      <c r="S104" s="89">
        <f t="shared" si="14"/>
        <v>0</v>
      </c>
      <c r="T104" s="89">
        <f t="shared" si="15"/>
        <v>0</v>
      </c>
      <c r="U104" s="89">
        <f t="shared" si="16"/>
        <v>0</v>
      </c>
      <c r="V104" s="89">
        <f t="shared" si="17"/>
        <v>0</v>
      </c>
      <c r="W104" s="89">
        <f t="shared" si="18"/>
        <v>0</v>
      </c>
      <c r="X104" s="89">
        <f t="shared" si="19"/>
        <v>0</v>
      </c>
      <c r="Y104" s="89">
        <f t="shared" si="20"/>
        <v>0</v>
      </c>
      <c r="Z104" s="89">
        <f t="shared" si="21"/>
        <v>0</v>
      </c>
      <c r="AA104" s="41">
        <f t="shared" si="22"/>
        <v>0</v>
      </c>
      <c r="AB104" s="49"/>
      <c r="AC104" s="50"/>
      <c r="AD104" s="49"/>
      <c r="AE104" s="50"/>
      <c r="AF104" s="49"/>
      <c r="AG104" s="50"/>
      <c r="AH104" s="49"/>
      <c r="AI104" s="50"/>
      <c r="AJ104" s="49"/>
      <c r="AK104" s="50"/>
      <c r="AL104" s="49"/>
      <c r="AM104" s="50"/>
      <c r="AN104" s="49"/>
      <c r="AO104" s="50"/>
      <c r="AP104" s="49" t="s">
        <v>5</v>
      </c>
      <c r="AQ104" s="50" t="s">
        <v>428</v>
      </c>
      <c r="AR104" s="49"/>
      <c r="AS104" s="50"/>
      <c r="AT104" s="49"/>
      <c r="AU104" s="50"/>
      <c r="AV104" s="49" t="s">
        <v>5</v>
      </c>
      <c r="AW104" s="50" t="s">
        <v>123</v>
      </c>
      <c r="AX104" s="49"/>
      <c r="AY104" s="50"/>
      <c r="AZ104" s="49"/>
      <c r="BA104" s="50"/>
      <c r="BB104" s="49" t="s">
        <v>5</v>
      </c>
      <c r="BC104" s="50" t="s">
        <v>92</v>
      </c>
      <c r="BD104" s="49"/>
      <c r="BE104" s="50"/>
      <c r="BF104" s="49"/>
      <c r="BG104" s="50"/>
      <c r="BH104" s="49"/>
      <c r="BI104" s="50"/>
      <c r="BJ104" s="49" t="s">
        <v>5</v>
      </c>
      <c r="BK104" s="50" t="s">
        <v>430</v>
      </c>
      <c r="BL104" s="49"/>
      <c r="BM104" s="50"/>
      <c r="BN104" s="49"/>
      <c r="BO104" s="50"/>
      <c r="BP104" s="49"/>
      <c r="BQ104" s="50"/>
      <c r="BR104" s="49"/>
      <c r="BS104" s="50"/>
      <c r="BT104" s="49"/>
      <c r="BU104" s="50"/>
      <c r="BV104" s="49"/>
      <c r="BW104" s="50"/>
      <c r="BX104" s="49"/>
      <c r="BY104" s="50"/>
      <c r="BZ104" s="49"/>
      <c r="CA104" s="50"/>
    </row>
    <row r="105" spans="1:79" s="91" customFormat="1" x14ac:dyDescent="0.25">
      <c r="A105" s="76">
        <v>160106</v>
      </c>
      <c r="B105" s="77" t="s">
        <v>559</v>
      </c>
      <c r="C105" s="78" t="s">
        <v>464</v>
      </c>
      <c r="D105" s="76" t="s">
        <v>70</v>
      </c>
      <c r="E105" s="79" t="s">
        <v>14</v>
      </c>
      <c r="F105" s="79" t="s">
        <v>71</v>
      </c>
      <c r="G105" s="79" t="s">
        <v>14</v>
      </c>
      <c r="H105" s="78" t="s">
        <v>14</v>
      </c>
      <c r="I105" s="79" t="s">
        <v>14</v>
      </c>
      <c r="J105" s="80">
        <v>6.8</v>
      </c>
      <c r="K105" s="81">
        <v>1</v>
      </c>
      <c r="L105" s="82">
        <v>0</v>
      </c>
      <c r="M105" s="83">
        <v>0</v>
      </c>
      <c r="N105" s="84">
        <v>99.11</v>
      </c>
      <c r="O105" s="85">
        <v>0</v>
      </c>
      <c r="P105" s="86"/>
      <c r="Q105" s="87">
        <f t="shared" si="12"/>
        <v>1</v>
      </c>
      <c r="R105" s="88">
        <f t="shared" si="13"/>
        <v>3</v>
      </c>
      <c r="S105" s="89">
        <f t="shared" si="14"/>
        <v>0</v>
      </c>
      <c r="T105" s="89">
        <f t="shared" si="15"/>
        <v>0</v>
      </c>
      <c r="U105" s="89">
        <f t="shared" si="16"/>
        <v>0</v>
      </c>
      <c r="V105" s="89">
        <f t="shared" si="17"/>
        <v>0</v>
      </c>
      <c r="W105" s="89">
        <f t="shared" si="18"/>
        <v>0</v>
      </c>
      <c r="X105" s="89">
        <f t="shared" si="19"/>
        <v>0</v>
      </c>
      <c r="Y105" s="89">
        <f t="shared" si="20"/>
        <v>0</v>
      </c>
      <c r="Z105" s="89">
        <f t="shared" si="21"/>
        <v>0</v>
      </c>
      <c r="AA105" s="41">
        <f t="shared" si="22"/>
        <v>0</v>
      </c>
      <c r="AB105" s="49"/>
      <c r="AC105" s="50"/>
      <c r="AD105" s="49"/>
      <c r="AE105" s="50"/>
      <c r="AF105" s="49"/>
      <c r="AG105" s="50"/>
      <c r="AH105" s="49"/>
      <c r="AI105" s="50"/>
      <c r="AJ105" s="49"/>
      <c r="AK105" s="50"/>
      <c r="AL105" s="49"/>
      <c r="AM105" s="50"/>
      <c r="AN105" s="49" t="s">
        <v>5</v>
      </c>
      <c r="AO105" s="50" t="s">
        <v>101</v>
      </c>
      <c r="AP105" s="49"/>
      <c r="AQ105" s="50"/>
      <c r="AR105" s="49" t="s">
        <v>5</v>
      </c>
      <c r="AS105" s="50" t="s">
        <v>127</v>
      </c>
      <c r="AT105" s="49"/>
      <c r="AU105" s="50"/>
      <c r="AV105" s="49" t="s">
        <v>5</v>
      </c>
      <c r="AW105" s="50" t="s">
        <v>448</v>
      </c>
      <c r="AX105" s="49"/>
      <c r="AY105" s="50"/>
      <c r="AZ105" s="49"/>
      <c r="BA105" s="50"/>
      <c r="BB105" s="49"/>
      <c r="BC105" s="50"/>
      <c r="BD105" s="49"/>
      <c r="BE105" s="50"/>
      <c r="BF105" s="49"/>
      <c r="BG105" s="50"/>
      <c r="BH105" s="49"/>
      <c r="BI105" s="50"/>
      <c r="BJ105" s="49"/>
      <c r="BK105" s="50"/>
      <c r="BL105" s="49"/>
      <c r="BM105" s="50"/>
      <c r="BN105" s="49" t="s">
        <v>1</v>
      </c>
      <c r="BO105" s="50" t="s">
        <v>122</v>
      </c>
      <c r="BP105" s="49"/>
      <c r="BQ105" s="50"/>
      <c r="BR105" s="49"/>
      <c r="BS105" s="50"/>
      <c r="BT105" s="49"/>
      <c r="BU105" s="50"/>
      <c r="BV105" s="49"/>
      <c r="BW105" s="50"/>
      <c r="BX105" s="49"/>
      <c r="BY105" s="50"/>
      <c r="BZ105" s="49"/>
      <c r="CA105" s="50"/>
    </row>
    <row r="106" spans="1:79" s="91" customFormat="1" ht="30" x14ac:dyDescent="0.25">
      <c r="A106" s="76">
        <v>150993</v>
      </c>
      <c r="B106" s="77" t="s">
        <v>560</v>
      </c>
      <c r="C106" s="78" t="s">
        <v>432</v>
      </c>
      <c r="D106" s="76" t="s">
        <v>12</v>
      </c>
      <c r="E106" s="79" t="s">
        <v>14</v>
      </c>
      <c r="F106" s="79" t="s">
        <v>455</v>
      </c>
      <c r="G106" s="79" t="s">
        <v>14</v>
      </c>
      <c r="H106" s="78" t="s">
        <v>14</v>
      </c>
      <c r="I106" s="79" t="s">
        <v>14</v>
      </c>
      <c r="J106" s="80">
        <v>4.0999999999999996</v>
      </c>
      <c r="K106" s="81">
        <v>1</v>
      </c>
      <c r="L106" s="82">
        <v>1</v>
      </c>
      <c r="M106" s="83">
        <v>1</v>
      </c>
      <c r="N106" s="84">
        <v>100</v>
      </c>
      <c r="O106" s="85">
        <v>2</v>
      </c>
      <c r="P106" s="86"/>
      <c r="Q106" s="87">
        <f t="shared" si="12"/>
        <v>0</v>
      </c>
      <c r="R106" s="88">
        <f t="shared" si="13"/>
        <v>3</v>
      </c>
      <c r="S106" s="89">
        <f t="shared" si="14"/>
        <v>1</v>
      </c>
      <c r="T106" s="89">
        <f t="shared" si="15"/>
        <v>0</v>
      </c>
      <c r="U106" s="89">
        <f t="shared" si="16"/>
        <v>0</v>
      </c>
      <c r="V106" s="89">
        <f t="shared" si="17"/>
        <v>1</v>
      </c>
      <c r="W106" s="89">
        <f t="shared" si="18"/>
        <v>0</v>
      </c>
      <c r="X106" s="89">
        <f t="shared" si="19"/>
        <v>0</v>
      </c>
      <c r="Y106" s="89">
        <f t="shared" si="20"/>
        <v>0</v>
      </c>
      <c r="Z106" s="89">
        <f t="shared" si="21"/>
        <v>0</v>
      </c>
      <c r="AA106" s="41">
        <f t="shared" si="22"/>
        <v>0</v>
      </c>
      <c r="AB106" s="49"/>
      <c r="AC106" s="50"/>
      <c r="AD106" s="49"/>
      <c r="AE106" s="50"/>
      <c r="AF106" s="49" t="s">
        <v>5</v>
      </c>
      <c r="AG106" s="50" t="s">
        <v>427</v>
      </c>
      <c r="AH106" s="49"/>
      <c r="AI106" s="50"/>
      <c r="AJ106" s="49"/>
      <c r="AK106" s="50"/>
      <c r="AL106" s="49"/>
      <c r="AM106" s="50"/>
      <c r="AN106" s="49"/>
      <c r="AO106" s="50"/>
      <c r="AP106" s="49"/>
      <c r="AQ106" s="50"/>
      <c r="AR106" s="49"/>
      <c r="AS106" s="50"/>
      <c r="AT106" s="49"/>
      <c r="AU106" s="50"/>
      <c r="AV106" s="49" t="s">
        <v>5</v>
      </c>
      <c r="AW106" s="50" t="s">
        <v>123</v>
      </c>
      <c r="AX106" s="49"/>
      <c r="AY106" s="50"/>
      <c r="AZ106" s="49"/>
      <c r="BA106" s="50"/>
      <c r="BB106" s="49"/>
      <c r="BC106" s="50"/>
      <c r="BD106" s="49"/>
      <c r="BE106" s="50"/>
      <c r="BF106" s="49"/>
      <c r="BG106" s="50"/>
      <c r="BH106" s="49"/>
      <c r="BI106" s="50"/>
      <c r="BJ106" s="49"/>
      <c r="BK106" s="50"/>
      <c r="BL106" s="49"/>
      <c r="BM106" s="50"/>
      <c r="BN106" s="49" t="s">
        <v>30</v>
      </c>
      <c r="BO106" s="50" t="s">
        <v>82</v>
      </c>
      <c r="BP106" s="49"/>
      <c r="BQ106" s="50"/>
      <c r="BR106" s="49"/>
      <c r="BS106" s="50"/>
      <c r="BT106" s="49"/>
      <c r="BU106" s="50"/>
      <c r="BV106" s="49"/>
      <c r="BW106" s="50"/>
      <c r="BX106" s="49" t="s">
        <v>5</v>
      </c>
      <c r="BY106" s="50" t="s">
        <v>462</v>
      </c>
      <c r="BZ106" s="49"/>
      <c r="CA106" s="50"/>
    </row>
    <row r="107" spans="1:79" s="91" customFormat="1" x14ac:dyDescent="0.25">
      <c r="A107" s="76">
        <v>150892</v>
      </c>
      <c r="B107" s="77" t="s">
        <v>561</v>
      </c>
      <c r="C107" s="78" t="s">
        <v>432</v>
      </c>
      <c r="D107" s="76" t="s">
        <v>12</v>
      </c>
      <c r="E107" s="79" t="s">
        <v>14</v>
      </c>
      <c r="F107" s="79" t="s">
        <v>150</v>
      </c>
      <c r="G107" s="79" t="s">
        <v>14</v>
      </c>
      <c r="H107" s="78" t="s">
        <v>14</v>
      </c>
      <c r="I107" s="79" t="s">
        <v>14</v>
      </c>
      <c r="J107" s="80">
        <v>6.8</v>
      </c>
      <c r="K107" s="81">
        <v>0</v>
      </c>
      <c r="L107" s="82">
        <v>0</v>
      </c>
      <c r="M107" s="83">
        <v>1</v>
      </c>
      <c r="N107" s="84">
        <v>98.58</v>
      </c>
      <c r="O107" s="85">
        <v>0</v>
      </c>
      <c r="P107" s="86"/>
      <c r="Q107" s="87">
        <f t="shared" si="12"/>
        <v>0</v>
      </c>
      <c r="R107" s="88">
        <f t="shared" si="13"/>
        <v>5</v>
      </c>
      <c r="S107" s="89">
        <f t="shared" si="14"/>
        <v>0</v>
      </c>
      <c r="T107" s="89">
        <f t="shared" si="15"/>
        <v>0</v>
      </c>
      <c r="U107" s="89">
        <f t="shared" si="16"/>
        <v>0</v>
      </c>
      <c r="V107" s="89">
        <f t="shared" si="17"/>
        <v>0</v>
      </c>
      <c r="W107" s="89">
        <f t="shared" si="18"/>
        <v>0</v>
      </c>
      <c r="X107" s="89">
        <f t="shared" si="19"/>
        <v>0</v>
      </c>
      <c r="Y107" s="89">
        <f t="shared" si="20"/>
        <v>0</v>
      </c>
      <c r="Z107" s="89">
        <f t="shared" si="21"/>
        <v>0</v>
      </c>
      <c r="AA107" s="41">
        <f t="shared" si="22"/>
        <v>0</v>
      </c>
      <c r="AB107" s="49"/>
      <c r="AC107" s="50"/>
      <c r="AD107" s="49"/>
      <c r="AE107" s="50"/>
      <c r="AF107" s="49"/>
      <c r="AG107" s="50"/>
      <c r="AH107" s="49"/>
      <c r="AI107" s="50"/>
      <c r="AJ107" s="49" t="s">
        <v>5</v>
      </c>
      <c r="AK107" s="50" t="s">
        <v>163</v>
      </c>
      <c r="AL107" s="49"/>
      <c r="AM107" s="50"/>
      <c r="AN107" s="49"/>
      <c r="AO107" s="50"/>
      <c r="AP107" s="49"/>
      <c r="AQ107" s="50"/>
      <c r="AR107" s="49"/>
      <c r="AS107" s="50"/>
      <c r="AT107" s="49"/>
      <c r="AU107" s="50"/>
      <c r="AV107" s="49" t="s">
        <v>5</v>
      </c>
      <c r="AW107" s="50" t="s">
        <v>123</v>
      </c>
      <c r="AX107" s="49"/>
      <c r="AY107" s="50"/>
      <c r="AZ107" s="49" t="s">
        <v>5</v>
      </c>
      <c r="BA107" s="50" t="s">
        <v>430</v>
      </c>
      <c r="BB107" s="49"/>
      <c r="BC107" s="50"/>
      <c r="BD107" s="49"/>
      <c r="BE107" s="50"/>
      <c r="BF107" s="49"/>
      <c r="BG107" s="50"/>
      <c r="BH107" s="49"/>
      <c r="BI107" s="50"/>
      <c r="BJ107" s="49" t="s">
        <v>5</v>
      </c>
      <c r="BK107" s="50" t="s">
        <v>422</v>
      </c>
      <c r="BL107" s="49"/>
      <c r="BM107" s="50"/>
      <c r="BN107" s="49"/>
      <c r="BO107" s="50"/>
      <c r="BP107" s="49"/>
      <c r="BQ107" s="50"/>
      <c r="BR107" s="49" t="s">
        <v>5</v>
      </c>
      <c r="BS107" s="50" t="s">
        <v>98</v>
      </c>
      <c r="BT107" s="49"/>
      <c r="BU107" s="50"/>
      <c r="BV107" s="49"/>
      <c r="BW107" s="50"/>
      <c r="BX107" s="49"/>
      <c r="BY107" s="50"/>
      <c r="BZ107" s="49"/>
      <c r="CA107" s="50"/>
    </row>
    <row r="108" spans="1:79" s="91" customFormat="1" x14ac:dyDescent="0.25">
      <c r="A108" s="76">
        <v>150897</v>
      </c>
      <c r="B108" s="77" t="s">
        <v>562</v>
      </c>
      <c r="C108" s="78" t="s">
        <v>490</v>
      </c>
      <c r="D108" s="76" t="s">
        <v>12</v>
      </c>
      <c r="E108" s="79" t="s">
        <v>87</v>
      </c>
      <c r="F108" s="79" t="s">
        <v>88</v>
      </c>
      <c r="G108" s="79" t="s">
        <v>14</v>
      </c>
      <c r="H108" s="78" t="s">
        <v>14</v>
      </c>
      <c r="I108" s="79" t="s">
        <v>14</v>
      </c>
      <c r="J108" s="80">
        <v>4.0999999999999996</v>
      </c>
      <c r="K108" s="81">
        <v>0</v>
      </c>
      <c r="L108" s="82">
        <v>0</v>
      </c>
      <c r="M108" s="83">
        <v>0</v>
      </c>
      <c r="N108" s="84">
        <v>85.92</v>
      </c>
      <c r="O108" s="85">
        <v>12</v>
      </c>
      <c r="P108" s="86"/>
      <c r="Q108" s="87">
        <f t="shared" si="12"/>
        <v>0</v>
      </c>
      <c r="R108" s="88">
        <f t="shared" si="13"/>
        <v>2</v>
      </c>
      <c r="S108" s="89">
        <f t="shared" si="14"/>
        <v>1</v>
      </c>
      <c r="T108" s="89">
        <f t="shared" si="15"/>
        <v>0</v>
      </c>
      <c r="U108" s="89">
        <f t="shared" si="16"/>
        <v>2</v>
      </c>
      <c r="V108" s="89">
        <f t="shared" si="17"/>
        <v>3</v>
      </c>
      <c r="W108" s="89">
        <f t="shared" si="18"/>
        <v>0</v>
      </c>
      <c r="X108" s="89">
        <f t="shared" si="19"/>
        <v>0</v>
      </c>
      <c r="Y108" s="89">
        <f t="shared" si="20"/>
        <v>0</v>
      </c>
      <c r="Z108" s="89">
        <f t="shared" si="21"/>
        <v>0</v>
      </c>
      <c r="AA108" s="41">
        <f t="shared" si="22"/>
        <v>0</v>
      </c>
      <c r="AB108" s="49"/>
      <c r="AC108" s="50"/>
      <c r="AD108" s="49"/>
      <c r="AE108" s="50"/>
      <c r="AF108" s="49"/>
      <c r="AG108" s="50"/>
      <c r="AH108" s="49"/>
      <c r="AI108" s="50"/>
      <c r="AJ108" s="49"/>
      <c r="AK108" s="50"/>
      <c r="AL108" s="49"/>
      <c r="AM108" s="50"/>
      <c r="AN108" s="49"/>
      <c r="AO108" s="50"/>
      <c r="AP108" s="49"/>
      <c r="AQ108" s="50"/>
      <c r="AR108" s="49"/>
      <c r="AS108" s="50"/>
      <c r="AT108" s="49"/>
      <c r="AU108" s="50"/>
      <c r="AV108" s="49" t="s">
        <v>32</v>
      </c>
      <c r="AW108" s="50" t="s">
        <v>459</v>
      </c>
      <c r="AX108" s="49"/>
      <c r="AY108" s="50"/>
      <c r="AZ108" s="49"/>
      <c r="BA108" s="50"/>
      <c r="BB108" s="49"/>
      <c r="BC108" s="50"/>
      <c r="BD108" s="49"/>
      <c r="BE108" s="50"/>
      <c r="BF108" s="49"/>
      <c r="BG108" s="50"/>
      <c r="BH108" s="49"/>
      <c r="BI108" s="50"/>
      <c r="BJ108" s="49"/>
      <c r="BK108" s="50"/>
      <c r="BL108" s="49"/>
      <c r="BM108" s="50"/>
      <c r="BN108" s="49" t="s">
        <v>32</v>
      </c>
      <c r="BO108" s="50" t="s">
        <v>122</v>
      </c>
      <c r="BP108" s="49" t="s">
        <v>5</v>
      </c>
      <c r="BQ108" s="50" t="s">
        <v>81</v>
      </c>
      <c r="BR108" s="49"/>
      <c r="BS108" s="50"/>
      <c r="BT108" s="49"/>
      <c r="BU108" s="50"/>
      <c r="BV108" s="49" t="s">
        <v>30</v>
      </c>
      <c r="BW108" s="50" t="s">
        <v>425</v>
      </c>
      <c r="BX108" s="49" t="s">
        <v>5</v>
      </c>
      <c r="BY108" s="50" t="s">
        <v>462</v>
      </c>
      <c r="BZ108" s="49"/>
      <c r="CA108" s="50"/>
    </row>
    <row r="109" spans="1:79" s="91" customFormat="1" x14ac:dyDescent="0.25">
      <c r="A109" s="76">
        <v>150917</v>
      </c>
      <c r="B109" s="77" t="s">
        <v>563</v>
      </c>
      <c r="C109" s="78" t="s">
        <v>490</v>
      </c>
      <c r="D109" s="76" t="s">
        <v>12</v>
      </c>
      <c r="E109" s="79" t="s">
        <v>14</v>
      </c>
      <c r="F109" s="79" t="s">
        <v>71</v>
      </c>
      <c r="G109" s="79" t="s">
        <v>14</v>
      </c>
      <c r="H109" s="78" t="s">
        <v>14</v>
      </c>
      <c r="I109" s="79" t="s">
        <v>14</v>
      </c>
      <c r="J109" s="80">
        <v>4.5999999999999996</v>
      </c>
      <c r="K109" s="81">
        <v>0</v>
      </c>
      <c r="L109" s="82">
        <v>0</v>
      </c>
      <c r="M109" s="83">
        <v>1</v>
      </c>
      <c r="N109" s="84">
        <v>95.61</v>
      </c>
      <c r="O109" s="85">
        <v>9</v>
      </c>
      <c r="P109" s="86"/>
      <c r="Q109" s="87">
        <f t="shared" si="12"/>
        <v>1</v>
      </c>
      <c r="R109" s="88">
        <f t="shared" si="13"/>
        <v>2</v>
      </c>
      <c r="S109" s="89">
        <f t="shared" si="14"/>
        <v>0</v>
      </c>
      <c r="T109" s="89">
        <f t="shared" si="15"/>
        <v>0</v>
      </c>
      <c r="U109" s="89">
        <f t="shared" si="16"/>
        <v>1</v>
      </c>
      <c r="V109" s="89">
        <f t="shared" si="17"/>
        <v>1</v>
      </c>
      <c r="W109" s="89">
        <f t="shared" si="18"/>
        <v>0</v>
      </c>
      <c r="X109" s="89">
        <f t="shared" si="19"/>
        <v>0</v>
      </c>
      <c r="Y109" s="89">
        <f t="shared" si="20"/>
        <v>0</v>
      </c>
      <c r="Z109" s="89">
        <f t="shared" si="21"/>
        <v>0</v>
      </c>
      <c r="AA109" s="41">
        <f t="shared" si="22"/>
        <v>0</v>
      </c>
      <c r="AB109" s="49"/>
      <c r="AC109" s="50"/>
      <c r="AD109" s="49"/>
      <c r="AE109" s="50"/>
      <c r="AF109" s="49"/>
      <c r="AG109" s="50"/>
      <c r="AH109" s="49"/>
      <c r="AI109" s="50"/>
      <c r="AJ109" s="49"/>
      <c r="AK109" s="50"/>
      <c r="AL109" s="49"/>
      <c r="AM109" s="50"/>
      <c r="AN109" s="49"/>
      <c r="AO109" s="50"/>
      <c r="AP109" s="49"/>
      <c r="AQ109" s="50"/>
      <c r="AR109" s="49"/>
      <c r="AS109" s="50"/>
      <c r="AT109" s="49" t="s">
        <v>5</v>
      </c>
      <c r="AU109" s="50" t="s">
        <v>448</v>
      </c>
      <c r="AV109" s="49" t="s">
        <v>32</v>
      </c>
      <c r="AW109" s="50" t="s">
        <v>459</v>
      </c>
      <c r="AX109" s="49"/>
      <c r="AY109" s="50"/>
      <c r="AZ109" s="49"/>
      <c r="BA109" s="50"/>
      <c r="BB109" s="49"/>
      <c r="BC109" s="50"/>
      <c r="BD109" s="49"/>
      <c r="BE109" s="50"/>
      <c r="BF109" s="49"/>
      <c r="BG109" s="50"/>
      <c r="BH109" s="49"/>
      <c r="BI109" s="50"/>
      <c r="BJ109" s="49"/>
      <c r="BK109" s="50"/>
      <c r="BL109" s="49"/>
      <c r="BM109" s="50"/>
      <c r="BN109" s="49" t="s">
        <v>1</v>
      </c>
      <c r="BO109" s="50" t="s">
        <v>82</v>
      </c>
      <c r="BP109" s="49"/>
      <c r="BQ109" s="50"/>
      <c r="BR109" s="49"/>
      <c r="BS109" s="50"/>
      <c r="BT109" s="49" t="s">
        <v>5</v>
      </c>
      <c r="BU109" s="50" t="s">
        <v>93</v>
      </c>
      <c r="BV109" s="49"/>
      <c r="BW109" s="50"/>
      <c r="BX109" s="49"/>
      <c r="BY109" s="50"/>
      <c r="BZ109" s="49"/>
      <c r="CA109" s="50"/>
    </row>
    <row r="110" spans="1:79" s="91" customFormat="1" x14ac:dyDescent="0.25">
      <c r="A110" s="76">
        <v>150971</v>
      </c>
      <c r="B110" s="77" t="s">
        <v>564</v>
      </c>
      <c r="C110" s="78" t="s">
        <v>490</v>
      </c>
      <c r="D110" s="76" t="s">
        <v>70</v>
      </c>
      <c r="E110" s="79" t="s">
        <v>14</v>
      </c>
      <c r="F110" s="79" t="s">
        <v>71</v>
      </c>
      <c r="G110" s="79" t="s">
        <v>14</v>
      </c>
      <c r="H110" s="78" t="s">
        <v>14</v>
      </c>
      <c r="I110" s="79" t="s">
        <v>14</v>
      </c>
      <c r="J110" s="80">
        <v>7.9</v>
      </c>
      <c r="K110" s="81">
        <v>1</v>
      </c>
      <c r="L110" s="82">
        <v>0</v>
      </c>
      <c r="M110" s="83">
        <v>1</v>
      </c>
      <c r="N110" s="84">
        <v>97.93</v>
      </c>
      <c r="O110" s="85">
        <v>0</v>
      </c>
      <c r="P110" s="86"/>
      <c r="Q110" s="87">
        <f t="shared" si="12"/>
        <v>1</v>
      </c>
      <c r="R110" s="88">
        <f t="shared" si="13"/>
        <v>4</v>
      </c>
      <c r="S110" s="89">
        <f t="shared" si="14"/>
        <v>0</v>
      </c>
      <c r="T110" s="89">
        <f t="shared" si="15"/>
        <v>0</v>
      </c>
      <c r="U110" s="89">
        <f t="shared" si="16"/>
        <v>0</v>
      </c>
      <c r="V110" s="89">
        <f t="shared" si="17"/>
        <v>0</v>
      </c>
      <c r="W110" s="89">
        <f t="shared" si="18"/>
        <v>0</v>
      </c>
      <c r="X110" s="89">
        <f t="shared" si="19"/>
        <v>0</v>
      </c>
      <c r="Y110" s="89">
        <f t="shared" si="20"/>
        <v>0</v>
      </c>
      <c r="Z110" s="89">
        <f t="shared" si="21"/>
        <v>0</v>
      </c>
      <c r="AA110" s="41">
        <f t="shared" si="22"/>
        <v>0</v>
      </c>
      <c r="AB110" s="49"/>
      <c r="AC110" s="50"/>
      <c r="AD110" s="49" t="s">
        <v>5</v>
      </c>
      <c r="AE110" s="50" t="s">
        <v>433</v>
      </c>
      <c r="AF110" s="49"/>
      <c r="AG110" s="50"/>
      <c r="AH110" s="49" t="s">
        <v>5</v>
      </c>
      <c r="AI110" s="50" t="s">
        <v>206</v>
      </c>
      <c r="AJ110" s="49"/>
      <c r="AK110" s="50"/>
      <c r="AL110" s="49"/>
      <c r="AM110" s="50"/>
      <c r="AN110" s="49"/>
      <c r="AO110" s="50"/>
      <c r="AP110" s="49"/>
      <c r="AQ110" s="50"/>
      <c r="AR110" s="49"/>
      <c r="AS110" s="50"/>
      <c r="AT110" s="49"/>
      <c r="AU110" s="50"/>
      <c r="AV110" s="49" t="s">
        <v>5</v>
      </c>
      <c r="AW110" s="50" t="s">
        <v>459</v>
      </c>
      <c r="AX110" s="49"/>
      <c r="AY110" s="50"/>
      <c r="AZ110" s="49"/>
      <c r="BA110" s="50"/>
      <c r="BB110" s="49"/>
      <c r="BC110" s="50"/>
      <c r="BD110" s="49"/>
      <c r="BE110" s="50"/>
      <c r="BF110" s="49"/>
      <c r="BG110" s="50"/>
      <c r="BH110" s="49"/>
      <c r="BI110" s="50"/>
      <c r="BJ110" s="49" t="s">
        <v>5</v>
      </c>
      <c r="BK110" s="50" t="s">
        <v>430</v>
      </c>
      <c r="BL110" s="49"/>
      <c r="BM110" s="50"/>
      <c r="BN110" s="49"/>
      <c r="BO110" s="50"/>
      <c r="BP110" s="49"/>
      <c r="BQ110" s="50"/>
      <c r="BR110" s="49"/>
      <c r="BS110" s="50"/>
      <c r="BT110" s="49"/>
      <c r="BU110" s="50"/>
      <c r="BV110" s="49" t="s">
        <v>1</v>
      </c>
      <c r="BW110" s="50" t="s">
        <v>436</v>
      </c>
      <c r="BX110" s="49"/>
      <c r="BY110" s="50"/>
      <c r="BZ110" s="49"/>
      <c r="CA110" s="50"/>
    </row>
    <row r="111" spans="1:79" s="91" customFormat="1" x14ac:dyDescent="0.25">
      <c r="A111" s="76">
        <v>100339</v>
      </c>
      <c r="B111" s="77" t="s">
        <v>565</v>
      </c>
      <c r="C111" s="78" t="s">
        <v>490</v>
      </c>
      <c r="D111" s="76" t="s">
        <v>70</v>
      </c>
      <c r="E111" s="79" t="s">
        <v>14</v>
      </c>
      <c r="F111" s="79" t="s">
        <v>150</v>
      </c>
      <c r="G111" s="79" t="s">
        <v>14</v>
      </c>
      <c r="H111" s="78" t="s">
        <v>14</v>
      </c>
      <c r="I111" s="79" t="s">
        <v>14</v>
      </c>
      <c r="J111" s="80">
        <v>6.1</v>
      </c>
      <c r="K111" s="81">
        <v>2</v>
      </c>
      <c r="L111" s="82">
        <v>0</v>
      </c>
      <c r="M111" s="83">
        <v>0</v>
      </c>
      <c r="N111" s="84">
        <v>98.25</v>
      </c>
      <c r="O111" s="85">
        <v>0</v>
      </c>
      <c r="P111" s="86"/>
      <c r="Q111" s="87">
        <f t="shared" si="12"/>
        <v>0</v>
      </c>
      <c r="R111" s="88">
        <f t="shared" si="13"/>
        <v>4</v>
      </c>
      <c r="S111" s="89">
        <f t="shared" si="14"/>
        <v>0</v>
      </c>
      <c r="T111" s="89">
        <f t="shared" si="15"/>
        <v>0</v>
      </c>
      <c r="U111" s="89">
        <f t="shared" si="16"/>
        <v>0</v>
      </c>
      <c r="V111" s="89">
        <f t="shared" si="17"/>
        <v>0</v>
      </c>
      <c r="W111" s="89">
        <f t="shared" si="18"/>
        <v>0</v>
      </c>
      <c r="X111" s="89">
        <f t="shared" si="19"/>
        <v>0</v>
      </c>
      <c r="Y111" s="89">
        <f t="shared" si="20"/>
        <v>0</v>
      </c>
      <c r="Z111" s="89">
        <f t="shared" si="21"/>
        <v>0</v>
      </c>
      <c r="AA111" s="41">
        <f t="shared" si="22"/>
        <v>0</v>
      </c>
      <c r="AB111" s="49"/>
      <c r="AC111" s="50"/>
      <c r="AD111" s="49"/>
      <c r="AE111" s="50"/>
      <c r="AF111" s="49" t="s">
        <v>5</v>
      </c>
      <c r="AG111" s="50" t="s">
        <v>427</v>
      </c>
      <c r="AH111" s="49"/>
      <c r="AI111" s="50"/>
      <c r="AJ111" s="49"/>
      <c r="AK111" s="50"/>
      <c r="AL111" s="49"/>
      <c r="AM111" s="50"/>
      <c r="AN111" s="49"/>
      <c r="AO111" s="50"/>
      <c r="AP111" s="49"/>
      <c r="AQ111" s="50"/>
      <c r="AR111" s="49"/>
      <c r="AS111" s="50"/>
      <c r="AT111" s="49"/>
      <c r="AU111" s="50"/>
      <c r="AV111" s="49" t="s">
        <v>5</v>
      </c>
      <c r="AW111" s="50" t="s">
        <v>459</v>
      </c>
      <c r="AX111" s="49"/>
      <c r="AY111" s="50"/>
      <c r="AZ111" s="49"/>
      <c r="BA111" s="50"/>
      <c r="BB111" s="49"/>
      <c r="BC111" s="50"/>
      <c r="BD111" s="49"/>
      <c r="BE111" s="50"/>
      <c r="BF111" s="49"/>
      <c r="BG111" s="50"/>
      <c r="BH111" s="49"/>
      <c r="BI111" s="50"/>
      <c r="BJ111" s="49" t="s">
        <v>5</v>
      </c>
      <c r="BK111" s="50" t="s">
        <v>430</v>
      </c>
      <c r="BL111" s="49"/>
      <c r="BM111" s="50"/>
      <c r="BN111" s="49"/>
      <c r="BO111" s="50"/>
      <c r="BP111" s="49"/>
      <c r="BQ111" s="50"/>
      <c r="BR111" s="49"/>
      <c r="BS111" s="50"/>
      <c r="BT111" s="49" t="s">
        <v>5</v>
      </c>
      <c r="BU111" s="50" t="s">
        <v>93</v>
      </c>
      <c r="BV111" s="49"/>
      <c r="BW111" s="50"/>
      <c r="BX111" s="49"/>
      <c r="BY111" s="50"/>
      <c r="BZ111" s="49"/>
      <c r="CA111" s="50"/>
    </row>
    <row r="112" spans="1:79" s="91" customFormat="1" x14ac:dyDescent="0.25">
      <c r="A112" s="76">
        <v>160062</v>
      </c>
      <c r="B112" s="77" t="s">
        <v>566</v>
      </c>
      <c r="C112" s="78" t="s">
        <v>490</v>
      </c>
      <c r="D112" s="76" t="s">
        <v>70</v>
      </c>
      <c r="E112" s="79" t="s">
        <v>14</v>
      </c>
      <c r="F112" s="79" t="s">
        <v>150</v>
      </c>
      <c r="G112" s="79" t="s">
        <v>14</v>
      </c>
      <c r="H112" s="78" t="s">
        <v>14</v>
      </c>
      <c r="I112" s="79" t="s">
        <v>14</v>
      </c>
      <c r="J112" s="80">
        <v>4.2</v>
      </c>
      <c r="K112" s="81">
        <v>0</v>
      </c>
      <c r="L112" s="82">
        <v>0</v>
      </c>
      <c r="M112" s="83">
        <v>0</v>
      </c>
      <c r="N112" s="84">
        <v>100</v>
      </c>
      <c r="O112" s="85">
        <v>9</v>
      </c>
      <c r="P112" s="86"/>
      <c r="Q112" s="87">
        <f t="shared" si="12"/>
        <v>2</v>
      </c>
      <c r="R112" s="88">
        <f t="shared" si="13"/>
        <v>2</v>
      </c>
      <c r="S112" s="89">
        <f t="shared" si="14"/>
        <v>0</v>
      </c>
      <c r="T112" s="89">
        <f t="shared" si="15"/>
        <v>0</v>
      </c>
      <c r="U112" s="89">
        <f t="shared" si="16"/>
        <v>0</v>
      </c>
      <c r="V112" s="89">
        <f t="shared" si="17"/>
        <v>0</v>
      </c>
      <c r="W112" s="89">
        <f t="shared" si="18"/>
        <v>0</v>
      </c>
      <c r="X112" s="89">
        <f t="shared" si="19"/>
        <v>0</v>
      </c>
      <c r="Y112" s="89">
        <f t="shared" si="20"/>
        <v>0</v>
      </c>
      <c r="Z112" s="89">
        <f t="shared" si="21"/>
        <v>0</v>
      </c>
      <c r="AA112" s="41">
        <f t="shared" si="22"/>
        <v>0</v>
      </c>
      <c r="AB112" s="49" t="s">
        <v>5</v>
      </c>
      <c r="AC112" s="50" t="s">
        <v>116</v>
      </c>
      <c r="AD112" s="49"/>
      <c r="AE112" s="50"/>
      <c r="AF112" s="49"/>
      <c r="AG112" s="50"/>
      <c r="AH112" s="49"/>
      <c r="AI112" s="50"/>
      <c r="AJ112" s="49"/>
      <c r="AK112" s="50"/>
      <c r="AL112" s="49"/>
      <c r="AM112" s="50"/>
      <c r="AN112" s="49"/>
      <c r="AO112" s="50"/>
      <c r="AP112" s="49" t="s">
        <v>1</v>
      </c>
      <c r="AQ112" s="50" t="s">
        <v>428</v>
      </c>
      <c r="AR112" s="49"/>
      <c r="AS112" s="50"/>
      <c r="AT112" s="49"/>
      <c r="AU112" s="50"/>
      <c r="AV112" s="49" t="s">
        <v>5</v>
      </c>
      <c r="AW112" s="50" t="s">
        <v>459</v>
      </c>
      <c r="AX112" s="49"/>
      <c r="AY112" s="50"/>
      <c r="AZ112" s="49"/>
      <c r="BA112" s="50"/>
      <c r="BB112" s="49"/>
      <c r="BC112" s="50"/>
      <c r="BD112" s="49"/>
      <c r="BE112" s="50"/>
      <c r="BF112" s="49"/>
      <c r="BG112" s="50"/>
      <c r="BH112" s="49"/>
      <c r="BI112" s="50"/>
      <c r="BJ112" s="49" t="s">
        <v>1</v>
      </c>
      <c r="BK112" s="50" t="s">
        <v>430</v>
      </c>
      <c r="BL112" s="49"/>
      <c r="BM112" s="50"/>
      <c r="BN112" s="49"/>
      <c r="BO112" s="50"/>
      <c r="BP112" s="49"/>
      <c r="BQ112" s="50"/>
      <c r="BR112" s="49"/>
      <c r="BS112" s="50"/>
      <c r="BT112" s="49"/>
      <c r="BU112" s="50"/>
      <c r="BV112" s="49"/>
      <c r="BW112" s="50"/>
      <c r="BX112" s="49"/>
      <c r="BY112" s="50"/>
      <c r="BZ112" s="49"/>
      <c r="CA112" s="50"/>
    </row>
    <row r="113" spans="1:79" s="91" customFormat="1" x14ac:dyDescent="0.25">
      <c r="A113" s="76">
        <v>150828</v>
      </c>
      <c r="B113" s="77" t="s">
        <v>567</v>
      </c>
      <c r="C113" s="78" t="s">
        <v>490</v>
      </c>
      <c r="D113" s="76" t="s">
        <v>12</v>
      </c>
      <c r="E113" s="79" t="s">
        <v>14</v>
      </c>
      <c r="F113" s="79" t="s">
        <v>450</v>
      </c>
      <c r="G113" s="79" t="s">
        <v>14</v>
      </c>
      <c r="H113" s="78" t="s">
        <v>14</v>
      </c>
      <c r="I113" s="79" t="s">
        <v>14</v>
      </c>
      <c r="J113" s="80">
        <v>8.1</v>
      </c>
      <c r="K113" s="81">
        <v>0</v>
      </c>
      <c r="L113" s="82">
        <v>0</v>
      </c>
      <c r="M113" s="83">
        <v>0</v>
      </c>
      <c r="N113" s="84">
        <v>100</v>
      </c>
      <c r="O113" s="85">
        <v>0</v>
      </c>
      <c r="P113" s="86"/>
      <c r="Q113" s="87">
        <f t="shared" si="12"/>
        <v>0</v>
      </c>
      <c r="R113" s="88">
        <f t="shared" si="13"/>
        <v>6</v>
      </c>
      <c r="S113" s="89">
        <f t="shared" si="14"/>
        <v>0</v>
      </c>
      <c r="T113" s="89">
        <f t="shared" si="15"/>
        <v>0</v>
      </c>
      <c r="U113" s="89">
        <f t="shared" si="16"/>
        <v>0</v>
      </c>
      <c r="V113" s="89">
        <f t="shared" si="17"/>
        <v>0</v>
      </c>
      <c r="W113" s="89">
        <f t="shared" si="18"/>
        <v>0</v>
      </c>
      <c r="X113" s="89">
        <f t="shared" si="19"/>
        <v>0</v>
      </c>
      <c r="Y113" s="89">
        <f t="shared" si="20"/>
        <v>0</v>
      </c>
      <c r="Z113" s="89">
        <f t="shared" si="21"/>
        <v>0</v>
      </c>
      <c r="AA113" s="41">
        <f t="shared" si="22"/>
        <v>0</v>
      </c>
      <c r="AB113" s="49"/>
      <c r="AC113" s="50"/>
      <c r="AD113" s="49" t="s">
        <v>5</v>
      </c>
      <c r="AE113" s="50" t="s">
        <v>438</v>
      </c>
      <c r="AF113" s="49"/>
      <c r="AG113" s="50"/>
      <c r="AH113" s="49"/>
      <c r="AI113" s="50"/>
      <c r="AJ113" s="49"/>
      <c r="AK113" s="50"/>
      <c r="AL113" s="49"/>
      <c r="AM113" s="50"/>
      <c r="AN113" s="49"/>
      <c r="AO113" s="50"/>
      <c r="AP113" s="49"/>
      <c r="AQ113" s="50"/>
      <c r="AR113" s="49"/>
      <c r="AS113" s="50"/>
      <c r="AT113" s="49"/>
      <c r="AU113" s="50"/>
      <c r="AV113" s="49" t="s">
        <v>5</v>
      </c>
      <c r="AW113" s="50" t="s">
        <v>459</v>
      </c>
      <c r="AX113" s="49"/>
      <c r="AY113" s="50"/>
      <c r="AZ113" s="49" t="s">
        <v>5</v>
      </c>
      <c r="BA113" s="50" t="s">
        <v>430</v>
      </c>
      <c r="BB113" s="49"/>
      <c r="BC113" s="50"/>
      <c r="BD113" s="49"/>
      <c r="BE113" s="50"/>
      <c r="BF113" s="49"/>
      <c r="BG113" s="50"/>
      <c r="BH113" s="49"/>
      <c r="BI113" s="50"/>
      <c r="BJ113" s="49" t="s">
        <v>5</v>
      </c>
      <c r="BK113" s="50" t="s">
        <v>422</v>
      </c>
      <c r="BL113" s="49" t="s">
        <v>5</v>
      </c>
      <c r="BM113" s="50"/>
      <c r="BN113" s="49"/>
      <c r="BO113" s="50"/>
      <c r="BP113" s="49"/>
      <c r="BQ113" s="50"/>
      <c r="BR113" s="49" t="s">
        <v>5</v>
      </c>
      <c r="BS113" s="50" t="s">
        <v>98</v>
      </c>
      <c r="BT113" s="49"/>
      <c r="BU113" s="50"/>
      <c r="BV113" s="49"/>
      <c r="BW113" s="50"/>
      <c r="BX113" s="49"/>
      <c r="BY113" s="50"/>
      <c r="BZ113" s="49"/>
      <c r="CA113" s="50"/>
    </row>
    <row r="114" spans="1:79" s="91" customFormat="1" x14ac:dyDescent="0.25">
      <c r="A114" s="76">
        <v>150894</v>
      </c>
      <c r="B114" s="77" t="s">
        <v>568</v>
      </c>
      <c r="C114" s="78" t="s">
        <v>490</v>
      </c>
      <c r="D114" s="76" t="s">
        <v>12</v>
      </c>
      <c r="E114" s="79" t="s">
        <v>14</v>
      </c>
      <c r="F114" s="79" t="s">
        <v>150</v>
      </c>
      <c r="G114" s="79" t="s">
        <v>14</v>
      </c>
      <c r="H114" s="78" t="s">
        <v>14</v>
      </c>
      <c r="I114" s="79" t="s">
        <v>14</v>
      </c>
      <c r="J114" s="80">
        <v>6</v>
      </c>
      <c r="K114" s="81">
        <v>0</v>
      </c>
      <c r="L114" s="82">
        <v>0</v>
      </c>
      <c r="M114" s="83">
        <v>0</v>
      </c>
      <c r="N114" s="84">
        <v>100</v>
      </c>
      <c r="O114" s="85">
        <v>1</v>
      </c>
      <c r="P114" s="86"/>
      <c r="Q114" s="87">
        <f t="shared" si="12"/>
        <v>0</v>
      </c>
      <c r="R114" s="88">
        <f t="shared" si="13"/>
        <v>5</v>
      </c>
      <c r="S114" s="89">
        <f t="shared" si="14"/>
        <v>0</v>
      </c>
      <c r="T114" s="89">
        <f t="shared" si="15"/>
        <v>0</v>
      </c>
      <c r="U114" s="89">
        <f t="shared" si="16"/>
        <v>0</v>
      </c>
      <c r="V114" s="89">
        <f t="shared" si="17"/>
        <v>0</v>
      </c>
      <c r="W114" s="89">
        <f t="shared" si="18"/>
        <v>0</v>
      </c>
      <c r="X114" s="89">
        <f t="shared" si="19"/>
        <v>0</v>
      </c>
      <c r="Y114" s="89">
        <f t="shared" si="20"/>
        <v>0</v>
      </c>
      <c r="Z114" s="89">
        <f t="shared" si="21"/>
        <v>0</v>
      </c>
      <c r="AA114" s="41">
        <f t="shared" si="22"/>
        <v>0</v>
      </c>
      <c r="AB114" s="49"/>
      <c r="AC114" s="50"/>
      <c r="AD114" s="49" t="s">
        <v>5</v>
      </c>
      <c r="AE114" s="50" t="s">
        <v>433</v>
      </c>
      <c r="AF114" s="49"/>
      <c r="AG114" s="50"/>
      <c r="AH114" s="49"/>
      <c r="AI114" s="50"/>
      <c r="AJ114" s="49" t="s">
        <v>5</v>
      </c>
      <c r="AK114" s="50"/>
      <c r="AL114" s="49"/>
      <c r="AM114" s="50"/>
      <c r="AN114" s="49"/>
      <c r="AO114" s="50"/>
      <c r="AP114" s="49"/>
      <c r="AQ114" s="50"/>
      <c r="AR114" s="49"/>
      <c r="AS114" s="50"/>
      <c r="AT114" s="49"/>
      <c r="AU114" s="50"/>
      <c r="AV114" s="49" t="s">
        <v>5</v>
      </c>
      <c r="AW114" s="50" t="s">
        <v>459</v>
      </c>
      <c r="AX114" s="49"/>
      <c r="AY114" s="50"/>
      <c r="AZ114" s="49"/>
      <c r="BA114" s="50"/>
      <c r="BB114" s="49"/>
      <c r="BC114" s="50"/>
      <c r="BD114" s="49"/>
      <c r="BE114" s="50"/>
      <c r="BF114" s="49"/>
      <c r="BG114" s="50"/>
      <c r="BH114" s="49"/>
      <c r="BI114" s="50"/>
      <c r="BJ114" s="49" t="s">
        <v>5</v>
      </c>
      <c r="BK114" s="50" t="s">
        <v>430</v>
      </c>
      <c r="BL114" s="49"/>
      <c r="BM114" s="50"/>
      <c r="BN114" s="49"/>
      <c r="BO114" s="50"/>
      <c r="BP114" s="49"/>
      <c r="BQ114" s="50"/>
      <c r="BR114" s="49" t="s">
        <v>5</v>
      </c>
      <c r="BS114" s="50" t="s">
        <v>98</v>
      </c>
      <c r="BT114" s="49"/>
      <c r="BU114" s="50"/>
      <c r="BV114" s="49"/>
      <c r="BW114" s="50"/>
      <c r="BX114" s="49"/>
      <c r="BY114" s="50"/>
      <c r="BZ114" s="49"/>
      <c r="CA114" s="50"/>
    </row>
    <row r="115" spans="1:79" s="91" customFormat="1" x14ac:dyDescent="0.25">
      <c r="A115" s="76">
        <v>150793</v>
      </c>
      <c r="B115" s="77" t="s">
        <v>569</v>
      </c>
      <c r="C115" s="78" t="s">
        <v>490</v>
      </c>
      <c r="D115" s="76" t="s">
        <v>70</v>
      </c>
      <c r="E115" s="79" t="s">
        <v>14</v>
      </c>
      <c r="F115" s="79" t="s">
        <v>71</v>
      </c>
      <c r="G115" s="79" t="s">
        <v>14</v>
      </c>
      <c r="H115" s="78" t="s">
        <v>14</v>
      </c>
      <c r="I115" s="79" t="s">
        <v>14</v>
      </c>
      <c r="J115" s="80">
        <v>7.2</v>
      </c>
      <c r="K115" s="81">
        <v>3</v>
      </c>
      <c r="L115" s="82">
        <v>0</v>
      </c>
      <c r="M115" s="83">
        <v>0</v>
      </c>
      <c r="N115" s="84">
        <v>98.26</v>
      </c>
      <c r="O115" s="85">
        <v>0</v>
      </c>
      <c r="P115" s="86"/>
      <c r="Q115" s="87">
        <f t="shared" si="12"/>
        <v>0</v>
      </c>
      <c r="R115" s="88">
        <f t="shared" si="13"/>
        <v>4</v>
      </c>
      <c r="S115" s="89">
        <f t="shared" si="14"/>
        <v>0</v>
      </c>
      <c r="T115" s="89">
        <f t="shared" si="15"/>
        <v>0</v>
      </c>
      <c r="U115" s="89">
        <f t="shared" si="16"/>
        <v>0</v>
      </c>
      <c r="V115" s="89">
        <f t="shared" si="17"/>
        <v>0</v>
      </c>
      <c r="W115" s="89">
        <f t="shared" si="18"/>
        <v>0</v>
      </c>
      <c r="X115" s="89">
        <f t="shared" si="19"/>
        <v>0</v>
      </c>
      <c r="Y115" s="89">
        <f t="shared" si="20"/>
        <v>0</v>
      </c>
      <c r="Z115" s="89">
        <f t="shared" si="21"/>
        <v>0</v>
      </c>
      <c r="AA115" s="41">
        <f t="shared" si="22"/>
        <v>0</v>
      </c>
      <c r="AB115" s="49"/>
      <c r="AC115" s="50"/>
      <c r="AD115" s="49"/>
      <c r="AE115" s="50"/>
      <c r="AF115" s="49"/>
      <c r="AG115" s="50"/>
      <c r="AH115" s="49"/>
      <c r="AI115" s="50"/>
      <c r="AJ115" s="49"/>
      <c r="AK115" s="50"/>
      <c r="AL115" s="49"/>
      <c r="AM115" s="50"/>
      <c r="AN115" s="49"/>
      <c r="AO115" s="50"/>
      <c r="AP115" s="49"/>
      <c r="AQ115" s="50"/>
      <c r="AR115" s="49" t="s">
        <v>5</v>
      </c>
      <c r="AS115" s="50" t="s">
        <v>459</v>
      </c>
      <c r="AT115" s="49" t="s">
        <v>5</v>
      </c>
      <c r="AU115" s="50" t="s">
        <v>478</v>
      </c>
      <c r="AV115" s="49" t="s">
        <v>5</v>
      </c>
      <c r="AW115" s="50" t="s">
        <v>459</v>
      </c>
      <c r="AX115" s="49"/>
      <c r="AY115" s="50"/>
      <c r="AZ115" s="49"/>
      <c r="BA115" s="50"/>
      <c r="BB115" s="49"/>
      <c r="BC115" s="50"/>
      <c r="BD115" s="49"/>
      <c r="BE115" s="50"/>
      <c r="BF115" s="49"/>
      <c r="BG115" s="50"/>
      <c r="BH115" s="49"/>
      <c r="BI115" s="50"/>
      <c r="BJ115" s="49"/>
      <c r="BK115" s="50"/>
      <c r="BL115" s="49"/>
      <c r="BM115" s="50"/>
      <c r="BN115" s="49"/>
      <c r="BO115" s="50"/>
      <c r="BP115" s="49"/>
      <c r="BQ115" s="50"/>
      <c r="BR115" s="49"/>
      <c r="BS115" s="50"/>
      <c r="BT115" s="49" t="s">
        <v>5</v>
      </c>
      <c r="BU115" s="50" t="s">
        <v>93</v>
      </c>
      <c r="BV115" s="49"/>
      <c r="BW115" s="50"/>
      <c r="BX115" s="49"/>
      <c r="BY115" s="50"/>
      <c r="BZ115" s="49"/>
      <c r="CA115" s="50"/>
    </row>
    <row r="116" spans="1:79" s="91" customFormat="1" x14ac:dyDescent="0.25">
      <c r="A116" s="76">
        <v>150959</v>
      </c>
      <c r="B116" s="77" t="s">
        <v>570</v>
      </c>
      <c r="C116" s="78" t="s">
        <v>490</v>
      </c>
      <c r="D116" s="76" t="s">
        <v>12</v>
      </c>
      <c r="E116" s="79" t="s">
        <v>14</v>
      </c>
      <c r="F116" s="79" t="s">
        <v>184</v>
      </c>
      <c r="G116" s="79" t="s">
        <v>14</v>
      </c>
      <c r="H116" s="78" t="s">
        <v>14</v>
      </c>
      <c r="I116" s="79" t="s">
        <v>14</v>
      </c>
      <c r="J116" s="80">
        <v>6.9</v>
      </c>
      <c r="K116" s="81">
        <v>1</v>
      </c>
      <c r="L116" s="82">
        <v>0</v>
      </c>
      <c r="M116" s="83">
        <v>0</v>
      </c>
      <c r="N116" s="84">
        <v>100</v>
      </c>
      <c r="O116" s="85">
        <v>1</v>
      </c>
      <c r="P116" s="86"/>
      <c r="Q116" s="87">
        <f t="shared" si="12"/>
        <v>0</v>
      </c>
      <c r="R116" s="88">
        <f t="shared" si="13"/>
        <v>4</v>
      </c>
      <c r="S116" s="89">
        <f t="shared" si="14"/>
        <v>0</v>
      </c>
      <c r="T116" s="89">
        <f t="shared" si="15"/>
        <v>0</v>
      </c>
      <c r="U116" s="89">
        <f t="shared" si="16"/>
        <v>0</v>
      </c>
      <c r="V116" s="89">
        <f t="shared" si="17"/>
        <v>0</v>
      </c>
      <c r="W116" s="89">
        <f t="shared" si="18"/>
        <v>0</v>
      </c>
      <c r="X116" s="89">
        <f t="shared" si="19"/>
        <v>0</v>
      </c>
      <c r="Y116" s="89">
        <f t="shared" si="20"/>
        <v>0</v>
      </c>
      <c r="Z116" s="89">
        <f t="shared" si="21"/>
        <v>0</v>
      </c>
      <c r="AA116" s="41">
        <f t="shared" si="22"/>
        <v>0</v>
      </c>
      <c r="AB116" s="49"/>
      <c r="AC116" s="50"/>
      <c r="AD116" s="49" t="s">
        <v>5</v>
      </c>
      <c r="AE116" s="50" t="s">
        <v>433</v>
      </c>
      <c r="AF116" s="49"/>
      <c r="AG116" s="50"/>
      <c r="AH116" s="49"/>
      <c r="AI116" s="50"/>
      <c r="AJ116" s="49"/>
      <c r="AK116" s="50"/>
      <c r="AL116" s="49"/>
      <c r="AM116" s="50"/>
      <c r="AN116" s="49"/>
      <c r="AO116" s="50"/>
      <c r="AP116" s="49" t="s">
        <v>5</v>
      </c>
      <c r="AQ116" s="50" t="s">
        <v>428</v>
      </c>
      <c r="AR116" s="49"/>
      <c r="AS116" s="50"/>
      <c r="AT116" s="49"/>
      <c r="AU116" s="50"/>
      <c r="AV116" s="49" t="s">
        <v>5</v>
      </c>
      <c r="AW116" s="50" t="s">
        <v>459</v>
      </c>
      <c r="AX116" s="49"/>
      <c r="AY116" s="50"/>
      <c r="AZ116" s="49"/>
      <c r="BA116" s="50"/>
      <c r="BB116" s="49" t="s">
        <v>5</v>
      </c>
      <c r="BC116" s="50" t="s">
        <v>92</v>
      </c>
      <c r="BD116" s="49"/>
      <c r="BE116" s="50"/>
      <c r="BF116" s="49"/>
      <c r="BG116" s="50"/>
      <c r="BH116" s="49"/>
      <c r="BI116" s="50"/>
      <c r="BJ116" s="49"/>
      <c r="BK116" s="50"/>
      <c r="BL116" s="49"/>
      <c r="BM116" s="50"/>
      <c r="BN116" s="49"/>
      <c r="BO116" s="50"/>
      <c r="BP116" s="49"/>
      <c r="BQ116" s="50"/>
      <c r="BR116" s="49"/>
      <c r="BS116" s="50"/>
      <c r="BT116" s="49"/>
      <c r="BU116" s="50"/>
      <c r="BV116" s="49"/>
      <c r="BW116" s="50"/>
      <c r="BX116" s="49"/>
      <c r="BY116" s="50"/>
      <c r="BZ116" s="49"/>
      <c r="CA116" s="50"/>
    </row>
    <row r="117" spans="1:79" s="91" customFormat="1" x14ac:dyDescent="0.25">
      <c r="A117" s="76">
        <v>160361</v>
      </c>
      <c r="B117" s="77" t="s">
        <v>571</v>
      </c>
      <c r="C117" s="78" t="s">
        <v>466</v>
      </c>
      <c r="D117" s="76" t="s">
        <v>12</v>
      </c>
      <c r="E117" s="79" t="s">
        <v>14</v>
      </c>
      <c r="F117" s="79" t="s">
        <v>572</v>
      </c>
      <c r="G117" s="79" t="s">
        <v>14</v>
      </c>
      <c r="H117" s="78" t="s">
        <v>14</v>
      </c>
      <c r="I117" s="79" t="s">
        <v>14</v>
      </c>
      <c r="J117" s="80">
        <v>8.1</v>
      </c>
      <c r="K117" s="81">
        <v>0</v>
      </c>
      <c r="L117" s="82">
        <v>0</v>
      </c>
      <c r="M117" s="83">
        <v>0</v>
      </c>
      <c r="N117" s="84">
        <v>100</v>
      </c>
      <c r="O117" s="85">
        <v>0</v>
      </c>
      <c r="P117" s="86"/>
      <c r="Q117" s="87">
        <f t="shared" si="12"/>
        <v>0</v>
      </c>
      <c r="R117" s="88">
        <f t="shared" si="13"/>
        <v>4</v>
      </c>
      <c r="S117" s="89">
        <f t="shared" si="14"/>
        <v>0</v>
      </c>
      <c r="T117" s="89">
        <f t="shared" si="15"/>
        <v>0</v>
      </c>
      <c r="U117" s="89">
        <f t="shared" si="16"/>
        <v>0</v>
      </c>
      <c r="V117" s="89">
        <f t="shared" si="17"/>
        <v>0</v>
      </c>
      <c r="W117" s="89">
        <f t="shared" si="18"/>
        <v>0</v>
      </c>
      <c r="X117" s="89">
        <f t="shared" si="19"/>
        <v>0</v>
      </c>
      <c r="Y117" s="89">
        <f t="shared" si="20"/>
        <v>0</v>
      </c>
      <c r="Z117" s="89">
        <f t="shared" si="21"/>
        <v>0</v>
      </c>
      <c r="AA117" s="41">
        <f t="shared" si="22"/>
        <v>0</v>
      </c>
      <c r="AB117" s="49"/>
      <c r="AC117" s="50"/>
      <c r="AD117" s="49"/>
      <c r="AE117" s="50"/>
      <c r="AF117" s="49"/>
      <c r="AG117" s="50"/>
      <c r="AH117" s="49" t="s">
        <v>5</v>
      </c>
      <c r="AI117" s="50" t="s">
        <v>419</v>
      </c>
      <c r="AJ117" s="49"/>
      <c r="AK117" s="50"/>
      <c r="AL117" s="49"/>
      <c r="AM117" s="50"/>
      <c r="AN117" s="49"/>
      <c r="AO117" s="50"/>
      <c r="AP117" s="49"/>
      <c r="AQ117" s="50"/>
      <c r="AR117" s="49"/>
      <c r="AS117" s="50"/>
      <c r="AT117" s="49"/>
      <c r="AU117" s="50"/>
      <c r="AV117" s="49" t="s">
        <v>5</v>
      </c>
      <c r="AW117" s="50" t="s">
        <v>108</v>
      </c>
      <c r="AX117" s="49"/>
      <c r="AY117" s="50"/>
      <c r="AZ117" s="49"/>
      <c r="BA117" s="50"/>
      <c r="BB117" s="49" t="s">
        <v>5</v>
      </c>
      <c r="BC117" s="50" t="s">
        <v>92</v>
      </c>
      <c r="BD117" s="49"/>
      <c r="BE117" s="50"/>
      <c r="BF117" s="49"/>
      <c r="BG117" s="50"/>
      <c r="BH117" s="49"/>
      <c r="BI117" s="50"/>
      <c r="BJ117" s="49" t="s">
        <v>5</v>
      </c>
      <c r="BK117" s="50" t="s">
        <v>430</v>
      </c>
      <c r="BL117" s="49"/>
      <c r="BM117" s="50"/>
      <c r="BN117" s="49"/>
      <c r="BO117" s="50"/>
      <c r="BP117" s="49"/>
      <c r="BQ117" s="50"/>
      <c r="BR117" s="49"/>
      <c r="BS117" s="50"/>
      <c r="BT117" s="49"/>
      <c r="BU117" s="50"/>
      <c r="BV117" s="49"/>
      <c r="BW117" s="50"/>
      <c r="BX117" s="49"/>
      <c r="BY117" s="50"/>
      <c r="BZ117" s="49"/>
      <c r="CA117" s="50"/>
    </row>
    <row r="118" spans="1:79" s="91" customFormat="1" x14ac:dyDescent="0.25">
      <c r="A118" s="76">
        <v>150998</v>
      </c>
      <c r="B118" s="77" t="s">
        <v>573</v>
      </c>
      <c r="C118" s="78" t="s">
        <v>490</v>
      </c>
      <c r="D118" s="76" t="s">
        <v>70</v>
      </c>
      <c r="E118" s="79" t="s">
        <v>14</v>
      </c>
      <c r="F118" s="79" t="s">
        <v>71</v>
      </c>
      <c r="G118" s="79" t="s">
        <v>14</v>
      </c>
      <c r="H118" s="78" t="s">
        <v>14</v>
      </c>
      <c r="I118" s="79" t="s">
        <v>14</v>
      </c>
      <c r="J118" s="80">
        <v>7.3</v>
      </c>
      <c r="K118" s="81">
        <v>5</v>
      </c>
      <c r="L118" s="82">
        <v>0</v>
      </c>
      <c r="M118" s="83">
        <v>0</v>
      </c>
      <c r="N118" s="84">
        <v>89.53</v>
      </c>
      <c r="O118" s="85">
        <v>1</v>
      </c>
      <c r="P118" s="86"/>
      <c r="Q118" s="87">
        <f t="shared" si="12"/>
        <v>0</v>
      </c>
      <c r="R118" s="88">
        <f t="shared" si="13"/>
        <v>3</v>
      </c>
      <c r="S118" s="89">
        <f t="shared" si="14"/>
        <v>0</v>
      </c>
      <c r="T118" s="89">
        <f t="shared" si="15"/>
        <v>0</v>
      </c>
      <c r="U118" s="89">
        <f t="shared" si="16"/>
        <v>0</v>
      </c>
      <c r="V118" s="89">
        <f t="shared" si="17"/>
        <v>0</v>
      </c>
      <c r="W118" s="89">
        <f t="shared" si="18"/>
        <v>0</v>
      </c>
      <c r="X118" s="89">
        <f t="shared" si="19"/>
        <v>0</v>
      </c>
      <c r="Y118" s="89">
        <f t="shared" si="20"/>
        <v>0</v>
      </c>
      <c r="Z118" s="89">
        <f t="shared" si="21"/>
        <v>0</v>
      </c>
      <c r="AA118" s="41">
        <f t="shared" si="22"/>
        <v>0</v>
      </c>
      <c r="AB118" s="49"/>
      <c r="AC118" s="50"/>
      <c r="AD118" s="49"/>
      <c r="AE118" s="50"/>
      <c r="AF118" s="49"/>
      <c r="AG118" s="50"/>
      <c r="AH118" s="49"/>
      <c r="AI118" s="50"/>
      <c r="AJ118" s="49"/>
      <c r="AK118" s="50"/>
      <c r="AL118" s="49"/>
      <c r="AM118" s="50"/>
      <c r="AN118" s="49" t="s">
        <v>5</v>
      </c>
      <c r="AO118" s="50" t="s">
        <v>101</v>
      </c>
      <c r="AP118" s="49"/>
      <c r="AQ118" s="50"/>
      <c r="AR118" s="49"/>
      <c r="AS118" s="50"/>
      <c r="AT118" s="49"/>
      <c r="AU118" s="50"/>
      <c r="AV118" s="49" t="s">
        <v>5</v>
      </c>
      <c r="AW118" s="50" t="s">
        <v>459</v>
      </c>
      <c r="AX118" s="49"/>
      <c r="AY118" s="50"/>
      <c r="AZ118" s="49"/>
      <c r="BA118" s="50"/>
      <c r="BB118" s="49"/>
      <c r="BC118" s="50"/>
      <c r="BD118" s="49"/>
      <c r="BE118" s="50"/>
      <c r="BF118" s="49"/>
      <c r="BG118" s="50"/>
      <c r="BH118" s="49"/>
      <c r="BI118" s="50"/>
      <c r="BJ118" s="49"/>
      <c r="BK118" s="50"/>
      <c r="BL118" s="49"/>
      <c r="BM118" s="50"/>
      <c r="BN118" s="49"/>
      <c r="BO118" s="50"/>
      <c r="BP118" s="49"/>
      <c r="BQ118" s="50"/>
      <c r="BR118" s="49"/>
      <c r="BS118" s="50"/>
      <c r="BT118" s="49" t="s">
        <v>5</v>
      </c>
      <c r="BU118" s="50" t="s">
        <v>93</v>
      </c>
      <c r="BV118" s="49"/>
      <c r="BW118" s="50"/>
      <c r="BX118" s="49"/>
      <c r="BY118" s="50"/>
      <c r="BZ118" s="49"/>
      <c r="CA118" s="50"/>
    </row>
    <row r="119" spans="1:79" s="91" customFormat="1" x14ac:dyDescent="0.25">
      <c r="A119" s="76">
        <v>150871</v>
      </c>
      <c r="B119" s="77" t="s">
        <v>574</v>
      </c>
      <c r="C119" s="78" t="s">
        <v>490</v>
      </c>
      <c r="D119" s="76" t="s">
        <v>12</v>
      </c>
      <c r="E119" s="79" t="s">
        <v>14</v>
      </c>
      <c r="F119" s="79" t="s">
        <v>71</v>
      </c>
      <c r="G119" s="79" t="s">
        <v>14</v>
      </c>
      <c r="H119" s="78" t="s">
        <v>14</v>
      </c>
      <c r="I119" s="79" t="s">
        <v>14</v>
      </c>
      <c r="J119" s="80">
        <v>6</v>
      </c>
      <c r="K119" s="81">
        <v>3</v>
      </c>
      <c r="L119" s="82">
        <v>0</v>
      </c>
      <c r="M119" s="83">
        <v>1</v>
      </c>
      <c r="N119" s="84">
        <v>87.29</v>
      </c>
      <c r="O119" s="85">
        <v>3</v>
      </c>
      <c r="P119" s="86"/>
      <c r="Q119" s="87">
        <f t="shared" si="12"/>
        <v>1</v>
      </c>
      <c r="R119" s="88">
        <f t="shared" si="13"/>
        <v>2</v>
      </c>
      <c r="S119" s="89">
        <f t="shared" si="14"/>
        <v>0</v>
      </c>
      <c r="T119" s="89">
        <f t="shared" si="15"/>
        <v>0</v>
      </c>
      <c r="U119" s="89">
        <f t="shared" si="16"/>
        <v>1</v>
      </c>
      <c r="V119" s="89">
        <f t="shared" si="17"/>
        <v>1</v>
      </c>
      <c r="W119" s="89">
        <f t="shared" si="18"/>
        <v>0</v>
      </c>
      <c r="X119" s="89">
        <f t="shared" si="19"/>
        <v>0</v>
      </c>
      <c r="Y119" s="89">
        <f t="shared" si="20"/>
        <v>0</v>
      </c>
      <c r="Z119" s="89">
        <f t="shared" si="21"/>
        <v>0</v>
      </c>
      <c r="AA119" s="41">
        <f t="shared" si="22"/>
        <v>0</v>
      </c>
      <c r="AB119" s="49"/>
      <c r="AC119" s="50"/>
      <c r="AD119" s="49"/>
      <c r="AE119" s="50"/>
      <c r="AF119" s="49"/>
      <c r="AG119" s="50"/>
      <c r="AH119" s="49"/>
      <c r="AI119" s="50"/>
      <c r="AJ119" s="49"/>
      <c r="AK119" s="50"/>
      <c r="AL119" s="49"/>
      <c r="AM119" s="50"/>
      <c r="AN119" s="49"/>
      <c r="AO119" s="50"/>
      <c r="AP119" s="49"/>
      <c r="AQ119" s="50"/>
      <c r="AR119" s="49"/>
      <c r="AS119" s="50"/>
      <c r="AT119" s="49"/>
      <c r="AU119" s="50"/>
      <c r="AV119" s="49" t="s">
        <v>5</v>
      </c>
      <c r="AW119" s="50" t="s">
        <v>459</v>
      </c>
      <c r="AX119" s="49"/>
      <c r="AY119" s="50"/>
      <c r="AZ119" s="49"/>
      <c r="BA119" s="50"/>
      <c r="BB119" s="49"/>
      <c r="BC119" s="50"/>
      <c r="BD119" s="49"/>
      <c r="BE119" s="50"/>
      <c r="BF119" s="49"/>
      <c r="BG119" s="50"/>
      <c r="BH119" s="49"/>
      <c r="BI119" s="50"/>
      <c r="BJ119" s="49"/>
      <c r="BK119" s="50"/>
      <c r="BL119" s="49"/>
      <c r="BM119" s="50"/>
      <c r="BN119" s="49" t="s">
        <v>5</v>
      </c>
      <c r="BO119" s="50" t="s">
        <v>122</v>
      </c>
      <c r="BP119" s="49"/>
      <c r="BQ119" s="50"/>
      <c r="BR119" s="49"/>
      <c r="BS119" s="50"/>
      <c r="BT119" s="49"/>
      <c r="BU119" s="50"/>
      <c r="BV119" s="49"/>
      <c r="BW119" s="50"/>
      <c r="BX119" s="49" t="s">
        <v>1</v>
      </c>
      <c r="BY119" s="50" t="s">
        <v>462</v>
      </c>
      <c r="BZ119" s="49" t="s">
        <v>32</v>
      </c>
      <c r="CA119" s="50" t="s">
        <v>421</v>
      </c>
    </row>
    <row r="120" spans="1:79" s="91" customFormat="1" x14ac:dyDescent="0.25">
      <c r="A120" s="76">
        <v>160101</v>
      </c>
      <c r="B120" s="77" t="s">
        <v>575</v>
      </c>
      <c r="C120" s="78" t="s">
        <v>490</v>
      </c>
      <c r="D120" s="76" t="s">
        <v>70</v>
      </c>
      <c r="E120" s="79" t="s">
        <v>14</v>
      </c>
      <c r="F120" s="79" t="s">
        <v>71</v>
      </c>
      <c r="G120" s="79" t="s">
        <v>14</v>
      </c>
      <c r="H120" s="78" t="s">
        <v>14</v>
      </c>
      <c r="I120" s="79" t="s">
        <v>14</v>
      </c>
      <c r="J120" s="80">
        <v>5.4</v>
      </c>
      <c r="K120" s="81">
        <v>3</v>
      </c>
      <c r="L120" s="82">
        <v>0</v>
      </c>
      <c r="M120" s="83">
        <v>0</v>
      </c>
      <c r="N120" s="84">
        <v>89.57</v>
      </c>
      <c r="O120" s="85">
        <v>0</v>
      </c>
      <c r="P120" s="86"/>
      <c r="Q120" s="87">
        <f t="shared" si="12"/>
        <v>1</v>
      </c>
      <c r="R120" s="88">
        <f t="shared" si="13"/>
        <v>3</v>
      </c>
      <c r="S120" s="89">
        <f t="shared" si="14"/>
        <v>0</v>
      </c>
      <c r="T120" s="89">
        <f t="shared" si="15"/>
        <v>0</v>
      </c>
      <c r="U120" s="89">
        <f t="shared" si="16"/>
        <v>0</v>
      </c>
      <c r="V120" s="89">
        <f t="shared" si="17"/>
        <v>0</v>
      </c>
      <c r="W120" s="89">
        <f t="shared" si="18"/>
        <v>0</v>
      </c>
      <c r="X120" s="89">
        <f t="shared" si="19"/>
        <v>0</v>
      </c>
      <c r="Y120" s="89">
        <f t="shared" si="20"/>
        <v>0</v>
      </c>
      <c r="Z120" s="89">
        <f t="shared" si="21"/>
        <v>0</v>
      </c>
      <c r="AA120" s="41">
        <f t="shared" si="22"/>
        <v>0</v>
      </c>
      <c r="AB120" s="49"/>
      <c r="AC120" s="50"/>
      <c r="AD120" s="49"/>
      <c r="AE120" s="50"/>
      <c r="AF120" s="49" t="s">
        <v>5</v>
      </c>
      <c r="AG120" s="50" t="s">
        <v>427</v>
      </c>
      <c r="AH120" s="49"/>
      <c r="AI120" s="50"/>
      <c r="AJ120" s="49"/>
      <c r="AK120" s="50"/>
      <c r="AL120" s="49"/>
      <c r="AM120" s="50"/>
      <c r="AN120" s="49"/>
      <c r="AO120" s="50"/>
      <c r="AP120" s="49"/>
      <c r="AQ120" s="50"/>
      <c r="AR120" s="49"/>
      <c r="AS120" s="50"/>
      <c r="AT120" s="49"/>
      <c r="AU120" s="50"/>
      <c r="AV120" s="49" t="s">
        <v>5</v>
      </c>
      <c r="AW120" s="50" t="s">
        <v>459</v>
      </c>
      <c r="AX120" s="49"/>
      <c r="AY120" s="50"/>
      <c r="AZ120" s="49"/>
      <c r="BA120" s="50"/>
      <c r="BB120" s="49"/>
      <c r="BC120" s="50"/>
      <c r="BD120" s="49"/>
      <c r="BE120" s="50"/>
      <c r="BF120" s="49"/>
      <c r="BG120" s="50"/>
      <c r="BH120" s="49"/>
      <c r="BI120" s="50"/>
      <c r="BJ120" s="49"/>
      <c r="BK120" s="50"/>
      <c r="BL120" s="49"/>
      <c r="BM120" s="50"/>
      <c r="BN120" s="49"/>
      <c r="BO120" s="50"/>
      <c r="BP120" s="49"/>
      <c r="BQ120" s="50"/>
      <c r="BR120" s="49"/>
      <c r="BS120" s="50"/>
      <c r="BT120" s="49" t="s">
        <v>5</v>
      </c>
      <c r="BU120" s="50" t="s">
        <v>93</v>
      </c>
      <c r="BV120" s="49"/>
      <c r="BW120" s="50"/>
      <c r="BX120" s="49" t="s">
        <v>1</v>
      </c>
      <c r="BY120" s="50" t="s">
        <v>462</v>
      </c>
      <c r="BZ120" s="49"/>
      <c r="CA120" s="50"/>
    </row>
    <row r="121" spans="1:79" s="91" customFormat="1" x14ac:dyDescent="0.25">
      <c r="A121" s="76">
        <v>150798</v>
      </c>
      <c r="B121" s="77" t="s">
        <v>576</v>
      </c>
      <c r="C121" s="78" t="s">
        <v>452</v>
      </c>
      <c r="D121" s="76" t="s">
        <v>12</v>
      </c>
      <c r="E121" s="79" t="s">
        <v>14</v>
      </c>
      <c r="F121" s="79" t="s">
        <v>71</v>
      </c>
      <c r="G121" s="79" t="s">
        <v>14</v>
      </c>
      <c r="H121" s="78" t="s">
        <v>14</v>
      </c>
      <c r="I121" s="79" t="s">
        <v>14</v>
      </c>
      <c r="J121" s="80">
        <v>5.3</v>
      </c>
      <c r="K121" s="81">
        <v>1</v>
      </c>
      <c r="L121" s="82">
        <v>0</v>
      </c>
      <c r="M121" s="83">
        <v>0</v>
      </c>
      <c r="N121" s="84">
        <v>98.98</v>
      </c>
      <c r="O121" s="85">
        <v>2</v>
      </c>
      <c r="P121" s="86"/>
      <c r="Q121" s="87">
        <f t="shared" si="12"/>
        <v>1</v>
      </c>
      <c r="R121" s="88">
        <f t="shared" si="13"/>
        <v>3</v>
      </c>
      <c r="S121" s="89">
        <f t="shared" si="14"/>
        <v>0</v>
      </c>
      <c r="T121" s="89">
        <f t="shared" si="15"/>
        <v>0</v>
      </c>
      <c r="U121" s="89">
        <f t="shared" si="16"/>
        <v>0</v>
      </c>
      <c r="V121" s="89">
        <f t="shared" si="17"/>
        <v>0</v>
      </c>
      <c r="W121" s="89">
        <f t="shared" si="18"/>
        <v>0</v>
      </c>
      <c r="X121" s="89">
        <f t="shared" si="19"/>
        <v>0</v>
      </c>
      <c r="Y121" s="89">
        <f t="shared" si="20"/>
        <v>0</v>
      </c>
      <c r="Z121" s="89">
        <f t="shared" si="21"/>
        <v>0</v>
      </c>
      <c r="AA121" s="41">
        <f t="shared" si="22"/>
        <v>0</v>
      </c>
      <c r="AB121" s="49"/>
      <c r="AC121" s="50"/>
      <c r="AD121" s="49"/>
      <c r="AE121" s="50"/>
      <c r="AF121" s="49"/>
      <c r="AG121" s="50"/>
      <c r="AH121" s="49"/>
      <c r="AI121" s="50"/>
      <c r="AJ121" s="49"/>
      <c r="AK121" s="50"/>
      <c r="AL121" s="49"/>
      <c r="AM121" s="50"/>
      <c r="AN121" s="49"/>
      <c r="AO121" s="50"/>
      <c r="AP121" s="49" t="s">
        <v>1</v>
      </c>
      <c r="AQ121" s="50" t="s">
        <v>428</v>
      </c>
      <c r="AR121" s="49"/>
      <c r="AS121" s="50"/>
      <c r="AT121" s="49"/>
      <c r="AU121" s="50"/>
      <c r="AV121" s="49" t="s">
        <v>5</v>
      </c>
      <c r="AW121" s="50" t="s">
        <v>453</v>
      </c>
      <c r="AX121" s="49"/>
      <c r="AY121" s="50"/>
      <c r="AZ121" s="49"/>
      <c r="BA121" s="50"/>
      <c r="BB121" s="49" t="s">
        <v>5</v>
      </c>
      <c r="BC121" s="50" t="s">
        <v>92</v>
      </c>
      <c r="BD121" s="49"/>
      <c r="BE121" s="50"/>
      <c r="BF121" s="49"/>
      <c r="BG121" s="50"/>
      <c r="BH121" s="49"/>
      <c r="BI121" s="50"/>
      <c r="BJ121" s="49"/>
      <c r="BK121" s="50"/>
      <c r="BL121" s="49"/>
      <c r="BM121" s="50"/>
      <c r="BN121" s="49"/>
      <c r="BO121" s="50"/>
      <c r="BP121" s="49"/>
      <c r="BQ121" s="50"/>
      <c r="BR121" s="49"/>
      <c r="BS121" s="50"/>
      <c r="BT121" s="49" t="s">
        <v>5</v>
      </c>
      <c r="BU121" s="50" t="s">
        <v>93</v>
      </c>
      <c r="BV121" s="49"/>
      <c r="BW121" s="50"/>
      <c r="BX121" s="49"/>
      <c r="BY121" s="50"/>
      <c r="BZ121" s="49"/>
      <c r="CA121" s="50"/>
    </row>
    <row r="122" spans="1:79" s="91" customFormat="1" x14ac:dyDescent="0.25">
      <c r="A122" s="76">
        <v>150962</v>
      </c>
      <c r="B122" s="77" t="s">
        <v>577</v>
      </c>
      <c r="C122" s="78" t="s">
        <v>490</v>
      </c>
      <c r="D122" s="76" t="s">
        <v>70</v>
      </c>
      <c r="E122" s="79" t="s">
        <v>14</v>
      </c>
      <c r="F122" s="79" t="s">
        <v>126</v>
      </c>
      <c r="G122" s="79" t="s">
        <v>14</v>
      </c>
      <c r="H122" s="78" t="s">
        <v>14</v>
      </c>
      <c r="I122" s="79" t="s">
        <v>14</v>
      </c>
      <c r="J122" s="80">
        <v>7.2</v>
      </c>
      <c r="K122" s="81">
        <v>0</v>
      </c>
      <c r="L122" s="82">
        <v>0</v>
      </c>
      <c r="M122" s="83">
        <v>0</v>
      </c>
      <c r="N122" s="84">
        <v>100</v>
      </c>
      <c r="O122" s="85">
        <v>1</v>
      </c>
      <c r="P122" s="86"/>
      <c r="Q122" s="87">
        <f t="shared" si="12"/>
        <v>0</v>
      </c>
      <c r="R122" s="88">
        <f t="shared" si="13"/>
        <v>4</v>
      </c>
      <c r="S122" s="89">
        <f t="shared" si="14"/>
        <v>0</v>
      </c>
      <c r="T122" s="89">
        <f t="shared" si="15"/>
        <v>0</v>
      </c>
      <c r="U122" s="89">
        <f t="shared" si="16"/>
        <v>0</v>
      </c>
      <c r="V122" s="89">
        <f t="shared" si="17"/>
        <v>0</v>
      </c>
      <c r="W122" s="89">
        <f t="shared" si="18"/>
        <v>0</v>
      </c>
      <c r="X122" s="89">
        <f t="shared" si="19"/>
        <v>0</v>
      </c>
      <c r="Y122" s="89">
        <f t="shared" si="20"/>
        <v>0</v>
      </c>
      <c r="Z122" s="89">
        <f t="shared" si="21"/>
        <v>0</v>
      </c>
      <c r="AA122" s="41">
        <f t="shared" si="22"/>
        <v>0</v>
      </c>
      <c r="AB122" s="49"/>
      <c r="AC122" s="50"/>
      <c r="AD122" s="49" t="s">
        <v>5</v>
      </c>
      <c r="AE122" s="50" t="s">
        <v>154</v>
      </c>
      <c r="AF122" s="49"/>
      <c r="AG122" s="50"/>
      <c r="AH122" s="49" t="s">
        <v>5</v>
      </c>
      <c r="AI122" s="50" t="s">
        <v>419</v>
      </c>
      <c r="AJ122" s="49"/>
      <c r="AK122" s="50"/>
      <c r="AL122" s="49"/>
      <c r="AM122" s="50"/>
      <c r="AN122" s="49"/>
      <c r="AO122" s="50"/>
      <c r="AP122" s="49"/>
      <c r="AQ122" s="50"/>
      <c r="AR122" s="49"/>
      <c r="AS122" s="50"/>
      <c r="AT122" s="49"/>
      <c r="AU122" s="50"/>
      <c r="AV122" s="49" t="s">
        <v>5</v>
      </c>
      <c r="AW122" s="50" t="s">
        <v>459</v>
      </c>
      <c r="AX122" s="49"/>
      <c r="AY122" s="50"/>
      <c r="AZ122" s="49"/>
      <c r="BA122" s="50"/>
      <c r="BB122" s="49"/>
      <c r="BC122" s="50"/>
      <c r="BD122" s="49"/>
      <c r="BE122" s="50"/>
      <c r="BF122" s="49"/>
      <c r="BG122" s="50"/>
      <c r="BH122" s="49"/>
      <c r="BI122" s="50"/>
      <c r="BJ122" s="49"/>
      <c r="BK122" s="50"/>
      <c r="BL122" s="49"/>
      <c r="BM122" s="50"/>
      <c r="BN122" s="49"/>
      <c r="BO122" s="50"/>
      <c r="BP122" s="49"/>
      <c r="BQ122" s="50"/>
      <c r="BR122" s="49"/>
      <c r="BS122" s="50"/>
      <c r="BT122" s="49"/>
      <c r="BU122" s="50"/>
      <c r="BV122" s="49" t="s">
        <v>5</v>
      </c>
      <c r="BW122" s="50" t="s">
        <v>425</v>
      </c>
      <c r="BX122" s="49"/>
      <c r="BY122" s="50"/>
      <c r="BZ122" s="49"/>
      <c r="CA122" s="50"/>
    </row>
    <row r="123" spans="1:79" s="91" customFormat="1" x14ac:dyDescent="0.25">
      <c r="A123" s="76">
        <v>160117</v>
      </c>
      <c r="B123" s="77" t="s">
        <v>578</v>
      </c>
      <c r="C123" s="78" t="s">
        <v>440</v>
      </c>
      <c r="D123" s="76" t="s">
        <v>70</v>
      </c>
      <c r="E123" s="79" t="s">
        <v>14</v>
      </c>
      <c r="F123" s="79" t="s">
        <v>71</v>
      </c>
      <c r="G123" s="79" t="s">
        <v>14</v>
      </c>
      <c r="H123" s="78" t="s">
        <v>14</v>
      </c>
      <c r="I123" s="79" t="s">
        <v>14</v>
      </c>
      <c r="J123" s="80">
        <v>3.8</v>
      </c>
      <c r="K123" s="81">
        <v>0</v>
      </c>
      <c r="L123" s="82">
        <v>0</v>
      </c>
      <c r="M123" s="83">
        <v>0</v>
      </c>
      <c r="N123" s="84">
        <v>95.97</v>
      </c>
      <c r="O123" s="85">
        <v>1</v>
      </c>
      <c r="P123" s="86"/>
      <c r="Q123" s="87">
        <f t="shared" si="12"/>
        <v>1</v>
      </c>
      <c r="R123" s="88">
        <f t="shared" si="13"/>
        <v>3</v>
      </c>
      <c r="S123" s="89">
        <f t="shared" si="14"/>
        <v>0</v>
      </c>
      <c r="T123" s="89">
        <f t="shared" si="15"/>
        <v>0</v>
      </c>
      <c r="U123" s="89">
        <f t="shared" si="16"/>
        <v>0</v>
      </c>
      <c r="V123" s="89">
        <f t="shared" si="17"/>
        <v>0</v>
      </c>
      <c r="W123" s="89">
        <f t="shared" si="18"/>
        <v>0</v>
      </c>
      <c r="X123" s="89">
        <f t="shared" si="19"/>
        <v>0</v>
      </c>
      <c r="Y123" s="89">
        <f t="shared" si="20"/>
        <v>0</v>
      </c>
      <c r="Z123" s="89">
        <f t="shared" si="21"/>
        <v>0</v>
      </c>
      <c r="AA123" s="41">
        <f t="shared" si="22"/>
        <v>0</v>
      </c>
      <c r="AB123" s="49"/>
      <c r="AC123" s="50"/>
      <c r="AD123" s="49"/>
      <c r="AE123" s="50"/>
      <c r="AF123" s="49"/>
      <c r="AG123" s="50"/>
      <c r="AH123" s="49"/>
      <c r="AI123" s="50"/>
      <c r="AJ123" s="49"/>
      <c r="AK123" s="50"/>
      <c r="AL123" s="49"/>
      <c r="AM123" s="50"/>
      <c r="AN123" s="49"/>
      <c r="AO123" s="50"/>
      <c r="AP123" s="49"/>
      <c r="AQ123" s="50"/>
      <c r="AR123" s="49"/>
      <c r="AS123" s="50"/>
      <c r="AT123" s="49"/>
      <c r="AU123" s="50"/>
      <c r="AV123" s="49" t="s">
        <v>5</v>
      </c>
      <c r="AW123" s="50" t="s">
        <v>505</v>
      </c>
      <c r="AX123" s="49"/>
      <c r="AY123" s="50"/>
      <c r="AZ123" s="49"/>
      <c r="BA123" s="50"/>
      <c r="BB123" s="49"/>
      <c r="BC123" s="50"/>
      <c r="BD123" s="49"/>
      <c r="BE123" s="50"/>
      <c r="BF123" s="49"/>
      <c r="BG123" s="50"/>
      <c r="BH123" s="49"/>
      <c r="BI123" s="50"/>
      <c r="BJ123" s="49"/>
      <c r="BK123" s="50"/>
      <c r="BL123" s="49"/>
      <c r="BM123" s="50"/>
      <c r="BN123" s="49" t="s">
        <v>5</v>
      </c>
      <c r="BO123" s="50" t="s">
        <v>82</v>
      </c>
      <c r="BP123" s="49"/>
      <c r="BQ123" s="50"/>
      <c r="BR123" s="49"/>
      <c r="BS123" s="50"/>
      <c r="BT123" s="49" t="s">
        <v>5</v>
      </c>
      <c r="BU123" s="50" t="s">
        <v>93</v>
      </c>
      <c r="BV123" s="49"/>
      <c r="BW123" s="50"/>
      <c r="BX123" s="49" t="s">
        <v>1</v>
      </c>
      <c r="BY123" s="50" t="s">
        <v>462</v>
      </c>
      <c r="BZ123" s="49"/>
      <c r="CA123" s="50"/>
    </row>
    <row r="124" spans="1:79" s="91" customFormat="1" x14ac:dyDescent="0.25">
      <c r="A124" s="76">
        <v>150910</v>
      </c>
      <c r="B124" s="77" t="s">
        <v>579</v>
      </c>
      <c r="C124" s="78" t="s">
        <v>452</v>
      </c>
      <c r="D124" s="76" t="s">
        <v>70</v>
      </c>
      <c r="E124" s="79" t="s">
        <v>14</v>
      </c>
      <c r="F124" s="79" t="s">
        <v>71</v>
      </c>
      <c r="G124" s="79" t="s">
        <v>14</v>
      </c>
      <c r="H124" s="78" t="s">
        <v>14</v>
      </c>
      <c r="I124" s="79" t="s">
        <v>14</v>
      </c>
      <c r="J124" s="80">
        <v>6.6</v>
      </c>
      <c r="K124" s="81">
        <v>1</v>
      </c>
      <c r="L124" s="82">
        <v>0</v>
      </c>
      <c r="M124" s="83">
        <v>0</v>
      </c>
      <c r="N124" s="84">
        <v>99.17</v>
      </c>
      <c r="O124" s="85">
        <v>0</v>
      </c>
      <c r="P124" s="86"/>
      <c r="Q124" s="87">
        <f t="shared" si="12"/>
        <v>0</v>
      </c>
      <c r="R124" s="88">
        <f t="shared" si="13"/>
        <v>4</v>
      </c>
      <c r="S124" s="89">
        <f t="shared" si="14"/>
        <v>0</v>
      </c>
      <c r="T124" s="89">
        <f t="shared" si="15"/>
        <v>0</v>
      </c>
      <c r="U124" s="89">
        <f t="shared" si="16"/>
        <v>0</v>
      </c>
      <c r="V124" s="89">
        <f t="shared" si="17"/>
        <v>0</v>
      </c>
      <c r="W124" s="89">
        <f t="shared" si="18"/>
        <v>0</v>
      </c>
      <c r="X124" s="89">
        <f t="shared" si="19"/>
        <v>0</v>
      </c>
      <c r="Y124" s="89">
        <f t="shared" si="20"/>
        <v>0</v>
      </c>
      <c r="Z124" s="89">
        <f t="shared" si="21"/>
        <v>0</v>
      </c>
      <c r="AA124" s="41">
        <f t="shared" si="22"/>
        <v>0</v>
      </c>
      <c r="AB124" s="49"/>
      <c r="AC124" s="50"/>
      <c r="AD124" s="49"/>
      <c r="AE124" s="50"/>
      <c r="AF124" s="49"/>
      <c r="AG124" s="50"/>
      <c r="AH124" s="49"/>
      <c r="AI124" s="50"/>
      <c r="AJ124" s="49"/>
      <c r="AK124" s="50"/>
      <c r="AL124" s="49"/>
      <c r="AM124" s="50"/>
      <c r="AN124" s="49"/>
      <c r="AO124" s="50"/>
      <c r="AP124" s="49"/>
      <c r="AQ124" s="50"/>
      <c r="AR124" s="49"/>
      <c r="AS124" s="50"/>
      <c r="AT124" s="49" t="s">
        <v>5</v>
      </c>
      <c r="AU124" s="50" t="s">
        <v>448</v>
      </c>
      <c r="AV124" s="49" t="s">
        <v>5</v>
      </c>
      <c r="AW124" s="50" t="s">
        <v>453</v>
      </c>
      <c r="AX124" s="49"/>
      <c r="AY124" s="50"/>
      <c r="AZ124" s="49"/>
      <c r="BA124" s="50"/>
      <c r="BB124" s="49"/>
      <c r="BC124" s="50"/>
      <c r="BD124" s="49"/>
      <c r="BE124" s="50"/>
      <c r="BF124" s="49"/>
      <c r="BG124" s="50"/>
      <c r="BH124" s="49"/>
      <c r="BI124" s="50"/>
      <c r="BJ124" s="49"/>
      <c r="BK124" s="50"/>
      <c r="BL124" s="49"/>
      <c r="BM124" s="50"/>
      <c r="BN124" s="49"/>
      <c r="BO124" s="50"/>
      <c r="BP124" s="49"/>
      <c r="BQ124" s="50"/>
      <c r="BR124" s="49"/>
      <c r="BS124" s="50"/>
      <c r="BT124" s="49" t="s">
        <v>5</v>
      </c>
      <c r="BU124" s="50" t="s">
        <v>93</v>
      </c>
      <c r="BV124" s="49" t="s">
        <v>5</v>
      </c>
      <c r="BW124" s="50" t="s">
        <v>425</v>
      </c>
      <c r="BX124" s="49"/>
      <c r="BY124" s="50"/>
      <c r="BZ124" s="49"/>
      <c r="CA124" s="50"/>
    </row>
    <row r="125" spans="1:79" s="91" customFormat="1" x14ac:dyDescent="0.25">
      <c r="A125" s="76">
        <v>150773</v>
      </c>
      <c r="B125" s="77" t="s">
        <v>580</v>
      </c>
      <c r="C125" s="78" t="s">
        <v>452</v>
      </c>
      <c r="D125" s="76" t="s">
        <v>12</v>
      </c>
      <c r="E125" s="79" t="s">
        <v>14</v>
      </c>
      <c r="F125" s="79" t="s">
        <v>71</v>
      </c>
      <c r="G125" s="79" t="s">
        <v>14</v>
      </c>
      <c r="H125" s="78" t="s">
        <v>14</v>
      </c>
      <c r="I125" s="79" t="s">
        <v>14</v>
      </c>
      <c r="J125" s="80">
        <v>8.3000000000000007</v>
      </c>
      <c r="K125" s="81">
        <v>2</v>
      </c>
      <c r="L125" s="82">
        <v>0</v>
      </c>
      <c r="M125" s="83">
        <v>0</v>
      </c>
      <c r="N125" s="84">
        <v>100</v>
      </c>
      <c r="O125" s="85">
        <v>0</v>
      </c>
      <c r="P125" s="86"/>
      <c r="Q125" s="87">
        <f t="shared" si="12"/>
        <v>1</v>
      </c>
      <c r="R125" s="88">
        <f t="shared" si="13"/>
        <v>4</v>
      </c>
      <c r="S125" s="89">
        <f t="shared" si="14"/>
        <v>0</v>
      </c>
      <c r="T125" s="89">
        <f t="shared" si="15"/>
        <v>0</v>
      </c>
      <c r="U125" s="89">
        <f t="shared" si="16"/>
        <v>0</v>
      </c>
      <c r="V125" s="89">
        <f t="shared" si="17"/>
        <v>0</v>
      </c>
      <c r="W125" s="89">
        <f t="shared" si="18"/>
        <v>0</v>
      </c>
      <c r="X125" s="89">
        <f t="shared" si="19"/>
        <v>0</v>
      </c>
      <c r="Y125" s="89">
        <f t="shared" si="20"/>
        <v>0</v>
      </c>
      <c r="Z125" s="89">
        <f t="shared" si="21"/>
        <v>0</v>
      </c>
      <c r="AA125" s="41">
        <f t="shared" si="22"/>
        <v>0</v>
      </c>
      <c r="AB125" s="49"/>
      <c r="AC125" s="50"/>
      <c r="AD125" s="49"/>
      <c r="AE125" s="50"/>
      <c r="AF125" s="49"/>
      <c r="AG125" s="50"/>
      <c r="AH125" s="49" t="s">
        <v>5</v>
      </c>
      <c r="AI125" s="50" t="s">
        <v>206</v>
      </c>
      <c r="AJ125" s="49"/>
      <c r="AK125" s="50"/>
      <c r="AL125" s="49"/>
      <c r="AM125" s="50"/>
      <c r="AN125" s="49"/>
      <c r="AO125" s="50"/>
      <c r="AP125" s="49"/>
      <c r="AQ125" s="50"/>
      <c r="AR125" s="49"/>
      <c r="AS125" s="50"/>
      <c r="AT125" s="49"/>
      <c r="AU125" s="50"/>
      <c r="AV125" s="49" t="s">
        <v>5</v>
      </c>
      <c r="AW125" s="50" t="s">
        <v>457</v>
      </c>
      <c r="AX125" s="49"/>
      <c r="AY125" s="50"/>
      <c r="AZ125" s="49" t="s">
        <v>5</v>
      </c>
      <c r="BA125" s="50" t="s">
        <v>430</v>
      </c>
      <c r="BB125" s="49"/>
      <c r="BC125" s="50"/>
      <c r="BD125" s="49"/>
      <c r="BE125" s="50"/>
      <c r="BF125" s="49"/>
      <c r="BG125" s="50"/>
      <c r="BH125" s="49"/>
      <c r="BI125" s="50"/>
      <c r="BJ125" s="49" t="s">
        <v>1</v>
      </c>
      <c r="BK125" s="50" t="s">
        <v>430</v>
      </c>
      <c r="BL125" s="49"/>
      <c r="BM125" s="50"/>
      <c r="BN125" s="49"/>
      <c r="BO125" s="50"/>
      <c r="BP125" s="49"/>
      <c r="BQ125" s="50"/>
      <c r="BR125" s="49" t="s">
        <v>5</v>
      </c>
      <c r="BS125" s="50" t="s">
        <v>98</v>
      </c>
      <c r="BT125" s="49"/>
      <c r="BU125" s="50"/>
      <c r="BV125" s="49"/>
      <c r="BW125" s="50"/>
      <c r="BX125" s="49"/>
      <c r="BY125" s="50"/>
      <c r="BZ125" s="49"/>
      <c r="CA125" s="50"/>
    </row>
    <row r="126" spans="1:79" s="91" customFormat="1" x14ac:dyDescent="0.25">
      <c r="A126" s="76">
        <v>150957</v>
      </c>
      <c r="B126" s="77" t="s">
        <v>581</v>
      </c>
      <c r="C126" s="78" t="s">
        <v>452</v>
      </c>
      <c r="D126" s="76" t="s">
        <v>12</v>
      </c>
      <c r="E126" s="79" t="s">
        <v>14</v>
      </c>
      <c r="F126" s="79" t="s">
        <v>88</v>
      </c>
      <c r="G126" s="79" t="s">
        <v>14</v>
      </c>
      <c r="H126" s="78" t="s">
        <v>14</v>
      </c>
      <c r="I126" s="79" t="s">
        <v>14</v>
      </c>
      <c r="J126" s="80">
        <v>6.4</v>
      </c>
      <c r="K126" s="81">
        <v>0</v>
      </c>
      <c r="L126" s="82">
        <v>0</v>
      </c>
      <c r="M126" s="83">
        <v>1</v>
      </c>
      <c r="N126" s="84">
        <v>97.14</v>
      </c>
      <c r="O126" s="85">
        <v>1</v>
      </c>
      <c r="P126" s="86"/>
      <c r="Q126" s="87">
        <f t="shared" si="12"/>
        <v>0</v>
      </c>
      <c r="R126" s="88">
        <f t="shared" si="13"/>
        <v>4</v>
      </c>
      <c r="S126" s="89">
        <f t="shared" si="14"/>
        <v>0</v>
      </c>
      <c r="T126" s="89">
        <f t="shared" si="15"/>
        <v>0</v>
      </c>
      <c r="U126" s="89">
        <f t="shared" si="16"/>
        <v>1</v>
      </c>
      <c r="V126" s="89">
        <f t="shared" si="17"/>
        <v>1</v>
      </c>
      <c r="W126" s="89">
        <f t="shared" si="18"/>
        <v>0</v>
      </c>
      <c r="X126" s="89">
        <f t="shared" si="19"/>
        <v>0</v>
      </c>
      <c r="Y126" s="89">
        <f t="shared" si="20"/>
        <v>0</v>
      </c>
      <c r="Z126" s="89">
        <f t="shared" si="21"/>
        <v>0</v>
      </c>
      <c r="AA126" s="41">
        <f t="shared" si="22"/>
        <v>0</v>
      </c>
      <c r="AB126" s="49"/>
      <c r="AC126" s="50"/>
      <c r="AD126" s="49" t="s">
        <v>5</v>
      </c>
      <c r="AE126" s="50" t="s">
        <v>438</v>
      </c>
      <c r="AF126" s="49"/>
      <c r="AG126" s="50"/>
      <c r="AH126" s="49" t="s">
        <v>5</v>
      </c>
      <c r="AI126" s="50" t="s">
        <v>424</v>
      </c>
      <c r="AJ126" s="49"/>
      <c r="AK126" s="50"/>
      <c r="AL126" s="49"/>
      <c r="AM126" s="50"/>
      <c r="AN126" s="49"/>
      <c r="AO126" s="50"/>
      <c r="AP126" s="49"/>
      <c r="AQ126" s="50"/>
      <c r="AR126" s="49"/>
      <c r="AS126" s="50"/>
      <c r="AT126" s="49"/>
      <c r="AU126" s="50"/>
      <c r="AV126" s="49" t="s">
        <v>5</v>
      </c>
      <c r="AW126" s="50" t="s">
        <v>453</v>
      </c>
      <c r="AX126" s="49"/>
      <c r="AY126" s="50"/>
      <c r="AZ126" s="49"/>
      <c r="BA126" s="50"/>
      <c r="BB126" s="49"/>
      <c r="BC126" s="50"/>
      <c r="BD126" s="49"/>
      <c r="BE126" s="50"/>
      <c r="BF126" s="49"/>
      <c r="BG126" s="50"/>
      <c r="BH126" s="49"/>
      <c r="BI126" s="50"/>
      <c r="BJ126" s="49"/>
      <c r="BK126" s="50"/>
      <c r="BL126" s="49"/>
      <c r="BM126" s="50"/>
      <c r="BN126" s="49" t="s">
        <v>32</v>
      </c>
      <c r="BO126" s="50" t="s">
        <v>82</v>
      </c>
      <c r="BP126" s="49"/>
      <c r="BQ126" s="50"/>
      <c r="BR126" s="49"/>
      <c r="BS126" s="50"/>
      <c r="BT126" s="49" t="s">
        <v>5</v>
      </c>
      <c r="BU126" s="50" t="s">
        <v>93</v>
      </c>
      <c r="BV126" s="49"/>
      <c r="BW126" s="50"/>
      <c r="BX126" s="49"/>
      <c r="BY126" s="50"/>
      <c r="BZ126" s="49"/>
      <c r="CA126" s="50"/>
    </row>
    <row r="127" spans="1:79" s="91" customFormat="1" x14ac:dyDescent="0.25">
      <c r="A127" s="76">
        <v>150782</v>
      </c>
      <c r="B127" s="77" t="s">
        <v>582</v>
      </c>
      <c r="C127" s="78" t="s">
        <v>490</v>
      </c>
      <c r="D127" s="76" t="s">
        <v>70</v>
      </c>
      <c r="E127" s="79" t="s">
        <v>14</v>
      </c>
      <c r="F127" s="79" t="s">
        <v>71</v>
      </c>
      <c r="G127" s="79" t="s">
        <v>14</v>
      </c>
      <c r="H127" s="78" t="s">
        <v>14</v>
      </c>
      <c r="I127" s="79" t="s">
        <v>14</v>
      </c>
      <c r="J127" s="80">
        <v>4.7</v>
      </c>
      <c r="K127" s="81">
        <v>0</v>
      </c>
      <c r="L127" s="82">
        <v>0</v>
      </c>
      <c r="M127" s="83">
        <v>0</v>
      </c>
      <c r="N127" s="84">
        <v>87.07</v>
      </c>
      <c r="O127" s="85">
        <v>0</v>
      </c>
      <c r="P127" s="86"/>
      <c r="Q127" s="87">
        <f t="shared" si="12"/>
        <v>0</v>
      </c>
      <c r="R127" s="88">
        <f t="shared" si="13"/>
        <v>4</v>
      </c>
      <c r="S127" s="89">
        <f t="shared" si="14"/>
        <v>0</v>
      </c>
      <c r="T127" s="89">
        <f t="shared" si="15"/>
        <v>0</v>
      </c>
      <c r="U127" s="89">
        <f t="shared" si="16"/>
        <v>0</v>
      </c>
      <c r="V127" s="89">
        <f t="shared" si="17"/>
        <v>0</v>
      </c>
      <c r="W127" s="89">
        <f t="shared" si="18"/>
        <v>0</v>
      </c>
      <c r="X127" s="89">
        <f t="shared" si="19"/>
        <v>0</v>
      </c>
      <c r="Y127" s="89">
        <f t="shared" si="20"/>
        <v>0</v>
      </c>
      <c r="Z127" s="89">
        <f t="shared" si="21"/>
        <v>0</v>
      </c>
      <c r="AA127" s="41">
        <f t="shared" si="22"/>
        <v>0</v>
      </c>
      <c r="AB127" s="49"/>
      <c r="AC127" s="50"/>
      <c r="AD127" s="49"/>
      <c r="AE127" s="50"/>
      <c r="AF127" s="49"/>
      <c r="AG127" s="50"/>
      <c r="AH127" s="49"/>
      <c r="AI127" s="50"/>
      <c r="AJ127" s="49"/>
      <c r="AK127" s="50"/>
      <c r="AL127" s="49"/>
      <c r="AM127" s="50"/>
      <c r="AN127" s="49"/>
      <c r="AO127" s="50"/>
      <c r="AP127" s="49"/>
      <c r="AQ127" s="50"/>
      <c r="AR127" s="49"/>
      <c r="AS127" s="50"/>
      <c r="AT127" s="49"/>
      <c r="AU127" s="50"/>
      <c r="AV127" s="49" t="s">
        <v>5</v>
      </c>
      <c r="AW127" s="50" t="s">
        <v>459</v>
      </c>
      <c r="AX127" s="49"/>
      <c r="AY127" s="50"/>
      <c r="AZ127" s="49"/>
      <c r="BA127" s="50"/>
      <c r="BB127" s="49"/>
      <c r="BC127" s="50"/>
      <c r="BD127" s="49"/>
      <c r="BE127" s="50"/>
      <c r="BF127" s="49"/>
      <c r="BG127" s="50"/>
      <c r="BH127" s="49"/>
      <c r="BI127" s="50"/>
      <c r="BJ127" s="49"/>
      <c r="BK127" s="50"/>
      <c r="BL127" s="49"/>
      <c r="BM127" s="50"/>
      <c r="BN127" s="49"/>
      <c r="BO127" s="50"/>
      <c r="BP127" s="49"/>
      <c r="BQ127" s="50"/>
      <c r="BR127" s="49"/>
      <c r="BS127" s="50"/>
      <c r="BT127" s="49" t="s">
        <v>5</v>
      </c>
      <c r="BU127" s="50" t="s">
        <v>93</v>
      </c>
      <c r="BV127" s="49" t="s">
        <v>5</v>
      </c>
      <c r="BW127" s="50" t="s">
        <v>436</v>
      </c>
      <c r="BX127" s="49" t="s">
        <v>5</v>
      </c>
      <c r="BY127" s="50" t="s">
        <v>462</v>
      </c>
      <c r="BZ127" s="49"/>
      <c r="CA127" s="50"/>
    </row>
    <row r="128" spans="1:79" s="91" customFormat="1" x14ac:dyDescent="0.25">
      <c r="A128" s="76">
        <v>150968</v>
      </c>
      <c r="B128" s="77" t="s">
        <v>583</v>
      </c>
      <c r="C128" s="78" t="s">
        <v>490</v>
      </c>
      <c r="D128" s="76" t="s">
        <v>70</v>
      </c>
      <c r="E128" s="79" t="s">
        <v>14</v>
      </c>
      <c r="F128" s="79" t="s">
        <v>71</v>
      </c>
      <c r="G128" s="79" t="s">
        <v>14</v>
      </c>
      <c r="H128" s="78" t="s">
        <v>14</v>
      </c>
      <c r="I128" s="79" t="s">
        <v>14</v>
      </c>
      <c r="J128" s="80">
        <v>8.1999999999999993</v>
      </c>
      <c r="K128" s="81">
        <v>2</v>
      </c>
      <c r="L128" s="82">
        <v>0</v>
      </c>
      <c r="M128" s="83">
        <v>0</v>
      </c>
      <c r="N128" s="84">
        <v>93.97</v>
      </c>
      <c r="O128" s="85">
        <v>0</v>
      </c>
      <c r="P128" s="86"/>
      <c r="Q128" s="87">
        <f t="shared" si="12"/>
        <v>0</v>
      </c>
      <c r="R128" s="88">
        <f t="shared" si="13"/>
        <v>4</v>
      </c>
      <c r="S128" s="89">
        <f t="shared" si="14"/>
        <v>0</v>
      </c>
      <c r="T128" s="89">
        <f t="shared" si="15"/>
        <v>0</v>
      </c>
      <c r="U128" s="89">
        <f t="shared" si="16"/>
        <v>0</v>
      </c>
      <c r="V128" s="89">
        <f t="shared" si="17"/>
        <v>0</v>
      </c>
      <c r="W128" s="89">
        <f t="shared" si="18"/>
        <v>0</v>
      </c>
      <c r="X128" s="89">
        <f t="shared" si="19"/>
        <v>0</v>
      </c>
      <c r="Y128" s="89">
        <f t="shared" si="20"/>
        <v>0</v>
      </c>
      <c r="Z128" s="89">
        <f t="shared" si="21"/>
        <v>0</v>
      </c>
      <c r="AA128" s="41">
        <f t="shared" si="22"/>
        <v>0</v>
      </c>
      <c r="AB128" s="49"/>
      <c r="AC128" s="50"/>
      <c r="AD128" s="49" t="s">
        <v>5</v>
      </c>
      <c r="AE128" s="50" t="s">
        <v>154</v>
      </c>
      <c r="AF128" s="49"/>
      <c r="AG128" s="50"/>
      <c r="AH128" s="49"/>
      <c r="AI128" s="50"/>
      <c r="AJ128" s="49"/>
      <c r="AK128" s="50"/>
      <c r="AL128" s="49"/>
      <c r="AM128" s="50"/>
      <c r="AN128" s="49"/>
      <c r="AO128" s="50"/>
      <c r="AP128" s="49"/>
      <c r="AQ128" s="50"/>
      <c r="AR128" s="49"/>
      <c r="AS128" s="50"/>
      <c r="AT128" s="49"/>
      <c r="AU128" s="50"/>
      <c r="AV128" s="49" t="s">
        <v>5</v>
      </c>
      <c r="AW128" s="50" t="s">
        <v>459</v>
      </c>
      <c r="AX128" s="49"/>
      <c r="AY128" s="50"/>
      <c r="AZ128" s="49"/>
      <c r="BA128" s="50"/>
      <c r="BB128" s="49"/>
      <c r="BC128" s="50"/>
      <c r="BD128" s="49"/>
      <c r="BE128" s="50"/>
      <c r="BF128" s="49"/>
      <c r="BG128" s="50"/>
      <c r="BH128" s="49" t="s">
        <v>5</v>
      </c>
      <c r="BI128" s="50" t="s">
        <v>77</v>
      </c>
      <c r="BJ128" s="49"/>
      <c r="BK128" s="50"/>
      <c r="BL128" s="49"/>
      <c r="BM128" s="50"/>
      <c r="BN128" s="49"/>
      <c r="BO128" s="50"/>
      <c r="BP128" s="49"/>
      <c r="BQ128" s="50"/>
      <c r="BR128" s="49"/>
      <c r="BS128" s="50"/>
      <c r="BT128" s="49"/>
      <c r="BU128" s="50"/>
      <c r="BV128" s="49" t="s">
        <v>5</v>
      </c>
      <c r="BW128" s="50" t="s">
        <v>436</v>
      </c>
      <c r="BX128" s="49"/>
      <c r="BY128" s="50"/>
      <c r="BZ128" s="49"/>
      <c r="CA128" s="50"/>
    </row>
    <row r="129" spans="1:79" s="91" customFormat="1" x14ac:dyDescent="0.25">
      <c r="A129" s="76">
        <v>150797</v>
      </c>
      <c r="B129" s="77" t="s">
        <v>584</v>
      </c>
      <c r="C129" s="78" t="s">
        <v>452</v>
      </c>
      <c r="D129" s="76" t="s">
        <v>70</v>
      </c>
      <c r="E129" s="79" t="s">
        <v>14</v>
      </c>
      <c r="F129" s="79" t="s">
        <v>71</v>
      </c>
      <c r="G129" s="79" t="s">
        <v>14</v>
      </c>
      <c r="H129" s="78" t="s">
        <v>14</v>
      </c>
      <c r="I129" s="79" t="s">
        <v>14</v>
      </c>
      <c r="J129" s="80">
        <v>6.5</v>
      </c>
      <c r="K129" s="81">
        <v>1</v>
      </c>
      <c r="L129" s="82">
        <v>0</v>
      </c>
      <c r="M129" s="83">
        <v>0</v>
      </c>
      <c r="N129" s="84">
        <v>100</v>
      </c>
      <c r="O129" s="85">
        <v>1</v>
      </c>
      <c r="P129" s="86"/>
      <c r="Q129" s="87">
        <f t="shared" si="12"/>
        <v>1</v>
      </c>
      <c r="R129" s="88">
        <f t="shared" si="13"/>
        <v>3</v>
      </c>
      <c r="S129" s="89">
        <f t="shared" si="14"/>
        <v>0</v>
      </c>
      <c r="T129" s="89">
        <f t="shared" si="15"/>
        <v>0</v>
      </c>
      <c r="U129" s="89">
        <f t="shared" si="16"/>
        <v>0</v>
      </c>
      <c r="V129" s="89">
        <f t="shared" si="17"/>
        <v>0</v>
      </c>
      <c r="W129" s="89">
        <f t="shared" si="18"/>
        <v>0</v>
      </c>
      <c r="X129" s="89">
        <f t="shared" si="19"/>
        <v>0</v>
      </c>
      <c r="Y129" s="89">
        <f t="shared" si="20"/>
        <v>0</v>
      </c>
      <c r="Z129" s="89">
        <f t="shared" si="21"/>
        <v>0</v>
      </c>
      <c r="AA129" s="41">
        <f t="shared" si="22"/>
        <v>0</v>
      </c>
      <c r="AB129" s="49"/>
      <c r="AC129" s="50"/>
      <c r="AD129" s="49" t="s">
        <v>1</v>
      </c>
      <c r="AE129" s="50" t="s">
        <v>438</v>
      </c>
      <c r="AF129" s="49"/>
      <c r="AG129" s="50"/>
      <c r="AH129" s="49"/>
      <c r="AI129" s="50"/>
      <c r="AJ129" s="49"/>
      <c r="AK129" s="50"/>
      <c r="AL129" s="49"/>
      <c r="AM129" s="50"/>
      <c r="AN129" s="49" t="s">
        <v>5</v>
      </c>
      <c r="AO129" s="50" t="s">
        <v>101</v>
      </c>
      <c r="AP129" s="49"/>
      <c r="AQ129" s="50"/>
      <c r="AR129" s="49" t="s">
        <v>5</v>
      </c>
      <c r="AS129" s="50" t="s">
        <v>127</v>
      </c>
      <c r="AT129" s="49"/>
      <c r="AU129" s="50"/>
      <c r="AV129" s="49" t="s">
        <v>5</v>
      </c>
      <c r="AW129" s="50" t="s">
        <v>453</v>
      </c>
      <c r="AX129" s="49"/>
      <c r="AY129" s="50"/>
      <c r="AZ129" s="49"/>
      <c r="BA129" s="50"/>
      <c r="BB129" s="49"/>
      <c r="BC129" s="50"/>
      <c r="BD129" s="49"/>
      <c r="BE129" s="50"/>
      <c r="BF129" s="49"/>
      <c r="BG129" s="50"/>
      <c r="BH129" s="49"/>
      <c r="BI129" s="50"/>
      <c r="BJ129" s="49"/>
      <c r="BK129" s="50"/>
      <c r="BL129" s="49"/>
      <c r="BM129" s="50"/>
      <c r="BN129" s="49"/>
      <c r="BO129" s="50"/>
      <c r="BP129" s="49"/>
      <c r="BQ129" s="50"/>
      <c r="BR129" s="49"/>
      <c r="BS129" s="50"/>
      <c r="BT129" s="49"/>
      <c r="BU129" s="50"/>
      <c r="BV129" s="49"/>
      <c r="BW129" s="50"/>
      <c r="BX129" s="49"/>
      <c r="BY129" s="50"/>
      <c r="BZ129" s="49"/>
      <c r="CA129" s="50"/>
    </row>
    <row r="130" spans="1:79" s="91" customFormat="1" x14ac:dyDescent="0.25">
      <c r="A130" s="76">
        <v>160357</v>
      </c>
      <c r="B130" s="77" t="s">
        <v>585</v>
      </c>
      <c r="C130" s="78" t="s">
        <v>432</v>
      </c>
      <c r="D130" s="76" t="s">
        <v>70</v>
      </c>
      <c r="E130" s="79" t="s">
        <v>87</v>
      </c>
      <c r="F130" s="79" t="s">
        <v>71</v>
      </c>
      <c r="G130" s="79" t="s">
        <v>14</v>
      </c>
      <c r="H130" s="78" t="s">
        <v>14</v>
      </c>
      <c r="I130" s="79" t="s">
        <v>14</v>
      </c>
      <c r="J130" s="80" t="s">
        <v>1406</v>
      </c>
      <c r="K130" s="81">
        <v>0</v>
      </c>
      <c r="L130" s="82">
        <v>0</v>
      </c>
      <c r="M130" s="83">
        <v>0</v>
      </c>
      <c r="N130" s="84">
        <v>100</v>
      </c>
      <c r="O130" s="85">
        <v>0</v>
      </c>
      <c r="P130" s="86"/>
      <c r="Q130" s="87">
        <f t="shared" ref="Q130:Q193" si="23">COUNTIF($AB130:$CL130,"Outstanding")</f>
        <v>1</v>
      </c>
      <c r="R130" s="88">
        <f t="shared" ref="R130:R193" si="24">COUNTIF($AB130:$CL130,"Good")</f>
        <v>3</v>
      </c>
      <c r="S130" s="89">
        <f t="shared" ref="S130:S193" si="25">COUNTIF($AB130:$CL130,"N2Improve - Engagement")</f>
        <v>0</v>
      </c>
      <c r="T130" s="89">
        <f t="shared" ref="T130:T193" si="26">COUNTIF($AB130:$CL130,"N2Improve - Community Conduct")</f>
        <v>0</v>
      </c>
      <c r="U130" s="89">
        <f t="shared" ref="U130:U193" si="27">COUNTIF($AB130:$CL130,"N2Improve - Personal Org.")</f>
        <v>0</v>
      </c>
      <c r="V130" s="89">
        <f t="shared" ref="V130:V193" si="28">SUM(S130:U130)</f>
        <v>0</v>
      </c>
      <c r="W130" s="89">
        <f t="shared" ref="W130:W193" si="29">COUNTIF($AB130:$CL130,"Serious Conc - Engagement")</f>
        <v>0</v>
      </c>
      <c r="X130" s="89">
        <f t="shared" ref="X130:X193" si="30">COUNTIF($AB130:$CL130,"Serious Conc - Comm. Concern")</f>
        <v>0</v>
      </c>
      <c r="Y130" s="89">
        <f t="shared" ref="Y130:Y193" si="31">COUNTIF($AB130:$CL130,"Serious Conc - Personal Org.")</f>
        <v>0</v>
      </c>
      <c r="Z130" s="89">
        <f t="shared" si="21"/>
        <v>0</v>
      </c>
      <c r="AA130" s="41">
        <f t="shared" si="22"/>
        <v>0</v>
      </c>
      <c r="AB130" s="49"/>
      <c r="AC130" s="50"/>
      <c r="AD130" s="49"/>
      <c r="AE130" s="50"/>
      <c r="AF130" s="49"/>
      <c r="AG130" s="50"/>
      <c r="AH130" s="49"/>
      <c r="AI130" s="50"/>
      <c r="AJ130" s="49"/>
      <c r="AK130" s="50"/>
      <c r="AL130" s="49"/>
      <c r="AM130" s="50"/>
      <c r="AN130" s="49"/>
      <c r="AO130" s="50"/>
      <c r="AP130" s="49"/>
      <c r="AQ130" s="50"/>
      <c r="AR130" s="49" t="s">
        <v>5</v>
      </c>
      <c r="AS130" s="50" t="s">
        <v>459</v>
      </c>
      <c r="AT130" s="49"/>
      <c r="AU130" s="50"/>
      <c r="AV130" s="49" t="s">
        <v>5</v>
      </c>
      <c r="AW130" s="50" t="s">
        <v>123</v>
      </c>
      <c r="AX130" s="49"/>
      <c r="AY130" s="50"/>
      <c r="AZ130" s="49"/>
      <c r="BA130" s="50"/>
      <c r="BB130" s="49"/>
      <c r="BC130" s="50"/>
      <c r="BD130" s="49"/>
      <c r="BE130" s="50"/>
      <c r="BF130" s="49"/>
      <c r="BG130" s="50"/>
      <c r="BH130" s="49"/>
      <c r="BI130" s="50"/>
      <c r="BJ130" s="49"/>
      <c r="BK130" s="50"/>
      <c r="BL130" s="49"/>
      <c r="BM130" s="50"/>
      <c r="BN130" s="49" t="s">
        <v>5</v>
      </c>
      <c r="BO130" s="50" t="s">
        <v>82</v>
      </c>
      <c r="BP130" s="49"/>
      <c r="BQ130" s="50"/>
      <c r="BR130" s="49"/>
      <c r="BS130" s="50"/>
      <c r="BT130" s="49"/>
      <c r="BU130" s="50"/>
      <c r="BV130" s="49"/>
      <c r="BW130" s="50"/>
      <c r="BX130" s="49" t="s">
        <v>1</v>
      </c>
      <c r="BY130" s="50" t="s">
        <v>462</v>
      </c>
      <c r="BZ130" s="49"/>
      <c r="CA130" s="50"/>
    </row>
    <row r="131" spans="1:79" s="91" customFormat="1" x14ac:dyDescent="0.25">
      <c r="A131" s="76">
        <v>150950</v>
      </c>
      <c r="B131" s="77" t="s">
        <v>586</v>
      </c>
      <c r="C131" s="78" t="s">
        <v>452</v>
      </c>
      <c r="D131" s="76" t="s">
        <v>12</v>
      </c>
      <c r="E131" s="79" t="s">
        <v>14</v>
      </c>
      <c r="F131" s="79" t="s">
        <v>71</v>
      </c>
      <c r="G131" s="79" t="s">
        <v>14</v>
      </c>
      <c r="H131" s="78" t="s">
        <v>14</v>
      </c>
      <c r="I131" s="79" t="s">
        <v>14</v>
      </c>
      <c r="J131" s="80">
        <v>7.1</v>
      </c>
      <c r="K131" s="81">
        <v>0</v>
      </c>
      <c r="L131" s="82">
        <v>0</v>
      </c>
      <c r="M131" s="83">
        <v>0</v>
      </c>
      <c r="N131" s="84">
        <v>100</v>
      </c>
      <c r="O131" s="85">
        <v>0</v>
      </c>
      <c r="P131" s="86"/>
      <c r="Q131" s="87">
        <f t="shared" si="23"/>
        <v>1</v>
      </c>
      <c r="R131" s="88">
        <f t="shared" si="24"/>
        <v>4</v>
      </c>
      <c r="S131" s="89">
        <f t="shared" si="25"/>
        <v>0</v>
      </c>
      <c r="T131" s="89">
        <f t="shared" si="26"/>
        <v>0</v>
      </c>
      <c r="U131" s="89">
        <f t="shared" si="27"/>
        <v>0</v>
      </c>
      <c r="V131" s="89">
        <f t="shared" si="28"/>
        <v>0</v>
      </c>
      <c r="W131" s="89">
        <f t="shared" si="29"/>
        <v>0</v>
      </c>
      <c r="X131" s="89">
        <f t="shared" si="30"/>
        <v>0</v>
      </c>
      <c r="Y131" s="89">
        <f t="shared" si="31"/>
        <v>0</v>
      </c>
      <c r="Z131" s="89">
        <f t="shared" ref="Z131:Z194" si="32">SUM(W131:Y131)</f>
        <v>0</v>
      </c>
      <c r="AA131" s="41">
        <f t="shared" ref="AA131:AA194" si="33">COUNTIF(AB131:BY131,"*still*")</f>
        <v>0</v>
      </c>
      <c r="AB131" s="49"/>
      <c r="AC131" s="50"/>
      <c r="AD131" s="49"/>
      <c r="AE131" s="50"/>
      <c r="AF131" s="49"/>
      <c r="AG131" s="50"/>
      <c r="AH131" s="49"/>
      <c r="AI131" s="50"/>
      <c r="AJ131" s="49"/>
      <c r="AK131" s="50"/>
      <c r="AL131" s="49"/>
      <c r="AM131" s="50"/>
      <c r="AN131" s="49"/>
      <c r="AO131" s="50"/>
      <c r="AP131" s="49"/>
      <c r="AQ131" s="50"/>
      <c r="AR131" s="49"/>
      <c r="AS131" s="50"/>
      <c r="AT131" s="49"/>
      <c r="AU131" s="50"/>
      <c r="AV131" s="49" t="s">
        <v>5</v>
      </c>
      <c r="AW131" s="50" t="s">
        <v>453</v>
      </c>
      <c r="AX131" s="49"/>
      <c r="AY131" s="50"/>
      <c r="AZ131" s="49" t="s">
        <v>5</v>
      </c>
      <c r="BA131" s="50" t="s">
        <v>430</v>
      </c>
      <c r="BB131" s="49"/>
      <c r="BC131" s="50"/>
      <c r="BD131" s="49"/>
      <c r="BE131" s="50"/>
      <c r="BF131" s="49"/>
      <c r="BG131" s="50"/>
      <c r="BH131" s="49"/>
      <c r="BI131" s="50"/>
      <c r="BJ131" s="49" t="s">
        <v>5</v>
      </c>
      <c r="BK131" s="50" t="s">
        <v>430</v>
      </c>
      <c r="BL131" s="49"/>
      <c r="BM131" s="50"/>
      <c r="BN131" s="49"/>
      <c r="BO131" s="50"/>
      <c r="BP131" s="49" t="s">
        <v>1</v>
      </c>
      <c r="BQ131" s="50" t="s">
        <v>81</v>
      </c>
      <c r="BR131" s="49" t="s">
        <v>5</v>
      </c>
      <c r="BS131" s="50" t="s">
        <v>98</v>
      </c>
      <c r="BT131" s="49"/>
      <c r="BU131" s="50"/>
      <c r="BV131" s="49"/>
      <c r="BW131" s="50"/>
      <c r="BX131" s="49"/>
      <c r="BY131" s="50"/>
      <c r="BZ131" s="49"/>
      <c r="CA131" s="50"/>
    </row>
    <row r="132" spans="1:79" s="91" customFormat="1" x14ac:dyDescent="0.25">
      <c r="A132" s="76">
        <v>150771</v>
      </c>
      <c r="B132" s="77" t="s">
        <v>587</v>
      </c>
      <c r="C132" s="78" t="s">
        <v>452</v>
      </c>
      <c r="D132" s="76" t="s">
        <v>70</v>
      </c>
      <c r="E132" s="79" t="s">
        <v>14</v>
      </c>
      <c r="F132" s="79" t="s">
        <v>71</v>
      </c>
      <c r="G132" s="79" t="s">
        <v>14</v>
      </c>
      <c r="H132" s="78" t="s">
        <v>14</v>
      </c>
      <c r="I132" s="79" t="s">
        <v>14</v>
      </c>
      <c r="J132" s="80">
        <v>7.3</v>
      </c>
      <c r="K132" s="81">
        <v>0</v>
      </c>
      <c r="L132" s="82">
        <v>0</v>
      </c>
      <c r="M132" s="83">
        <v>0</v>
      </c>
      <c r="N132" s="84">
        <v>100</v>
      </c>
      <c r="O132" s="85">
        <v>0</v>
      </c>
      <c r="P132" s="86"/>
      <c r="Q132" s="87">
        <f t="shared" si="23"/>
        <v>0</v>
      </c>
      <c r="R132" s="88">
        <f t="shared" si="24"/>
        <v>4</v>
      </c>
      <c r="S132" s="89">
        <f t="shared" si="25"/>
        <v>0</v>
      </c>
      <c r="T132" s="89">
        <f t="shared" si="26"/>
        <v>0</v>
      </c>
      <c r="U132" s="89">
        <f t="shared" si="27"/>
        <v>0</v>
      </c>
      <c r="V132" s="89">
        <f t="shared" si="28"/>
        <v>0</v>
      </c>
      <c r="W132" s="89">
        <f t="shared" si="29"/>
        <v>0</v>
      </c>
      <c r="X132" s="89">
        <f t="shared" si="30"/>
        <v>0</v>
      </c>
      <c r="Y132" s="89">
        <f t="shared" si="31"/>
        <v>0</v>
      </c>
      <c r="Z132" s="89">
        <f t="shared" si="32"/>
        <v>0</v>
      </c>
      <c r="AA132" s="41">
        <f t="shared" si="33"/>
        <v>0</v>
      </c>
      <c r="AB132" s="49"/>
      <c r="AC132" s="50"/>
      <c r="AD132" s="49" t="s">
        <v>5</v>
      </c>
      <c r="AE132" s="50" t="s">
        <v>133</v>
      </c>
      <c r="AF132" s="49"/>
      <c r="AG132" s="50"/>
      <c r="AH132" s="49" t="s">
        <v>5</v>
      </c>
      <c r="AI132" s="50" t="s">
        <v>419</v>
      </c>
      <c r="AJ132" s="49"/>
      <c r="AK132" s="50"/>
      <c r="AL132" s="49"/>
      <c r="AM132" s="50"/>
      <c r="AN132" s="49"/>
      <c r="AO132" s="50"/>
      <c r="AP132" s="49"/>
      <c r="AQ132" s="50"/>
      <c r="AR132" s="49"/>
      <c r="AS132" s="50"/>
      <c r="AT132" s="49"/>
      <c r="AU132" s="50"/>
      <c r="AV132" s="49" t="s">
        <v>5</v>
      </c>
      <c r="AW132" s="50" t="s">
        <v>453</v>
      </c>
      <c r="AX132" s="49"/>
      <c r="AY132" s="50"/>
      <c r="AZ132" s="49"/>
      <c r="BA132" s="50"/>
      <c r="BB132" s="49"/>
      <c r="BC132" s="50"/>
      <c r="BD132" s="49"/>
      <c r="BE132" s="50"/>
      <c r="BF132" s="49"/>
      <c r="BG132" s="50"/>
      <c r="BH132" s="49"/>
      <c r="BI132" s="50"/>
      <c r="BJ132" s="49" t="s">
        <v>5</v>
      </c>
      <c r="BK132" s="50" t="s">
        <v>422</v>
      </c>
      <c r="BL132" s="49"/>
      <c r="BM132" s="50"/>
      <c r="BN132" s="49"/>
      <c r="BO132" s="50"/>
      <c r="BP132" s="49"/>
      <c r="BQ132" s="50"/>
      <c r="BR132" s="49"/>
      <c r="BS132" s="50"/>
      <c r="BT132" s="49"/>
      <c r="BU132" s="50"/>
      <c r="BV132" s="49"/>
      <c r="BW132" s="50"/>
      <c r="BX132" s="49"/>
      <c r="BY132" s="50"/>
      <c r="BZ132" s="49"/>
      <c r="CA132" s="50"/>
    </row>
    <row r="133" spans="1:79" s="91" customFormat="1" x14ac:dyDescent="0.25">
      <c r="A133" s="76">
        <v>150815</v>
      </c>
      <c r="B133" s="77" t="s">
        <v>588</v>
      </c>
      <c r="C133" s="78" t="s">
        <v>452</v>
      </c>
      <c r="D133" s="76" t="s">
        <v>70</v>
      </c>
      <c r="E133" s="79" t="s">
        <v>14</v>
      </c>
      <c r="F133" s="79" t="s">
        <v>71</v>
      </c>
      <c r="G133" s="79" t="s">
        <v>14</v>
      </c>
      <c r="H133" s="78" t="s">
        <v>14</v>
      </c>
      <c r="I133" s="79" t="s">
        <v>14</v>
      </c>
      <c r="J133" s="80">
        <v>6.6</v>
      </c>
      <c r="K133" s="81">
        <v>0</v>
      </c>
      <c r="L133" s="82">
        <v>0</v>
      </c>
      <c r="M133" s="83">
        <v>0</v>
      </c>
      <c r="N133" s="84">
        <v>100</v>
      </c>
      <c r="O133" s="85">
        <v>1</v>
      </c>
      <c r="P133" s="86"/>
      <c r="Q133" s="87">
        <f t="shared" si="23"/>
        <v>1</v>
      </c>
      <c r="R133" s="88">
        <f t="shared" si="24"/>
        <v>3</v>
      </c>
      <c r="S133" s="89">
        <f t="shared" si="25"/>
        <v>0</v>
      </c>
      <c r="T133" s="89">
        <f t="shared" si="26"/>
        <v>0</v>
      </c>
      <c r="U133" s="89">
        <f t="shared" si="27"/>
        <v>0</v>
      </c>
      <c r="V133" s="89">
        <f t="shared" si="28"/>
        <v>0</v>
      </c>
      <c r="W133" s="89">
        <f t="shared" si="29"/>
        <v>0</v>
      </c>
      <c r="X133" s="89">
        <f t="shared" si="30"/>
        <v>0</v>
      </c>
      <c r="Y133" s="89">
        <f t="shared" si="31"/>
        <v>0</v>
      </c>
      <c r="Z133" s="89">
        <f t="shared" si="32"/>
        <v>0</v>
      </c>
      <c r="AA133" s="41">
        <f t="shared" si="33"/>
        <v>0</v>
      </c>
      <c r="AB133" s="49"/>
      <c r="AC133" s="50"/>
      <c r="AD133" s="49" t="s">
        <v>5</v>
      </c>
      <c r="AE133" s="50" t="s">
        <v>433</v>
      </c>
      <c r="AF133" s="49"/>
      <c r="AG133" s="50"/>
      <c r="AH133" s="49"/>
      <c r="AI133" s="50"/>
      <c r="AJ133" s="49"/>
      <c r="AK133" s="50"/>
      <c r="AL133" s="49"/>
      <c r="AM133" s="50"/>
      <c r="AN133" s="49"/>
      <c r="AO133" s="50"/>
      <c r="AP133" s="49"/>
      <c r="AQ133" s="50"/>
      <c r="AR133" s="49" t="s">
        <v>5</v>
      </c>
      <c r="AS133" s="50" t="s">
        <v>459</v>
      </c>
      <c r="AT133" s="49"/>
      <c r="AU133" s="50"/>
      <c r="AV133" s="49" t="s">
        <v>5</v>
      </c>
      <c r="AW133" s="50" t="s">
        <v>453</v>
      </c>
      <c r="AX133" s="49"/>
      <c r="AY133" s="50"/>
      <c r="AZ133" s="49"/>
      <c r="BA133" s="50"/>
      <c r="BB133" s="49"/>
      <c r="BC133" s="50"/>
      <c r="BD133" s="49"/>
      <c r="BE133" s="50"/>
      <c r="BF133" s="49"/>
      <c r="BG133" s="50"/>
      <c r="BH133" s="49"/>
      <c r="BI133" s="50"/>
      <c r="BJ133" s="49"/>
      <c r="BK133" s="50"/>
      <c r="BL133" s="49"/>
      <c r="BM133" s="50"/>
      <c r="BN133" s="49"/>
      <c r="BO133" s="50"/>
      <c r="BP133" s="49"/>
      <c r="BQ133" s="50"/>
      <c r="BR133" s="49"/>
      <c r="BS133" s="50"/>
      <c r="BT133" s="49"/>
      <c r="BU133" s="50"/>
      <c r="BV133" s="49" t="s">
        <v>1</v>
      </c>
      <c r="BW133" s="50" t="s">
        <v>425</v>
      </c>
      <c r="BX133" s="49"/>
      <c r="BY133" s="50"/>
      <c r="BZ133" s="49"/>
      <c r="CA133" s="50"/>
    </row>
    <row r="134" spans="1:79" s="91" customFormat="1" x14ac:dyDescent="0.25">
      <c r="A134" s="76">
        <v>150902</v>
      </c>
      <c r="B134" s="77" t="s">
        <v>589</v>
      </c>
      <c r="C134" s="78" t="s">
        <v>452</v>
      </c>
      <c r="D134" s="76" t="s">
        <v>70</v>
      </c>
      <c r="E134" s="79" t="s">
        <v>14</v>
      </c>
      <c r="F134" s="79" t="s">
        <v>71</v>
      </c>
      <c r="G134" s="79" t="s">
        <v>14</v>
      </c>
      <c r="H134" s="78" t="s">
        <v>14</v>
      </c>
      <c r="I134" s="79" t="s">
        <v>14</v>
      </c>
      <c r="J134" s="80">
        <v>5.2</v>
      </c>
      <c r="K134" s="81">
        <v>2</v>
      </c>
      <c r="L134" s="82">
        <v>0</v>
      </c>
      <c r="M134" s="83">
        <v>0</v>
      </c>
      <c r="N134" s="84">
        <v>100</v>
      </c>
      <c r="O134" s="85">
        <v>0</v>
      </c>
      <c r="P134" s="86"/>
      <c r="Q134" s="87">
        <f t="shared" si="23"/>
        <v>0</v>
      </c>
      <c r="R134" s="88">
        <f t="shared" si="24"/>
        <v>4</v>
      </c>
      <c r="S134" s="89">
        <f t="shared" si="25"/>
        <v>0</v>
      </c>
      <c r="T134" s="89">
        <f t="shared" si="26"/>
        <v>0</v>
      </c>
      <c r="U134" s="89">
        <f t="shared" si="27"/>
        <v>0</v>
      </c>
      <c r="V134" s="89">
        <f t="shared" si="28"/>
        <v>0</v>
      </c>
      <c r="W134" s="89">
        <f t="shared" si="29"/>
        <v>0</v>
      </c>
      <c r="X134" s="89">
        <f t="shared" si="30"/>
        <v>0</v>
      </c>
      <c r="Y134" s="89">
        <f t="shared" si="31"/>
        <v>0</v>
      </c>
      <c r="Z134" s="89">
        <f t="shared" si="32"/>
        <v>0</v>
      </c>
      <c r="AA134" s="41">
        <f t="shared" si="33"/>
        <v>0</v>
      </c>
      <c r="AB134" s="49" t="s">
        <v>5</v>
      </c>
      <c r="AC134" s="50" t="s">
        <v>116</v>
      </c>
      <c r="AD134" s="49" t="s">
        <v>5</v>
      </c>
      <c r="AE134" s="50" t="s">
        <v>438</v>
      </c>
      <c r="AF134" s="49" t="s">
        <v>5</v>
      </c>
      <c r="AG134" s="50" t="s">
        <v>427</v>
      </c>
      <c r="AH134" s="49"/>
      <c r="AI134" s="50"/>
      <c r="AJ134" s="49"/>
      <c r="AK134" s="50"/>
      <c r="AL134" s="49"/>
      <c r="AM134" s="50"/>
      <c r="AN134" s="49"/>
      <c r="AO134" s="50"/>
      <c r="AP134" s="49"/>
      <c r="AQ134" s="50"/>
      <c r="AR134" s="49"/>
      <c r="AS134" s="50"/>
      <c r="AT134" s="49"/>
      <c r="AU134" s="50"/>
      <c r="AV134" s="49" t="s">
        <v>5</v>
      </c>
      <c r="AW134" s="50" t="s">
        <v>453</v>
      </c>
      <c r="AX134" s="49"/>
      <c r="AY134" s="50"/>
      <c r="AZ134" s="49"/>
      <c r="BA134" s="50"/>
      <c r="BB134" s="49"/>
      <c r="BC134" s="50"/>
      <c r="BD134" s="49"/>
      <c r="BE134" s="50"/>
      <c r="BF134" s="49"/>
      <c r="BG134" s="50"/>
      <c r="BH134" s="49"/>
      <c r="BI134" s="50"/>
      <c r="BJ134" s="49"/>
      <c r="BK134" s="50"/>
      <c r="BL134" s="49"/>
      <c r="BM134" s="50"/>
      <c r="BN134" s="49"/>
      <c r="BO134" s="50"/>
      <c r="BP134" s="49"/>
      <c r="BQ134" s="50"/>
      <c r="BR134" s="49"/>
      <c r="BS134" s="50"/>
      <c r="BT134" s="49"/>
      <c r="BU134" s="50"/>
      <c r="BV134" s="49"/>
      <c r="BW134" s="50"/>
      <c r="BX134" s="49"/>
      <c r="BY134" s="50"/>
      <c r="BZ134" s="49"/>
      <c r="CA134" s="50"/>
    </row>
    <row r="135" spans="1:79" s="91" customFormat="1" x14ac:dyDescent="0.25">
      <c r="A135" s="76">
        <v>150854</v>
      </c>
      <c r="B135" s="77" t="s">
        <v>590</v>
      </c>
      <c r="C135" s="78" t="s">
        <v>452</v>
      </c>
      <c r="D135" s="76" t="s">
        <v>12</v>
      </c>
      <c r="E135" s="79" t="s">
        <v>14</v>
      </c>
      <c r="F135" s="79" t="s">
        <v>71</v>
      </c>
      <c r="G135" s="79" t="s">
        <v>14</v>
      </c>
      <c r="H135" s="78" t="s">
        <v>14</v>
      </c>
      <c r="I135" s="79" t="s">
        <v>14</v>
      </c>
      <c r="J135" s="80">
        <v>6.8</v>
      </c>
      <c r="K135" s="81">
        <v>0</v>
      </c>
      <c r="L135" s="82">
        <v>0</v>
      </c>
      <c r="M135" s="83">
        <v>0</v>
      </c>
      <c r="N135" s="84">
        <v>99.03</v>
      </c>
      <c r="O135" s="85">
        <v>0</v>
      </c>
      <c r="P135" s="86"/>
      <c r="Q135" s="87">
        <f t="shared" si="23"/>
        <v>0</v>
      </c>
      <c r="R135" s="88">
        <f t="shared" si="24"/>
        <v>4</v>
      </c>
      <c r="S135" s="89">
        <f t="shared" si="25"/>
        <v>0</v>
      </c>
      <c r="T135" s="89">
        <f t="shared" si="26"/>
        <v>0</v>
      </c>
      <c r="U135" s="89">
        <f t="shared" si="27"/>
        <v>0</v>
      </c>
      <c r="V135" s="89">
        <f t="shared" si="28"/>
        <v>0</v>
      </c>
      <c r="W135" s="89">
        <f t="shared" si="29"/>
        <v>0</v>
      </c>
      <c r="X135" s="89">
        <f t="shared" si="30"/>
        <v>0</v>
      </c>
      <c r="Y135" s="89">
        <f t="shared" si="31"/>
        <v>0</v>
      </c>
      <c r="Z135" s="89">
        <f t="shared" si="32"/>
        <v>0</v>
      </c>
      <c r="AA135" s="41">
        <f t="shared" si="33"/>
        <v>0</v>
      </c>
      <c r="AB135" s="49"/>
      <c r="AC135" s="50"/>
      <c r="AD135" s="49" t="s">
        <v>5</v>
      </c>
      <c r="AE135" s="50" t="s">
        <v>133</v>
      </c>
      <c r="AF135" s="49"/>
      <c r="AG135" s="50"/>
      <c r="AH135" s="49"/>
      <c r="AI135" s="50"/>
      <c r="AJ135" s="49"/>
      <c r="AK135" s="50"/>
      <c r="AL135" s="49" t="s">
        <v>5</v>
      </c>
      <c r="AM135" s="50" t="s">
        <v>135</v>
      </c>
      <c r="AN135" s="49"/>
      <c r="AO135" s="50"/>
      <c r="AP135" s="49"/>
      <c r="AQ135" s="50"/>
      <c r="AR135" s="49"/>
      <c r="AS135" s="50"/>
      <c r="AT135" s="49"/>
      <c r="AU135" s="50"/>
      <c r="AV135" s="49" t="s">
        <v>5</v>
      </c>
      <c r="AW135" s="50" t="s">
        <v>453</v>
      </c>
      <c r="AX135" s="49"/>
      <c r="AY135" s="50"/>
      <c r="AZ135" s="49"/>
      <c r="BA135" s="50"/>
      <c r="BB135" s="49"/>
      <c r="BC135" s="50"/>
      <c r="BD135" s="49"/>
      <c r="BE135" s="50"/>
      <c r="BF135" s="49"/>
      <c r="BG135" s="50"/>
      <c r="BH135" s="49"/>
      <c r="BI135" s="50"/>
      <c r="BJ135" s="49"/>
      <c r="BK135" s="50"/>
      <c r="BL135" s="49" t="s">
        <v>5</v>
      </c>
      <c r="BM135" s="50" t="s">
        <v>95</v>
      </c>
      <c r="BN135" s="49"/>
      <c r="BO135" s="50"/>
      <c r="BP135" s="49"/>
      <c r="BQ135" s="50"/>
      <c r="BR135" s="49"/>
      <c r="BS135" s="50"/>
      <c r="BT135" s="49"/>
      <c r="BU135" s="50"/>
      <c r="BV135" s="49"/>
      <c r="BW135" s="50"/>
      <c r="BX135" s="49"/>
      <c r="BY135" s="50"/>
      <c r="BZ135" s="49"/>
      <c r="CA135" s="50"/>
    </row>
    <row r="136" spans="1:79" s="91" customFormat="1" x14ac:dyDescent="0.25">
      <c r="A136" s="76">
        <v>160040</v>
      </c>
      <c r="B136" s="77" t="s">
        <v>591</v>
      </c>
      <c r="C136" s="78" t="s">
        <v>452</v>
      </c>
      <c r="D136" s="76" t="s">
        <v>70</v>
      </c>
      <c r="E136" s="79" t="s">
        <v>14</v>
      </c>
      <c r="F136" s="79" t="s">
        <v>71</v>
      </c>
      <c r="G136" s="79" t="s">
        <v>14</v>
      </c>
      <c r="H136" s="78" t="s">
        <v>14</v>
      </c>
      <c r="I136" s="79" t="s">
        <v>14</v>
      </c>
      <c r="J136" s="80">
        <v>8.3000000000000007</v>
      </c>
      <c r="K136" s="81">
        <v>3</v>
      </c>
      <c r="L136" s="82">
        <v>0</v>
      </c>
      <c r="M136" s="83">
        <v>0</v>
      </c>
      <c r="N136" s="84">
        <v>99.16</v>
      </c>
      <c r="O136" s="85">
        <v>0</v>
      </c>
      <c r="P136" s="86"/>
      <c r="Q136" s="87">
        <f t="shared" si="23"/>
        <v>1</v>
      </c>
      <c r="R136" s="88">
        <f t="shared" si="24"/>
        <v>3</v>
      </c>
      <c r="S136" s="89">
        <f t="shared" si="25"/>
        <v>0</v>
      </c>
      <c r="T136" s="89">
        <f t="shared" si="26"/>
        <v>0</v>
      </c>
      <c r="U136" s="89">
        <f t="shared" si="27"/>
        <v>0</v>
      </c>
      <c r="V136" s="89">
        <f t="shared" si="28"/>
        <v>0</v>
      </c>
      <c r="W136" s="89">
        <f t="shared" si="29"/>
        <v>0</v>
      </c>
      <c r="X136" s="89">
        <f t="shared" si="30"/>
        <v>0</v>
      </c>
      <c r="Y136" s="89">
        <f t="shared" si="31"/>
        <v>0</v>
      </c>
      <c r="Z136" s="89">
        <f t="shared" si="32"/>
        <v>0</v>
      </c>
      <c r="AA136" s="41">
        <f t="shared" si="33"/>
        <v>0</v>
      </c>
      <c r="AB136" s="49"/>
      <c r="AC136" s="50"/>
      <c r="AD136" s="49"/>
      <c r="AE136" s="50"/>
      <c r="AF136" s="49"/>
      <c r="AG136" s="50"/>
      <c r="AH136" s="49"/>
      <c r="AI136" s="50"/>
      <c r="AJ136" s="49"/>
      <c r="AK136" s="50"/>
      <c r="AL136" s="49"/>
      <c r="AM136" s="50"/>
      <c r="AN136" s="49"/>
      <c r="AO136" s="50"/>
      <c r="AP136" s="49"/>
      <c r="AQ136" s="50"/>
      <c r="AR136" s="49"/>
      <c r="AS136" s="50"/>
      <c r="AT136" s="49" t="s">
        <v>5</v>
      </c>
      <c r="AU136" s="50" t="s">
        <v>478</v>
      </c>
      <c r="AV136" s="49" t="s">
        <v>5</v>
      </c>
      <c r="AW136" s="50" t="s">
        <v>457</v>
      </c>
      <c r="AX136" s="49"/>
      <c r="AY136" s="50"/>
      <c r="AZ136" s="49"/>
      <c r="BA136" s="50"/>
      <c r="BB136" s="49"/>
      <c r="BC136" s="50"/>
      <c r="BD136" s="49"/>
      <c r="BE136" s="50"/>
      <c r="BF136" s="49"/>
      <c r="BG136" s="50"/>
      <c r="BH136" s="49"/>
      <c r="BI136" s="50"/>
      <c r="BJ136" s="49"/>
      <c r="BK136" s="50"/>
      <c r="BL136" s="49"/>
      <c r="BM136" s="50"/>
      <c r="BN136" s="49"/>
      <c r="BO136" s="50"/>
      <c r="BP136" s="49"/>
      <c r="BQ136" s="50"/>
      <c r="BR136" s="49"/>
      <c r="BS136" s="50"/>
      <c r="BT136" s="49" t="s">
        <v>5</v>
      </c>
      <c r="BU136" s="50" t="s">
        <v>93</v>
      </c>
      <c r="BV136" s="49" t="s">
        <v>1</v>
      </c>
      <c r="BW136" s="50" t="s">
        <v>436</v>
      </c>
      <c r="BX136" s="49"/>
      <c r="BY136" s="50"/>
      <c r="BZ136" s="49"/>
      <c r="CA136" s="50"/>
    </row>
    <row r="137" spans="1:79" s="91" customFormat="1" x14ac:dyDescent="0.25">
      <c r="A137" s="76">
        <v>150939</v>
      </c>
      <c r="B137" s="77" t="s">
        <v>592</v>
      </c>
      <c r="C137" s="78" t="s">
        <v>452</v>
      </c>
      <c r="D137" s="76" t="s">
        <v>70</v>
      </c>
      <c r="E137" s="79" t="s">
        <v>14</v>
      </c>
      <c r="F137" s="79" t="s">
        <v>71</v>
      </c>
      <c r="G137" s="79" t="s">
        <v>14</v>
      </c>
      <c r="H137" s="78" t="s">
        <v>14</v>
      </c>
      <c r="I137" s="79" t="s">
        <v>14</v>
      </c>
      <c r="J137" s="80">
        <v>8.3000000000000007</v>
      </c>
      <c r="K137" s="81">
        <v>1</v>
      </c>
      <c r="L137" s="82">
        <v>0</v>
      </c>
      <c r="M137" s="83">
        <v>0</v>
      </c>
      <c r="N137" s="84">
        <v>100</v>
      </c>
      <c r="O137" s="85">
        <v>0</v>
      </c>
      <c r="P137" s="86"/>
      <c r="Q137" s="87">
        <f t="shared" si="23"/>
        <v>0</v>
      </c>
      <c r="R137" s="88">
        <f t="shared" si="24"/>
        <v>5</v>
      </c>
      <c r="S137" s="89">
        <f t="shared" si="25"/>
        <v>0</v>
      </c>
      <c r="T137" s="89">
        <f t="shared" si="26"/>
        <v>0</v>
      </c>
      <c r="U137" s="89">
        <f t="shared" si="27"/>
        <v>0</v>
      </c>
      <c r="V137" s="89">
        <f t="shared" si="28"/>
        <v>0</v>
      </c>
      <c r="W137" s="89">
        <f t="shared" si="29"/>
        <v>0</v>
      </c>
      <c r="X137" s="89">
        <f t="shared" si="30"/>
        <v>0</v>
      </c>
      <c r="Y137" s="89">
        <f t="shared" si="31"/>
        <v>0</v>
      </c>
      <c r="Z137" s="89">
        <f t="shared" si="32"/>
        <v>0</v>
      </c>
      <c r="AA137" s="41">
        <f t="shared" si="33"/>
        <v>0</v>
      </c>
      <c r="AB137" s="49"/>
      <c r="AC137" s="50"/>
      <c r="AD137" s="49"/>
      <c r="AE137" s="50"/>
      <c r="AF137" s="49"/>
      <c r="AG137" s="50"/>
      <c r="AH137" s="49"/>
      <c r="AI137" s="50"/>
      <c r="AJ137" s="49"/>
      <c r="AK137" s="50"/>
      <c r="AL137" s="49"/>
      <c r="AM137" s="50"/>
      <c r="AN137" s="49"/>
      <c r="AO137" s="50"/>
      <c r="AP137" s="49"/>
      <c r="AQ137" s="50"/>
      <c r="AR137" s="49"/>
      <c r="AS137" s="50"/>
      <c r="AT137" s="49" t="s">
        <v>5</v>
      </c>
      <c r="AU137" s="50" t="s">
        <v>448</v>
      </c>
      <c r="AV137" s="49" t="s">
        <v>5</v>
      </c>
      <c r="AW137" s="50" t="s">
        <v>453</v>
      </c>
      <c r="AX137" s="49"/>
      <c r="AY137" s="50"/>
      <c r="AZ137" s="49"/>
      <c r="BA137" s="50"/>
      <c r="BB137" s="49"/>
      <c r="BC137" s="50"/>
      <c r="BD137" s="49"/>
      <c r="BE137" s="50"/>
      <c r="BF137" s="49"/>
      <c r="BG137" s="50"/>
      <c r="BH137" s="49"/>
      <c r="BI137" s="50"/>
      <c r="BJ137" s="49" t="s">
        <v>5</v>
      </c>
      <c r="BK137" s="50" t="s">
        <v>430</v>
      </c>
      <c r="BL137" s="49"/>
      <c r="BM137" s="50"/>
      <c r="BN137" s="49"/>
      <c r="BO137" s="50"/>
      <c r="BP137" s="49"/>
      <c r="BQ137" s="50"/>
      <c r="BR137" s="49" t="s">
        <v>5</v>
      </c>
      <c r="BS137" s="50" t="s">
        <v>98</v>
      </c>
      <c r="BT137" s="49" t="s">
        <v>5</v>
      </c>
      <c r="BU137" s="50" t="s">
        <v>93</v>
      </c>
      <c r="BV137" s="49"/>
      <c r="BW137" s="50"/>
      <c r="BX137" s="49"/>
      <c r="BY137" s="50"/>
      <c r="BZ137" s="49"/>
      <c r="CA137" s="50"/>
    </row>
    <row r="138" spans="1:79" s="91" customFormat="1" x14ac:dyDescent="0.25">
      <c r="A138" s="76">
        <v>160069</v>
      </c>
      <c r="B138" s="77" t="s">
        <v>593</v>
      </c>
      <c r="C138" s="78" t="s">
        <v>497</v>
      </c>
      <c r="D138" s="76" t="s">
        <v>70</v>
      </c>
      <c r="E138" s="79" t="s">
        <v>87</v>
      </c>
      <c r="F138" s="79" t="s">
        <v>71</v>
      </c>
      <c r="G138" s="79" t="s">
        <v>14</v>
      </c>
      <c r="H138" s="78" t="s">
        <v>14</v>
      </c>
      <c r="I138" s="79" t="s">
        <v>6</v>
      </c>
      <c r="J138" s="80">
        <v>6.7</v>
      </c>
      <c r="K138" s="81">
        <v>9</v>
      </c>
      <c r="L138" s="82">
        <v>0</v>
      </c>
      <c r="M138" s="83">
        <v>0</v>
      </c>
      <c r="N138" s="84">
        <v>91.8</v>
      </c>
      <c r="O138" s="85">
        <v>2</v>
      </c>
      <c r="P138" s="86"/>
      <c r="Q138" s="87">
        <f t="shared" si="23"/>
        <v>1</v>
      </c>
      <c r="R138" s="88">
        <f t="shared" si="24"/>
        <v>3</v>
      </c>
      <c r="S138" s="89">
        <f t="shared" si="25"/>
        <v>0</v>
      </c>
      <c r="T138" s="89">
        <f t="shared" si="26"/>
        <v>0</v>
      </c>
      <c r="U138" s="89">
        <f t="shared" si="27"/>
        <v>0</v>
      </c>
      <c r="V138" s="89">
        <f t="shared" si="28"/>
        <v>0</v>
      </c>
      <c r="W138" s="89">
        <f t="shared" si="29"/>
        <v>0</v>
      </c>
      <c r="X138" s="89">
        <f t="shared" si="30"/>
        <v>0</v>
      </c>
      <c r="Y138" s="89">
        <f t="shared" si="31"/>
        <v>0</v>
      </c>
      <c r="Z138" s="89">
        <f t="shared" si="32"/>
        <v>0</v>
      </c>
      <c r="AA138" s="41">
        <f t="shared" si="33"/>
        <v>0</v>
      </c>
      <c r="AB138" s="49"/>
      <c r="AC138" s="50"/>
      <c r="AD138" s="49"/>
      <c r="AE138" s="50"/>
      <c r="AF138" s="49"/>
      <c r="AG138" s="50"/>
      <c r="AH138" s="49"/>
      <c r="AI138" s="50"/>
      <c r="AJ138" s="49"/>
      <c r="AK138" s="50"/>
      <c r="AL138" s="49"/>
      <c r="AM138" s="50"/>
      <c r="AN138" s="49"/>
      <c r="AO138" s="50"/>
      <c r="AP138" s="49"/>
      <c r="AQ138" s="50"/>
      <c r="AR138" s="49"/>
      <c r="AS138" s="50"/>
      <c r="AT138" s="49"/>
      <c r="AU138" s="50"/>
      <c r="AV138" s="49" t="s">
        <v>1</v>
      </c>
      <c r="AW138" s="50" t="s">
        <v>457</v>
      </c>
      <c r="AX138" s="49" t="s">
        <v>5</v>
      </c>
      <c r="AY138" s="50" t="s">
        <v>421</v>
      </c>
      <c r="AZ138" s="49"/>
      <c r="BA138" s="50"/>
      <c r="BB138" s="49"/>
      <c r="BC138" s="50"/>
      <c r="BD138" s="49"/>
      <c r="BE138" s="50"/>
      <c r="BF138" s="49"/>
      <c r="BG138" s="50"/>
      <c r="BH138" s="49"/>
      <c r="BI138" s="50"/>
      <c r="BJ138" s="49"/>
      <c r="BK138" s="50"/>
      <c r="BL138" s="49"/>
      <c r="BM138" s="50"/>
      <c r="BN138" s="49" t="s">
        <v>5</v>
      </c>
      <c r="BO138" s="50" t="s">
        <v>122</v>
      </c>
      <c r="BP138" s="49"/>
      <c r="BQ138" s="50"/>
      <c r="BR138" s="49"/>
      <c r="BS138" s="50"/>
      <c r="BT138" s="49"/>
      <c r="BU138" s="50"/>
      <c r="BV138" s="49" t="s">
        <v>5</v>
      </c>
      <c r="BW138" s="50" t="s">
        <v>425</v>
      </c>
      <c r="BX138" s="49"/>
      <c r="BY138" s="50"/>
      <c r="BZ138" s="49"/>
      <c r="CA138" s="50"/>
    </row>
    <row r="139" spans="1:79" s="91" customFormat="1" x14ac:dyDescent="0.25">
      <c r="A139" s="76">
        <v>160086</v>
      </c>
      <c r="B139" s="77" t="s">
        <v>594</v>
      </c>
      <c r="C139" s="78" t="s">
        <v>501</v>
      </c>
      <c r="D139" s="76" t="s">
        <v>70</v>
      </c>
      <c r="E139" s="79" t="s">
        <v>14</v>
      </c>
      <c r="F139" s="79" t="s">
        <v>508</v>
      </c>
      <c r="G139" s="79" t="s">
        <v>14</v>
      </c>
      <c r="H139" s="78" t="s">
        <v>14</v>
      </c>
      <c r="I139" s="79" t="s">
        <v>14</v>
      </c>
      <c r="J139" s="80">
        <v>7.3</v>
      </c>
      <c r="K139" s="81">
        <v>1</v>
      </c>
      <c r="L139" s="82">
        <v>0</v>
      </c>
      <c r="M139" s="83">
        <v>1</v>
      </c>
      <c r="N139" s="84">
        <v>91.82</v>
      </c>
      <c r="O139" s="85">
        <v>2</v>
      </c>
      <c r="P139" s="86"/>
      <c r="Q139" s="87">
        <f t="shared" si="23"/>
        <v>0</v>
      </c>
      <c r="R139" s="88">
        <f t="shared" si="24"/>
        <v>3</v>
      </c>
      <c r="S139" s="89">
        <f t="shared" si="25"/>
        <v>0</v>
      </c>
      <c r="T139" s="89">
        <f t="shared" si="26"/>
        <v>0</v>
      </c>
      <c r="U139" s="89">
        <f t="shared" si="27"/>
        <v>1</v>
      </c>
      <c r="V139" s="89">
        <f t="shared" si="28"/>
        <v>1</v>
      </c>
      <c r="W139" s="89">
        <f t="shared" si="29"/>
        <v>0</v>
      </c>
      <c r="X139" s="89">
        <f t="shared" si="30"/>
        <v>0</v>
      </c>
      <c r="Y139" s="89">
        <f t="shared" si="31"/>
        <v>0</v>
      </c>
      <c r="Z139" s="89">
        <f t="shared" si="32"/>
        <v>0</v>
      </c>
      <c r="AA139" s="41">
        <f t="shared" si="33"/>
        <v>0</v>
      </c>
      <c r="AB139" s="49"/>
      <c r="AC139" s="50"/>
      <c r="AD139" s="49"/>
      <c r="AE139" s="50"/>
      <c r="AF139" s="49"/>
      <c r="AG139" s="50"/>
      <c r="AH139" s="49"/>
      <c r="AI139" s="50"/>
      <c r="AJ139" s="49"/>
      <c r="AK139" s="50"/>
      <c r="AL139" s="49"/>
      <c r="AM139" s="50"/>
      <c r="AN139" s="49"/>
      <c r="AO139" s="50"/>
      <c r="AP139" s="49" t="s">
        <v>5</v>
      </c>
      <c r="AQ139" s="50" t="s">
        <v>428</v>
      </c>
      <c r="AR139" s="49"/>
      <c r="AS139" s="50"/>
      <c r="AT139" s="49"/>
      <c r="AU139" s="50"/>
      <c r="AV139" s="49" t="s">
        <v>5</v>
      </c>
      <c r="AW139" s="50" t="s">
        <v>457</v>
      </c>
      <c r="AX139" s="49"/>
      <c r="AY139" s="50"/>
      <c r="AZ139" s="49"/>
      <c r="BA139" s="50"/>
      <c r="BB139" s="49"/>
      <c r="BC139" s="50"/>
      <c r="BD139" s="49"/>
      <c r="BE139" s="50"/>
      <c r="BF139" s="49"/>
      <c r="BG139" s="50"/>
      <c r="BH139" s="49"/>
      <c r="BI139" s="50"/>
      <c r="BJ139" s="49"/>
      <c r="BK139" s="50"/>
      <c r="BL139" s="49"/>
      <c r="BM139" s="50"/>
      <c r="BN139" s="49" t="s">
        <v>32</v>
      </c>
      <c r="BO139" s="50" t="s">
        <v>82</v>
      </c>
      <c r="BP139" s="49"/>
      <c r="BQ139" s="50"/>
      <c r="BR139" s="49"/>
      <c r="BS139" s="50"/>
      <c r="BT139" s="49" t="s">
        <v>5</v>
      </c>
      <c r="BU139" s="50" t="s">
        <v>93</v>
      </c>
      <c r="BV139" s="49"/>
      <c r="BW139" s="50"/>
      <c r="BX139" s="49"/>
      <c r="BY139" s="50"/>
      <c r="BZ139" s="49"/>
      <c r="CA139" s="50"/>
    </row>
    <row r="140" spans="1:79" s="91" customFormat="1" x14ac:dyDescent="0.25">
      <c r="A140" s="76">
        <v>160028</v>
      </c>
      <c r="B140" s="77" t="s">
        <v>595</v>
      </c>
      <c r="C140" s="78" t="s">
        <v>452</v>
      </c>
      <c r="D140" s="76" t="s">
        <v>12</v>
      </c>
      <c r="E140" s="79" t="s">
        <v>14</v>
      </c>
      <c r="F140" s="79" t="s">
        <v>220</v>
      </c>
      <c r="G140" s="79" t="s">
        <v>14</v>
      </c>
      <c r="H140" s="78" t="s">
        <v>14</v>
      </c>
      <c r="I140" s="79" t="s">
        <v>14</v>
      </c>
      <c r="J140" s="80">
        <v>3.8</v>
      </c>
      <c r="K140" s="81">
        <v>2</v>
      </c>
      <c r="L140" s="82">
        <v>0</v>
      </c>
      <c r="M140" s="83">
        <v>0</v>
      </c>
      <c r="N140" s="84">
        <v>98.43</v>
      </c>
      <c r="O140" s="85">
        <v>2</v>
      </c>
      <c r="P140" s="86"/>
      <c r="Q140" s="87">
        <f t="shared" si="23"/>
        <v>0</v>
      </c>
      <c r="R140" s="88">
        <f t="shared" si="24"/>
        <v>5</v>
      </c>
      <c r="S140" s="89">
        <f t="shared" si="25"/>
        <v>0</v>
      </c>
      <c r="T140" s="89">
        <f t="shared" si="26"/>
        <v>0</v>
      </c>
      <c r="U140" s="89">
        <f t="shared" si="27"/>
        <v>0</v>
      </c>
      <c r="V140" s="89">
        <f t="shared" si="28"/>
        <v>0</v>
      </c>
      <c r="W140" s="89">
        <f t="shared" si="29"/>
        <v>0</v>
      </c>
      <c r="X140" s="89">
        <f t="shared" si="30"/>
        <v>0</v>
      </c>
      <c r="Y140" s="89">
        <f t="shared" si="31"/>
        <v>0</v>
      </c>
      <c r="Z140" s="89">
        <f t="shared" si="32"/>
        <v>0</v>
      </c>
      <c r="AA140" s="41">
        <f t="shared" si="33"/>
        <v>0</v>
      </c>
      <c r="AB140" s="49"/>
      <c r="AC140" s="50"/>
      <c r="AD140" s="49"/>
      <c r="AE140" s="50"/>
      <c r="AF140" s="49" t="s">
        <v>5</v>
      </c>
      <c r="AG140" s="50" t="s">
        <v>427</v>
      </c>
      <c r="AH140" s="49"/>
      <c r="AI140" s="50"/>
      <c r="AJ140" s="49"/>
      <c r="AK140" s="50"/>
      <c r="AL140" s="49"/>
      <c r="AM140" s="50"/>
      <c r="AN140" s="49"/>
      <c r="AO140" s="50"/>
      <c r="AP140" s="49" t="s">
        <v>5</v>
      </c>
      <c r="AQ140" s="50" t="s">
        <v>428</v>
      </c>
      <c r="AR140" s="49"/>
      <c r="AS140" s="50"/>
      <c r="AT140" s="49"/>
      <c r="AU140" s="50"/>
      <c r="AV140" s="49" t="s">
        <v>5</v>
      </c>
      <c r="AW140" s="50" t="s">
        <v>151</v>
      </c>
      <c r="AX140" s="49"/>
      <c r="AY140" s="50"/>
      <c r="AZ140" s="49"/>
      <c r="BA140" s="50"/>
      <c r="BB140" s="49"/>
      <c r="BC140" s="50"/>
      <c r="BD140" s="49"/>
      <c r="BE140" s="50"/>
      <c r="BF140" s="49"/>
      <c r="BG140" s="50"/>
      <c r="BH140" s="49"/>
      <c r="BI140" s="50"/>
      <c r="BJ140" s="49" t="s">
        <v>5</v>
      </c>
      <c r="BK140" s="50" t="s">
        <v>430</v>
      </c>
      <c r="BL140" s="49"/>
      <c r="BM140" s="50"/>
      <c r="BN140" s="49"/>
      <c r="BO140" s="50"/>
      <c r="BP140" s="49"/>
      <c r="BQ140" s="50"/>
      <c r="BR140" s="49"/>
      <c r="BS140" s="50"/>
      <c r="BT140" s="49"/>
      <c r="BU140" s="50"/>
      <c r="BV140" s="49" t="s">
        <v>5</v>
      </c>
      <c r="BW140" s="50" t="s">
        <v>436</v>
      </c>
      <c r="BX140" s="49"/>
      <c r="BY140" s="50"/>
      <c r="BZ140" s="49"/>
      <c r="CA140" s="50"/>
    </row>
    <row r="141" spans="1:79" s="91" customFormat="1" x14ac:dyDescent="0.25">
      <c r="A141" s="76">
        <v>160359</v>
      </c>
      <c r="B141" s="77" t="s">
        <v>596</v>
      </c>
      <c r="C141" s="78" t="s">
        <v>466</v>
      </c>
      <c r="D141" s="76" t="s">
        <v>12</v>
      </c>
      <c r="E141" s="79" t="s">
        <v>14</v>
      </c>
      <c r="F141" s="79" t="s">
        <v>71</v>
      </c>
      <c r="G141" s="79" t="s">
        <v>14</v>
      </c>
      <c r="H141" s="78" t="s">
        <v>14</v>
      </c>
      <c r="I141" s="79" t="s">
        <v>14</v>
      </c>
      <c r="J141" s="80">
        <v>5.3</v>
      </c>
      <c r="K141" s="81">
        <v>0</v>
      </c>
      <c r="L141" s="82">
        <v>0</v>
      </c>
      <c r="M141" s="83">
        <v>0</v>
      </c>
      <c r="N141" s="84">
        <v>88.68</v>
      </c>
      <c r="O141" s="85">
        <v>0</v>
      </c>
      <c r="P141" s="86"/>
      <c r="Q141" s="87">
        <f t="shared" si="23"/>
        <v>3</v>
      </c>
      <c r="R141" s="88">
        <f t="shared" si="24"/>
        <v>1</v>
      </c>
      <c r="S141" s="89">
        <f t="shared" si="25"/>
        <v>0</v>
      </c>
      <c r="T141" s="89">
        <f t="shared" si="26"/>
        <v>0</v>
      </c>
      <c r="U141" s="89">
        <f t="shared" si="27"/>
        <v>0</v>
      </c>
      <c r="V141" s="89">
        <f t="shared" si="28"/>
        <v>0</v>
      </c>
      <c r="W141" s="89">
        <f t="shared" si="29"/>
        <v>0</v>
      </c>
      <c r="X141" s="89">
        <f t="shared" si="30"/>
        <v>0</v>
      </c>
      <c r="Y141" s="89">
        <f t="shared" si="31"/>
        <v>0</v>
      </c>
      <c r="Z141" s="89">
        <f t="shared" si="32"/>
        <v>0</v>
      </c>
      <c r="AA141" s="41">
        <f t="shared" si="33"/>
        <v>0</v>
      </c>
      <c r="AB141" s="49"/>
      <c r="AC141" s="50"/>
      <c r="AD141" s="49"/>
      <c r="AE141" s="50"/>
      <c r="AF141" s="49"/>
      <c r="AG141" s="50"/>
      <c r="AH141" s="49"/>
      <c r="AI141" s="50"/>
      <c r="AJ141" s="49"/>
      <c r="AK141" s="50"/>
      <c r="AL141" s="49"/>
      <c r="AM141" s="50"/>
      <c r="AN141" s="49"/>
      <c r="AO141" s="50"/>
      <c r="AP141" s="49"/>
      <c r="AQ141" s="50"/>
      <c r="AR141" s="49"/>
      <c r="AS141" s="50"/>
      <c r="AT141" s="49"/>
      <c r="AU141" s="50"/>
      <c r="AV141" s="49" t="s">
        <v>5</v>
      </c>
      <c r="AW141" s="50" t="s">
        <v>476</v>
      </c>
      <c r="AX141" s="49"/>
      <c r="AY141" s="50"/>
      <c r="AZ141" s="49"/>
      <c r="BA141" s="50"/>
      <c r="BB141" s="49"/>
      <c r="BC141" s="50"/>
      <c r="BD141" s="49" t="s">
        <v>1</v>
      </c>
      <c r="BE141" s="50" t="s">
        <v>436</v>
      </c>
      <c r="BF141" s="49" t="s">
        <v>1</v>
      </c>
      <c r="BG141" s="50" t="s">
        <v>436</v>
      </c>
      <c r="BH141" s="49"/>
      <c r="BI141" s="50"/>
      <c r="BJ141" s="49"/>
      <c r="BK141" s="50"/>
      <c r="BL141" s="49"/>
      <c r="BM141" s="50"/>
      <c r="BN141" s="49"/>
      <c r="BO141" s="50"/>
      <c r="BP141" s="49" t="s">
        <v>1</v>
      </c>
      <c r="BQ141" s="50" t="s">
        <v>81</v>
      </c>
      <c r="BR141" s="49"/>
      <c r="BS141" s="50"/>
      <c r="BT141" s="49"/>
      <c r="BU141" s="50"/>
      <c r="BV141" s="49"/>
      <c r="BW141" s="50"/>
      <c r="BX141" s="49"/>
      <c r="BY141" s="50"/>
      <c r="BZ141" s="49"/>
      <c r="CA141" s="50"/>
    </row>
    <row r="142" spans="1:79" s="91" customFormat="1" x14ac:dyDescent="0.25">
      <c r="A142" s="76">
        <v>150841</v>
      </c>
      <c r="B142" s="77" t="s">
        <v>597</v>
      </c>
      <c r="C142" s="78" t="s">
        <v>452</v>
      </c>
      <c r="D142" s="76" t="s">
        <v>70</v>
      </c>
      <c r="E142" s="79" t="s">
        <v>14</v>
      </c>
      <c r="F142" s="79" t="s">
        <v>71</v>
      </c>
      <c r="G142" s="79" t="s">
        <v>14</v>
      </c>
      <c r="H142" s="78" t="s">
        <v>14</v>
      </c>
      <c r="I142" s="79" t="s">
        <v>14</v>
      </c>
      <c r="J142" s="80">
        <v>6.1</v>
      </c>
      <c r="K142" s="81">
        <v>1</v>
      </c>
      <c r="L142" s="82">
        <v>0</v>
      </c>
      <c r="M142" s="83">
        <v>0</v>
      </c>
      <c r="N142" s="84">
        <v>100</v>
      </c>
      <c r="O142" s="85">
        <v>0</v>
      </c>
      <c r="P142" s="86"/>
      <c r="Q142" s="87">
        <f t="shared" si="23"/>
        <v>2</v>
      </c>
      <c r="R142" s="88">
        <f t="shared" si="24"/>
        <v>2</v>
      </c>
      <c r="S142" s="89">
        <f t="shared" si="25"/>
        <v>0</v>
      </c>
      <c r="T142" s="89">
        <f t="shared" si="26"/>
        <v>0</v>
      </c>
      <c r="U142" s="89">
        <f t="shared" si="27"/>
        <v>0</v>
      </c>
      <c r="V142" s="89">
        <f t="shared" si="28"/>
        <v>0</v>
      </c>
      <c r="W142" s="89">
        <f t="shared" si="29"/>
        <v>0</v>
      </c>
      <c r="X142" s="89">
        <f t="shared" si="30"/>
        <v>0</v>
      </c>
      <c r="Y142" s="89">
        <f t="shared" si="31"/>
        <v>0</v>
      </c>
      <c r="Z142" s="89">
        <f t="shared" si="32"/>
        <v>0</v>
      </c>
      <c r="AA142" s="41">
        <f t="shared" si="33"/>
        <v>0</v>
      </c>
      <c r="AB142" s="49"/>
      <c r="AC142" s="50"/>
      <c r="AD142" s="49"/>
      <c r="AE142" s="50"/>
      <c r="AF142" s="49"/>
      <c r="AG142" s="50"/>
      <c r="AH142" s="49"/>
      <c r="AI142" s="50"/>
      <c r="AJ142" s="49"/>
      <c r="AK142" s="50"/>
      <c r="AL142" s="49"/>
      <c r="AM142" s="50"/>
      <c r="AN142" s="49"/>
      <c r="AO142" s="50"/>
      <c r="AP142" s="49"/>
      <c r="AQ142" s="50"/>
      <c r="AR142" s="49"/>
      <c r="AS142" s="50"/>
      <c r="AT142" s="49"/>
      <c r="AU142" s="50"/>
      <c r="AV142" s="49" t="s">
        <v>5</v>
      </c>
      <c r="AW142" s="50" t="s">
        <v>453</v>
      </c>
      <c r="AX142" s="49"/>
      <c r="AY142" s="50"/>
      <c r="AZ142" s="49"/>
      <c r="BA142" s="50"/>
      <c r="BB142" s="49"/>
      <c r="BC142" s="50"/>
      <c r="BD142" s="49"/>
      <c r="BE142" s="50"/>
      <c r="BF142" s="49"/>
      <c r="BG142" s="50"/>
      <c r="BH142" s="49"/>
      <c r="BI142" s="50"/>
      <c r="BJ142" s="49"/>
      <c r="BK142" s="50"/>
      <c r="BL142" s="49"/>
      <c r="BM142" s="50"/>
      <c r="BN142" s="49"/>
      <c r="BO142" s="50"/>
      <c r="BP142" s="49" t="s">
        <v>1</v>
      </c>
      <c r="BQ142" s="50" t="s">
        <v>81</v>
      </c>
      <c r="BR142" s="49"/>
      <c r="BS142" s="50"/>
      <c r="BT142" s="49" t="s">
        <v>5</v>
      </c>
      <c r="BU142" s="50" t="s">
        <v>93</v>
      </c>
      <c r="BV142" s="49"/>
      <c r="BW142" s="50"/>
      <c r="BX142" s="49" t="s">
        <v>1</v>
      </c>
      <c r="BY142" s="50" t="s">
        <v>462</v>
      </c>
      <c r="BZ142" s="49"/>
      <c r="CA142" s="50"/>
    </row>
    <row r="143" spans="1:79" s="91" customFormat="1" x14ac:dyDescent="0.25">
      <c r="A143" s="76">
        <v>160107</v>
      </c>
      <c r="B143" s="77" t="s">
        <v>598</v>
      </c>
      <c r="C143" s="78" t="s">
        <v>464</v>
      </c>
      <c r="D143" s="76" t="s">
        <v>70</v>
      </c>
      <c r="E143" s="79" t="s">
        <v>14</v>
      </c>
      <c r="F143" s="79" t="s">
        <v>312</v>
      </c>
      <c r="G143" s="79" t="s">
        <v>14</v>
      </c>
      <c r="H143" s="78" t="s">
        <v>14</v>
      </c>
      <c r="I143" s="79" t="s">
        <v>14</v>
      </c>
      <c r="J143" s="80">
        <v>5.4</v>
      </c>
      <c r="K143" s="81">
        <v>0</v>
      </c>
      <c r="L143" s="82">
        <v>0</v>
      </c>
      <c r="M143" s="83">
        <v>1</v>
      </c>
      <c r="N143" s="84">
        <v>90.6</v>
      </c>
      <c r="O143" s="85">
        <v>1</v>
      </c>
      <c r="P143" s="86"/>
      <c r="Q143" s="87">
        <f t="shared" si="23"/>
        <v>1</v>
      </c>
      <c r="R143" s="88">
        <f t="shared" si="24"/>
        <v>3</v>
      </c>
      <c r="S143" s="89">
        <f t="shared" si="25"/>
        <v>0</v>
      </c>
      <c r="T143" s="89">
        <f t="shared" si="26"/>
        <v>0</v>
      </c>
      <c r="U143" s="89">
        <f t="shared" si="27"/>
        <v>0</v>
      </c>
      <c r="V143" s="89">
        <f t="shared" si="28"/>
        <v>0</v>
      </c>
      <c r="W143" s="89">
        <f t="shared" si="29"/>
        <v>0</v>
      </c>
      <c r="X143" s="89">
        <f t="shared" si="30"/>
        <v>0</v>
      </c>
      <c r="Y143" s="89">
        <f t="shared" si="31"/>
        <v>0</v>
      </c>
      <c r="Z143" s="89">
        <f t="shared" si="32"/>
        <v>0</v>
      </c>
      <c r="AA143" s="41">
        <f t="shared" si="33"/>
        <v>0</v>
      </c>
      <c r="AB143" s="49"/>
      <c r="AC143" s="50"/>
      <c r="AD143" s="49" t="s">
        <v>5</v>
      </c>
      <c r="AE143" s="50" t="s">
        <v>133</v>
      </c>
      <c r="AF143" s="49"/>
      <c r="AG143" s="50"/>
      <c r="AH143" s="49" t="s">
        <v>5</v>
      </c>
      <c r="AI143" s="50" t="s">
        <v>424</v>
      </c>
      <c r="AJ143" s="49"/>
      <c r="AK143" s="50"/>
      <c r="AL143" s="49"/>
      <c r="AM143" s="50"/>
      <c r="AN143" s="49"/>
      <c r="AO143" s="50"/>
      <c r="AP143" s="49"/>
      <c r="AQ143" s="50"/>
      <c r="AR143" s="49"/>
      <c r="AS143" s="50"/>
      <c r="AT143" s="49"/>
      <c r="AU143" s="50"/>
      <c r="AV143" s="49" t="s">
        <v>5</v>
      </c>
      <c r="AW143" s="50" t="s">
        <v>448</v>
      </c>
      <c r="AX143" s="49"/>
      <c r="AY143" s="50"/>
      <c r="AZ143" s="49"/>
      <c r="BA143" s="50"/>
      <c r="BB143" s="49"/>
      <c r="BC143" s="50"/>
      <c r="BD143" s="49"/>
      <c r="BE143" s="50"/>
      <c r="BF143" s="49"/>
      <c r="BG143" s="50"/>
      <c r="BH143" s="49"/>
      <c r="BI143" s="50"/>
      <c r="BJ143" s="49"/>
      <c r="BK143" s="50"/>
      <c r="BL143" s="49"/>
      <c r="BM143" s="50"/>
      <c r="BN143" s="49"/>
      <c r="BO143" s="50"/>
      <c r="BP143" s="49"/>
      <c r="BQ143" s="50"/>
      <c r="BR143" s="49"/>
      <c r="BS143" s="50"/>
      <c r="BT143" s="49"/>
      <c r="BU143" s="50"/>
      <c r="BV143" s="49" t="s">
        <v>1</v>
      </c>
      <c r="BW143" s="50" t="s">
        <v>436</v>
      </c>
      <c r="BX143" s="49"/>
      <c r="BY143" s="50"/>
      <c r="BZ143" s="49"/>
      <c r="CA143" s="50"/>
    </row>
    <row r="144" spans="1:79" s="91" customFormat="1" x14ac:dyDescent="0.25">
      <c r="A144" s="76">
        <v>160060</v>
      </c>
      <c r="B144" s="77" t="s">
        <v>599</v>
      </c>
      <c r="C144" s="78" t="s">
        <v>490</v>
      </c>
      <c r="D144" s="76" t="s">
        <v>12</v>
      </c>
      <c r="E144" s="79" t="s">
        <v>14</v>
      </c>
      <c r="F144" s="79" t="s">
        <v>312</v>
      </c>
      <c r="G144" s="79" t="s">
        <v>14</v>
      </c>
      <c r="H144" s="78" t="s">
        <v>14</v>
      </c>
      <c r="I144" s="79" t="s">
        <v>14</v>
      </c>
      <c r="J144" s="80">
        <v>6.2</v>
      </c>
      <c r="K144" s="81">
        <v>0</v>
      </c>
      <c r="L144" s="82">
        <v>0</v>
      </c>
      <c r="M144" s="83">
        <v>0</v>
      </c>
      <c r="N144" s="84">
        <v>96.61</v>
      </c>
      <c r="O144" s="85">
        <v>3</v>
      </c>
      <c r="P144" s="86"/>
      <c r="Q144" s="87">
        <f t="shared" si="23"/>
        <v>0</v>
      </c>
      <c r="R144" s="88">
        <f t="shared" si="24"/>
        <v>4</v>
      </c>
      <c r="S144" s="89">
        <f t="shared" si="25"/>
        <v>0</v>
      </c>
      <c r="T144" s="89">
        <f t="shared" si="26"/>
        <v>0</v>
      </c>
      <c r="U144" s="89">
        <f t="shared" si="27"/>
        <v>0</v>
      </c>
      <c r="V144" s="89">
        <f t="shared" si="28"/>
        <v>0</v>
      </c>
      <c r="W144" s="89">
        <f t="shared" si="29"/>
        <v>0</v>
      </c>
      <c r="X144" s="89">
        <f t="shared" si="30"/>
        <v>0</v>
      </c>
      <c r="Y144" s="89">
        <f t="shared" si="31"/>
        <v>0</v>
      </c>
      <c r="Z144" s="89">
        <f t="shared" si="32"/>
        <v>0</v>
      </c>
      <c r="AA144" s="41">
        <f t="shared" si="33"/>
        <v>0</v>
      </c>
      <c r="AB144" s="49"/>
      <c r="AC144" s="50"/>
      <c r="AD144" s="49"/>
      <c r="AE144" s="50"/>
      <c r="AF144" s="49"/>
      <c r="AG144" s="50"/>
      <c r="AH144" s="49"/>
      <c r="AI144" s="50"/>
      <c r="AJ144" s="49"/>
      <c r="AK144" s="50"/>
      <c r="AL144" s="49"/>
      <c r="AM144" s="50"/>
      <c r="AN144" s="49"/>
      <c r="AO144" s="50"/>
      <c r="AP144" s="49"/>
      <c r="AQ144" s="50"/>
      <c r="AR144" s="49" t="s">
        <v>5</v>
      </c>
      <c r="AS144" s="50" t="s">
        <v>459</v>
      </c>
      <c r="AT144" s="49"/>
      <c r="AU144" s="50"/>
      <c r="AV144" s="49" t="s">
        <v>5</v>
      </c>
      <c r="AW144" s="50" t="s">
        <v>459</v>
      </c>
      <c r="AX144" s="49"/>
      <c r="AY144" s="50"/>
      <c r="AZ144" s="49"/>
      <c r="BA144" s="50"/>
      <c r="BB144" s="49"/>
      <c r="BC144" s="50"/>
      <c r="BD144" s="49" t="s">
        <v>5</v>
      </c>
      <c r="BE144" s="50" t="s">
        <v>436</v>
      </c>
      <c r="BF144" s="49"/>
      <c r="BG144" s="50"/>
      <c r="BH144" s="49"/>
      <c r="BI144" s="50"/>
      <c r="BJ144" s="49"/>
      <c r="BK144" s="50"/>
      <c r="BL144" s="49"/>
      <c r="BM144" s="50"/>
      <c r="BN144" s="49"/>
      <c r="BO144" s="50"/>
      <c r="BP144" s="49"/>
      <c r="BQ144" s="50"/>
      <c r="BR144" s="49"/>
      <c r="BS144" s="50"/>
      <c r="BT144" s="49"/>
      <c r="BU144" s="50"/>
      <c r="BV144" s="49" t="s">
        <v>5</v>
      </c>
      <c r="BW144" s="50" t="s">
        <v>436</v>
      </c>
      <c r="BX144" s="49"/>
      <c r="BY144" s="50"/>
      <c r="BZ144" s="49"/>
      <c r="CA144" s="50"/>
    </row>
    <row r="145" spans="1:79" s="91" customFormat="1" x14ac:dyDescent="0.25">
      <c r="A145" s="76">
        <v>150789</v>
      </c>
      <c r="B145" s="77" t="s">
        <v>600</v>
      </c>
      <c r="C145" s="78" t="s">
        <v>452</v>
      </c>
      <c r="D145" s="76" t="s">
        <v>12</v>
      </c>
      <c r="E145" s="79" t="s">
        <v>14</v>
      </c>
      <c r="F145" s="79" t="s">
        <v>71</v>
      </c>
      <c r="G145" s="79" t="s">
        <v>14</v>
      </c>
      <c r="H145" s="78" t="s">
        <v>14</v>
      </c>
      <c r="I145" s="79" t="s">
        <v>14</v>
      </c>
      <c r="J145" s="80">
        <v>5.6</v>
      </c>
      <c r="K145" s="81">
        <v>1</v>
      </c>
      <c r="L145" s="82">
        <v>0</v>
      </c>
      <c r="M145" s="83">
        <v>1</v>
      </c>
      <c r="N145" s="84">
        <v>100</v>
      </c>
      <c r="O145" s="85">
        <v>0</v>
      </c>
      <c r="P145" s="86"/>
      <c r="Q145" s="87">
        <f t="shared" si="23"/>
        <v>0</v>
      </c>
      <c r="R145" s="88">
        <f t="shared" si="24"/>
        <v>4</v>
      </c>
      <c r="S145" s="89">
        <f t="shared" si="25"/>
        <v>0</v>
      </c>
      <c r="T145" s="89">
        <f t="shared" si="26"/>
        <v>0</v>
      </c>
      <c r="U145" s="89">
        <f t="shared" si="27"/>
        <v>0</v>
      </c>
      <c r="V145" s="89">
        <f t="shared" si="28"/>
        <v>0</v>
      </c>
      <c r="W145" s="89">
        <f t="shared" si="29"/>
        <v>0</v>
      </c>
      <c r="X145" s="89">
        <f t="shared" si="30"/>
        <v>0</v>
      </c>
      <c r="Y145" s="89">
        <f t="shared" si="31"/>
        <v>0</v>
      </c>
      <c r="Z145" s="89">
        <f t="shared" si="32"/>
        <v>0</v>
      </c>
      <c r="AA145" s="41">
        <f t="shared" si="33"/>
        <v>0</v>
      </c>
      <c r="AB145" s="49"/>
      <c r="AC145" s="50"/>
      <c r="AD145" s="49"/>
      <c r="AE145" s="50"/>
      <c r="AF145" s="49" t="s">
        <v>5</v>
      </c>
      <c r="AG145" s="50" t="s">
        <v>427</v>
      </c>
      <c r="AH145" s="49"/>
      <c r="AI145" s="50"/>
      <c r="AJ145" s="49"/>
      <c r="AK145" s="50"/>
      <c r="AL145" s="49"/>
      <c r="AM145" s="50"/>
      <c r="AN145" s="49"/>
      <c r="AO145" s="50"/>
      <c r="AP145" s="49"/>
      <c r="AQ145" s="50"/>
      <c r="AR145" s="49"/>
      <c r="AS145" s="50"/>
      <c r="AT145" s="49"/>
      <c r="AU145" s="50"/>
      <c r="AV145" s="49" t="s">
        <v>5</v>
      </c>
      <c r="AW145" s="50" t="s">
        <v>453</v>
      </c>
      <c r="AX145" s="49"/>
      <c r="AY145" s="50"/>
      <c r="AZ145" s="49"/>
      <c r="BA145" s="50"/>
      <c r="BB145" s="49"/>
      <c r="BC145" s="50"/>
      <c r="BD145" s="49"/>
      <c r="BE145" s="50"/>
      <c r="BF145" s="49"/>
      <c r="BG145" s="50"/>
      <c r="BH145" s="49"/>
      <c r="BI145" s="50"/>
      <c r="BJ145" s="49" t="s">
        <v>5</v>
      </c>
      <c r="BK145" s="50" t="s">
        <v>422</v>
      </c>
      <c r="BL145" s="49"/>
      <c r="BM145" s="50"/>
      <c r="BN145" s="49"/>
      <c r="BO145" s="50"/>
      <c r="BP145" s="49"/>
      <c r="BQ145" s="50"/>
      <c r="BR145" s="49" t="s">
        <v>5</v>
      </c>
      <c r="BS145" s="50" t="s">
        <v>109</v>
      </c>
      <c r="BT145" s="49"/>
      <c r="BU145" s="50"/>
      <c r="BV145" s="49"/>
      <c r="BW145" s="50"/>
      <c r="BX145" s="49"/>
      <c r="BY145" s="50"/>
      <c r="BZ145" s="49"/>
      <c r="CA145" s="50"/>
    </row>
    <row r="146" spans="1:79" s="91" customFormat="1" x14ac:dyDescent="0.25">
      <c r="A146" s="76">
        <v>150787</v>
      </c>
      <c r="B146" s="77" t="s">
        <v>601</v>
      </c>
      <c r="C146" s="78" t="s">
        <v>452</v>
      </c>
      <c r="D146" s="76" t="s">
        <v>12</v>
      </c>
      <c r="E146" s="79" t="s">
        <v>14</v>
      </c>
      <c r="F146" s="79" t="s">
        <v>71</v>
      </c>
      <c r="G146" s="79" t="s">
        <v>14</v>
      </c>
      <c r="H146" s="78" t="s">
        <v>14</v>
      </c>
      <c r="I146" s="79" t="s">
        <v>14</v>
      </c>
      <c r="J146" s="80">
        <v>8</v>
      </c>
      <c r="K146" s="81">
        <v>0</v>
      </c>
      <c r="L146" s="82">
        <v>0</v>
      </c>
      <c r="M146" s="83">
        <v>0</v>
      </c>
      <c r="N146" s="84">
        <v>99.13</v>
      </c>
      <c r="O146" s="85">
        <v>0</v>
      </c>
      <c r="P146" s="86"/>
      <c r="Q146" s="87">
        <f t="shared" si="23"/>
        <v>0</v>
      </c>
      <c r="R146" s="88">
        <f t="shared" si="24"/>
        <v>4</v>
      </c>
      <c r="S146" s="89">
        <f t="shared" si="25"/>
        <v>0</v>
      </c>
      <c r="T146" s="89">
        <f t="shared" si="26"/>
        <v>0</v>
      </c>
      <c r="U146" s="89">
        <f t="shared" si="27"/>
        <v>0</v>
      </c>
      <c r="V146" s="89">
        <f t="shared" si="28"/>
        <v>0</v>
      </c>
      <c r="W146" s="89">
        <f t="shared" si="29"/>
        <v>0</v>
      </c>
      <c r="X146" s="89">
        <f t="shared" si="30"/>
        <v>0</v>
      </c>
      <c r="Y146" s="89">
        <f t="shared" si="31"/>
        <v>0</v>
      </c>
      <c r="Z146" s="89">
        <f t="shared" si="32"/>
        <v>0</v>
      </c>
      <c r="AA146" s="41">
        <f t="shared" si="33"/>
        <v>0</v>
      </c>
      <c r="AB146" s="49"/>
      <c r="AC146" s="50"/>
      <c r="AD146" s="49"/>
      <c r="AE146" s="50"/>
      <c r="AF146" s="49"/>
      <c r="AG146" s="50"/>
      <c r="AH146" s="49" t="s">
        <v>5</v>
      </c>
      <c r="AI146" s="50" t="s">
        <v>206</v>
      </c>
      <c r="AJ146" s="49"/>
      <c r="AK146" s="50"/>
      <c r="AL146" s="49"/>
      <c r="AM146" s="50"/>
      <c r="AN146" s="49"/>
      <c r="AO146" s="50"/>
      <c r="AP146" s="49"/>
      <c r="AQ146" s="50"/>
      <c r="AR146" s="49"/>
      <c r="AS146" s="50"/>
      <c r="AT146" s="49"/>
      <c r="AU146" s="50"/>
      <c r="AV146" s="49" t="s">
        <v>5</v>
      </c>
      <c r="AW146" s="50" t="s">
        <v>602</v>
      </c>
      <c r="AX146" s="49"/>
      <c r="AY146" s="50"/>
      <c r="AZ146" s="49"/>
      <c r="BA146" s="50"/>
      <c r="BB146" s="49"/>
      <c r="BC146" s="50"/>
      <c r="BD146" s="49"/>
      <c r="BE146" s="50"/>
      <c r="BF146" s="49"/>
      <c r="BG146" s="50"/>
      <c r="BH146" s="49"/>
      <c r="BI146" s="50"/>
      <c r="BJ146" s="49" t="s">
        <v>5</v>
      </c>
      <c r="BK146" s="50" t="s">
        <v>430</v>
      </c>
      <c r="BL146" s="49"/>
      <c r="BM146" s="50"/>
      <c r="BN146" s="49"/>
      <c r="BO146" s="50"/>
      <c r="BP146" s="49"/>
      <c r="BQ146" s="50"/>
      <c r="BR146" s="49" t="s">
        <v>5</v>
      </c>
      <c r="BS146" s="50" t="s">
        <v>109</v>
      </c>
      <c r="BT146" s="49"/>
      <c r="BU146" s="50"/>
      <c r="BV146" s="49"/>
      <c r="BW146" s="50"/>
      <c r="BX146" s="49"/>
      <c r="BY146" s="50"/>
      <c r="BZ146" s="49"/>
      <c r="CA146" s="50"/>
    </row>
    <row r="147" spans="1:79" s="91" customFormat="1" x14ac:dyDescent="0.25">
      <c r="A147" s="76">
        <v>160103</v>
      </c>
      <c r="B147" s="77" t="s">
        <v>603</v>
      </c>
      <c r="C147" s="78" t="s">
        <v>490</v>
      </c>
      <c r="D147" s="76" t="s">
        <v>70</v>
      </c>
      <c r="E147" s="79" t="s">
        <v>14</v>
      </c>
      <c r="F147" s="79" t="s">
        <v>71</v>
      </c>
      <c r="G147" s="79" t="s">
        <v>14</v>
      </c>
      <c r="H147" s="78" t="s">
        <v>14</v>
      </c>
      <c r="I147" s="79" t="s">
        <v>14</v>
      </c>
      <c r="J147" s="80">
        <v>6.1</v>
      </c>
      <c r="K147" s="81">
        <v>3</v>
      </c>
      <c r="L147" s="82">
        <v>0</v>
      </c>
      <c r="M147" s="83">
        <v>1</v>
      </c>
      <c r="N147" s="84">
        <v>83.69</v>
      </c>
      <c r="O147" s="85">
        <v>1</v>
      </c>
      <c r="P147" s="86"/>
      <c r="Q147" s="87">
        <f t="shared" si="23"/>
        <v>1</v>
      </c>
      <c r="R147" s="88">
        <f t="shared" si="24"/>
        <v>3</v>
      </c>
      <c r="S147" s="89">
        <f t="shared" si="25"/>
        <v>0</v>
      </c>
      <c r="T147" s="89">
        <f t="shared" si="26"/>
        <v>0</v>
      </c>
      <c r="U147" s="89">
        <f t="shared" si="27"/>
        <v>1</v>
      </c>
      <c r="V147" s="89">
        <f t="shared" si="28"/>
        <v>1</v>
      </c>
      <c r="W147" s="89">
        <f t="shared" si="29"/>
        <v>0</v>
      </c>
      <c r="X147" s="89">
        <f t="shared" si="30"/>
        <v>0</v>
      </c>
      <c r="Y147" s="89">
        <f t="shared" si="31"/>
        <v>0</v>
      </c>
      <c r="Z147" s="89">
        <f t="shared" si="32"/>
        <v>0</v>
      </c>
      <c r="AA147" s="41">
        <f t="shared" si="33"/>
        <v>0</v>
      </c>
      <c r="AB147" s="49"/>
      <c r="AC147" s="50"/>
      <c r="AD147" s="49"/>
      <c r="AE147" s="50"/>
      <c r="AF147" s="49" t="s">
        <v>5</v>
      </c>
      <c r="AG147" s="50" t="s">
        <v>427</v>
      </c>
      <c r="AH147" s="49"/>
      <c r="AI147" s="50"/>
      <c r="AJ147" s="49"/>
      <c r="AK147" s="50"/>
      <c r="AL147" s="49"/>
      <c r="AM147" s="50"/>
      <c r="AN147" s="49"/>
      <c r="AO147" s="50"/>
      <c r="AP147" s="49"/>
      <c r="AQ147" s="50"/>
      <c r="AR147" s="49"/>
      <c r="AS147" s="50"/>
      <c r="AT147" s="49"/>
      <c r="AU147" s="50"/>
      <c r="AV147" s="49" t="s">
        <v>5</v>
      </c>
      <c r="AW147" s="50" t="s">
        <v>459</v>
      </c>
      <c r="AX147" s="49"/>
      <c r="AY147" s="50"/>
      <c r="AZ147" s="49"/>
      <c r="BA147" s="50"/>
      <c r="BB147" s="49"/>
      <c r="BC147" s="50"/>
      <c r="BD147" s="49"/>
      <c r="BE147" s="50"/>
      <c r="BF147" s="49"/>
      <c r="BG147" s="50"/>
      <c r="BH147" s="49"/>
      <c r="BI147" s="50"/>
      <c r="BJ147" s="49"/>
      <c r="BK147" s="50"/>
      <c r="BL147" s="49"/>
      <c r="BM147" s="50"/>
      <c r="BN147" s="49" t="s">
        <v>32</v>
      </c>
      <c r="BO147" s="50" t="s">
        <v>82</v>
      </c>
      <c r="BP147" s="49"/>
      <c r="BQ147" s="50"/>
      <c r="BR147" s="49"/>
      <c r="BS147" s="50"/>
      <c r="BT147" s="49" t="s">
        <v>5</v>
      </c>
      <c r="BU147" s="50" t="s">
        <v>93</v>
      </c>
      <c r="BV147" s="49"/>
      <c r="BW147" s="50"/>
      <c r="BX147" s="49" t="s">
        <v>1</v>
      </c>
      <c r="BY147" s="50" t="s">
        <v>462</v>
      </c>
      <c r="BZ147" s="49"/>
      <c r="CA147" s="50"/>
    </row>
    <row r="148" spans="1:79" s="91" customFormat="1" x14ac:dyDescent="0.25">
      <c r="A148" s="76">
        <v>150905</v>
      </c>
      <c r="B148" s="77" t="s">
        <v>604</v>
      </c>
      <c r="C148" s="78" t="s">
        <v>452</v>
      </c>
      <c r="D148" s="76" t="s">
        <v>70</v>
      </c>
      <c r="E148" s="79" t="s">
        <v>87</v>
      </c>
      <c r="F148" s="79" t="s">
        <v>88</v>
      </c>
      <c r="G148" s="79" t="s">
        <v>14</v>
      </c>
      <c r="H148" s="78" t="s">
        <v>14</v>
      </c>
      <c r="I148" s="79" t="s">
        <v>14</v>
      </c>
      <c r="J148" s="80">
        <v>5</v>
      </c>
      <c r="K148" s="81">
        <v>0</v>
      </c>
      <c r="L148" s="82">
        <v>0</v>
      </c>
      <c r="M148" s="83">
        <v>0</v>
      </c>
      <c r="N148" s="84">
        <v>98.26</v>
      </c>
      <c r="O148" s="85">
        <v>0</v>
      </c>
      <c r="P148" s="86"/>
      <c r="Q148" s="87">
        <f t="shared" si="23"/>
        <v>1</v>
      </c>
      <c r="R148" s="88">
        <f t="shared" si="24"/>
        <v>3</v>
      </c>
      <c r="S148" s="89">
        <f t="shared" si="25"/>
        <v>0</v>
      </c>
      <c r="T148" s="89">
        <f t="shared" si="26"/>
        <v>0</v>
      </c>
      <c r="U148" s="89">
        <f t="shared" si="27"/>
        <v>0</v>
      </c>
      <c r="V148" s="89">
        <f t="shared" si="28"/>
        <v>0</v>
      </c>
      <c r="W148" s="89">
        <f t="shared" si="29"/>
        <v>0</v>
      </c>
      <c r="X148" s="89">
        <f t="shared" si="30"/>
        <v>0</v>
      </c>
      <c r="Y148" s="89">
        <f t="shared" si="31"/>
        <v>0</v>
      </c>
      <c r="Z148" s="89">
        <f t="shared" si="32"/>
        <v>0</v>
      </c>
      <c r="AA148" s="41">
        <f t="shared" si="33"/>
        <v>0</v>
      </c>
      <c r="AB148" s="49"/>
      <c r="AC148" s="50"/>
      <c r="AD148" s="49"/>
      <c r="AE148" s="50"/>
      <c r="AF148" s="49"/>
      <c r="AG148" s="50"/>
      <c r="AH148" s="49"/>
      <c r="AI148" s="50"/>
      <c r="AJ148" s="49"/>
      <c r="AK148" s="50"/>
      <c r="AL148" s="49"/>
      <c r="AM148" s="50"/>
      <c r="AN148" s="49" t="s">
        <v>5</v>
      </c>
      <c r="AO148" s="50" t="s">
        <v>101</v>
      </c>
      <c r="AP148" s="49"/>
      <c r="AQ148" s="50"/>
      <c r="AR148" s="49"/>
      <c r="AS148" s="50"/>
      <c r="AT148" s="49"/>
      <c r="AU148" s="50"/>
      <c r="AV148" s="49" t="s">
        <v>5</v>
      </c>
      <c r="AW148" s="50" t="s">
        <v>453</v>
      </c>
      <c r="AX148" s="49"/>
      <c r="AY148" s="50"/>
      <c r="AZ148" s="49"/>
      <c r="BA148" s="50"/>
      <c r="BB148" s="49"/>
      <c r="BC148" s="50"/>
      <c r="BD148" s="49" t="s">
        <v>1</v>
      </c>
      <c r="BE148" s="50" t="s">
        <v>436</v>
      </c>
      <c r="BF148" s="49"/>
      <c r="BG148" s="50"/>
      <c r="BH148" s="49"/>
      <c r="BI148" s="50"/>
      <c r="BJ148" s="49"/>
      <c r="BK148" s="50"/>
      <c r="BL148" s="49"/>
      <c r="BM148" s="50"/>
      <c r="BN148" s="49"/>
      <c r="BO148" s="50"/>
      <c r="BP148" s="49"/>
      <c r="BQ148" s="50"/>
      <c r="BR148" s="49"/>
      <c r="BS148" s="50"/>
      <c r="BT148" s="49"/>
      <c r="BU148" s="50"/>
      <c r="BV148" s="49" t="s">
        <v>5</v>
      </c>
      <c r="BW148" s="50" t="s">
        <v>425</v>
      </c>
      <c r="BX148" s="49"/>
      <c r="BY148" s="50"/>
      <c r="BZ148" s="49"/>
      <c r="CA148" s="50"/>
    </row>
    <row r="149" spans="1:79" s="91" customFormat="1" x14ac:dyDescent="0.25">
      <c r="A149" s="76">
        <v>150904</v>
      </c>
      <c r="B149" s="77" t="s">
        <v>605</v>
      </c>
      <c r="C149" s="78" t="s">
        <v>452</v>
      </c>
      <c r="D149" s="76" t="s">
        <v>70</v>
      </c>
      <c r="E149" s="79" t="s">
        <v>14</v>
      </c>
      <c r="F149" s="79" t="s">
        <v>71</v>
      </c>
      <c r="G149" s="79" t="s">
        <v>14</v>
      </c>
      <c r="H149" s="78" t="s">
        <v>14</v>
      </c>
      <c r="I149" s="79" t="s">
        <v>14</v>
      </c>
      <c r="J149" s="80">
        <v>6</v>
      </c>
      <c r="K149" s="81">
        <v>1</v>
      </c>
      <c r="L149" s="82">
        <v>0</v>
      </c>
      <c r="M149" s="83">
        <v>0</v>
      </c>
      <c r="N149" s="84">
        <v>100</v>
      </c>
      <c r="O149" s="85">
        <v>0</v>
      </c>
      <c r="P149" s="86"/>
      <c r="Q149" s="87">
        <f t="shared" si="23"/>
        <v>0</v>
      </c>
      <c r="R149" s="88">
        <f t="shared" si="24"/>
        <v>4</v>
      </c>
      <c r="S149" s="89">
        <f t="shared" si="25"/>
        <v>0</v>
      </c>
      <c r="T149" s="89">
        <f t="shared" si="26"/>
        <v>0</v>
      </c>
      <c r="U149" s="89">
        <f t="shared" si="27"/>
        <v>0</v>
      </c>
      <c r="V149" s="89">
        <f t="shared" si="28"/>
        <v>0</v>
      </c>
      <c r="W149" s="89">
        <f t="shared" si="29"/>
        <v>0</v>
      </c>
      <c r="X149" s="89">
        <f t="shared" si="30"/>
        <v>0</v>
      </c>
      <c r="Y149" s="89">
        <f t="shared" si="31"/>
        <v>0</v>
      </c>
      <c r="Z149" s="89">
        <f t="shared" si="32"/>
        <v>0</v>
      </c>
      <c r="AA149" s="41">
        <f t="shared" si="33"/>
        <v>0</v>
      </c>
      <c r="AB149" s="49"/>
      <c r="AC149" s="50"/>
      <c r="AD149" s="49" t="s">
        <v>5</v>
      </c>
      <c r="AE149" s="50" t="s">
        <v>154</v>
      </c>
      <c r="AF149" s="49"/>
      <c r="AG149" s="50"/>
      <c r="AH149" s="49"/>
      <c r="AI149" s="50"/>
      <c r="AJ149" s="49"/>
      <c r="AK149" s="50"/>
      <c r="AL149" s="49"/>
      <c r="AM149" s="50"/>
      <c r="AN149" s="49"/>
      <c r="AO149" s="50"/>
      <c r="AP149" s="49"/>
      <c r="AQ149" s="50"/>
      <c r="AR149" s="49" t="s">
        <v>5</v>
      </c>
      <c r="AS149" s="50" t="s">
        <v>459</v>
      </c>
      <c r="AT149" s="49"/>
      <c r="AU149" s="50"/>
      <c r="AV149" s="49" t="s">
        <v>5</v>
      </c>
      <c r="AW149" s="50" t="s">
        <v>457</v>
      </c>
      <c r="AX149" s="49"/>
      <c r="AY149" s="50"/>
      <c r="AZ149" s="49"/>
      <c r="BA149" s="50"/>
      <c r="BB149" s="49"/>
      <c r="BC149" s="50"/>
      <c r="BD149" s="49"/>
      <c r="BE149" s="50"/>
      <c r="BF149" s="49"/>
      <c r="BG149" s="50"/>
      <c r="BH149" s="49"/>
      <c r="BI149" s="50"/>
      <c r="BJ149" s="49"/>
      <c r="BK149" s="50"/>
      <c r="BL149" s="49"/>
      <c r="BM149" s="50"/>
      <c r="BN149" s="49"/>
      <c r="BO149" s="50"/>
      <c r="BP149" s="49"/>
      <c r="BQ149" s="50"/>
      <c r="BR149" s="49"/>
      <c r="BS149" s="50"/>
      <c r="BT149" s="49"/>
      <c r="BU149" s="50"/>
      <c r="BV149" s="49" t="s">
        <v>5</v>
      </c>
      <c r="BW149" s="50" t="s">
        <v>436</v>
      </c>
      <c r="BX149" s="49"/>
      <c r="BY149" s="50"/>
      <c r="BZ149" s="49"/>
      <c r="CA149" s="50"/>
    </row>
    <row r="150" spans="1:79" s="91" customFormat="1" x14ac:dyDescent="0.25">
      <c r="A150" s="76">
        <v>150807</v>
      </c>
      <c r="B150" s="77" t="s">
        <v>606</v>
      </c>
      <c r="C150" s="78" t="s">
        <v>501</v>
      </c>
      <c r="D150" s="76" t="s">
        <v>12</v>
      </c>
      <c r="E150" s="79" t="s">
        <v>87</v>
      </c>
      <c r="F150" s="79" t="s">
        <v>88</v>
      </c>
      <c r="G150" s="79" t="s">
        <v>14</v>
      </c>
      <c r="H150" s="78" t="s">
        <v>14</v>
      </c>
      <c r="I150" s="79" t="s">
        <v>14</v>
      </c>
      <c r="J150" s="80">
        <v>6.7</v>
      </c>
      <c r="K150" s="81">
        <v>0</v>
      </c>
      <c r="L150" s="82">
        <v>1</v>
      </c>
      <c r="M150" s="83">
        <v>0</v>
      </c>
      <c r="N150" s="84">
        <v>100</v>
      </c>
      <c r="O150" s="85">
        <v>2</v>
      </c>
      <c r="P150" s="86"/>
      <c r="Q150" s="87">
        <f t="shared" si="23"/>
        <v>1</v>
      </c>
      <c r="R150" s="88">
        <f t="shared" si="24"/>
        <v>3</v>
      </c>
      <c r="S150" s="89">
        <f t="shared" si="25"/>
        <v>0</v>
      </c>
      <c r="T150" s="89">
        <f t="shared" si="26"/>
        <v>0</v>
      </c>
      <c r="U150" s="89">
        <f t="shared" si="27"/>
        <v>0</v>
      </c>
      <c r="V150" s="89">
        <f t="shared" si="28"/>
        <v>0</v>
      </c>
      <c r="W150" s="89">
        <f t="shared" si="29"/>
        <v>0</v>
      </c>
      <c r="X150" s="89">
        <f t="shared" si="30"/>
        <v>0</v>
      </c>
      <c r="Y150" s="89">
        <f t="shared" si="31"/>
        <v>0</v>
      </c>
      <c r="Z150" s="89">
        <f t="shared" si="32"/>
        <v>0</v>
      </c>
      <c r="AA150" s="41">
        <f t="shared" si="33"/>
        <v>0</v>
      </c>
      <c r="AB150" s="49"/>
      <c r="AC150" s="50"/>
      <c r="AD150" s="49" t="s">
        <v>5</v>
      </c>
      <c r="AE150" s="50" t="s">
        <v>438</v>
      </c>
      <c r="AF150" s="49"/>
      <c r="AG150" s="50"/>
      <c r="AH150" s="49"/>
      <c r="AI150" s="50"/>
      <c r="AJ150" s="49"/>
      <c r="AK150" s="50"/>
      <c r="AL150" s="49"/>
      <c r="AM150" s="50"/>
      <c r="AN150" s="49"/>
      <c r="AO150" s="50"/>
      <c r="AP150" s="49" t="s">
        <v>1</v>
      </c>
      <c r="AQ150" s="50" t="s">
        <v>428</v>
      </c>
      <c r="AR150" s="49"/>
      <c r="AS150" s="50"/>
      <c r="AT150" s="49"/>
      <c r="AU150" s="50"/>
      <c r="AV150" s="49" t="s">
        <v>5</v>
      </c>
      <c r="AW150" s="50" t="s">
        <v>108</v>
      </c>
      <c r="AX150" s="49"/>
      <c r="AY150" s="50"/>
      <c r="AZ150" s="49"/>
      <c r="BA150" s="50"/>
      <c r="BB150" s="49"/>
      <c r="BC150" s="50"/>
      <c r="BD150" s="49"/>
      <c r="BE150" s="50"/>
      <c r="BF150" s="49"/>
      <c r="BG150" s="50"/>
      <c r="BH150" s="49"/>
      <c r="BI150" s="50"/>
      <c r="BJ150" s="49" t="s">
        <v>5</v>
      </c>
      <c r="BK150" s="50" t="s">
        <v>430</v>
      </c>
      <c r="BL150" s="49"/>
      <c r="BM150" s="50"/>
      <c r="BN150" s="49"/>
      <c r="BO150" s="50"/>
      <c r="BP150" s="49"/>
      <c r="BQ150" s="50"/>
      <c r="BR150" s="49"/>
      <c r="BS150" s="50"/>
      <c r="BT150" s="49"/>
      <c r="BU150" s="50"/>
      <c r="BV150" s="49"/>
      <c r="BW150" s="50"/>
      <c r="BX150" s="49"/>
      <c r="BY150" s="50"/>
      <c r="BZ150" s="49"/>
      <c r="CA150" s="50"/>
    </row>
    <row r="151" spans="1:79" s="91" customFormat="1" x14ac:dyDescent="0.25">
      <c r="A151" s="76">
        <v>150843</v>
      </c>
      <c r="B151" s="77" t="s">
        <v>607</v>
      </c>
      <c r="C151" s="78" t="s">
        <v>497</v>
      </c>
      <c r="D151" s="76" t="s">
        <v>70</v>
      </c>
      <c r="E151" s="79" t="s">
        <v>14</v>
      </c>
      <c r="F151" s="79" t="s">
        <v>126</v>
      </c>
      <c r="G151" s="79" t="s">
        <v>14</v>
      </c>
      <c r="H151" s="78" t="s">
        <v>14</v>
      </c>
      <c r="I151" s="79" t="s">
        <v>14</v>
      </c>
      <c r="J151" s="80">
        <v>7.1</v>
      </c>
      <c r="K151" s="81">
        <v>0</v>
      </c>
      <c r="L151" s="82">
        <v>0</v>
      </c>
      <c r="M151" s="83">
        <v>0</v>
      </c>
      <c r="N151" s="84">
        <v>100</v>
      </c>
      <c r="O151" s="85">
        <v>0</v>
      </c>
      <c r="P151" s="86"/>
      <c r="Q151" s="87">
        <f t="shared" si="23"/>
        <v>2</v>
      </c>
      <c r="R151" s="88">
        <f t="shared" si="24"/>
        <v>2</v>
      </c>
      <c r="S151" s="89">
        <f t="shared" si="25"/>
        <v>0</v>
      </c>
      <c r="T151" s="89">
        <f t="shared" si="26"/>
        <v>0</v>
      </c>
      <c r="U151" s="89">
        <f t="shared" si="27"/>
        <v>0</v>
      </c>
      <c r="V151" s="89">
        <f t="shared" si="28"/>
        <v>0</v>
      </c>
      <c r="W151" s="89">
        <f t="shared" si="29"/>
        <v>0</v>
      </c>
      <c r="X151" s="89">
        <f t="shared" si="30"/>
        <v>0</v>
      </c>
      <c r="Y151" s="89">
        <f t="shared" si="31"/>
        <v>0</v>
      </c>
      <c r="Z151" s="89">
        <f t="shared" si="32"/>
        <v>0</v>
      </c>
      <c r="AA151" s="41">
        <f t="shared" si="33"/>
        <v>0</v>
      </c>
      <c r="AB151" s="49"/>
      <c r="AC151" s="50"/>
      <c r="AD151" s="49" t="s">
        <v>5</v>
      </c>
      <c r="AE151" s="50" t="s">
        <v>133</v>
      </c>
      <c r="AF151" s="49"/>
      <c r="AG151" s="50"/>
      <c r="AH151" s="49" t="s">
        <v>5</v>
      </c>
      <c r="AI151" s="50" t="s">
        <v>419</v>
      </c>
      <c r="AJ151" s="49"/>
      <c r="AK151" s="50"/>
      <c r="AL151" s="49"/>
      <c r="AM151" s="50"/>
      <c r="AN151" s="49"/>
      <c r="AO151" s="50"/>
      <c r="AP151" s="49" t="s">
        <v>1</v>
      </c>
      <c r="AQ151" s="50" t="s">
        <v>428</v>
      </c>
      <c r="AR151" s="49"/>
      <c r="AS151" s="50"/>
      <c r="AT151" s="49"/>
      <c r="AU151" s="50"/>
      <c r="AV151" s="49" t="s">
        <v>1</v>
      </c>
      <c r="AW151" s="50" t="s">
        <v>602</v>
      </c>
      <c r="AX151" s="49"/>
      <c r="AY151" s="50"/>
      <c r="AZ151" s="49"/>
      <c r="BA151" s="50"/>
      <c r="BB151" s="49"/>
      <c r="BC151" s="50"/>
      <c r="BD151" s="49"/>
      <c r="BE151" s="50"/>
      <c r="BF151" s="49"/>
      <c r="BG151" s="50"/>
      <c r="BH151" s="49"/>
      <c r="BI151" s="50"/>
      <c r="BJ151" s="49"/>
      <c r="BK151" s="50"/>
      <c r="BL151" s="49"/>
      <c r="BM151" s="50"/>
      <c r="BN151" s="49"/>
      <c r="BO151" s="50"/>
      <c r="BP151" s="49"/>
      <c r="BQ151" s="50"/>
      <c r="BR151" s="49"/>
      <c r="BS151" s="50"/>
      <c r="BT151" s="49"/>
      <c r="BU151" s="50"/>
      <c r="BV151" s="49"/>
      <c r="BW151" s="50"/>
      <c r="BX151" s="49"/>
      <c r="BY151" s="50"/>
      <c r="BZ151" s="49"/>
      <c r="CA151" s="50"/>
    </row>
    <row r="152" spans="1:79" s="91" customFormat="1" x14ac:dyDescent="0.25">
      <c r="A152" s="76">
        <v>150956</v>
      </c>
      <c r="B152" s="77" t="s">
        <v>608</v>
      </c>
      <c r="C152" s="78" t="s">
        <v>501</v>
      </c>
      <c r="D152" s="76" t="s">
        <v>12</v>
      </c>
      <c r="E152" s="79" t="s">
        <v>14</v>
      </c>
      <c r="F152" s="79" t="s">
        <v>88</v>
      </c>
      <c r="G152" s="79" t="s">
        <v>14</v>
      </c>
      <c r="H152" s="78" t="s">
        <v>14</v>
      </c>
      <c r="I152" s="79" t="s">
        <v>14</v>
      </c>
      <c r="J152" s="80">
        <v>3.9</v>
      </c>
      <c r="K152" s="81">
        <v>0</v>
      </c>
      <c r="L152" s="82">
        <v>0</v>
      </c>
      <c r="M152" s="83">
        <v>0</v>
      </c>
      <c r="N152" s="84">
        <v>89.22</v>
      </c>
      <c r="O152" s="85">
        <v>6</v>
      </c>
      <c r="P152" s="86"/>
      <c r="Q152" s="87">
        <f t="shared" si="23"/>
        <v>1</v>
      </c>
      <c r="R152" s="88">
        <f t="shared" si="24"/>
        <v>2</v>
      </c>
      <c r="S152" s="89">
        <f t="shared" si="25"/>
        <v>0</v>
      </c>
      <c r="T152" s="89">
        <f t="shared" si="26"/>
        <v>0</v>
      </c>
      <c r="U152" s="89">
        <f t="shared" si="27"/>
        <v>0</v>
      </c>
      <c r="V152" s="89">
        <f t="shared" si="28"/>
        <v>0</v>
      </c>
      <c r="W152" s="89">
        <f t="shared" si="29"/>
        <v>0</v>
      </c>
      <c r="X152" s="89">
        <f t="shared" si="30"/>
        <v>0</v>
      </c>
      <c r="Y152" s="89">
        <f t="shared" si="31"/>
        <v>0</v>
      </c>
      <c r="Z152" s="89">
        <f t="shared" si="32"/>
        <v>0</v>
      </c>
      <c r="AA152" s="41">
        <f t="shared" si="33"/>
        <v>0</v>
      </c>
      <c r="AB152" s="49"/>
      <c r="AC152" s="50"/>
      <c r="AD152" s="49"/>
      <c r="AE152" s="50"/>
      <c r="AF152" s="49"/>
      <c r="AG152" s="50"/>
      <c r="AH152" s="49"/>
      <c r="AI152" s="50"/>
      <c r="AJ152" s="49"/>
      <c r="AK152" s="50"/>
      <c r="AL152" s="49"/>
      <c r="AM152" s="50"/>
      <c r="AN152" s="49"/>
      <c r="AO152" s="50"/>
      <c r="AP152" s="49"/>
      <c r="AQ152" s="50"/>
      <c r="AR152" s="49"/>
      <c r="AS152" s="50"/>
      <c r="AT152" s="49"/>
      <c r="AU152" s="50"/>
      <c r="AV152" s="49" t="s">
        <v>5</v>
      </c>
      <c r="AW152" s="50" t="s">
        <v>505</v>
      </c>
      <c r="AX152" s="49"/>
      <c r="AY152" s="50"/>
      <c r="AZ152" s="49"/>
      <c r="BA152" s="50"/>
      <c r="BB152" s="49"/>
      <c r="BC152" s="50"/>
      <c r="BD152" s="49"/>
      <c r="BE152" s="50"/>
      <c r="BF152" s="49"/>
      <c r="BG152" s="50"/>
      <c r="BH152" s="49"/>
      <c r="BI152" s="50"/>
      <c r="BJ152" s="49"/>
      <c r="BK152" s="50"/>
      <c r="BL152" s="49"/>
      <c r="BM152" s="50"/>
      <c r="BN152" s="49"/>
      <c r="BO152" s="50"/>
      <c r="BP152" s="49"/>
      <c r="BQ152" s="50"/>
      <c r="BR152" s="49"/>
      <c r="BS152" s="50"/>
      <c r="BT152" s="49"/>
      <c r="BU152" s="50"/>
      <c r="BV152" s="49" t="s">
        <v>1</v>
      </c>
      <c r="BW152" s="50" t="s">
        <v>425</v>
      </c>
      <c r="BX152" s="49" t="s">
        <v>5</v>
      </c>
      <c r="BY152" s="50" t="s">
        <v>462</v>
      </c>
      <c r="BZ152" s="49"/>
      <c r="CA152" s="50"/>
    </row>
    <row r="153" spans="1:79" s="91" customFormat="1" x14ac:dyDescent="0.25">
      <c r="A153" s="76">
        <v>160039</v>
      </c>
      <c r="B153" s="77" t="s">
        <v>609</v>
      </c>
      <c r="C153" s="78" t="s">
        <v>452</v>
      </c>
      <c r="D153" s="76" t="s">
        <v>70</v>
      </c>
      <c r="E153" s="79" t="s">
        <v>14</v>
      </c>
      <c r="F153" s="79" t="s">
        <v>71</v>
      </c>
      <c r="G153" s="79" t="s">
        <v>14</v>
      </c>
      <c r="H153" s="78" t="s">
        <v>14</v>
      </c>
      <c r="I153" s="79" t="s">
        <v>14</v>
      </c>
      <c r="J153" s="80">
        <v>5.3</v>
      </c>
      <c r="K153" s="81">
        <v>0</v>
      </c>
      <c r="L153" s="82">
        <v>0</v>
      </c>
      <c r="M153" s="83">
        <v>0</v>
      </c>
      <c r="N153" s="84">
        <v>91.3</v>
      </c>
      <c r="O153" s="85">
        <v>2</v>
      </c>
      <c r="P153" s="86"/>
      <c r="Q153" s="87">
        <f t="shared" si="23"/>
        <v>3</v>
      </c>
      <c r="R153" s="88">
        <f t="shared" si="24"/>
        <v>1</v>
      </c>
      <c r="S153" s="89">
        <f t="shared" si="25"/>
        <v>0</v>
      </c>
      <c r="T153" s="89">
        <f t="shared" si="26"/>
        <v>0</v>
      </c>
      <c r="U153" s="89">
        <f t="shared" si="27"/>
        <v>0</v>
      </c>
      <c r="V153" s="89">
        <f t="shared" si="28"/>
        <v>0</v>
      </c>
      <c r="W153" s="89">
        <f t="shared" si="29"/>
        <v>0</v>
      </c>
      <c r="X153" s="89">
        <f t="shared" si="30"/>
        <v>0</v>
      </c>
      <c r="Y153" s="89">
        <f t="shared" si="31"/>
        <v>0</v>
      </c>
      <c r="Z153" s="89">
        <f t="shared" si="32"/>
        <v>0</v>
      </c>
      <c r="AA153" s="41">
        <f t="shared" si="33"/>
        <v>0</v>
      </c>
      <c r="AB153" s="49"/>
      <c r="AC153" s="50"/>
      <c r="AD153" s="49"/>
      <c r="AE153" s="50"/>
      <c r="AF153" s="49"/>
      <c r="AG153" s="50"/>
      <c r="AH153" s="49"/>
      <c r="AI153" s="50"/>
      <c r="AJ153" s="49"/>
      <c r="AK153" s="50"/>
      <c r="AL153" s="49"/>
      <c r="AM153" s="50"/>
      <c r="AN153" s="49"/>
      <c r="AO153" s="50"/>
      <c r="AP153" s="49"/>
      <c r="AQ153" s="50"/>
      <c r="AR153" s="49"/>
      <c r="AS153" s="50"/>
      <c r="AT153" s="49"/>
      <c r="AU153" s="50"/>
      <c r="AV153" s="49" t="s">
        <v>5</v>
      </c>
      <c r="AW153" s="50" t="s">
        <v>602</v>
      </c>
      <c r="AX153" s="49"/>
      <c r="AY153" s="50"/>
      <c r="AZ153" s="49"/>
      <c r="BA153" s="50"/>
      <c r="BB153" s="49"/>
      <c r="BC153" s="50"/>
      <c r="BD153" s="49" t="s">
        <v>1</v>
      </c>
      <c r="BE153" s="50" t="s">
        <v>436</v>
      </c>
      <c r="BF153" s="49" t="s">
        <v>1</v>
      </c>
      <c r="BG153" s="50" t="s">
        <v>436</v>
      </c>
      <c r="BH153" s="49"/>
      <c r="BI153" s="50"/>
      <c r="BJ153" s="49"/>
      <c r="BK153" s="50"/>
      <c r="BL153" s="49"/>
      <c r="BM153" s="50"/>
      <c r="BN153" s="49"/>
      <c r="BO153" s="50"/>
      <c r="BP153" s="49"/>
      <c r="BQ153" s="50"/>
      <c r="BR153" s="49"/>
      <c r="BS153" s="50"/>
      <c r="BT153" s="49"/>
      <c r="BU153" s="50"/>
      <c r="BV153" s="49" t="s">
        <v>1</v>
      </c>
      <c r="BW153" s="50" t="s">
        <v>436</v>
      </c>
      <c r="BX153" s="49"/>
      <c r="BY153" s="50"/>
      <c r="BZ153" s="49"/>
      <c r="CA153" s="50"/>
    </row>
    <row r="154" spans="1:79" s="91" customFormat="1" x14ac:dyDescent="0.25">
      <c r="A154" s="76">
        <v>150786</v>
      </c>
      <c r="B154" s="77" t="s">
        <v>610</v>
      </c>
      <c r="C154" s="78" t="s">
        <v>501</v>
      </c>
      <c r="D154" s="76" t="s">
        <v>12</v>
      </c>
      <c r="E154" s="79" t="s">
        <v>14</v>
      </c>
      <c r="F154" s="79" t="s">
        <v>198</v>
      </c>
      <c r="G154" s="79" t="s">
        <v>14</v>
      </c>
      <c r="H154" s="78" t="s">
        <v>14</v>
      </c>
      <c r="I154" s="79" t="s">
        <v>14</v>
      </c>
      <c r="J154" s="80">
        <v>5.8</v>
      </c>
      <c r="K154" s="81">
        <v>1</v>
      </c>
      <c r="L154" s="82">
        <v>0</v>
      </c>
      <c r="M154" s="83">
        <v>0</v>
      </c>
      <c r="N154" s="84">
        <v>93.69</v>
      </c>
      <c r="O154" s="85">
        <v>0</v>
      </c>
      <c r="P154" s="86"/>
      <c r="Q154" s="87">
        <f t="shared" si="23"/>
        <v>0</v>
      </c>
      <c r="R154" s="88">
        <f t="shared" si="24"/>
        <v>4</v>
      </c>
      <c r="S154" s="89">
        <f t="shared" si="25"/>
        <v>0</v>
      </c>
      <c r="T154" s="89">
        <f t="shared" si="26"/>
        <v>0</v>
      </c>
      <c r="U154" s="89">
        <f t="shared" si="27"/>
        <v>0</v>
      </c>
      <c r="V154" s="89">
        <f t="shared" si="28"/>
        <v>0</v>
      </c>
      <c r="W154" s="89">
        <f t="shared" si="29"/>
        <v>0</v>
      </c>
      <c r="X154" s="89">
        <f t="shared" si="30"/>
        <v>0</v>
      </c>
      <c r="Y154" s="89">
        <f t="shared" si="31"/>
        <v>0</v>
      </c>
      <c r="Z154" s="89">
        <f t="shared" si="32"/>
        <v>0</v>
      </c>
      <c r="AA154" s="41">
        <f t="shared" si="33"/>
        <v>0</v>
      </c>
      <c r="AB154" s="49"/>
      <c r="AC154" s="50"/>
      <c r="AD154" s="49"/>
      <c r="AE154" s="50"/>
      <c r="AF154" s="49" t="s">
        <v>5</v>
      </c>
      <c r="AG154" s="50" t="s">
        <v>427</v>
      </c>
      <c r="AH154" s="49"/>
      <c r="AI154" s="50"/>
      <c r="AJ154" s="49"/>
      <c r="AK154" s="50"/>
      <c r="AL154" s="49"/>
      <c r="AM154" s="50"/>
      <c r="AN154" s="49"/>
      <c r="AO154" s="50"/>
      <c r="AP154" s="49" t="s">
        <v>5</v>
      </c>
      <c r="AQ154" s="50" t="s">
        <v>428</v>
      </c>
      <c r="AR154" s="49"/>
      <c r="AS154" s="50"/>
      <c r="AT154" s="49"/>
      <c r="AU154" s="50"/>
      <c r="AV154" s="49" t="s">
        <v>5</v>
      </c>
      <c r="AW154" s="50" t="s">
        <v>602</v>
      </c>
      <c r="AX154" s="49"/>
      <c r="AY154" s="50"/>
      <c r="AZ154" s="49"/>
      <c r="BA154" s="50"/>
      <c r="BB154" s="49"/>
      <c r="BC154" s="50"/>
      <c r="BD154" s="49"/>
      <c r="BE154" s="50"/>
      <c r="BF154" s="49"/>
      <c r="BG154" s="50"/>
      <c r="BH154" s="49"/>
      <c r="BI154" s="50"/>
      <c r="BJ154" s="49" t="s">
        <v>5</v>
      </c>
      <c r="BK154" s="50" t="s">
        <v>430</v>
      </c>
      <c r="BL154" s="49"/>
      <c r="BM154" s="50"/>
      <c r="BN154" s="49"/>
      <c r="BO154" s="50"/>
      <c r="BP154" s="49"/>
      <c r="BQ154" s="50"/>
      <c r="BR154" s="49"/>
      <c r="BS154" s="50"/>
      <c r="BT154" s="49"/>
      <c r="BU154" s="50"/>
      <c r="BV154" s="49"/>
      <c r="BW154" s="50"/>
      <c r="BX154" s="49"/>
      <c r="BY154" s="50"/>
      <c r="BZ154" s="49"/>
      <c r="CA154" s="50"/>
    </row>
    <row r="155" spans="1:79" s="91" customFormat="1" x14ac:dyDescent="0.25">
      <c r="A155" s="76">
        <v>150943</v>
      </c>
      <c r="B155" s="77" t="s">
        <v>611</v>
      </c>
      <c r="C155" s="78" t="s">
        <v>501</v>
      </c>
      <c r="D155" s="76" t="s">
        <v>12</v>
      </c>
      <c r="E155" s="79" t="s">
        <v>14</v>
      </c>
      <c r="F155" s="79" t="s">
        <v>71</v>
      </c>
      <c r="G155" s="79" t="s">
        <v>14</v>
      </c>
      <c r="H155" s="78" t="s">
        <v>14</v>
      </c>
      <c r="I155" s="79" t="s">
        <v>14</v>
      </c>
      <c r="J155" s="80">
        <v>6.1</v>
      </c>
      <c r="K155" s="81">
        <v>1</v>
      </c>
      <c r="L155" s="82">
        <v>0</v>
      </c>
      <c r="M155" s="83">
        <v>0</v>
      </c>
      <c r="N155" s="84">
        <v>100</v>
      </c>
      <c r="O155" s="85">
        <v>0</v>
      </c>
      <c r="P155" s="86"/>
      <c r="Q155" s="87">
        <f t="shared" si="23"/>
        <v>0</v>
      </c>
      <c r="R155" s="88">
        <f t="shared" si="24"/>
        <v>4</v>
      </c>
      <c r="S155" s="89">
        <f t="shared" si="25"/>
        <v>0</v>
      </c>
      <c r="T155" s="89">
        <f t="shared" si="26"/>
        <v>0</v>
      </c>
      <c r="U155" s="89">
        <f t="shared" si="27"/>
        <v>0</v>
      </c>
      <c r="V155" s="89">
        <f t="shared" si="28"/>
        <v>0</v>
      </c>
      <c r="W155" s="89">
        <f t="shared" si="29"/>
        <v>0</v>
      </c>
      <c r="X155" s="89">
        <f t="shared" si="30"/>
        <v>0</v>
      </c>
      <c r="Y155" s="89">
        <f t="shared" si="31"/>
        <v>0</v>
      </c>
      <c r="Z155" s="89">
        <f t="shared" si="32"/>
        <v>0</v>
      </c>
      <c r="AA155" s="41">
        <f t="shared" si="33"/>
        <v>0</v>
      </c>
      <c r="AB155" s="49"/>
      <c r="AC155" s="50"/>
      <c r="AD155" s="49"/>
      <c r="AE155" s="50"/>
      <c r="AF155" s="49" t="s">
        <v>5</v>
      </c>
      <c r="AG155" s="50" t="s">
        <v>427</v>
      </c>
      <c r="AH155" s="49" t="s">
        <v>5</v>
      </c>
      <c r="AI155" s="50" t="s">
        <v>206</v>
      </c>
      <c r="AJ155" s="49"/>
      <c r="AK155" s="50"/>
      <c r="AL155" s="49"/>
      <c r="AM155" s="50"/>
      <c r="AN155" s="49"/>
      <c r="AO155" s="50"/>
      <c r="AP155" s="49" t="s">
        <v>5</v>
      </c>
      <c r="AQ155" s="50" t="s">
        <v>428</v>
      </c>
      <c r="AR155" s="49"/>
      <c r="AS155" s="50"/>
      <c r="AT155" s="49"/>
      <c r="AU155" s="50"/>
      <c r="AV155" s="49" t="s">
        <v>5</v>
      </c>
      <c r="AW155" s="50" t="s">
        <v>135</v>
      </c>
      <c r="AX155" s="49"/>
      <c r="AY155" s="50"/>
      <c r="AZ155" s="49"/>
      <c r="BA155" s="50"/>
      <c r="BB155" s="49"/>
      <c r="BC155" s="50"/>
      <c r="BD155" s="49"/>
      <c r="BE155" s="50"/>
      <c r="BF155" s="49"/>
      <c r="BG155" s="50"/>
      <c r="BH155" s="49"/>
      <c r="BI155" s="50"/>
      <c r="BJ155" s="49"/>
      <c r="BK155" s="50"/>
      <c r="BL155" s="49"/>
      <c r="BM155" s="50"/>
      <c r="BN155" s="49"/>
      <c r="BO155" s="50"/>
      <c r="BP155" s="49"/>
      <c r="BQ155" s="50"/>
      <c r="BR155" s="49"/>
      <c r="BS155" s="50"/>
      <c r="BT155" s="49"/>
      <c r="BU155" s="50"/>
      <c r="BV155" s="49"/>
      <c r="BW155" s="50"/>
      <c r="BX155" s="49"/>
      <c r="BY155" s="50"/>
      <c r="BZ155" s="49"/>
      <c r="CA155" s="50"/>
    </row>
    <row r="156" spans="1:79" s="91" customFormat="1" x14ac:dyDescent="0.25">
      <c r="A156" s="76">
        <v>150912</v>
      </c>
      <c r="B156" s="77" t="s">
        <v>612</v>
      </c>
      <c r="C156" s="78" t="s">
        <v>501</v>
      </c>
      <c r="D156" s="76" t="s">
        <v>12</v>
      </c>
      <c r="E156" s="79" t="s">
        <v>14</v>
      </c>
      <c r="F156" s="79" t="s">
        <v>88</v>
      </c>
      <c r="G156" s="79" t="s">
        <v>14</v>
      </c>
      <c r="H156" s="78" t="s">
        <v>14</v>
      </c>
      <c r="I156" s="79" t="s">
        <v>14</v>
      </c>
      <c r="J156" s="80">
        <v>8.1999999999999993</v>
      </c>
      <c r="K156" s="81">
        <v>0</v>
      </c>
      <c r="L156" s="82">
        <v>0</v>
      </c>
      <c r="M156" s="83">
        <v>0</v>
      </c>
      <c r="N156" s="84">
        <v>100</v>
      </c>
      <c r="O156" s="85">
        <v>8</v>
      </c>
      <c r="P156" s="86"/>
      <c r="Q156" s="87">
        <f t="shared" si="23"/>
        <v>0</v>
      </c>
      <c r="R156" s="88">
        <f t="shared" si="24"/>
        <v>5</v>
      </c>
      <c r="S156" s="89">
        <f t="shared" si="25"/>
        <v>0</v>
      </c>
      <c r="T156" s="89">
        <f t="shared" si="26"/>
        <v>0</v>
      </c>
      <c r="U156" s="89">
        <f t="shared" si="27"/>
        <v>0</v>
      </c>
      <c r="V156" s="89">
        <f t="shared" si="28"/>
        <v>0</v>
      </c>
      <c r="W156" s="89">
        <f t="shared" si="29"/>
        <v>0</v>
      </c>
      <c r="X156" s="89">
        <f t="shared" si="30"/>
        <v>0</v>
      </c>
      <c r="Y156" s="89">
        <f t="shared" si="31"/>
        <v>0</v>
      </c>
      <c r="Z156" s="89">
        <f t="shared" si="32"/>
        <v>0</v>
      </c>
      <c r="AA156" s="41">
        <f t="shared" si="33"/>
        <v>0</v>
      </c>
      <c r="AB156" s="49"/>
      <c r="AC156" s="50"/>
      <c r="AD156" s="49"/>
      <c r="AE156" s="50"/>
      <c r="AF156" s="49"/>
      <c r="AG156" s="50"/>
      <c r="AH156" s="49" t="s">
        <v>5</v>
      </c>
      <c r="AI156" s="50" t="s">
        <v>424</v>
      </c>
      <c r="AJ156" s="49"/>
      <c r="AK156" s="50"/>
      <c r="AL156" s="49"/>
      <c r="AM156" s="50"/>
      <c r="AN156" s="49"/>
      <c r="AO156" s="50"/>
      <c r="AP156" s="49" t="s">
        <v>5</v>
      </c>
      <c r="AQ156" s="50" t="s">
        <v>428</v>
      </c>
      <c r="AR156" s="49"/>
      <c r="AS156" s="50"/>
      <c r="AT156" s="49"/>
      <c r="AU156" s="50"/>
      <c r="AV156" s="49" t="s">
        <v>5</v>
      </c>
      <c r="AW156" s="50" t="s">
        <v>135</v>
      </c>
      <c r="AX156" s="49"/>
      <c r="AY156" s="50"/>
      <c r="AZ156" s="49" t="s">
        <v>5</v>
      </c>
      <c r="BA156" s="50" t="s">
        <v>430</v>
      </c>
      <c r="BB156" s="49"/>
      <c r="BC156" s="50"/>
      <c r="BD156" s="49"/>
      <c r="BE156" s="50"/>
      <c r="BF156" s="49"/>
      <c r="BG156" s="50"/>
      <c r="BH156" s="49"/>
      <c r="BI156" s="50"/>
      <c r="BJ156" s="49" t="s">
        <v>5</v>
      </c>
      <c r="BK156" s="50" t="s">
        <v>430</v>
      </c>
      <c r="BL156" s="49"/>
      <c r="BM156" s="50"/>
      <c r="BN156" s="49"/>
      <c r="BO156" s="50"/>
      <c r="BP156" s="49"/>
      <c r="BQ156" s="50"/>
      <c r="BR156" s="49"/>
      <c r="BS156" s="50"/>
      <c r="BT156" s="49"/>
      <c r="BU156" s="50"/>
      <c r="BV156" s="49"/>
      <c r="BW156" s="50"/>
      <c r="BX156" s="49"/>
      <c r="BY156" s="50"/>
      <c r="BZ156" s="49"/>
      <c r="CA156" s="50"/>
    </row>
    <row r="157" spans="1:79" s="91" customFormat="1" x14ac:dyDescent="0.25">
      <c r="A157" s="76">
        <v>150790</v>
      </c>
      <c r="B157" s="77" t="s">
        <v>613</v>
      </c>
      <c r="C157" s="78" t="s">
        <v>501</v>
      </c>
      <c r="D157" s="76" t="s">
        <v>12</v>
      </c>
      <c r="E157" s="79" t="s">
        <v>14</v>
      </c>
      <c r="F157" s="79" t="s">
        <v>71</v>
      </c>
      <c r="G157" s="79" t="s">
        <v>14</v>
      </c>
      <c r="H157" s="78" t="s">
        <v>14</v>
      </c>
      <c r="I157" s="79" t="s">
        <v>14</v>
      </c>
      <c r="J157" s="80">
        <v>5.3</v>
      </c>
      <c r="K157" s="81">
        <v>1</v>
      </c>
      <c r="L157" s="82">
        <v>0</v>
      </c>
      <c r="M157" s="83">
        <v>0</v>
      </c>
      <c r="N157" s="84">
        <v>99.15</v>
      </c>
      <c r="O157" s="85">
        <v>0</v>
      </c>
      <c r="P157" s="86"/>
      <c r="Q157" s="87">
        <f t="shared" si="23"/>
        <v>1</v>
      </c>
      <c r="R157" s="88">
        <f t="shared" si="24"/>
        <v>3</v>
      </c>
      <c r="S157" s="89">
        <f t="shared" si="25"/>
        <v>0</v>
      </c>
      <c r="T157" s="89">
        <f t="shared" si="26"/>
        <v>0</v>
      </c>
      <c r="U157" s="89">
        <f t="shared" si="27"/>
        <v>0</v>
      </c>
      <c r="V157" s="89">
        <f t="shared" si="28"/>
        <v>0</v>
      </c>
      <c r="W157" s="89">
        <f t="shared" si="29"/>
        <v>0</v>
      </c>
      <c r="X157" s="89">
        <f t="shared" si="30"/>
        <v>0</v>
      </c>
      <c r="Y157" s="89">
        <f t="shared" si="31"/>
        <v>0</v>
      </c>
      <c r="Z157" s="89">
        <f t="shared" si="32"/>
        <v>0</v>
      </c>
      <c r="AA157" s="41">
        <f t="shared" si="33"/>
        <v>0</v>
      </c>
      <c r="AB157" s="49"/>
      <c r="AC157" s="50"/>
      <c r="AD157" s="49"/>
      <c r="AE157" s="50"/>
      <c r="AF157" s="49" t="s">
        <v>5</v>
      </c>
      <c r="AG157" s="50" t="s">
        <v>427</v>
      </c>
      <c r="AH157" s="49"/>
      <c r="AI157" s="50"/>
      <c r="AJ157" s="49"/>
      <c r="AK157" s="50"/>
      <c r="AL157" s="49"/>
      <c r="AM157" s="50"/>
      <c r="AN157" s="49"/>
      <c r="AO157" s="50"/>
      <c r="AP157" s="49"/>
      <c r="AQ157" s="50"/>
      <c r="AR157" s="49"/>
      <c r="AS157" s="50"/>
      <c r="AT157" s="49"/>
      <c r="AU157" s="50"/>
      <c r="AV157" s="49" t="s">
        <v>5</v>
      </c>
      <c r="AW157" s="50" t="s">
        <v>602</v>
      </c>
      <c r="AX157" s="49"/>
      <c r="AY157" s="50"/>
      <c r="AZ157" s="49"/>
      <c r="BA157" s="50"/>
      <c r="BB157" s="49"/>
      <c r="BC157" s="50"/>
      <c r="BD157" s="49"/>
      <c r="BE157" s="50"/>
      <c r="BF157" s="49"/>
      <c r="BG157" s="50"/>
      <c r="BH157" s="49"/>
      <c r="BI157" s="50"/>
      <c r="BJ157" s="49"/>
      <c r="BK157" s="50"/>
      <c r="BL157" s="49"/>
      <c r="BM157" s="50"/>
      <c r="BN157" s="49"/>
      <c r="BO157" s="50"/>
      <c r="BP157" s="49"/>
      <c r="BQ157" s="50"/>
      <c r="BR157" s="49"/>
      <c r="BS157" s="50"/>
      <c r="BT157" s="49"/>
      <c r="BU157" s="50"/>
      <c r="BV157" s="49" t="s">
        <v>5</v>
      </c>
      <c r="BW157" s="50" t="s">
        <v>425</v>
      </c>
      <c r="BX157" s="49" t="s">
        <v>1</v>
      </c>
      <c r="BY157" s="50" t="s">
        <v>462</v>
      </c>
      <c r="BZ157" s="49"/>
      <c r="CA157" s="50"/>
    </row>
    <row r="158" spans="1:79" s="91" customFormat="1" x14ac:dyDescent="0.25">
      <c r="A158" s="76">
        <v>150826</v>
      </c>
      <c r="B158" s="77" t="s">
        <v>614</v>
      </c>
      <c r="C158" s="78" t="s">
        <v>501</v>
      </c>
      <c r="D158" s="76" t="s">
        <v>12</v>
      </c>
      <c r="E158" s="79" t="s">
        <v>14</v>
      </c>
      <c r="F158" s="79" t="s">
        <v>71</v>
      </c>
      <c r="G158" s="79" t="s">
        <v>14</v>
      </c>
      <c r="H158" s="78" t="s">
        <v>14</v>
      </c>
      <c r="I158" s="79" t="s">
        <v>14</v>
      </c>
      <c r="J158" s="80">
        <v>6.3</v>
      </c>
      <c r="K158" s="81">
        <v>0</v>
      </c>
      <c r="L158" s="82">
        <v>0</v>
      </c>
      <c r="M158" s="83">
        <v>0</v>
      </c>
      <c r="N158" s="84">
        <v>90.07</v>
      </c>
      <c r="O158" s="85">
        <v>0</v>
      </c>
      <c r="P158" s="86"/>
      <c r="Q158" s="87">
        <f t="shared" si="23"/>
        <v>0</v>
      </c>
      <c r="R158" s="88">
        <f t="shared" si="24"/>
        <v>5</v>
      </c>
      <c r="S158" s="89">
        <f t="shared" si="25"/>
        <v>0</v>
      </c>
      <c r="T158" s="89">
        <f t="shared" si="26"/>
        <v>0</v>
      </c>
      <c r="U158" s="89">
        <f t="shared" si="27"/>
        <v>0</v>
      </c>
      <c r="V158" s="89">
        <f t="shared" si="28"/>
        <v>0</v>
      </c>
      <c r="W158" s="89">
        <f t="shared" si="29"/>
        <v>0</v>
      </c>
      <c r="X158" s="89">
        <f t="shared" si="30"/>
        <v>0</v>
      </c>
      <c r="Y158" s="89">
        <f t="shared" si="31"/>
        <v>0</v>
      </c>
      <c r="Z158" s="89">
        <f t="shared" si="32"/>
        <v>0</v>
      </c>
      <c r="AA158" s="41">
        <f t="shared" si="33"/>
        <v>0</v>
      </c>
      <c r="AB158" s="49"/>
      <c r="AC158" s="50"/>
      <c r="AD158" s="49"/>
      <c r="AE158" s="50"/>
      <c r="AF158" s="49"/>
      <c r="AG158" s="50"/>
      <c r="AH158" s="49"/>
      <c r="AI158" s="50"/>
      <c r="AJ158" s="49"/>
      <c r="AK158" s="50"/>
      <c r="AL158" s="49"/>
      <c r="AM158" s="50"/>
      <c r="AN158" s="49"/>
      <c r="AO158" s="50"/>
      <c r="AP158" s="49"/>
      <c r="AQ158" s="50"/>
      <c r="AR158" s="49"/>
      <c r="AS158" s="50"/>
      <c r="AT158" s="49"/>
      <c r="AU158" s="50"/>
      <c r="AV158" s="49" t="s">
        <v>5</v>
      </c>
      <c r="AW158" s="50" t="s">
        <v>602</v>
      </c>
      <c r="AX158" s="49"/>
      <c r="AY158" s="50"/>
      <c r="AZ158" s="49" t="s">
        <v>5</v>
      </c>
      <c r="BA158" s="50" t="s">
        <v>430</v>
      </c>
      <c r="BB158" s="49" t="s">
        <v>5</v>
      </c>
      <c r="BC158" s="50" t="s">
        <v>92</v>
      </c>
      <c r="BD158" s="49"/>
      <c r="BE158" s="50"/>
      <c r="BF158" s="49"/>
      <c r="BG158" s="50"/>
      <c r="BH158" s="49"/>
      <c r="BI158" s="50"/>
      <c r="BJ158" s="49" t="s">
        <v>5</v>
      </c>
      <c r="BK158" s="50" t="s">
        <v>430</v>
      </c>
      <c r="BL158" s="49"/>
      <c r="BM158" s="50"/>
      <c r="BN158" s="49"/>
      <c r="BO158" s="50"/>
      <c r="BP158" s="49"/>
      <c r="BQ158" s="50"/>
      <c r="BR158" s="49" t="s">
        <v>5</v>
      </c>
      <c r="BS158" s="50" t="s">
        <v>98</v>
      </c>
      <c r="BT158" s="49"/>
      <c r="BU158" s="50"/>
      <c r="BV158" s="49"/>
      <c r="BW158" s="50"/>
      <c r="BX158" s="49"/>
      <c r="BY158" s="50"/>
      <c r="BZ158" s="49"/>
      <c r="CA158" s="50"/>
    </row>
    <row r="159" spans="1:79" s="91" customFormat="1" x14ac:dyDescent="0.25">
      <c r="A159" s="76">
        <v>160052</v>
      </c>
      <c r="B159" s="77" t="s">
        <v>615</v>
      </c>
      <c r="C159" s="78" t="s">
        <v>497</v>
      </c>
      <c r="D159" s="76" t="s">
        <v>12</v>
      </c>
      <c r="E159" s="79" t="s">
        <v>14</v>
      </c>
      <c r="F159" s="79" t="s">
        <v>312</v>
      </c>
      <c r="G159" s="79" t="s">
        <v>14</v>
      </c>
      <c r="H159" s="78" t="s">
        <v>14</v>
      </c>
      <c r="I159" s="79" t="s">
        <v>14</v>
      </c>
      <c r="J159" s="80">
        <v>5.2</v>
      </c>
      <c r="K159" s="81">
        <v>1</v>
      </c>
      <c r="L159" s="82">
        <v>0</v>
      </c>
      <c r="M159" s="83">
        <v>0</v>
      </c>
      <c r="N159" s="84">
        <v>63.87</v>
      </c>
      <c r="O159" s="85">
        <v>6</v>
      </c>
      <c r="P159" s="86"/>
      <c r="Q159" s="87">
        <f t="shared" si="23"/>
        <v>0</v>
      </c>
      <c r="R159" s="88">
        <f t="shared" si="24"/>
        <v>3</v>
      </c>
      <c r="S159" s="89">
        <f t="shared" si="25"/>
        <v>0</v>
      </c>
      <c r="T159" s="89">
        <f t="shared" si="26"/>
        <v>0</v>
      </c>
      <c r="U159" s="89">
        <f t="shared" si="27"/>
        <v>1</v>
      </c>
      <c r="V159" s="89">
        <f t="shared" si="28"/>
        <v>1</v>
      </c>
      <c r="W159" s="89">
        <f t="shared" si="29"/>
        <v>0</v>
      </c>
      <c r="X159" s="89">
        <f t="shared" si="30"/>
        <v>0</v>
      </c>
      <c r="Y159" s="89">
        <f t="shared" si="31"/>
        <v>0</v>
      </c>
      <c r="Z159" s="89">
        <f t="shared" si="32"/>
        <v>0</v>
      </c>
      <c r="AA159" s="41">
        <f t="shared" si="33"/>
        <v>0</v>
      </c>
      <c r="AB159" s="49"/>
      <c r="AC159" s="50"/>
      <c r="AD159" s="49"/>
      <c r="AE159" s="50"/>
      <c r="AF159" s="49" t="s">
        <v>5</v>
      </c>
      <c r="AG159" s="50" t="s">
        <v>427</v>
      </c>
      <c r="AH159" s="49"/>
      <c r="AI159" s="50"/>
      <c r="AJ159" s="49"/>
      <c r="AK159" s="50"/>
      <c r="AL159" s="49"/>
      <c r="AM159" s="50"/>
      <c r="AN159" s="49"/>
      <c r="AO159" s="50"/>
      <c r="AP159" s="49" t="s">
        <v>5</v>
      </c>
      <c r="AQ159" s="50" t="s">
        <v>428</v>
      </c>
      <c r="AR159" s="49"/>
      <c r="AS159" s="50"/>
      <c r="AT159" s="49"/>
      <c r="AU159" s="50"/>
      <c r="AV159" s="49" t="s">
        <v>32</v>
      </c>
      <c r="AW159" s="50" t="s">
        <v>476</v>
      </c>
      <c r="AX159" s="49"/>
      <c r="AY159" s="50"/>
      <c r="AZ159" s="49"/>
      <c r="BA159" s="50"/>
      <c r="BB159" s="49"/>
      <c r="BC159" s="50"/>
      <c r="BD159" s="49"/>
      <c r="BE159" s="50"/>
      <c r="BF159" s="49"/>
      <c r="BG159" s="50"/>
      <c r="BH159" s="49"/>
      <c r="BI159" s="50"/>
      <c r="BJ159" s="49"/>
      <c r="BK159" s="50"/>
      <c r="BL159" s="49"/>
      <c r="BM159" s="50"/>
      <c r="BN159" s="49"/>
      <c r="BO159" s="50"/>
      <c r="BP159" s="49"/>
      <c r="BQ159" s="50"/>
      <c r="BR159" s="49"/>
      <c r="BS159" s="50"/>
      <c r="BT159" s="49"/>
      <c r="BU159" s="50"/>
      <c r="BV159" s="49" t="s">
        <v>5</v>
      </c>
      <c r="BW159" s="50" t="s">
        <v>425</v>
      </c>
      <c r="BX159" s="49"/>
      <c r="BY159" s="50"/>
      <c r="BZ159" s="49"/>
      <c r="CA159" s="50"/>
    </row>
    <row r="160" spans="1:79" s="91" customFormat="1" x14ac:dyDescent="0.25">
      <c r="A160" s="76">
        <v>150869</v>
      </c>
      <c r="B160" s="77" t="s">
        <v>616</v>
      </c>
      <c r="C160" s="78" t="s">
        <v>440</v>
      </c>
      <c r="D160" s="76" t="s">
        <v>12</v>
      </c>
      <c r="E160" s="79" t="s">
        <v>14</v>
      </c>
      <c r="F160" s="79" t="s">
        <v>71</v>
      </c>
      <c r="G160" s="79" t="s">
        <v>14</v>
      </c>
      <c r="H160" s="78" t="s">
        <v>14</v>
      </c>
      <c r="I160" s="79" t="s">
        <v>14</v>
      </c>
      <c r="J160" s="80">
        <v>4.2</v>
      </c>
      <c r="K160" s="81">
        <v>1</v>
      </c>
      <c r="L160" s="82">
        <v>0</v>
      </c>
      <c r="M160" s="83">
        <v>0</v>
      </c>
      <c r="N160" s="84">
        <v>88.89</v>
      </c>
      <c r="O160" s="85">
        <v>0</v>
      </c>
      <c r="P160" s="86"/>
      <c r="Q160" s="87">
        <f t="shared" si="23"/>
        <v>0</v>
      </c>
      <c r="R160" s="88">
        <f t="shared" si="24"/>
        <v>4</v>
      </c>
      <c r="S160" s="89">
        <f t="shared" si="25"/>
        <v>0</v>
      </c>
      <c r="T160" s="89">
        <f t="shared" si="26"/>
        <v>0</v>
      </c>
      <c r="U160" s="89">
        <f t="shared" si="27"/>
        <v>0</v>
      </c>
      <c r="V160" s="89">
        <f t="shared" si="28"/>
        <v>0</v>
      </c>
      <c r="W160" s="89">
        <f t="shared" si="29"/>
        <v>0</v>
      </c>
      <c r="X160" s="89">
        <f t="shared" si="30"/>
        <v>0</v>
      </c>
      <c r="Y160" s="89">
        <f t="shared" si="31"/>
        <v>0</v>
      </c>
      <c r="Z160" s="89">
        <f t="shared" si="32"/>
        <v>0</v>
      </c>
      <c r="AA160" s="41">
        <f t="shared" si="33"/>
        <v>0</v>
      </c>
      <c r="AB160" s="49"/>
      <c r="AC160" s="50"/>
      <c r="AD160" s="49"/>
      <c r="AE160" s="50"/>
      <c r="AF160" s="49"/>
      <c r="AG160" s="50"/>
      <c r="AH160" s="49"/>
      <c r="AI160" s="50"/>
      <c r="AJ160" s="49"/>
      <c r="AK160" s="50"/>
      <c r="AL160" s="49"/>
      <c r="AM160" s="50"/>
      <c r="AN160" s="49"/>
      <c r="AO160" s="50"/>
      <c r="AP160" s="49"/>
      <c r="AQ160" s="50"/>
      <c r="AR160" s="49"/>
      <c r="AS160" s="50"/>
      <c r="AT160" s="49"/>
      <c r="AU160" s="50"/>
      <c r="AV160" s="49" t="s">
        <v>5</v>
      </c>
      <c r="AW160" s="50" t="s">
        <v>428</v>
      </c>
      <c r="AX160" s="49"/>
      <c r="AY160" s="50"/>
      <c r="AZ160" s="49"/>
      <c r="BA160" s="50"/>
      <c r="BB160" s="49"/>
      <c r="BC160" s="50"/>
      <c r="BD160" s="49"/>
      <c r="BE160" s="50"/>
      <c r="BF160" s="49"/>
      <c r="BG160" s="50"/>
      <c r="BH160" s="49" t="s">
        <v>5</v>
      </c>
      <c r="BI160" s="50" t="s">
        <v>77</v>
      </c>
      <c r="BJ160" s="49"/>
      <c r="BK160" s="50"/>
      <c r="BL160" s="49"/>
      <c r="BM160" s="50"/>
      <c r="BN160" s="49"/>
      <c r="BO160" s="50"/>
      <c r="BP160" s="49"/>
      <c r="BQ160" s="50"/>
      <c r="BR160" s="49"/>
      <c r="BS160" s="50"/>
      <c r="BT160" s="49" t="s">
        <v>5</v>
      </c>
      <c r="BU160" s="50" t="s">
        <v>93</v>
      </c>
      <c r="BV160" s="49"/>
      <c r="BW160" s="50"/>
      <c r="BX160" s="49" t="s">
        <v>5</v>
      </c>
      <c r="BY160" s="50" t="s">
        <v>462</v>
      </c>
      <c r="BZ160" s="49"/>
      <c r="CA160" s="50"/>
    </row>
    <row r="161" spans="1:79" s="91" customFormat="1" x14ac:dyDescent="0.25">
      <c r="A161" s="76">
        <v>160077</v>
      </c>
      <c r="B161" s="77" t="s">
        <v>617</v>
      </c>
      <c r="C161" s="78" t="s">
        <v>501</v>
      </c>
      <c r="D161" s="76" t="s">
        <v>70</v>
      </c>
      <c r="E161" s="79" t="s">
        <v>87</v>
      </c>
      <c r="F161" s="79" t="s">
        <v>312</v>
      </c>
      <c r="G161" s="79" t="s">
        <v>14</v>
      </c>
      <c r="H161" s="78" t="s">
        <v>14</v>
      </c>
      <c r="I161" s="79" t="s">
        <v>14</v>
      </c>
      <c r="J161" s="80">
        <v>5.7</v>
      </c>
      <c r="K161" s="81">
        <v>1</v>
      </c>
      <c r="L161" s="82">
        <v>0</v>
      </c>
      <c r="M161" s="83">
        <v>0</v>
      </c>
      <c r="N161" s="84">
        <v>80.37</v>
      </c>
      <c r="O161" s="85">
        <v>4</v>
      </c>
      <c r="P161" s="86"/>
      <c r="Q161" s="87">
        <f t="shared" si="23"/>
        <v>1</v>
      </c>
      <c r="R161" s="88">
        <f t="shared" si="24"/>
        <v>3</v>
      </c>
      <c r="S161" s="89">
        <f t="shared" si="25"/>
        <v>0</v>
      </c>
      <c r="T161" s="89">
        <f t="shared" si="26"/>
        <v>0</v>
      </c>
      <c r="U161" s="89">
        <f t="shared" si="27"/>
        <v>0</v>
      </c>
      <c r="V161" s="89">
        <f t="shared" si="28"/>
        <v>0</v>
      </c>
      <c r="W161" s="89">
        <f t="shared" si="29"/>
        <v>0</v>
      </c>
      <c r="X161" s="89">
        <f t="shared" si="30"/>
        <v>0</v>
      </c>
      <c r="Y161" s="89">
        <f t="shared" si="31"/>
        <v>0</v>
      </c>
      <c r="Z161" s="89">
        <f t="shared" si="32"/>
        <v>0</v>
      </c>
      <c r="AA161" s="41">
        <f t="shared" si="33"/>
        <v>0</v>
      </c>
      <c r="AB161" s="49"/>
      <c r="AC161" s="50"/>
      <c r="AD161" s="49"/>
      <c r="AE161" s="50"/>
      <c r="AF161" s="49"/>
      <c r="AG161" s="50"/>
      <c r="AH161" s="49"/>
      <c r="AI161" s="50"/>
      <c r="AJ161" s="49" t="s">
        <v>5</v>
      </c>
      <c r="AK161" s="50" t="s">
        <v>163</v>
      </c>
      <c r="AL161" s="49"/>
      <c r="AM161" s="50"/>
      <c r="AN161" s="49"/>
      <c r="AO161" s="50"/>
      <c r="AP161" s="49" t="s">
        <v>1</v>
      </c>
      <c r="AQ161" s="50" t="s">
        <v>428</v>
      </c>
      <c r="AR161" s="49"/>
      <c r="AS161" s="50"/>
      <c r="AT161" s="49"/>
      <c r="AU161" s="50"/>
      <c r="AV161" s="49" t="s">
        <v>5</v>
      </c>
      <c r="AW161" s="50" t="s">
        <v>602</v>
      </c>
      <c r="AX161" s="49"/>
      <c r="AY161" s="50"/>
      <c r="AZ161" s="49"/>
      <c r="BA161" s="50"/>
      <c r="BB161" s="49"/>
      <c r="BC161" s="50"/>
      <c r="BD161" s="49"/>
      <c r="BE161" s="50"/>
      <c r="BF161" s="49"/>
      <c r="BG161" s="50"/>
      <c r="BH161" s="49"/>
      <c r="BI161" s="50"/>
      <c r="BJ161" s="49"/>
      <c r="BK161" s="50"/>
      <c r="BL161" s="49"/>
      <c r="BM161" s="50"/>
      <c r="BN161" s="49"/>
      <c r="BO161" s="50"/>
      <c r="BP161" s="49"/>
      <c r="BQ161" s="50"/>
      <c r="BR161" s="49"/>
      <c r="BS161" s="50"/>
      <c r="BT161" s="49" t="s">
        <v>5</v>
      </c>
      <c r="BU161" s="50" t="s">
        <v>93</v>
      </c>
      <c r="BV161" s="49"/>
      <c r="BW161" s="50"/>
      <c r="BX161" s="49"/>
      <c r="BY161" s="50"/>
      <c r="BZ161" s="49"/>
      <c r="CA161" s="50"/>
    </row>
    <row r="162" spans="1:79" s="91" customFormat="1" x14ac:dyDescent="0.25">
      <c r="A162" s="76">
        <v>150850</v>
      </c>
      <c r="B162" s="77" t="s">
        <v>618</v>
      </c>
      <c r="C162" s="78" t="s">
        <v>501</v>
      </c>
      <c r="D162" s="76" t="s">
        <v>12</v>
      </c>
      <c r="E162" s="79" t="s">
        <v>14</v>
      </c>
      <c r="F162" s="79" t="s">
        <v>71</v>
      </c>
      <c r="G162" s="79" t="s">
        <v>14</v>
      </c>
      <c r="H162" s="78" t="s">
        <v>14</v>
      </c>
      <c r="I162" s="79" t="s">
        <v>14</v>
      </c>
      <c r="J162" s="80">
        <v>7.3</v>
      </c>
      <c r="K162" s="81">
        <v>0</v>
      </c>
      <c r="L162" s="82">
        <v>0</v>
      </c>
      <c r="M162" s="83">
        <v>0</v>
      </c>
      <c r="N162" s="84">
        <v>99.28</v>
      </c>
      <c r="O162" s="85">
        <v>8</v>
      </c>
      <c r="P162" s="86"/>
      <c r="Q162" s="87">
        <f t="shared" si="23"/>
        <v>0</v>
      </c>
      <c r="R162" s="88">
        <f t="shared" si="24"/>
        <v>5</v>
      </c>
      <c r="S162" s="89">
        <f t="shared" si="25"/>
        <v>0</v>
      </c>
      <c r="T162" s="89">
        <f t="shared" si="26"/>
        <v>0</v>
      </c>
      <c r="U162" s="89">
        <f t="shared" si="27"/>
        <v>0</v>
      </c>
      <c r="V162" s="89">
        <f t="shared" si="28"/>
        <v>0</v>
      </c>
      <c r="W162" s="89">
        <f t="shared" si="29"/>
        <v>0</v>
      </c>
      <c r="X162" s="89">
        <f t="shared" si="30"/>
        <v>0</v>
      </c>
      <c r="Y162" s="89">
        <f t="shared" si="31"/>
        <v>0</v>
      </c>
      <c r="Z162" s="89">
        <f t="shared" si="32"/>
        <v>0</v>
      </c>
      <c r="AA162" s="41">
        <f t="shared" si="33"/>
        <v>0</v>
      </c>
      <c r="AB162" s="49"/>
      <c r="AC162" s="50"/>
      <c r="AD162" s="49"/>
      <c r="AE162" s="50"/>
      <c r="AF162" s="49"/>
      <c r="AG162" s="50"/>
      <c r="AH162" s="49"/>
      <c r="AI162" s="50"/>
      <c r="AJ162" s="49"/>
      <c r="AK162" s="50"/>
      <c r="AL162" s="49"/>
      <c r="AM162" s="50"/>
      <c r="AN162" s="49"/>
      <c r="AO162" s="50"/>
      <c r="AP162" s="49"/>
      <c r="AQ162" s="50"/>
      <c r="AR162" s="49"/>
      <c r="AS162" s="50"/>
      <c r="AT162" s="49"/>
      <c r="AU162" s="50"/>
      <c r="AV162" s="49" t="s">
        <v>5</v>
      </c>
      <c r="AW162" s="50" t="s">
        <v>135</v>
      </c>
      <c r="AX162" s="49"/>
      <c r="AY162" s="50"/>
      <c r="AZ162" s="49" t="s">
        <v>5</v>
      </c>
      <c r="BA162" s="50" t="s">
        <v>430</v>
      </c>
      <c r="BB162" s="49"/>
      <c r="BC162" s="50"/>
      <c r="BD162" s="49"/>
      <c r="BE162" s="50"/>
      <c r="BF162" s="49"/>
      <c r="BG162" s="50"/>
      <c r="BH162" s="49"/>
      <c r="BI162" s="50"/>
      <c r="BJ162" s="49" t="s">
        <v>5</v>
      </c>
      <c r="BK162" s="50" t="s">
        <v>422</v>
      </c>
      <c r="BL162" s="49"/>
      <c r="BM162" s="50"/>
      <c r="BN162" s="49"/>
      <c r="BO162" s="50"/>
      <c r="BP162" s="49"/>
      <c r="BQ162" s="50"/>
      <c r="BR162" s="49" t="s">
        <v>5</v>
      </c>
      <c r="BS162" s="50" t="s">
        <v>98</v>
      </c>
      <c r="BT162" s="49" t="s">
        <v>5</v>
      </c>
      <c r="BU162" s="50" t="s">
        <v>93</v>
      </c>
      <c r="BV162" s="49"/>
      <c r="BW162" s="50"/>
      <c r="BX162" s="49"/>
      <c r="BY162" s="50"/>
      <c r="BZ162" s="49"/>
      <c r="CA162" s="50"/>
    </row>
    <row r="163" spans="1:79" s="91" customFormat="1" x14ac:dyDescent="0.25">
      <c r="A163" s="76">
        <v>150816</v>
      </c>
      <c r="B163" s="77" t="s">
        <v>619</v>
      </c>
      <c r="C163" s="78" t="s">
        <v>501</v>
      </c>
      <c r="D163" s="76" t="s">
        <v>12</v>
      </c>
      <c r="E163" s="79" t="s">
        <v>14</v>
      </c>
      <c r="F163" s="79" t="s">
        <v>158</v>
      </c>
      <c r="G163" s="79" t="s">
        <v>14</v>
      </c>
      <c r="H163" s="78" t="s">
        <v>14</v>
      </c>
      <c r="I163" s="79" t="s">
        <v>14</v>
      </c>
      <c r="J163" s="80">
        <v>4.0999999999999996</v>
      </c>
      <c r="K163" s="81">
        <v>3</v>
      </c>
      <c r="L163" s="82">
        <v>0</v>
      </c>
      <c r="M163" s="83">
        <v>0</v>
      </c>
      <c r="N163" s="84">
        <v>96.58</v>
      </c>
      <c r="O163" s="85">
        <v>1</v>
      </c>
      <c r="P163" s="86"/>
      <c r="Q163" s="87">
        <f t="shared" si="23"/>
        <v>0</v>
      </c>
      <c r="R163" s="88">
        <f t="shared" si="24"/>
        <v>4</v>
      </c>
      <c r="S163" s="89">
        <f t="shared" si="25"/>
        <v>0</v>
      </c>
      <c r="T163" s="89">
        <f t="shared" si="26"/>
        <v>0</v>
      </c>
      <c r="U163" s="89">
        <f t="shared" si="27"/>
        <v>0</v>
      </c>
      <c r="V163" s="89">
        <f t="shared" si="28"/>
        <v>0</v>
      </c>
      <c r="W163" s="89">
        <f t="shared" si="29"/>
        <v>0</v>
      </c>
      <c r="X163" s="89">
        <f t="shared" si="30"/>
        <v>0</v>
      </c>
      <c r="Y163" s="89">
        <f t="shared" si="31"/>
        <v>0</v>
      </c>
      <c r="Z163" s="89">
        <f t="shared" si="32"/>
        <v>0</v>
      </c>
      <c r="AA163" s="41">
        <f t="shared" si="33"/>
        <v>0</v>
      </c>
      <c r="AB163" s="49"/>
      <c r="AC163" s="50"/>
      <c r="AD163" s="49"/>
      <c r="AE163" s="50"/>
      <c r="AF163" s="49" t="s">
        <v>5</v>
      </c>
      <c r="AG163" s="50" t="s">
        <v>427</v>
      </c>
      <c r="AH163" s="49"/>
      <c r="AI163" s="50"/>
      <c r="AJ163" s="49"/>
      <c r="AK163" s="50"/>
      <c r="AL163" s="49"/>
      <c r="AM163" s="50"/>
      <c r="AN163" s="49"/>
      <c r="AO163" s="50"/>
      <c r="AP163" s="49" t="s">
        <v>5</v>
      </c>
      <c r="AQ163" s="50" t="s">
        <v>428</v>
      </c>
      <c r="AR163" s="49"/>
      <c r="AS163" s="50"/>
      <c r="AT163" s="49"/>
      <c r="AU163" s="50"/>
      <c r="AV163" s="49" t="s">
        <v>5</v>
      </c>
      <c r="AW163" s="50" t="s">
        <v>457</v>
      </c>
      <c r="AX163" s="49"/>
      <c r="AY163" s="50"/>
      <c r="AZ163" s="49"/>
      <c r="BA163" s="50"/>
      <c r="BB163" s="49"/>
      <c r="BC163" s="50"/>
      <c r="BD163" s="49"/>
      <c r="BE163" s="50"/>
      <c r="BF163" s="49"/>
      <c r="BG163" s="50"/>
      <c r="BH163" s="49"/>
      <c r="BI163" s="50"/>
      <c r="BJ163" s="49"/>
      <c r="BK163" s="50"/>
      <c r="BL163" s="49"/>
      <c r="BM163" s="50"/>
      <c r="BN163" s="49"/>
      <c r="BO163" s="50"/>
      <c r="BP163" s="49"/>
      <c r="BQ163" s="50"/>
      <c r="BR163" s="49"/>
      <c r="BS163" s="50"/>
      <c r="BT163" s="49" t="s">
        <v>5</v>
      </c>
      <c r="BU163" s="50" t="s">
        <v>93</v>
      </c>
      <c r="BV163" s="49"/>
      <c r="BW163" s="50"/>
      <c r="BX163" s="49"/>
      <c r="BY163" s="50"/>
      <c r="BZ163" s="49"/>
      <c r="CA163" s="50"/>
    </row>
    <row r="164" spans="1:79" s="91" customFormat="1" x14ac:dyDescent="0.25">
      <c r="A164" s="76">
        <v>150911</v>
      </c>
      <c r="B164" s="77" t="s">
        <v>620</v>
      </c>
      <c r="C164" s="78" t="s">
        <v>466</v>
      </c>
      <c r="D164" s="76" t="s">
        <v>12</v>
      </c>
      <c r="E164" s="79" t="s">
        <v>14</v>
      </c>
      <c r="F164" s="79" t="s">
        <v>71</v>
      </c>
      <c r="G164" s="79" t="s">
        <v>14</v>
      </c>
      <c r="H164" s="78" t="s">
        <v>14</v>
      </c>
      <c r="I164" s="79" t="s">
        <v>14</v>
      </c>
      <c r="J164" s="80">
        <v>7.5</v>
      </c>
      <c r="K164" s="81">
        <v>0</v>
      </c>
      <c r="L164" s="82">
        <v>0</v>
      </c>
      <c r="M164" s="83">
        <v>0</v>
      </c>
      <c r="N164" s="84">
        <v>100</v>
      </c>
      <c r="O164" s="85">
        <v>2</v>
      </c>
      <c r="P164" s="86"/>
      <c r="Q164" s="87">
        <f t="shared" si="23"/>
        <v>2</v>
      </c>
      <c r="R164" s="88">
        <f t="shared" si="24"/>
        <v>2</v>
      </c>
      <c r="S164" s="89">
        <f t="shared" si="25"/>
        <v>0</v>
      </c>
      <c r="T164" s="89">
        <f t="shared" si="26"/>
        <v>0</v>
      </c>
      <c r="U164" s="89">
        <f t="shared" si="27"/>
        <v>0</v>
      </c>
      <c r="V164" s="89">
        <f t="shared" si="28"/>
        <v>0</v>
      </c>
      <c r="W164" s="89">
        <f t="shared" si="29"/>
        <v>0</v>
      </c>
      <c r="X164" s="89">
        <f t="shared" si="30"/>
        <v>0</v>
      </c>
      <c r="Y164" s="89">
        <f t="shared" si="31"/>
        <v>0</v>
      </c>
      <c r="Z164" s="89">
        <f t="shared" si="32"/>
        <v>0</v>
      </c>
      <c r="AA164" s="41">
        <f t="shared" si="33"/>
        <v>0</v>
      </c>
      <c r="AB164" s="49"/>
      <c r="AC164" s="50"/>
      <c r="AD164" s="49"/>
      <c r="AE164" s="50"/>
      <c r="AF164" s="49"/>
      <c r="AG164" s="50"/>
      <c r="AH164" s="49"/>
      <c r="AI164" s="50"/>
      <c r="AJ164" s="49"/>
      <c r="AK164" s="50"/>
      <c r="AL164" s="49"/>
      <c r="AM164" s="50"/>
      <c r="AN164" s="49"/>
      <c r="AO164" s="50"/>
      <c r="AP164" s="49" t="s">
        <v>1</v>
      </c>
      <c r="AQ164" s="50" t="s">
        <v>428</v>
      </c>
      <c r="AR164" s="49"/>
      <c r="AS164" s="50"/>
      <c r="AT164" s="49"/>
      <c r="AU164" s="50"/>
      <c r="AV164" s="49" t="s">
        <v>5</v>
      </c>
      <c r="AW164" s="50" t="s">
        <v>108</v>
      </c>
      <c r="AX164" s="49"/>
      <c r="AY164" s="50"/>
      <c r="AZ164" s="49"/>
      <c r="BA164" s="50"/>
      <c r="BB164" s="49"/>
      <c r="BC164" s="50"/>
      <c r="BD164" s="49"/>
      <c r="BE164" s="50"/>
      <c r="BF164" s="49"/>
      <c r="BG164" s="50"/>
      <c r="BH164" s="49"/>
      <c r="BI164" s="50"/>
      <c r="BJ164" s="49" t="s">
        <v>5</v>
      </c>
      <c r="BK164" s="50" t="s">
        <v>430</v>
      </c>
      <c r="BL164" s="49"/>
      <c r="BM164" s="50"/>
      <c r="BN164" s="49"/>
      <c r="BO164" s="50"/>
      <c r="BP164" s="49"/>
      <c r="BQ164" s="50"/>
      <c r="BR164" s="49" t="s">
        <v>1</v>
      </c>
      <c r="BS164" s="50" t="s">
        <v>109</v>
      </c>
      <c r="BT164" s="49"/>
      <c r="BU164" s="50"/>
      <c r="BV164" s="49"/>
      <c r="BW164" s="50"/>
      <c r="BX164" s="49"/>
      <c r="BY164" s="50"/>
      <c r="BZ164" s="49"/>
      <c r="CA164" s="50"/>
    </row>
    <row r="165" spans="1:79" s="91" customFormat="1" x14ac:dyDescent="0.25">
      <c r="A165" s="76">
        <v>150806</v>
      </c>
      <c r="B165" s="77" t="s">
        <v>621</v>
      </c>
      <c r="C165" s="78" t="s">
        <v>466</v>
      </c>
      <c r="D165" s="76" t="s">
        <v>12</v>
      </c>
      <c r="E165" s="79" t="s">
        <v>14</v>
      </c>
      <c r="F165" s="79" t="s">
        <v>184</v>
      </c>
      <c r="G165" s="79" t="s">
        <v>14</v>
      </c>
      <c r="H165" s="78" t="s">
        <v>14</v>
      </c>
      <c r="I165" s="79" t="s">
        <v>14</v>
      </c>
      <c r="J165" s="80">
        <v>7.5</v>
      </c>
      <c r="K165" s="81">
        <v>1</v>
      </c>
      <c r="L165" s="82">
        <v>0</v>
      </c>
      <c r="M165" s="83">
        <v>0</v>
      </c>
      <c r="N165" s="84">
        <v>99.27</v>
      </c>
      <c r="O165" s="85">
        <v>0</v>
      </c>
      <c r="P165" s="86"/>
      <c r="Q165" s="87">
        <f t="shared" si="23"/>
        <v>0</v>
      </c>
      <c r="R165" s="88">
        <f t="shared" si="24"/>
        <v>5</v>
      </c>
      <c r="S165" s="89">
        <f t="shared" si="25"/>
        <v>0</v>
      </c>
      <c r="T165" s="89">
        <f t="shared" si="26"/>
        <v>0</v>
      </c>
      <c r="U165" s="89">
        <f t="shared" si="27"/>
        <v>0</v>
      </c>
      <c r="V165" s="89">
        <f t="shared" si="28"/>
        <v>0</v>
      </c>
      <c r="W165" s="89">
        <f t="shared" si="29"/>
        <v>0</v>
      </c>
      <c r="X165" s="89">
        <f t="shared" si="30"/>
        <v>0</v>
      </c>
      <c r="Y165" s="89">
        <f t="shared" si="31"/>
        <v>0</v>
      </c>
      <c r="Z165" s="89">
        <f t="shared" si="32"/>
        <v>0</v>
      </c>
      <c r="AA165" s="41">
        <f t="shared" si="33"/>
        <v>0</v>
      </c>
      <c r="AB165" s="49"/>
      <c r="AC165" s="50"/>
      <c r="AD165" s="49"/>
      <c r="AE165" s="50"/>
      <c r="AF165" s="49"/>
      <c r="AG165" s="50"/>
      <c r="AH165" s="49"/>
      <c r="AI165" s="50"/>
      <c r="AJ165" s="49"/>
      <c r="AK165" s="50"/>
      <c r="AL165" s="49"/>
      <c r="AM165" s="50"/>
      <c r="AN165" s="49"/>
      <c r="AO165" s="50"/>
      <c r="AP165" s="49"/>
      <c r="AQ165" s="50"/>
      <c r="AR165" s="49"/>
      <c r="AS165" s="50"/>
      <c r="AT165" s="49"/>
      <c r="AU165" s="50"/>
      <c r="AV165" s="49" t="s">
        <v>5</v>
      </c>
      <c r="AW165" s="50" t="s">
        <v>602</v>
      </c>
      <c r="AX165" s="49"/>
      <c r="AY165" s="50"/>
      <c r="AZ165" s="49"/>
      <c r="BA165" s="50"/>
      <c r="BB165" s="49" t="s">
        <v>5</v>
      </c>
      <c r="BC165" s="50" t="s">
        <v>92</v>
      </c>
      <c r="BD165" s="49"/>
      <c r="BE165" s="50"/>
      <c r="BF165" s="49"/>
      <c r="BG165" s="50"/>
      <c r="BH165" s="49"/>
      <c r="BI165" s="50"/>
      <c r="BJ165" s="49" t="s">
        <v>5</v>
      </c>
      <c r="BK165" s="50" t="s">
        <v>430</v>
      </c>
      <c r="BL165" s="49"/>
      <c r="BM165" s="50"/>
      <c r="BN165" s="49" t="s">
        <v>5</v>
      </c>
      <c r="BO165" s="50" t="s">
        <v>82</v>
      </c>
      <c r="BP165" s="49"/>
      <c r="BQ165" s="50"/>
      <c r="BR165" s="49" t="s">
        <v>5</v>
      </c>
      <c r="BS165" s="50" t="s">
        <v>98</v>
      </c>
      <c r="BT165" s="49"/>
      <c r="BU165" s="50"/>
      <c r="BV165" s="49"/>
      <c r="BW165" s="50"/>
      <c r="BX165" s="49"/>
      <c r="BY165" s="50"/>
      <c r="BZ165" s="49"/>
      <c r="CA165" s="50"/>
    </row>
    <row r="166" spans="1:79" s="91" customFormat="1" x14ac:dyDescent="0.25">
      <c r="A166" s="76">
        <v>160094</v>
      </c>
      <c r="B166" s="77" t="s">
        <v>622</v>
      </c>
      <c r="C166" s="78" t="s">
        <v>440</v>
      </c>
      <c r="D166" s="76" t="s">
        <v>70</v>
      </c>
      <c r="E166" s="79" t="s">
        <v>14</v>
      </c>
      <c r="F166" s="79" t="s">
        <v>71</v>
      </c>
      <c r="G166" s="79" t="s">
        <v>14</v>
      </c>
      <c r="H166" s="78" t="s">
        <v>14</v>
      </c>
      <c r="I166" s="79" t="s">
        <v>14</v>
      </c>
      <c r="J166" s="80">
        <v>5.3</v>
      </c>
      <c r="K166" s="81">
        <v>0</v>
      </c>
      <c r="L166" s="82">
        <v>0</v>
      </c>
      <c r="M166" s="83">
        <v>0</v>
      </c>
      <c r="N166" s="84">
        <v>92.5</v>
      </c>
      <c r="O166" s="85">
        <v>0</v>
      </c>
      <c r="P166" s="86"/>
      <c r="Q166" s="87">
        <f t="shared" si="23"/>
        <v>0</v>
      </c>
      <c r="R166" s="88">
        <f t="shared" si="24"/>
        <v>4</v>
      </c>
      <c r="S166" s="89">
        <f t="shared" si="25"/>
        <v>0</v>
      </c>
      <c r="T166" s="89">
        <f t="shared" si="26"/>
        <v>0</v>
      </c>
      <c r="U166" s="89">
        <f t="shared" si="27"/>
        <v>0</v>
      </c>
      <c r="V166" s="89">
        <f t="shared" si="28"/>
        <v>0</v>
      </c>
      <c r="W166" s="89">
        <f t="shared" si="29"/>
        <v>0</v>
      </c>
      <c r="X166" s="89">
        <f t="shared" si="30"/>
        <v>0</v>
      </c>
      <c r="Y166" s="89">
        <f t="shared" si="31"/>
        <v>0</v>
      </c>
      <c r="Z166" s="89">
        <f t="shared" si="32"/>
        <v>0</v>
      </c>
      <c r="AA166" s="41">
        <f t="shared" si="33"/>
        <v>0</v>
      </c>
      <c r="AB166" s="49"/>
      <c r="AC166" s="50"/>
      <c r="AD166" s="49" t="s">
        <v>5</v>
      </c>
      <c r="AE166" s="50" t="s">
        <v>438</v>
      </c>
      <c r="AF166" s="49"/>
      <c r="AG166" s="50"/>
      <c r="AH166" s="49"/>
      <c r="AI166" s="50"/>
      <c r="AJ166" s="49"/>
      <c r="AK166" s="50"/>
      <c r="AL166" s="49"/>
      <c r="AM166" s="50"/>
      <c r="AN166" s="49"/>
      <c r="AO166" s="50"/>
      <c r="AP166" s="49"/>
      <c r="AQ166" s="50"/>
      <c r="AR166" s="49"/>
      <c r="AS166" s="50"/>
      <c r="AT166" s="49" t="s">
        <v>5</v>
      </c>
      <c r="AU166" s="50" t="s">
        <v>448</v>
      </c>
      <c r="AV166" s="49" t="s">
        <v>5</v>
      </c>
      <c r="AW166" s="50" t="s">
        <v>428</v>
      </c>
      <c r="AX166" s="49"/>
      <c r="AY166" s="50"/>
      <c r="AZ166" s="49"/>
      <c r="BA166" s="50"/>
      <c r="BB166" s="49"/>
      <c r="BC166" s="50"/>
      <c r="BD166" s="49"/>
      <c r="BE166" s="50"/>
      <c r="BF166" s="49"/>
      <c r="BG166" s="50"/>
      <c r="BH166" s="49"/>
      <c r="BI166" s="50"/>
      <c r="BJ166" s="49"/>
      <c r="BK166" s="50"/>
      <c r="BL166" s="49"/>
      <c r="BM166" s="50"/>
      <c r="BN166" s="49"/>
      <c r="BO166" s="50"/>
      <c r="BP166" s="49"/>
      <c r="BQ166" s="50"/>
      <c r="BR166" s="49"/>
      <c r="BS166" s="50"/>
      <c r="BT166" s="49"/>
      <c r="BU166" s="50"/>
      <c r="BV166" s="49" t="s">
        <v>5</v>
      </c>
      <c r="BW166" s="50" t="s">
        <v>425</v>
      </c>
      <c r="BX166" s="49"/>
      <c r="BY166" s="50"/>
      <c r="BZ166" s="49"/>
      <c r="CA166" s="50"/>
    </row>
    <row r="167" spans="1:79" s="91" customFormat="1" x14ac:dyDescent="0.25">
      <c r="A167" s="76">
        <v>150972</v>
      </c>
      <c r="B167" s="77" t="s">
        <v>623</v>
      </c>
      <c r="C167" s="78" t="s">
        <v>501</v>
      </c>
      <c r="D167" s="76" t="s">
        <v>70</v>
      </c>
      <c r="E167" s="79" t="s">
        <v>14</v>
      </c>
      <c r="F167" s="79" t="s">
        <v>71</v>
      </c>
      <c r="G167" s="79" t="s">
        <v>14</v>
      </c>
      <c r="H167" s="78" t="s">
        <v>14</v>
      </c>
      <c r="I167" s="79" t="s">
        <v>14</v>
      </c>
      <c r="J167" s="80">
        <v>6.7</v>
      </c>
      <c r="K167" s="81">
        <v>1</v>
      </c>
      <c r="L167" s="82">
        <v>0</v>
      </c>
      <c r="M167" s="83">
        <v>0</v>
      </c>
      <c r="N167" s="84">
        <v>100</v>
      </c>
      <c r="O167" s="85">
        <v>0</v>
      </c>
      <c r="P167" s="86"/>
      <c r="Q167" s="87">
        <f t="shared" si="23"/>
        <v>1</v>
      </c>
      <c r="R167" s="88">
        <f t="shared" si="24"/>
        <v>4</v>
      </c>
      <c r="S167" s="89">
        <f t="shared" si="25"/>
        <v>0</v>
      </c>
      <c r="T167" s="89">
        <f t="shared" si="26"/>
        <v>0</v>
      </c>
      <c r="U167" s="89">
        <f t="shared" si="27"/>
        <v>0</v>
      </c>
      <c r="V167" s="89">
        <f t="shared" si="28"/>
        <v>0</v>
      </c>
      <c r="W167" s="89">
        <f t="shared" si="29"/>
        <v>0</v>
      </c>
      <c r="X167" s="89">
        <f t="shared" si="30"/>
        <v>0</v>
      </c>
      <c r="Y167" s="89">
        <f t="shared" si="31"/>
        <v>0</v>
      </c>
      <c r="Z167" s="89">
        <f t="shared" si="32"/>
        <v>0</v>
      </c>
      <c r="AA167" s="41">
        <f t="shared" si="33"/>
        <v>0</v>
      </c>
      <c r="AB167" s="49"/>
      <c r="AC167" s="50"/>
      <c r="AD167" s="49"/>
      <c r="AE167" s="50"/>
      <c r="AF167" s="49"/>
      <c r="AG167" s="50"/>
      <c r="AH167" s="49"/>
      <c r="AI167" s="50"/>
      <c r="AJ167" s="49"/>
      <c r="AK167" s="50"/>
      <c r="AL167" s="49"/>
      <c r="AM167" s="50"/>
      <c r="AN167" s="49"/>
      <c r="AO167" s="50"/>
      <c r="AP167" s="49"/>
      <c r="AQ167" s="50"/>
      <c r="AR167" s="49" t="s">
        <v>5</v>
      </c>
      <c r="AS167" s="50" t="s">
        <v>459</v>
      </c>
      <c r="AT167" s="49" t="s">
        <v>5</v>
      </c>
      <c r="AU167" s="50" t="s">
        <v>478</v>
      </c>
      <c r="AV167" s="49" t="s">
        <v>5</v>
      </c>
      <c r="AW167" s="50" t="s">
        <v>602</v>
      </c>
      <c r="AX167" s="49"/>
      <c r="AY167" s="50"/>
      <c r="AZ167" s="49"/>
      <c r="BA167" s="50"/>
      <c r="BB167" s="49"/>
      <c r="BC167" s="50"/>
      <c r="BD167" s="49"/>
      <c r="BE167" s="50"/>
      <c r="BF167" s="49"/>
      <c r="BG167" s="50"/>
      <c r="BH167" s="49"/>
      <c r="BI167" s="50"/>
      <c r="BJ167" s="49"/>
      <c r="BK167" s="50"/>
      <c r="BL167" s="49"/>
      <c r="BM167" s="50"/>
      <c r="BN167" s="49"/>
      <c r="BO167" s="50"/>
      <c r="BP167" s="49"/>
      <c r="BQ167" s="50"/>
      <c r="BR167" s="49"/>
      <c r="BS167" s="50"/>
      <c r="BT167" s="49" t="s">
        <v>5</v>
      </c>
      <c r="BU167" s="50" t="s">
        <v>624</v>
      </c>
      <c r="BV167" s="49" t="s">
        <v>1</v>
      </c>
      <c r="BW167" s="50"/>
      <c r="BX167" s="49"/>
      <c r="BY167" s="50"/>
      <c r="BZ167" s="49"/>
      <c r="CA167" s="50"/>
    </row>
    <row r="168" spans="1:79" s="91" customFormat="1" x14ac:dyDescent="0.25">
      <c r="A168" s="76">
        <v>150847</v>
      </c>
      <c r="B168" s="77" t="s">
        <v>625</v>
      </c>
      <c r="C168" s="78" t="s">
        <v>501</v>
      </c>
      <c r="D168" s="76" t="s">
        <v>70</v>
      </c>
      <c r="E168" s="79" t="s">
        <v>87</v>
      </c>
      <c r="F168" s="79" t="s">
        <v>71</v>
      </c>
      <c r="G168" s="79" t="s">
        <v>14</v>
      </c>
      <c r="H168" s="78" t="s">
        <v>14</v>
      </c>
      <c r="I168" s="79" t="s">
        <v>14</v>
      </c>
      <c r="J168" s="80">
        <v>7.3</v>
      </c>
      <c r="K168" s="81">
        <v>2</v>
      </c>
      <c r="L168" s="82">
        <v>0</v>
      </c>
      <c r="M168" s="83">
        <v>0</v>
      </c>
      <c r="N168" s="84">
        <v>100</v>
      </c>
      <c r="O168" s="85">
        <v>0</v>
      </c>
      <c r="P168" s="86"/>
      <c r="Q168" s="87">
        <f t="shared" si="23"/>
        <v>0</v>
      </c>
      <c r="R168" s="88">
        <f t="shared" si="24"/>
        <v>4</v>
      </c>
      <c r="S168" s="89">
        <f t="shared" si="25"/>
        <v>0</v>
      </c>
      <c r="T168" s="89">
        <f t="shared" si="26"/>
        <v>0</v>
      </c>
      <c r="U168" s="89">
        <f t="shared" si="27"/>
        <v>0</v>
      </c>
      <c r="V168" s="89">
        <f t="shared" si="28"/>
        <v>0</v>
      </c>
      <c r="W168" s="89">
        <f t="shared" si="29"/>
        <v>0</v>
      </c>
      <c r="X168" s="89">
        <f t="shared" si="30"/>
        <v>0</v>
      </c>
      <c r="Y168" s="89">
        <f t="shared" si="31"/>
        <v>0</v>
      </c>
      <c r="Z168" s="89">
        <f t="shared" si="32"/>
        <v>0</v>
      </c>
      <c r="AA168" s="41">
        <f t="shared" si="33"/>
        <v>0</v>
      </c>
      <c r="AB168" s="49"/>
      <c r="AC168" s="50"/>
      <c r="AD168" s="49" t="s">
        <v>5</v>
      </c>
      <c r="AE168" s="50" t="s">
        <v>154</v>
      </c>
      <c r="AF168" s="49"/>
      <c r="AG168" s="50"/>
      <c r="AH168" s="49"/>
      <c r="AI168" s="50"/>
      <c r="AJ168" s="49"/>
      <c r="AK168" s="50"/>
      <c r="AL168" s="49"/>
      <c r="AM168" s="50"/>
      <c r="AN168" s="49"/>
      <c r="AO168" s="50"/>
      <c r="AP168" s="49"/>
      <c r="AQ168" s="50"/>
      <c r="AR168" s="49"/>
      <c r="AS168" s="50"/>
      <c r="AT168" s="49"/>
      <c r="AU168" s="50"/>
      <c r="AV168" s="49" t="s">
        <v>5</v>
      </c>
      <c r="AW168" s="50" t="s">
        <v>135</v>
      </c>
      <c r="AX168" s="49"/>
      <c r="AY168" s="50"/>
      <c r="AZ168" s="49"/>
      <c r="BA168" s="50"/>
      <c r="BB168" s="49"/>
      <c r="BC168" s="50"/>
      <c r="BD168" s="49"/>
      <c r="BE168" s="50"/>
      <c r="BF168" s="49"/>
      <c r="BG168" s="50"/>
      <c r="BH168" s="49" t="s">
        <v>5</v>
      </c>
      <c r="BI168" s="50" t="s">
        <v>77</v>
      </c>
      <c r="BJ168" s="49"/>
      <c r="BK168" s="50"/>
      <c r="BL168" s="49"/>
      <c r="BM168" s="50"/>
      <c r="BN168" s="49"/>
      <c r="BO168" s="50"/>
      <c r="BP168" s="49"/>
      <c r="BQ168" s="50"/>
      <c r="BR168" s="49"/>
      <c r="BS168" s="50"/>
      <c r="BT168" s="49"/>
      <c r="BU168" s="50"/>
      <c r="BV168" s="49"/>
      <c r="BW168" s="50"/>
      <c r="BX168" s="49"/>
      <c r="BY168" s="50"/>
      <c r="BZ168" s="49" t="s">
        <v>5</v>
      </c>
      <c r="CA168" s="50" t="s">
        <v>421</v>
      </c>
    </row>
    <row r="169" spans="1:79" s="91" customFormat="1" x14ac:dyDescent="0.25">
      <c r="A169" s="76">
        <v>160053</v>
      </c>
      <c r="B169" s="77" t="s">
        <v>626</v>
      </c>
      <c r="C169" s="78" t="s">
        <v>501</v>
      </c>
      <c r="D169" s="76" t="s">
        <v>70</v>
      </c>
      <c r="E169" s="79" t="s">
        <v>14</v>
      </c>
      <c r="F169" s="79" t="s">
        <v>71</v>
      </c>
      <c r="G169" s="79" t="s">
        <v>14</v>
      </c>
      <c r="H169" s="78" t="s">
        <v>14</v>
      </c>
      <c r="I169" s="79" t="s">
        <v>14</v>
      </c>
      <c r="J169" s="80">
        <v>6.5</v>
      </c>
      <c r="K169" s="81">
        <v>0</v>
      </c>
      <c r="L169" s="82">
        <v>0</v>
      </c>
      <c r="M169" s="83">
        <v>0</v>
      </c>
      <c r="N169" s="84">
        <v>97.54</v>
      </c>
      <c r="O169" s="85">
        <v>3</v>
      </c>
      <c r="P169" s="86"/>
      <c r="Q169" s="87">
        <f t="shared" si="23"/>
        <v>1</v>
      </c>
      <c r="R169" s="88">
        <f t="shared" si="24"/>
        <v>3</v>
      </c>
      <c r="S169" s="89">
        <f t="shared" si="25"/>
        <v>0</v>
      </c>
      <c r="T169" s="89">
        <f t="shared" si="26"/>
        <v>0</v>
      </c>
      <c r="U169" s="89">
        <f t="shared" si="27"/>
        <v>0</v>
      </c>
      <c r="V169" s="89">
        <f t="shared" si="28"/>
        <v>0</v>
      </c>
      <c r="W169" s="89">
        <f t="shared" si="29"/>
        <v>0</v>
      </c>
      <c r="X169" s="89">
        <f t="shared" si="30"/>
        <v>0</v>
      </c>
      <c r="Y169" s="89">
        <f t="shared" si="31"/>
        <v>0</v>
      </c>
      <c r="Z169" s="89">
        <f t="shared" si="32"/>
        <v>0</v>
      </c>
      <c r="AA169" s="41">
        <f t="shared" si="33"/>
        <v>0</v>
      </c>
      <c r="AB169" s="49"/>
      <c r="AC169" s="50"/>
      <c r="AD169" s="49"/>
      <c r="AE169" s="50"/>
      <c r="AF169" s="49"/>
      <c r="AG169" s="50"/>
      <c r="AH169" s="49" t="s">
        <v>5</v>
      </c>
      <c r="AI169" s="50" t="s">
        <v>424</v>
      </c>
      <c r="AJ169" s="49"/>
      <c r="AK169" s="50"/>
      <c r="AL169" s="49"/>
      <c r="AM169" s="50"/>
      <c r="AN169" s="49"/>
      <c r="AO169" s="50"/>
      <c r="AP169" s="49" t="s">
        <v>1</v>
      </c>
      <c r="AQ169" s="50" t="s">
        <v>428</v>
      </c>
      <c r="AR169" s="49"/>
      <c r="AS169" s="50"/>
      <c r="AT169" s="49"/>
      <c r="AU169" s="50"/>
      <c r="AV169" s="49" t="s">
        <v>5</v>
      </c>
      <c r="AW169" s="50" t="s">
        <v>135</v>
      </c>
      <c r="AX169" s="49"/>
      <c r="AY169" s="50"/>
      <c r="AZ169" s="49"/>
      <c r="BA169" s="50"/>
      <c r="BB169" s="49"/>
      <c r="BC169" s="50"/>
      <c r="BD169" s="49"/>
      <c r="BE169" s="50"/>
      <c r="BF169" s="49"/>
      <c r="BG169" s="50"/>
      <c r="BH169" s="49"/>
      <c r="BI169" s="50"/>
      <c r="BJ169" s="49"/>
      <c r="BK169" s="50"/>
      <c r="BL169" s="49"/>
      <c r="BM169" s="50"/>
      <c r="BN169" s="49"/>
      <c r="BO169" s="50"/>
      <c r="BP169" s="49"/>
      <c r="BQ169" s="50"/>
      <c r="BR169" s="49"/>
      <c r="BS169" s="50"/>
      <c r="BT169" s="49"/>
      <c r="BU169" s="50"/>
      <c r="BV169" s="49"/>
      <c r="BW169" s="50"/>
      <c r="BX169" s="49" t="s">
        <v>5</v>
      </c>
      <c r="BY169" s="50" t="s">
        <v>462</v>
      </c>
      <c r="BZ169" s="49"/>
      <c r="CA169" s="50"/>
    </row>
    <row r="170" spans="1:79" s="91" customFormat="1" x14ac:dyDescent="0.25">
      <c r="A170" s="76">
        <v>160126</v>
      </c>
      <c r="B170" s="77" t="s">
        <v>627</v>
      </c>
      <c r="C170" s="78" t="s">
        <v>440</v>
      </c>
      <c r="D170" s="76" t="s">
        <v>12</v>
      </c>
      <c r="E170" s="79" t="s">
        <v>14</v>
      </c>
      <c r="F170" s="79" t="s">
        <v>71</v>
      </c>
      <c r="G170" s="79" t="s">
        <v>14</v>
      </c>
      <c r="H170" s="78" t="s">
        <v>14</v>
      </c>
      <c r="I170" s="79" t="s">
        <v>6</v>
      </c>
      <c r="J170" s="80">
        <v>7.1</v>
      </c>
      <c r="K170" s="81">
        <v>0</v>
      </c>
      <c r="L170" s="82">
        <v>0</v>
      </c>
      <c r="M170" s="83">
        <v>0</v>
      </c>
      <c r="N170" s="84">
        <v>93.75</v>
      </c>
      <c r="O170" s="85">
        <v>5</v>
      </c>
      <c r="P170" s="86"/>
      <c r="Q170" s="87">
        <f t="shared" si="23"/>
        <v>0</v>
      </c>
      <c r="R170" s="88">
        <f t="shared" si="24"/>
        <v>4</v>
      </c>
      <c r="S170" s="89">
        <f t="shared" si="25"/>
        <v>0</v>
      </c>
      <c r="T170" s="89">
        <f t="shared" si="26"/>
        <v>0</v>
      </c>
      <c r="U170" s="89">
        <f t="shared" si="27"/>
        <v>0</v>
      </c>
      <c r="V170" s="89">
        <f t="shared" si="28"/>
        <v>0</v>
      </c>
      <c r="W170" s="89">
        <f t="shared" si="29"/>
        <v>0</v>
      </c>
      <c r="X170" s="89">
        <f t="shared" si="30"/>
        <v>0</v>
      </c>
      <c r="Y170" s="89">
        <f t="shared" si="31"/>
        <v>0</v>
      </c>
      <c r="Z170" s="89">
        <f t="shared" si="32"/>
        <v>0</v>
      </c>
      <c r="AA170" s="41">
        <f t="shared" si="33"/>
        <v>0</v>
      </c>
      <c r="AB170" s="49"/>
      <c r="AC170" s="50"/>
      <c r="AD170" s="49"/>
      <c r="AE170" s="50"/>
      <c r="AF170" s="49" t="s">
        <v>5</v>
      </c>
      <c r="AG170" s="50" t="s">
        <v>427</v>
      </c>
      <c r="AH170" s="49"/>
      <c r="AI170" s="50"/>
      <c r="AJ170" s="49"/>
      <c r="AK170" s="50"/>
      <c r="AL170" s="49"/>
      <c r="AM170" s="50"/>
      <c r="AN170" s="49"/>
      <c r="AO170" s="50"/>
      <c r="AP170" s="49" t="s">
        <v>5</v>
      </c>
      <c r="AQ170" s="50" t="s">
        <v>428</v>
      </c>
      <c r="AR170" s="49"/>
      <c r="AS170" s="50"/>
      <c r="AT170" s="49"/>
      <c r="AU170" s="50"/>
      <c r="AV170" s="49" t="s">
        <v>5</v>
      </c>
      <c r="AW170" s="50" t="s">
        <v>428</v>
      </c>
      <c r="AX170" s="49"/>
      <c r="AY170" s="50"/>
      <c r="AZ170" s="49"/>
      <c r="BA170" s="50"/>
      <c r="BB170" s="49"/>
      <c r="BC170" s="50"/>
      <c r="BD170" s="49"/>
      <c r="BE170" s="50"/>
      <c r="BF170" s="49"/>
      <c r="BG170" s="50"/>
      <c r="BH170" s="49"/>
      <c r="BI170" s="50"/>
      <c r="BJ170" s="49"/>
      <c r="BK170" s="50"/>
      <c r="BL170" s="49"/>
      <c r="BM170" s="50"/>
      <c r="BN170" s="49"/>
      <c r="BO170" s="50"/>
      <c r="BP170" s="49"/>
      <c r="BQ170" s="50"/>
      <c r="BR170" s="49" t="s">
        <v>5</v>
      </c>
      <c r="BS170" s="50" t="s">
        <v>98</v>
      </c>
      <c r="BT170" s="49"/>
      <c r="BU170" s="50"/>
      <c r="BV170" s="49"/>
      <c r="BW170" s="50"/>
      <c r="BX170" s="49"/>
      <c r="BY170" s="50"/>
      <c r="BZ170" s="49"/>
      <c r="CA170" s="50"/>
    </row>
    <row r="171" spans="1:79" s="91" customFormat="1" x14ac:dyDescent="0.25">
      <c r="A171" s="76">
        <v>150825</v>
      </c>
      <c r="B171" s="77" t="s">
        <v>628</v>
      </c>
      <c r="C171" s="78" t="s">
        <v>501</v>
      </c>
      <c r="D171" s="76" t="s">
        <v>70</v>
      </c>
      <c r="E171" s="79" t="s">
        <v>14</v>
      </c>
      <c r="F171" s="79" t="s">
        <v>71</v>
      </c>
      <c r="G171" s="79" t="s">
        <v>14</v>
      </c>
      <c r="H171" s="78" t="s">
        <v>14</v>
      </c>
      <c r="I171" s="79" t="s">
        <v>14</v>
      </c>
      <c r="J171" s="80">
        <v>7.9</v>
      </c>
      <c r="K171" s="81">
        <v>0</v>
      </c>
      <c r="L171" s="82">
        <v>0</v>
      </c>
      <c r="M171" s="83">
        <v>0</v>
      </c>
      <c r="N171" s="84">
        <v>100</v>
      </c>
      <c r="O171" s="85">
        <v>0</v>
      </c>
      <c r="P171" s="86"/>
      <c r="Q171" s="87">
        <f t="shared" si="23"/>
        <v>0</v>
      </c>
      <c r="R171" s="88">
        <f t="shared" si="24"/>
        <v>4</v>
      </c>
      <c r="S171" s="89">
        <f t="shared" si="25"/>
        <v>0</v>
      </c>
      <c r="T171" s="89">
        <f t="shared" si="26"/>
        <v>0</v>
      </c>
      <c r="U171" s="89">
        <f t="shared" si="27"/>
        <v>0</v>
      </c>
      <c r="V171" s="89">
        <f t="shared" si="28"/>
        <v>0</v>
      </c>
      <c r="W171" s="89">
        <f t="shared" si="29"/>
        <v>0</v>
      </c>
      <c r="X171" s="89">
        <f t="shared" si="30"/>
        <v>0</v>
      </c>
      <c r="Y171" s="89">
        <f t="shared" si="31"/>
        <v>0</v>
      </c>
      <c r="Z171" s="89">
        <f t="shared" si="32"/>
        <v>0</v>
      </c>
      <c r="AA171" s="41">
        <f t="shared" si="33"/>
        <v>0</v>
      </c>
      <c r="AB171" s="49"/>
      <c r="AC171" s="50"/>
      <c r="AD171" s="49" t="s">
        <v>5</v>
      </c>
      <c r="AE171" s="50" t="s">
        <v>433</v>
      </c>
      <c r="AF171" s="49"/>
      <c r="AG171" s="50"/>
      <c r="AH171" s="49" t="s">
        <v>5</v>
      </c>
      <c r="AI171" s="50" t="s">
        <v>419</v>
      </c>
      <c r="AJ171" s="49"/>
      <c r="AK171" s="50"/>
      <c r="AL171" s="49"/>
      <c r="AM171" s="50"/>
      <c r="AN171" s="49"/>
      <c r="AO171" s="50"/>
      <c r="AP171" s="49"/>
      <c r="AQ171" s="50"/>
      <c r="AR171" s="49"/>
      <c r="AS171" s="50"/>
      <c r="AT171" s="49"/>
      <c r="AU171" s="50"/>
      <c r="AV171" s="49" t="s">
        <v>5</v>
      </c>
      <c r="AW171" s="50" t="s">
        <v>135</v>
      </c>
      <c r="AX171" s="49"/>
      <c r="AY171" s="50"/>
      <c r="AZ171" s="49"/>
      <c r="BA171" s="50"/>
      <c r="BB171" s="49" t="s">
        <v>5</v>
      </c>
      <c r="BC171" s="50" t="s">
        <v>92</v>
      </c>
      <c r="BD171" s="49"/>
      <c r="BE171" s="50"/>
      <c r="BF171" s="49"/>
      <c r="BG171" s="50"/>
      <c r="BH171" s="49"/>
      <c r="BI171" s="50"/>
      <c r="BJ171" s="49"/>
      <c r="BK171" s="50"/>
      <c r="BL171" s="49"/>
      <c r="BM171" s="50"/>
      <c r="BN171" s="49"/>
      <c r="BO171" s="50"/>
      <c r="BP171" s="49"/>
      <c r="BQ171" s="50"/>
      <c r="BR171" s="49"/>
      <c r="BS171" s="50"/>
      <c r="BT171" s="49"/>
      <c r="BU171" s="50"/>
      <c r="BV171" s="49"/>
      <c r="BW171" s="50"/>
      <c r="BX171" s="49"/>
      <c r="BY171" s="50"/>
      <c r="BZ171" s="49"/>
      <c r="CA171" s="50"/>
    </row>
    <row r="172" spans="1:79" s="91" customFormat="1" x14ac:dyDescent="0.25">
      <c r="A172" s="76">
        <v>152729</v>
      </c>
      <c r="B172" s="77" t="s">
        <v>629</v>
      </c>
      <c r="C172" s="78" t="s">
        <v>501</v>
      </c>
      <c r="D172" s="76" t="s">
        <v>70</v>
      </c>
      <c r="E172" s="79" t="s">
        <v>14</v>
      </c>
      <c r="F172" s="79" t="s">
        <v>218</v>
      </c>
      <c r="G172" s="79" t="s">
        <v>14</v>
      </c>
      <c r="H172" s="78" t="s">
        <v>14</v>
      </c>
      <c r="I172" s="79" t="s">
        <v>14</v>
      </c>
      <c r="J172" s="80">
        <v>3.5</v>
      </c>
      <c r="K172" s="81">
        <v>1</v>
      </c>
      <c r="L172" s="82">
        <v>0</v>
      </c>
      <c r="M172" s="83">
        <v>0</v>
      </c>
      <c r="N172" s="84">
        <v>94.26</v>
      </c>
      <c r="O172" s="85">
        <v>2</v>
      </c>
      <c r="P172" s="86"/>
      <c r="Q172" s="87">
        <f t="shared" si="23"/>
        <v>1</v>
      </c>
      <c r="R172" s="88">
        <f t="shared" si="24"/>
        <v>3</v>
      </c>
      <c r="S172" s="89">
        <f t="shared" si="25"/>
        <v>0</v>
      </c>
      <c r="T172" s="89">
        <f t="shared" si="26"/>
        <v>0</v>
      </c>
      <c r="U172" s="89">
        <f t="shared" si="27"/>
        <v>0</v>
      </c>
      <c r="V172" s="89">
        <f t="shared" si="28"/>
        <v>0</v>
      </c>
      <c r="W172" s="89">
        <f t="shared" si="29"/>
        <v>0</v>
      </c>
      <c r="X172" s="89">
        <f t="shared" si="30"/>
        <v>0</v>
      </c>
      <c r="Y172" s="89">
        <f t="shared" si="31"/>
        <v>0</v>
      </c>
      <c r="Z172" s="89">
        <f t="shared" si="32"/>
        <v>0</v>
      </c>
      <c r="AA172" s="41">
        <f t="shared" si="33"/>
        <v>0</v>
      </c>
      <c r="AB172" s="49" t="s">
        <v>5</v>
      </c>
      <c r="AC172" s="50" t="s">
        <v>116</v>
      </c>
      <c r="AD172" s="49"/>
      <c r="AE172" s="50"/>
      <c r="AF172" s="49" t="s">
        <v>5</v>
      </c>
      <c r="AG172" s="50" t="s">
        <v>427</v>
      </c>
      <c r="AH172" s="49"/>
      <c r="AI172" s="50"/>
      <c r="AJ172" s="49"/>
      <c r="AK172" s="50"/>
      <c r="AL172" s="49"/>
      <c r="AM172" s="50"/>
      <c r="AN172" s="49"/>
      <c r="AO172" s="50"/>
      <c r="AP172" s="49"/>
      <c r="AQ172" s="50"/>
      <c r="AR172" s="49"/>
      <c r="AS172" s="50"/>
      <c r="AT172" s="49"/>
      <c r="AU172" s="50"/>
      <c r="AV172" s="49" t="s">
        <v>5</v>
      </c>
      <c r="AW172" s="50" t="s">
        <v>151</v>
      </c>
      <c r="AX172" s="49"/>
      <c r="AY172" s="50"/>
      <c r="AZ172" s="49"/>
      <c r="BA172" s="50"/>
      <c r="BB172" s="49"/>
      <c r="BC172" s="50"/>
      <c r="BD172" s="49"/>
      <c r="BE172" s="50"/>
      <c r="BF172" s="49"/>
      <c r="BG172" s="50"/>
      <c r="BH172" s="49"/>
      <c r="BI172" s="50"/>
      <c r="BJ172" s="49" t="s">
        <v>1</v>
      </c>
      <c r="BK172" s="50" t="s">
        <v>430</v>
      </c>
      <c r="BL172" s="49"/>
      <c r="BM172" s="50"/>
      <c r="BN172" s="49"/>
      <c r="BO172" s="50"/>
      <c r="BP172" s="49"/>
      <c r="BQ172" s="50"/>
      <c r="BR172" s="49"/>
      <c r="BS172" s="50"/>
      <c r="BT172" s="49"/>
      <c r="BU172" s="50"/>
      <c r="BV172" s="49"/>
      <c r="BW172" s="50"/>
      <c r="BX172" s="49"/>
      <c r="BY172" s="50"/>
      <c r="BZ172" s="49"/>
      <c r="CA172" s="50"/>
    </row>
    <row r="173" spans="1:79" s="91" customFormat="1" x14ac:dyDescent="0.25">
      <c r="A173" s="76">
        <v>150834</v>
      </c>
      <c r="B173" s="77" t="s">
        <v>630</v>
      </c>
      <c r="C173" s="78" t="s">
        <v>466</v>
      </c>
      <c r="D173" s="76" t="s">
        <v>12</v>
      </c>
      <c r="E173" s="79" t="s">
        <v>87</v>
      </c>
      <c r="F173" s="79" t="s">
        <v>71</v>
      </c>
      <c r="G173" s="79" t="s">
        <v>14</v>
      </c>
      <c r="H173" s="78" t="s">
        <v>14</v>
      </c>
      <c r="I173" s="79" t="s">
        <v>14</v>
      </c>
      <c r="J173" s="80">
        <v>6.3</v>
      </c>
      <c r="K173" s="81">
        <v>0</v>
      </c>
      <c r="L173" s="82">
        <v>0</v>
      </c>
      <c r="M173" s="83">
        <v>1</v>
      </c>
      <c r="N173" s="84">
        <v>99.15</v>
      </c>
      <c r="O173" s="85">
        <v>4</v>
      </c>
      <c r="P173" s="86"/>
      <c r="Q173" s="87">
        <f t="shared" si="23"/>
        <v>1</v>
      </c>
      <c r="R173" s="88">
        <f t="shared" si="24"/>
        <v>3</v>
      </c>
      <c r="S173" s="89">
        <f t="shared" si="25"/>
        <v>0</v>
      </c>
      <c r="T173" s="89">
        <f t="shared" si="26"/>
        <v>0</v>
      </c>
      <c r="U173" s="89">
        <f t="shared" si="27"/>
        <v>0</v>
      </c>
      <c r="V173" s="89">
        <f t="shared" si="28"/>
        <v>0</v>
      </c>
      <c r="W173" s="89">
        <f t="shared" si="29"/>
        <v>0</v>
      </c>
      <c r="X173" s="89">
        <f t="shared" si="30"/>
        <v>0</v>
      </c>
      <c r="Y173" s="89">
        <f t="shared" si="31"/>
        <v>0</v>
      </c>
      <c r="Z173" s="89">
        <f t="shared" si="32"/>
        <v>0</v>
      </c>
      <c r="AA173" s="41">
        <f t="shared" si="33"/>
        <v>0</v>
      </c>
      <c r="AB173" s="49"/>
      <c r="AC173" s="50"/>
      <c r="AD173" s="49"/>
      <c r="AE173" s="50"/>
      <c r="AF173" s="49"/>
      <c r="AG173" s="50"/>
      <c r="AH173" s="49" t="s">
        <v>5</v>
      </c>
      <c r="AI173" s="50" t="s">
        <v>424</v>
      </c>
      <c r="AJ173" s="49" t="s">
        <v>1</v>
      </c>
      <c r="AK173" s="50" t="s">
        <v>163</v>
      </c>
      <c r="AL173" s="49"/>
      <c r="AM173" s="50"/>
      <c r="AN173" s="49"/>
      <c r="AO173" s="50"/>
      <c r="AP173" s="49" t="s">
        <v>5</v>
      </c>
      <c r="AQ173" s="50" t="s">
        <v>428</v>
      </c>
      <c r="AR173" s="49"/>
      <c r="AS173" s="50"/>
      <c r="AT173" s="49"/>
      <c r="AU173" s="50"/>
      <c r="AV173" s="49" t="s">
        <v>5</v>
      </c>
      <c r="AW173" s="50" t="s">
        <v>476</v>
      </c>
      <c r="AX173" s="49"/>
      <c r="AY173" s="50"/>
      <c r="AZ173" s="49"/>
      <c r="BA173" s="50"/>
      <c r="BB173" s="49"/>
      <c r="BC173" s="50"/>
      <c r="BD173" s="49"/>
      <c r="BE173" s="50"/>
      <c r="BF173" s="49"/>
      <c r="BG173" s="50"/>
      <c r="BH173" s="49"/>
      <c r="BI173" s="50"/>
      <c r="BJ173" s="49"/>
      <c r="BK173" s="50"/>
      <c r="BL173" s="49"/>
      <c r="BM173" s="50"/>
      <c r="BN173" s="49"/>
      <c r="BO173" s="50"/>
      <c r="BP173" s="49"/>
      <c r="BQ173" s="50"/>
      <c r="BR173" s="49"/>
      <c r="BS173" s="50"/>
      <c r="BT173" s="49"/>
      <c r="BU173" s="50"/>
      <c r="BV173" s="49"/>
      <c r="BW173" s="50"/>
      <c r="BX173" s="49"/>
      <c r="BY173" s="50"/>
      <c r="BZ173" s="49"/>
      <c r="CA173" s="50"/>
    </row>
    <row r="174" spans="1:79" s="91" customFormat="1" x14ac:dyDescent="0.25">
      <c r="A174" s="76">
        <v>150920</v>
      </c>
      <c r="B174" s="77" t="s">
        <v>631</v>
      </c>
      <c r="C174" s="78" t="s">
        <v>501</v>
      </c>
      <c r="D174" s="76" t="s">
        <v>70</v>
      </c>
      <c r="E174" s="79" t="s">
        <v>14</v>
      </c>
      <c r="F174" s="79" t="s">
        <v>71</v>
      </c>
      <c r="G174" s="79" t="s">
        <v>14</v>
      </c>
      <c r="H174" s="78" t="s">
        <v>14</v>
      </c>
      <c r="I174" s="79" t="s">
        <v>14</v>
      </c>
      <c r="J174" s="80">
        <v>8.3000000000000007</v>
      </c>
      <c r="K174" s="81">
        <v>0</v>
      </c>
      <c r="L174" s="82">
        <v>0</v>
      </c>
      <c r="M174" s="83">
        <v>0</v>
      </c>
      <c r="N174" s="84">
        <v>100</v>
      </c>
      <c r="O174" s="85">
        <v>0</v>
      </c>
      <c r="P174" s="86"/>
      <c r="Q174" s="87">
        <f t="shared" si="23"/>
        <v>0</v>
      </c>
      <c r="R174" s="88">
        <f t="shared" si="24"/>
        <v>4</v>
      </c>
      <c r="S174" s="89">
        <f t="shared" si="25"/>
        <v>0</v>
      </c>
      <c r="T174" s="89">
        <f t="shared" si="26"/>
        <v>0</v>
      </c>
      <c r="U174" s="89">
        <f t="shared" si="27"/>
        <v>0</v>
      </c>
      <c r="V174" s="89">
        <f t="shared" si="28"/>
        <v>0</v>
      </c>
      <c r="W174" s="89">
        <f t="shared" si="29"/>
        <v>0</v>
      </c>
      <c r="X174" s="89">
        <f t="shared" si="30"/>
        <v>0</v>
      </c>
      <c r="Y174" s="89">
        <f t="shared" si="31"/>
        <v>0</v>
      </c>
      <c r="Z174" s="89">
        <f t="shared" si="32"/>
        <v>0</v>
      </c>
      <c r="AA174" s="41">
        <f t="shared" si="33"/>
        <v>0</v>
      </c>
      <c r="AB174" s="49"/>
      <c r="AC174" s="50"/>
      <c r="AD174" s="49" t="s">
        <v>5</v>
      </c>
      <c r="AE174" s="50" t="s">
        <v>154</v>
      </c>
      <c r="AF174" s="49"/>
      <c r="AG174" s="50"/>
      <c r="AH174" s="49" t="s">
        <v>5</v>
      </c>
      <c r="AI174" s="50" t="s">
        <v>419</v>
      </c>
      <c r="AJ174" s="49"/>
      <c r="AK174" s="50"/>
      <c r="AL174" s="49"/>
      <c r="AM174" s="50"/>
      <c r="AN174" s="49"/>
      <c r="AO174" s="50"/>
      <c r="AP174" s="49"/>
      <c r="AQ174" s="50"/>
      <c r="AR174" s="49"/>
      <c r="AS174" s="50"/>
      <c r="AT174" s="49" t="s">
        <v>5</v>
      </c>
      <c r="AU174" s="50" t="s">
        <v>448</v>
      </c>
      <c r="AV174" s="49" t="s">
        <v>5</v>
      </c>
      <c r="AW174" s="50" t="s">
        <v>135</v>
      </c>
      <c r="AX174" s="49"/>
      <c r="AY174" s="50"/>
      <c r="AZ174" s="49"/>
      <c r="BA174" s="50"/>
      <c r="BB174" s="49"/>
      <c r="BC174" s="50"/>
      <c r="BD174" s="49"/>
      <c r="BE174" s="50"/>
      <c r="BF174" s="49"/>
      <c r="BG174" s="50"/>
      <c r="BH174" s="49"/>
      <c r="BI174" s="50"/>
      <c r="BJ174" s="49"/>
      <c r="BK174" s="50"/>
      <c r="BL174" s="49"/>
      <c r="BM174" s="50"/>
      <c r="BN174" s="49"/>
      <c r="BO174" s="50"/>
      <c r="BP174" s="49"/>
      <c r="BQ174" s="50"/>
      <c r="BR174" s="49"/>
      <c r="BS174" s="50"/>
      <c r="BT174" s="49"/>
      <c r="BU174" s="50"/>
      <c r="BV174" s="49"/>
      <c r="BW174" s="50"/>
      <c r="BX174" s="49"/>
      <c r="BY174" s="50"/>
      <c r="BZ174" s="49"/>
      <c r="CA174" s="50"/>
    </row>
    <row r="175" spans="1:79" s="91" customFormat="1" x14ac:dyDescent="0.25">
      <c r="A175" s="76">
        <v>150795</v>
      </c>
      <c r="B175" s="77" t="s">
        <v>632</v>
      </c>
      <c r="C175" s="78" t="s">
        <v>466</v>
      </c>
      <c r="D175" s="76" t="s">
        <v>12</v>
      </c>
      <c r="E175" s="79" t="s">
        <v>14</v>
      </c>
      <c r="F175" s="79" t="s">
        <v>71</v>
      </c>
      <c r="G175" s="79" t="s">
        <v>14</v>
      </c>
      <c r="H175" s="78" t="s">
        <v>14</v>
      </c>
      <c r="I175" s="79" t="s">
        <v>14</v>
      </c>
      <c r="J175" s="80">
        <v>5.2</v>
      </c>
      <c r="K175" s="81">
        <v>3</v>
      </c>
      <c r="L175" s="82">
        <v>0</v>
      </c>
      <c r="M175" s="83">
        <v>0</v>
      </c>
      <c r="N175" s="84">
        <v>88.57</v>
      </c>
      <c r="O175" s="85">
        <v>0</v>
      </c>
      <c r="P175" s="86"/>
      <c r="Q175" s="87">
        <f t="shared" si="23"/>
        <v>2</v>
      </c>
      <c r="R175" s="88">
        <f t="shared" si="24"/>
        <v>2</v>
      </c>
      <c r="S175" s="89">
        <f t="shared" si="25"/>
        <v>0</v>
      </c>
      <c r="T175" s="89">
        <f t="shared" si="26"/>
        <v>0</v>
      </c>
      <c r="U175" s="89">
        <f t="shared" si="27"/>
        <v>0</v>
      </c>
      <c r="V175" s="89">
        <f t="shared" si="28"/>
        <v>0</v>
      </c>
      <c r="W175" s="89">
        <f t="shared" si="29"/>
        <v>0</v>
      </c>
      <c r="X175" s="89">
        <f t="shared" si="30"/>
        <v>0</v>
      </c>
      <c r="Y175" s="89">
        <f t="shared" si="31"/>
        <v>0</v>
      </c>
      <c r="Z175" s="89">
        <f t="shared" si="32"/>
        <v>0</v>
      </c>
      <c r="AA175" s="41">
        <f t="shared" si="33"/>
        <v>0</v>
      </c>
      <c r="AB175" s="49"/>
      <c r="AC175" s="50"/>
      <c r="AD175" s="49"/>
      <c r="AE175" s="50"/>
      <c r="AF175" s="49"/>
      <c r="AG175" s="50"/>
      <c r="AH175" s="49"/>
      <c r="AI175" s="50"/>
      <c r="AJ175" s="49"/>
      <c r="AK175" s="50"/>
      <c r="AL175" s="49"/>
      <c r="AM175" s="50"/>
      <c r="AN175" s="49"/>
      <c r="AO175" s="50"/>
      <c r="AP175" s="49"/>
      <c r="AQ175" s="50"/>
      <c r="AR175" s="49"/>
      <c r="AS175" s="50"/>
      <c r="AT175" s="49"/>
      <c r="AU175" s="50"/>
      <c r="AV175" s="49" t="s">
        <v>5</v>
      </c>
      <c r="AW175" s="50" t="s">
        <v>602</v>
      </c>
      <c r="AX175" s="49"/>
      <c r="AY175" s="50"/>
      <c r="AZ175" s="49"/>
      <c r="BA175" s="50"/>
      <c r="BB175" s="49"/>
      <c r="BC175" s="50"/>
      <c r="BD175" s="49"/>
      <c r="BE175" s="50"/>
      <c r="BF175" s="49"/>
      <c r="BG175" s="50"/>
      <c r="BH175" s="49" t="s">
        <v>1</v>
      </c>
      <c r="BI175" s="50" t="s">
        <v>77</v>
      </c>
      <c r="BJ175" s="49"/>
      <c r="BK175" s="50"/>
      <c r="BL175" s="49"/>
      <c r="BM175" s="50"/>
      <c r="BN175" s="49"/>
      <c r="BO175" s="50"/>
      <c r="BP175" s="49"/>
      <c r="BQ175" s="50"/>
      <c r="BR175" s="49"/>
      <c r="BS175" s="50"/>
      <c r="BT175" s="49" t="s">
        <v>5</v>
      </c>
      <c r="BU175" s="50" t="s">
        <v>93</v>
      </c>
      <c r="BV175" s="49"/>
      <c r="BW175" s="50"/>
      <c r="BX175" s="49" t="s">
        <v>1</v>
      </c>
      <c r="BY175" s="50" t="s">
        <v>462</v>
      </c>
      <c r="BZ175" s="49"/>
      <c r="CA175" s="50"/>
    </row>
    <row r="176" spans="1:79" s="91" customFormat="1" x14ac:dyDescent="0.25">
      <c r="A176" s="76">
        <v>160065</v>
      </c>
      <c r="B176" s="77" t="s">
        <v>633</v>
      </c>
      <c r="C176" s="78" t="s">
        <v>490</v>
      </c>
      <c r="D176" s="76" t="s">
        <v>12</v>
      </c>
      <c r="E176" s="79" t="s">
        <v>87</v>
      </c>
      <c r="F176" s="79" t="s">
        <v>115</v>
      </c>
      <c r="G176" s="79" t="s">
        <v>14</v>
      </c>
      <c r="H176" s="78" t="s">
        <v>14</v>
      </c>
      <c r="I176" s="79" t="s">
        <v>14</v>
      </c>
      <c r="J176" s="80">
        <v>7.6</v>
      </c>
      <c r="K176" s="81">
        <v>2</v>
      </c>
      <c r="L176" s="82">
        <v>0</v>
      </c>
      <c r="M176" s="83">
        <v>1</v>
      </c>
      <c r="N176" s="84">
        <v>98.21</v>
      </c>
      <c r="O176" s="85">
        <v>3</v>
      </c>
      <c r="P176" s="86"/>
      <c r="Q176" s="87">
        <f t="shared" si="23"/>
        <v>0</v>
      </c>
      <c r="R176" s="88">
        <f t="shared" si="24"/>
        <v>3</v>
      </c>
      <c r="S176" s="89">
        <f t="shared" si="25"/>
        <v>0</v>
      </c>
      <c r="T176" s="89">
        <f t="shared" si="26"/>
        <v>0</v>
      </c>
      <c r="U176" s="89">
        <f t="shared" si="27"/>
        <v>1</v>
      </c>
      <c r="V176" s="89">
        <f t="shared" si="28"/>
        <v>1</v>
      </c>
      <c r="W176" s="89">
        <f t="shared" si="29"/>
        <v>0</v>
      </c>
      <c r="X176" s="89">
        <f t="shared" si="30"/>
        <v>0</v>
      </c>
      <c r="Y176" s="89">
        <f t="shared" si="31"/>
        <v>0</v>
      </c>
      <c r="Z176" s="89">
        <f t="shared" si="32"/>
        <v>0</v>
      </c>
      <c r="AA176" s="41">
        <f t="shared" si="33"/>
        <v>0</v>
      </c>
      <c r="AB176" s="49"/>
      <c r="AC176" s="50"/>
      <c r="AD176" s="49" t="s">
        <v>5</v>
      </c>
      <c r="AE176" s="50" t="s">
        <v>438</v>
      </c>
      <c r="AF176" s="49"/>
      <c r="AG176" s="50"/>
      <c r="AH176" s="49" t="s">
        <v>32</v>
      </c>
      <c r="AI176" s="50" t="s">
        <v>206</v>
      </c>
      <c r="AJ176" s="49"/>
      <c r="AK176" s="50"/>
      <c r="AL176" s="49"/>
      <c r="AM176" s="50"/>
      <c r="AN176" s="49"/>
      <c r="AO176" s="50"/>
      <c r="AP176" s="49"/>
      <c r="AQ176" s="50"/>
      <c r="AR176" s="49"/>
      <c r="AS176" s="50"/>
      <c r="AT176" s="49"/>
      <c r="AU176" s="50"/>
      <c r="AV176" s="49" t="s">
        <v>5</v>
      </c>
      <c r="AW176" s="50" t="s">
        <v>459</v>
      </c>
      <c r="AX176" s="49"/>
      <c r="AY176" s="50"/>
      <c r="AZ176" s="49"/>
      <c r="BA176" s="50"/>
      <c r="BB176" s="49"/>
      <c r="BC176" s="50"/>
      <c r="BD176" s="49"/>
      <c r="BE176" s="50"/>
      <c r="BF176" s="49"/>
      <c r="BG176" s="50"/>
      <c r="BH176" s="49"/>
      <c r="BI176" s="50"/>
      <c r="BJ176" s="49"/>
      <c r="BK176" s="50"/>
      <c r="BL176" s="49"/>
      <c r="BM176" s="50"/>
      <c r="BN176" s="49"/>
      <c r="BO176" s="50"/>
      <c r="BP176" s="49"/>
      <c r="BQ176" s="50"/>
      <c r="BR176" s="49" t="s">
        <v>5</v>
      </c>
      <c r="BS176" s="50"/>
      <c r="BT176" s="49"/>
      <c r="BU176" s="50"/>
      <c r="BV176" s="49"/>
      <c r="BW176" s="50"/>
      <c r="BX176" s="49"/>
      <c r="BY176" s="50"/>
      <c r="BZ176" s="49"/>
      <c r="CA176" s="50"/>
    </row>
    <row r="177" spans="1:79" s="91" customFormat="1" x14ac:dyDescent="0.25">
      <c r="A177" s="76">
        <v>160070</v>
      </c>
      <c r="B177" s="77" t="s">
        <v>634</v>
      </c>
      <c r="C177" s="78" t="s">
        <v>464</v>
      </c>
      <c r="D177" s="76" t="s">
        <v>12</v>
      </c>
      <c r="E177" s="79" t="s">
        <v>14</v>
      </c>
      <c r="F177" s="79" t="s">
        <v>115</v>
      </c>
      <c r="G177" s="79" t="s">
        <v>14</v>
      </c>
      <c r="H177" s="78" t="s">
        <v>14</v>
      </c>
      <c r="I177" s="79" t="s">
        <v>14</v>
      </c>
      <c r="J177" s="80">
        <v>7.3</v>
      </c>
      <c r="K177" s="81">
        <v>0</v>
      </c>
      <c r="L177" s="82">
        <v>0</v>
      </c>
      <c r="M177" s="83">
        <v>0</v>
      </c>
      <c r="N177" s="84">
        <v>100</v>
      </c>
      <c r="O177" s="85">
        <v>0</v>
      </c>
      <c r="P177" s="86"/>
      <c r="Q177" s="87">
        <f t="shared" si="23"/>
        <v>0</v>
      </c>
      <c r="R177" s="88">
        <f t="shared" si="24"/>
        <v>4</v>
      </c>
      <c r="S177" s="89">
        <f t="shared" si="25"/>
        <v>0</v>
      </c>
      <c r="T177" s="89">
        <f t="shared" si="26"/>
        <v>0</v>
      </c>
      <c r="U177" s="89">
        <f t="shared" si="27"/>
        <v>0</v>
      </c>
      <c r="V177" s="89">
        <f t="shared" si="28"/>
        <v>0</v>
      </c>
      <c r="W177" s="89">
        <f t="shared" si="29"/>
        <v>0</v>
      </c>
      <c r="X177" s="89">
        <f t="shared" si="30"/>
        <v>0</v>
      </c>
      <c r="Y177" s="89">
        <f t="shared" si="31"/>
        <v>0</v>
      </c>
      <c r="Z177" s="89">
        <f t="shared" si="32"/>
        <v>0</v>
      </c>
      <c r="AA177" s="41">
        <f t="shared" si="33"/>
        <v>0</v>
      </c>
      <c r="AB177" s="49"/>
      <c r="AC177" s="50"/>
      <c r="AD177" s="49" t="s">
        <v>5</v>
      </c>
      <c r="AE177" s="50" t="s">
        <v>133</v>
      </c>
      <c r="AF177" s="49"/>
      <c r="AG177" s="50"/>
      <c r="AH177" s="49" t="s">
        <v>5</v>
      </c>
      <c r="AI177" s="50" t="s">
        <v>419</v>
      </c>
      <c r="AJ177" s="49"/>
      <c r="AK177" s="50"/>
      <c r="AL177" s="49"/>
      <c r="AM177" s="50"/>
      <c r="AN177" s="49"/>
      <c r="AO177" s="50"/>
      <c r="AP177" s="49"/>
      <c r="AQ177" s="50"/>
      <c r="AR177" s="49"/>
      <c r="AS177" s="50"/>
      <c r="AT177" s="49"/>
      <c r="AU177" s="50"/>
      <c r="AV177" s="49" t="s">
        <v>5</v>
      </c>
      <c r="AW177" s="50" t="s">
        <v>448</v>
      </c>
      <c r="AX177" s="49"/>
      <c r="AY177" s="50"/>
      <c r="AZ177" s="49"/>
      <c r="BA177" s="50"/>
      <c r="BB177" s="49"/>
      <c r="BC177" s="50"/>
      <c r="BD177" s="49"/>
      <c r="BE177" s="50"/>
      <c r="BF177" s="49"/>
      <c r="BG177" s="50"/>
      <c r="BH177" s="49"/>
      <c r="BI177" s="50"/>
      <c r="BJ177" s="49"/>
      <c r="BK177" s="50"/>
      <c r="BL177" s="49"/>
      <c r="BM177" s="50"/>
      <c r="BN177" s="49"/>
      <c r="BO177" s="50"/>
      <c r="BP177" s="49" t="s">
        <v>5</v>
      </c>
      <c r="BQ177" s="50" t="s">
        <v>81</v>
      </c>
      <c r="BR177" s="49"/>
      <c r="BS177" s="50"/>
      <c r="BT177" s="49"/>
      <c r="BU177" s="50"/>
      <c r="BV177" s="49"/>
      <c r="BW177" s="50"/>
      <c r="BX177" s="49"/>
      <c r="BY177" s="50"/>
      <c r="BZ177" s="49"/>
      <c r="CA177" s="50"/>
    </row>
    <row r="178" spans="1:79" s="91" customFormat="1" x14ac:dyDescent="0.25">
      <c r="A178" s="76">
        <v>150969</v>
      </c>
      <c r="B178" s="77" t="s">
        <v>635</v>
      </c>
      <c r="C178" s="78" t="s">
        <v>466</v>
      </c>
      <c r="D178" s="76" t="s">
        <v>70</v>
      </c>
      <c r="E178" s="79" t="s">
        <v>14</v>
      </c>
      <c r="F178" s="79" t="s">
        <v>71</v>
      </c>
      <c r="G178" s="79" t="s">
        <v>14</v>
      </c>
      <c r="H178" s="78" t="s">
        <v>14</v>
      </c>
      <c r="I178" s="79" t="s">
        <v>14</v>
      </c>
      <c r="J178" s="80">
        <v>5.9</v>
      </c>
      <c r="K178" s="81">
        <v>0</v>
      </c>
      <c r="L178" s="82">
        <v>0</v>
      </c>
      <c r="M178" s="83">
        <v>0</v>
      </c>
      <c r="N178" s="84">
        <v>99.12</v>
      </c>
      <c r="O178" s="85">
        <v>1</v>
      </c>
      <c r="P178" s="86"/>
      <c r="Q178" s="87">
        <f t="shared" si="23"/>
        <v>2</v>
      </c>
      <c r="R178" s="88">
        <f t="shared" si="24"/>
        <v>2</v>
      </c>
      <c r="S178" s="89">
        <f t="shared" si="25"/>
        <v>0</v>
      </c>
      <c r="T178" s="89">
        <f t="shared" si="26"/>
        <v>0</v>
      </c>
      <c r="U178" s="89">
        <f t="shared" si="27"/>
        <v>0</v>
      </c>
      <c r="V178" s="89">
        <f t="shared" si="28"/>
        <v>0</v>
      </c>
      <c r="W178" s="89">
        <f t="shared" si="29"/>
        <v>0</v>
      </c>
      <c r="X178" s="89">
        <f t="shared" si="30"/>
        <v>0</v>
      </c>
      <c r="Y178" s="89">
        <f t="shared" si="31"/>
        <v>0</v>
      </c>
      <c r="Z178" s="89">
        <f t="shared" si="32"/>
        <v>0</v>
      </c>
      <c r="AA178" s="41">
        <f t="shared" si="33"/>
        <v>0</v>
      </c>
      <c r="AB178" s="49"/>
      <c r="AC178" s="50"/>
      <c r="AD178" s="49"/>
      <c r="AE178" s="50"/>
      <c r="AF178" s="49"/>
      <c r="AG178" s="50"/>
      <c r="AH178" s="49"/>
      <c r="AI178" s="50"/>
      <c r="AJ178" s="49"/>
      <c r="AK178" s="50"/>
      <c r="AL178" s="49"/>
      <c r="AM178" s="50"/>
      <c r="AN178" s="49"/>
      <c r="AO178" s="50"/>
      <c r="AP178" s="49"/>
      <c r="AQ178" s="50"/>
      <c r="AR178" s="49" t="s">
        <v>5</v>
      </c>
      <c r="AS178" s="50" t="s">
        <v>459</v>
      </c>
      <c r="AT178" s="49"/>
      <c r="AU178" s="50"/>
      <c r="AV178" s="49" t="s">
        <v>5</v>
      </c>
      <c r="AW178" s="50" t="s">
        <v>476</v>
      </c>
      <c r="AX178" s="49"/>
      <c r="AY178" s="50"/>
      <c r="AZ178" s="49"/>
      <c r="BA178" s="50"/>
      <c r="BB178" s="49"/>
      <c r="BC178" s="50"/>
      <c r="BD178" s="49"/>
      <c r="BE178" s="50"/>
      <c r="BF178" s="49"/>
      <c r="BG178" s="50"/>
      <c r="BH178" s="49"/>
      <c r="BI178" s="50"/>
      <c r="BJ178" s="49"/>
      <c r="BK178" s="50"/>
      <c r="BL178" s="49"/>
      <c r="BM178" s="50"/>
      <c r="BN178" s="49" t="s">
        <v>1</v>
      </c>
      <c r="BO178" s="50" t="s">
        <v>82</v>
      </c>
      <c r="BP178" s="49"/>
      <c r="BQ178" s="50"/>
      <c r="BR178" s="49"/>
      <c r="BS178" s="50"/>
      <c r="BT178" s="49"/>
      <c r="BU178" s="50"/>
      <c r="BV178" s="49" t="s">
        <v>1</v>
      </c>
      <c r="BW178" s="50" t="s">
        <v>436</v>
      </c>
      <c r="BX178" s="49"/>
      <c r="BY178" s="50"/>
      <c r="BZ178" s="49"/>
      <c r="CA178" s="50"/>
    </row>
    <row r="179" spans="1:79" s="91" customFormat="1" x14ac:dyDescent="0.25">
      <c r="A179" s="76">
        <v>150970</v>
      </c>
      <c r="B179" s="77" t="s">
        <v>636</v>
      </c>
      <c r="C179" s="78" t="s">
        <v>466</v>
      </c>
      <c r="D179" s="76" t="s">
        <v>12</v>
      </c>
      <c r="E179" s="79" t="s">
        <v>14</v>
      </c>
      <c r="F179" s="79" t="s">
        <v>71</v>
      </c>
      <c r="G179" s="79" t="s">
        <v>14</v>
      </c>
      <c r="H179" s="78" t="s">
        <v>14</v>
      </c>
      <c r="I179" s="79" t="s">
        <v>14</v>
      </c>
      <c r="J179" s="80">
        <v>5.4</v>
      </c>
      <c r="K179" s="81">
        <v>1</v>
      </c>
      <c r="L179" s="82">
        <v>0</v>
      </c>
      <c r="M179" s="83">
        <v>1</v>
      </c>
      <c r="N179" s="84">
        <v>95.41</v>
      </c>
      <c r="O179" s="85">
        <v>0</v>
      </c>
      <c r="P179" s="86"/>
      <c r="Q179" s="87">
        <f t="shared" si="23"/>
        <v>0</v>
      </c>
      <c r="R179" s="88">
        <f t="shared" si="24"/>
        <v>4</v>
      </c>
      <c r="S179" s="89">
        <f t="shared" si="25"/>
        <v>0</v>
      </c>
      <c r="T179" s="89">
        <f t="shared" si="26"/>
        <v>0</v>
      </c>
      <c r="U179" s="89">
        <f t="shared" si="27"/>
        <v>0</v>
      </c>
      <c r="V179" s="89">
        <f t="shared" si="28"/>
        <v>0</v>
      </c>
      <c r="W179" s="89">
        <f t="shared" si="29"/>
        <v>0</v>
      </c>
      <c r="X179" s="89">
        <f t="shared" si="30"/>
        <v>0</v>
      </c>
      <c r="Y179" s="89">
        <f t="shared" si="31"/>
        <v>0</v>
      </c>
      <c r="Z179" s="89">
        <f t="shared" si="32"/>
        <v>0</v>
      </c>
      <c r="AA179" s="41">
        <f t="shared" si="33"/>
        <v>0</v>
      </c>
      <c r="AB179" s="49"/>
      <c r="AC179" s="50"/>
      <c r="AD179" s="49"/>
      <c r="AE179" s="50"/>
      <c r="AF179" s="49" t="s">
        <v>5</v>
      </c>
      <c r="AG179" s="50" t="s">
        <v>427</v>
      </c>
      <c r="AH179" s="49"/>
      <c r="AI179" s="50"/>
      <c r="AJ179" s="49"/>
      <c r="AK179" s="50"/>
      <c r="AL179" s="49" t="s">
        <v>5</v>
      </c>
      <c r="AM179" s="50" t="s">
        <v>135</v>
      </c>
      <c r="AN179" s="49"/>
      <c r="AO179" s="50"/>
      <c r="AP179" s="49"/>
      <c r="AQ179" s="50"/>
      <c r="AR179" s="49"/>
      <c r="AS179" s="50"/>
      <c r="AT179" s="49"/>
      <c r="AU179" s="50"/>
      <c r="AV179" s="49" t="s">
        <v>5</v>
      </c>
      <c r="AW179" s="50" t="s">
        <v>602</v>
      </c>
      <c r="AX179" s="49"/>
      <c r="AY179" s="50"/>
      <c r="AZ179" s="49"/>
      <c r="BA179" s="50"/>
      <c r="BB179" s="49"/>
      <c r="BC179" s="50"/>
      <c r="BD179" s="49"/>
      <c r="BE179" s="50"/>
      <c r="BF179" s="49"/>
      <c r="BG179" s="50"/>
      <c r="BH179" s="49"/>
      <c r="BI179" s="50"/>
      <c r="BJ179" s="49"/>
      <c r="BK179" s="50"/>
      <c r="BL179" s="49"/>
      <c r="BM179" s="50"/>
      <c r="BN179" s="49" t="s">
        <v>5</v>
      </c>
      <c r="BO179" s="50" t="s">
        <v>82</v>
      </c>
      <c r="BP179" s="49"/>
      <c r="BQ179" s="50"/>
      <c r="BR179" s="49"/>
      <c r="BS179" s="50"/>
      <c r="BT179" s="49"/>
      <c r="BU179" s="50"/>
      <c r="BV179" s="49"/>
      <c r="BW179" s="50"/>
      <c r="BX179" s="49"/>
      <c r="BY179" s="50"/>
      <c r="BZ179" s="49"/>
      <c r="CA179" s="50"/>
    </row>
    <row r="180" spans="1:79" s="91" customFormat="1" ht="30" x14ac:dyDescent="0.25">
      <c r="A180" s="76">
        <v>151501</v>
      </c>
      <c r="B180" s="77" t="s">
        <v>637</v>
      </c>
      <c r="C180" s="78" t="s">
        <v>466</v>
      </c>
      <c r="D180" s="76" t="s">
        <v>12</v>
      </c>
      <c r="E180" s="79" t="s">
        <v>14</v>
      </c>
      <c r="F180" s="79" t="s">
        <v>450</v>
      </c>
      <c r="G180" s="79" t="s">
        <v>14</v>
      </c>
      <c r="H180" s="78" t="s">
        <v>14</v>
      </c>
      <c r="I180" s="79" t="s">
        <v>14</v>
      </c>
      <c r="J180" s="80">
        <v>4.8</v>
      </c>
      <c r="K180" s="81">
        <v>5</v>
      </c>
      <c r="L180" s="82">
        <v>0</v>
      </c>
      <c r="M180" s="83">
        <v>0</v>
      </c>
      <c r="N180" s="84">
        <v>95.19</v>
      </c>
      <c r="O180" s="85">
        <v>2</v>
      </c>
      <c r="P180" s="86"/>
      <c r="Q180" s="87">
        <f t="shared" si="23"/>
        <v>0</v>
      </c>
      <c r="R180" s="88">
        <f t="shared" si="24"/>
        <v>4</v>
      </c>
      <c r="S180" s="89">
        <f t="shared" si="25"/>
        <v>0</v>
      </c>
      <c r="T180" s="89">
        <f t="shared" si="26"/>
        <v>0</v>
      </c>
      <c r="U180" s="89">
        <f t="shared" si="27"/>
        <v>0</v>
      </c>
      <c r="V180" s="89">
        <f t="shared" si="28"/>
        <v>0</v>
      </c>
      <c r="W180" s="89">
        <f t="shared" si="29"/>
        <v>0</v>
      </c>
      <c r="X180" s="89">
        <f t="shared" si="30"/>
        <v>0</v>
      </c>
      <c r="Y180" s="89">
        <f t="shared" si="31"/>
        <v>0</v>
      </c>
      <c r="Z180" s="89">
        <f t="shared" si="32"/>
        <v>0</v>
      </c>
      <c r="AA180" s="41">
        <f t="shared" si="33"/>
        <v>0</v>
      </c>
      <c r="AB180" s="49"/>
      <c r="AC180" s="50"/>
      <c r="AD180" s="49"/>
      <c r="AE180" s="50"/>
      <c r="AF180" s="49" t="s">
        <v>5</v>
      </c>
      <c r="AG180" s="50" t="s">
        <v>427</v>
      </c>
      <c r="AH180" s="49"/>
      <c r="AI180" s="50"/>
      <c r="AJ180" s="49"/>
      <c r="AK180" s="50"/>
      <c r="AL180" s="49"/>
      <c r="AM180" s="50"/>
      <c r="AN180" s="49"/>
      <c r="AO180" s="50"/>
      <c r="AP180" s="49" t="s">
        <v>5</v>
      </c>
      <c r="AQ180" s="50" t="s">
        <v>428</v>
      </c>
      <c r="AR180" s="49"/>
      <c r="AS180" s="50"/>
      <c r="AT180" s="49"/>
      <c r="AU180" s="50"/>
      <c r="AV180" s="49" t="s">
        <v>5</v>
      </c>
      <c r="AW180" s="50" t="s">
        <v>476</v>
      </c>
      <c r="AX180" s="49"/>
      <c r="AY180" s="50"/>
      <c r="AZ180" s="49"/>
      <c r="BA180" s="50"/>
      <c r="BB180" s="49"/>
      <c r="BC180" s="50"/>
      <c r="BD180" s="49"/>
      <c r="BE180" s="50"/>
      <c r="BF180" s="49"/>
      <c r="BG180" s="50"/>
      <c r="BH180" s="49"/>
      <c r="BI180" s="50"/>
      <c r="BJ180" s="49"/>
      <c r="BK180" s="50"/>
      <c r="BL180" s="49"/>
      <c r="BM180" s="50"/>
      <c r="BN180" s="49"/>
      <c r="BO180" s="50"/>
      <c r="BP180" s="49"/>
      <c r="BQ180" s="50"/>
      <c r="BR180" s="49"/>
      <c r="BS180" s="50"/>
      <c r="BT180" s="49"/>
      <c r="BU180" s="50"/>
      <c r="BV180" s="49"/>
      <c r="BW180" s="50"/>
      <c r="BX180" s="49"/>
      <c r="BY180" s="50"/>
      <c r="BZ180" s="49" t="s">
        <v>5</v>
      </c>
      <c r="CA180" s="50" t="s">
        <v>421</v>
      </c>
    </row>
    <row r="181" spans="1:79" s="91" customFormat="1" x14ac:dyDescent="0.25">
      <c r="A181" s="76">
        <v>160071</v>
      </c>
      <c r="B181" s="77" t="s">
        <v>638</v>
      </c>
      <c r="C181" s="78" t="s">
        <v>418</v>
      </c>
      <c r="D181" s="76" t="s">
        <v>12</v>
      </c>
      <c r="E181" s="79" t="s">
        <v>14</v>
      </c>
      <c r="F181" s="77" t="s">
        <v>445</v>
      </c>
      <c r="G181" s="79" t="s">
        <v>14</v>
      </c>
      <c r="H181" s="78" t="s">
        <v>14</v>
      </c>
      <c r="I181" s="79" t="s">
        <v>14</v>
      </c>
      <c r="J181" s="80">
        <v>5.8</v>
      </c>
      <c r="K181" s="81">
        <v>1</v>
      </c>
      <c r="L181" s="82">
        <v>0</v>
      </c>
      <c r="M181" s="83">
        <v>0</v>
      </c>
      <c r="N181" s="84">
        <v>99.15</v>
      </c>
      <c r="O181" s="85">
        <v>1</v>
      </c>
      <c r="P181" s="86"/>
      <c r="Q181" s="87">
        <f t="shared" si="23"/>
        <v>1</v>
      </c>
      <c r="R181" s="88">
        <f t="shared" si="24"/>
        <v>3</v>
      </c>
      <c r="S181" s="89">
        <f t="shared" si="25"/>
        <v>0</v>
      </c>
      <c r="T181" s="89">
        <f t="shared" si="26"/>
        <v>0</v>
      </c>
      <c r="U181" s="89">
        <f t="shared" si="27"/>
        <v>0</v>
      </c>
      <c r="V181" s="89">
        <f t="shared" si="28"/>
        <v>0</v>
      </c>
      <c r="W181" s="89">
        <f t="shared" si="29"/>
        <v>0</v>
      </c>
      <c r="X181" s="89">
        <f t="shared" si="30"/>
        <v>0</v>
      </c>
      <c r="Y181" s="89">
        <f t="shared" si="31"/>
        <v>0</v>
      </c>
      <c r="Z181" s="89">
        <f t="shared" si="32"/>
        <v>0</v>
      </c>
      <c r="AA181" s="41">
        <f t="shared" si="33"/>
        <v>0</v>
      </c>
      <c r="AB181" s="49"/>
      <c r="AC181" s="50"/>
      <c r="AD181" s="49"/>
      <c r="AE181" s="50"/>
      <c r="AF181" s="49"/>
      <c r="AG181" s="50"/>
      <c r="AH181" s="49"/>
      <c r="AI181" s="50"/>
      <c r="AJ181" s="49"/>
      <c r="AK181" s="50"/>
      <c r="AL181" s="49"/>
      <c r="AM181" s="50"/>
      <c r="AN181" s="49"/>
      <c r="AO181" s="50"/>
      <c r="AP181" s="49"/>
      <c r="AQ181" s="50"/>
      <c r="AR181" s="49"/>
      <c r="AS181" s="50"/>
      <c r="AT181" s="49"/>
      <c r="AU181" s="50"/>
      <c r="AV181" s="49" t="s">
        <v>5</v>
      </c>
      <c r="AW181" s="50" t="s">
        <v>420</v>
      </c>
      <c r="AX181" s="49"/>
      <c r="AY181" s="50"/>
      <c r="AZ181" s="49"/>
      <c r="BA181" s="50"/>
      <c r="BB181" s="49"/>
      <c r="BC181" s="50"/>
      <c r="BD181" s="49"/>
      <c r="BE181" s="50"/>
      <c r="BF181" s="49"/>
      <c r="BG181" s="50"/>
      <c r="BH181" s="49" t="s">
        <v>5</v>
      </c>
      <c r="BI181" s="50" t="s">
        <v>77</v>
      </c>
      <c r="BJ181" s="49"/>
      <c r="BK181" s="50"/>
      <c r="BL181" s="49"/>
      <c r="BM181" s="50"/>
      <c r="BN181" s="49" t="s">
        <v>5</v>
      </c>
      <c r="BO181" s="50" t="s">
        <v>122</v>
      </c>
      <c r="BP181" s="49"/>
      <c r="BQ181" s="50"/>
      <c r="BR181" s="49" t="s">
        <v>1</v>
      </c>
      <c r="BS181" s="50" t="s">
        <v>109</v>
      </c>
      <c r="BT181" s="49"/>
      <c r="BU181" s="50"/>
      <c r="BV181" s="49"/>
      <c r="BW181" s="50"/>
      <c r="BX181" s="49"/>
      <c r="BY181" s="50"/>
      <c r="BZ181" s="49"/>
      <c r="CA181" s="50"/>
    </row>
    <row r="182" spans="1:79" s="91" customFormat="1" x14ac:dyDescent="0.25">
      <c r="A182" s="76">
        <v>150884</v>
      </c>
      <c r="B182" s="77" t="s">
        <v>639</v>
      </c>
      <c r="C182" s="78" t="s">
        <v>466</v>
      </c>
      <c r="D182" s="76" t="s">
        <v>12</v>
      </c>
      <c r="E182" s="79" t="s">
        <v>14</v>
      </c>
      <c r="F182" s="79" t="s">
        <v>71</v>
      </c>
      <c r="G182" s="79" t="s">
        <v>14</v>
      </c>
      <c r="H182" s="78" t="s">
        <v>14</v>
      </c>
      <c r="I182" s="79" t="s">
        <v>14</v>
      </c>
      <c r="J182" s="80">
        <v>7.2</v>
      </c>
      <c r="K182" s="81">
        <v>0</v>
      </c>
      <c r="L182" s="82">
        <v>0</v>
      </c>
      <c r="M182" s="83">
        <v>0</v>
      </c>
      <c r="N182" s="84">
        <v>100</v>
      </c>
      <c r="O182" s="85">
        <v>0</v>
      </c>
      <c r="P182" s="86"/>
      <c r="Q182" s="87">
        <f t="shared" si="23"/>
        <v>1</v>
      </c>
      <c r="R182" s="88">
        <f t="shared" si="24"/>
        <v>4</v>
      </c>
      <c r="S182" s="89">
        <f t="shared" si="25"/>
        <v>0</v>
      </c>
      <c r="T182" s="89">
        <f t="shared" si="26"/>
        <v>0</v>
      </c>
      <c r="U182" s="89">
        <f t="shared" si="27"/>
        <v>0</v>
      </c>
      <c r="V182" s="89">
        <f t="shared" si="28"/>
        <v>0</v>
      </c>
      <c r="W182" s="89">
        <f t="shared" si="29"/>
        <v>0</v>
      </c>
      <c r="X182" s="89">
        <f t="shared" si="30"/>
        <v>0</v>
      </c>
      <c r="Y182" s="89">
        <f t="shared" si="31"/>
        <v>0</v>
      </c>
      <c r="Z182" s="89">
        <f t="shared" si="32"/>
        <v>0</v>
      </c>
      <c r="AA182" s="41">
        <f t="shared" si="33"/>
        <v>0</v>
      </c>
      <c r="AB182" s="49"/>
      <c r="AC182" s="50"/>
      <c r="AD182" s="49"/>
      <c r="AE182" s="50"/>
      <c r="AF182" s="49"/>
      <c r="AG182" s="50"/>
      <c r="AH182" s="49"/>
      <c r="AI182" s="50"/>
      <c r="AJ182" s="49" t="s">
        <v>5</v>
      </c>
      <c r="AK182" s="50" t="s">
        <v>163</v>
      </c>
      <c r="AL182" s="49"/>
      <c r="AM182" s="50"/>
      <c r="AN182" s="49"/>
      <c r="AO182" s="50"/>
      <c r="AP182" s="49" t="s">
        <v>1</v>
      </c>
      <c r="AQ182" s="50" t="s">
        <v>428</v>
      </c>
      <c r="AR182" s="49"/>
      <c r="AS182" s="50"/>
      <c r="AT182" s="49" t="s">
        <v>5</v>
      </c>
      <c r="AU182" s="50" t="s">
        <v>448</v>
      </c>
      <c r="AV182" s="49" t="s">
        <v>5</v>
      </c>
      <c r="AW182" s="50" t="s">
        <v>476</v>
      </c>
      <c r="AX182" s="49"/>
      <c r="AY182" s="50"/>
      <c r="AZ182" s="49"/>
      <c r="BA182" s="50"/>
      <c r="BB182" s="49"/>
      <c r="BC182" s="50"/>
      <c r="BD182" s="49"/>
      <c r="BE182" s="50"/>
      <c r="BF182" s="49"/>
      <c r="BG182" s="50"/>
      <c r="BH182" s="49"/>
      <c r="BI182" s="50"/>
      <c r="BJ182" s="49"/>
      <c r="BK182" s="50"/>
      <c r="BL182" s="49"/>
      <c r="BM182" s="50"/>
      <c r="BN182" s="49"/>
      <c r="BO182" s="50"/>
      <c r="BP182" s="49"/>
      <c r="BQ182" s="50"/>
      <c r="BR182" s="49" t="s">
        <v>5</v>
      </c>
      <c r="BS182" s="50" t="s">
        <v>109</v>
      </c>
      <c r="BT182" s="49"/>
      <c r="BU182" s="50"/>
      <c r="BV182" s="49"/>
      <c r="BW182" s="50"/>
      <c r="BX182" s="49"/>
      <c r="BY182" s="50"/>
      <c r="BZ182" s="49"/>
      <c r="CA182" s="50"/>
    </row>
    <row r="183" spans="1:79" s="91" customFormat="1" x14ac:dyDescent="0.25">
      <c r="A183" s="76">
        <v>160057</v>
      </c>
      <c r="B183" s="77" t="s">
        <v>640</v>
      </c>
      <c r="C183" s="78" t="s">
        <v>466</v>
      </c>
      <c r="D183" s="76" t="s">
        <v>70</v>
      </c>
      <c r="E183" s="79" t="s">
        <v>14</v>
      </c>
      <c r="F183" s="79" t="s">
        <v>71</v>
      </c>
      <c r="G183" s="79" t="s">
        <v>14</v>
      </c>
      <c r="H183" s="78" t="s">
        <v>14</v>
      </c>
      <c r="I183" s="79" t="s">
        <v>14</v>
      </c>
      <c r="J183" s="80">
        <v>7.8</v>
      </c>
      <c r="K183" s="81">
        <v>1</v>
      </c>
      <c r="L183" s="82">
        <v>0</v>
      </c>
      <c r="M183" s="83">
        <v>0</v>
      </c>
      <c r="N183" s="84">
        <v>92.86</v>
      </c>
      <c r="O183" s="85">
        <v>0</v>
      </c>
      <c r="P183" s="86"/>
      <c r="Q183" s="87">
        <f t="shared" si="23"/>
        <v>1</v>
      </c>
      <c r="R183" s="88">
        <f t="shared" si="24"/>
        <v>3</v>
      </c>
      <c r="S183" s="89">
        <f t="shared" si="25"/>
        <v>0</v>
      </c>
      <c r="T183" s="89">
        <f t="shared" si="26"/>
        <v>0</v>
      </c>
      <c r="U183" s="89">
        <f t="shared" si="27"/>
        <v>0</v>
      </c>
      <c r="V183" s="89">
        <f t="shared" si="28"/>
        <v>0</v>
      </c>
      <c r="W183" s="89">
        <f t="shared" si="29"/>
        <v>0</v>
      </c>
      <c r="X183" s="89">
        <f t="shared" si="30"/>
        <v>0</v>
      </c>
      <c r="Y183" s="89">
        <f t="shared" si="31"/>
        <v>0</v>
      </c>
      <c r="Z183" s="89">
        <f t="shared" si="32"/>
        <v>0</v>
      </c>
      <c r="AA183" s="41">
        <f t="shared" si="33"/>
        <v>0</v>
      </c>
      <c r="AB183" s="49"/>
      <c r="AC183" s="50"/>
      <c r="AD183" s="49"/>
      <c r="AE183" s="50"/>
      <c r="AF183" s="49"/>
      <c r="AG183" s="50"/>
      <c r="AH183" s="49"/>
      <c r="AI183" s="50"/>
      <c r="AJ183" s="49"/>
      <c r="AK183" s="50"/>
      <c r="AL183" s="49"/>
      <c r="AM183" s="50"/>
      <c r="AN183" s="49"/>
      <c r="AO183" s="50"/>
      <c r="AP183" s="49"/>
      <c r="AQ183" s="50"/>
      <c r="AR183" s="49"/>
      <c r="AS183" s="50"/>
      <c r="AT183" s="49"/>
      <c r="AU183" s="50"/>
      <c r="AV183" s="49" t="s">
        <v>5</v>
      </c>
      <c r="AW183" s="50" t="s">
        <v>476</v>
      </c>
      <c r="AX183" s="49"/>
      <c r="AY183" s="50"/>
      <c r="AZ183" s="49"/>
      <c r="BA183" s="50"/>
      <c r="BB183" s="49"/>
      <c r="BC183" s="50"/>
      <c r="BD183" s="49"/>
      <c r="BE183" s="50"/>
      <c r="BF183" s="49"/>
      <c r="BG183" s="50"/>
      <c r="BH183" s="49" t="s">
        <v>5</v>
      </c>
      <c r="BI183" s="50" t="s">
        <v>77</v>
      </c>
      <c r="BJ183" s="49"/>
      <c r="BK183" s="50"/>
      <c r="BL183" s="49"/>
      <c r="BM183" s="50"/>
      <c r="BN183" s="49"/>
      <c r="BO183" s="50"/>
      <c r="BP183" s="49" t="s">
        <v>1</v>
      </c>
      <c r="BQ183" s="50" t="s">
        <v>81</v>
      </c>
      <c r="BR183" s="49"/>
      <c r="BS183" s="50"/>
      <c r="BT183" s="49" t="s">
        <v>5</v>
      </c>
      <c r="BU183" s="50" t="s">
        <v>93</v>
      </c>
      <c r="BV183" s="49"/>
      <c r="BW183" s="50"/>
      <c r="BX183" s="49"/>
      <c r="BY183" s="50"/>
      <c r="BZ183" s="49"/>
      <c r="CA183" s="50"/>
    </row>
    <row r="184" spans="1:79" s="91" customFormat="1" x14ac:dyDescent="0.25">
      <c r="A184" s="76">
        <v>160054</v>
      </c>
      <c r="B184" s="77" t="s">
        <v>641</v>
      </c>
      <c r="C184" s="78" t="s">
        <v>466</v>
      </c>
      <c r="D184" s="76" t="s">
        <v>70</v>
      </c>
      <c r="E184" s="79" t="s">
        <v>14</v>
      </c>
      <c r="F184" s="79" t="s">
        <v>71</v>
      </c>
      <c r="G184" s="79" t="s">
        <v>14</v>
      </c>
      <c r="H184" s="78" t="s">
        <v>14</v>
      </c>
      <c r="I184" s="79" t="s">
        <v>14</v>
      </c>
      <c r="J184" s="80">
        <v>8.6</v>
      </c>
      <c r="K184" s="81">
        <v>8</v>
      </c>
      <c r="L184" s="82">
        <v>0</v>
      </c>
      <c r="M184" s="83">
        <v>0</v>
      </c>
      <c r="N184" s="84">
        <v>100</v>
      </c>
      <c r="O184" s="85">
        <v>0</v>
      </c>
      <c r="P184" s="86"/>
      <c r="Q184" s="87">
        <f t="shared" si="23"/>
        <v>1</v>
      </c>
      <c r="R184" s="88">
        <f t="shared" si="24"/>
        <v>4</v>
      </c>
      <c r="S184" s="89">
        <f t="shared" si="25"/>
        <v>0</v>
      </c>
      <c r="T184" s="89">
        <f t="shared" si="26"/>
        <v>0</v>
      </c>
      <c r="U184" s="89">
        <f t="shared" si="27"/>
        <v>0</v>
      </c>
      <c r="V184" s="89">
        <f t="shared" si="28"/>
        <v>0</v>
      </c>
      <c r="W184" s="89">
        <f t="shared" si="29"/>
        <v>0</v>
      </c>
      <c r="X184" s="89">
        <f t="shared" si="30"/>
        <v>0</v>
      </c>
      <c r="Y184" s="89">
        <f t="shared" si="31"/>
        <v>0</v>
      </c>
      <c r="Z184" s="89">
        <f t="shared" si="32"/>
        <v>0</v>
      </c>
      <c r="AA184" s="41">
        <f t="shared" si="33"/>
        <v>0</v>
      </c>
      <c r="AB184" s="49"/>
      <c r="AC184" s="50"/>
      <c r="AD184" s="49" t="s">
        <v>1</v>
      </c>
      <c r="AE184" s="50" t="s">
        <v>438</v>
      </c>
      <c r="AF184" s="49"/>
      <c r="AG184" s="50"/>
      <c r="AH184" s="49" t="s">
        <v>5</v>
      </c>
      <c r="AI184" s="50"/>
      <c r="AJ184" s="49"/>
      <c r="AK184" s="50"/>
      <c r="AL184" s="49"/>
      <c r="AM184" s="50"/>
      <c r="AN184" s="49"/>
      <c r="AO184" s="50"/>
      <c r="AP184" s="49"/>
      <c r="AQ184" s="50"/>
      <c r="AR184" s="49"/>
      <c r="AS184" s="50"/>
      <c r="AT184" s="49" t="s">
        <v>5</v>
      </c>
      <c r="AU184" s="50" t="s">
        <v>448</v>
      </c>
      <c r="AV184" s="49" t="s">
        <v>5</v>
      </c>
      <c r="AW184" s="50" t="s">
        <v>476</v>
      </c>
      <c r="AX184" s="49" t="s">
        <v>5</v>
      </c>
      <c r="AY184" s="50" t="s">
        <v>421</v>
      </c>
      <c r="AZ184" s="49"/>
      <c r="BA184" s="50"/>
      <c r="BB184" s="49"/>
      <c r="BC184" s="50"/>
      <c r="BD184" s="49"/>
      <c r="BE184" s="50"/>
      <c r="BF184" s="49"/>
      <c r="BG184" s="50"/>
      <c r="BH184" s="49"/>
      <c r="BI184" s="50"/>
      <c r="BJ184" s="49"/>
      <c r="BK184" s="50"/>
      <c r="BL184" s="49"/>
      <c r="BM184" s="50"/>
      <c r="BN184" s="49"/>
      <c r="BO184" s="50"/>
      <c r="BP184" s="49"/>
      <c r="BQ184" s="50"/>
      <c r="BR184" s="49"/>
      <c r="BS184" s="50"/>
      <c r="BT184" s="49"/>
      <c r="BU184" s="50"/>
      <c r="BV184" s="49"/>
      <c r="BW184" s="50"/>
      <c r="BX184" s="49"/>
      <c r="BY184" s="50"/>
      <c r="BZ184" s="49"/>
      <c r="CA184" s="50"/>
    </row>
    <row r="185" spans="1:79" s="91" customFormat="1" x14ac:dyDescent="0.25">
      <c r="A185" s="76">
        <v>151504</v>
      </c>
      <c r="B185" s="77" t="s">
        <v>642</v>
      </c>
      <c r="C185" s="78" t="s">
        <v>501</v>
      </c>
      <c r="D185" s="76" t="s">
        <v>70</v>
      </c>
      <c r="E185" s="79" t="s">
        <v>14</v>
      </c>
      <c r="F185" s="79" t="s">
        <v>150</v>
      </c>
      <c r="G185" s="79" t="s">
        <v>14</v>
      </c>
      <c r="H185" s="78" t="s">
        <v>14</v>
      </c>
      <c r="I185" s="79" t="s">
        <v>14</v>
      </c>
      <c r="J185" s="80">
        <v>6.2</v>
      </c>
      <c r="K185" s="81">
        <v>2</v>
      </c>
      <c r="L185" s="82">
        <v>0</v>
      </c>
      <c r="M185" s="83">
        <v>0</v>
      </c>
      <c r="N185" s="84">
        <v>100</v>
      </c>
      <c r="O185" s="85">
        <v>0</v>
      </c>
      <c r="P185" s="86"/>
      <c r="Q185" s="87">
        <f t="shared" si="23"/>
        <v>0</v>
      </c>
      <c r="R185" s="88">
        <f t="shared" si="24"/>
        <v>4</v>
      </c>
      <c r="S185" s="89">
        <f t="shared" si="25"/>
        <v>0</v>
      </c>
      <c r="T185" s="89">
        <f t="shared" si="26"/>
        <v>0</v>
      </c>
      <c r="U185" s="89">
        <f t="shared" si="27"/>
        <v>0</v>
      </c>
      <c r="V185" s="89">
        <f t="shared" si="28"/>
        <v>0</v>
      </c>
      <c r="W185" s="89">
        <f t="shared" si="29"/>
        <v>0</v>
      </c>
      <c r="X185" s="89">
        <f t="shared" si="30"/>
        <v>0</v>
      </c>
      <c r="Y185" s="89">
        <f t="shared" si="31"/>
        <v>0</v>
      </c>
      <c r="Z185" s="89">
        <f t="shared" si="32"/>
        <v>0</v>
      </c>
      <c r="AA185" s="41">
        <f t="shared" si="33"/>
        <v>0</v>
      </c>
      <c r="AB185" s="49"/>
      <c r="AC185" s="50"/>
      <c r="AD185" s="49" t="s">
        <v>5</v>
      </c>
      <c r="AE185" s="50" t="s">
        <v>133</v>
      </c>
      <c r="AF185" s="49"/>
      <c r="AG185" s="50"/>
      <c r="AH185" s="49" t="s">
        <v>5</v>
      </c>
      <c r="AI185" s="50" t="s">
        <v>419</v>
      </c>
      <c r="AJ185" s="49"/>
      <c r="AK185" s="50"/>
      <c r="AL185" s="49"/>
      <c r="AM185" s="50"/>
      <c r="AN185" s="49"/>
      <c r="AO185" s="50"/>
      <c r="AP185" s="49"/>
      <c r="AQ185" s="50"/>
      <c r="AR185" s="49"/>
      <c r="AS185" s="50"/>
      <c r="AT185" s="49"/>
      <c r="AU185" s="50"/>
      <c r="AV185" s="49" t="s">
        <v>5</v>
      </c>
      <c r="AW185" s="50" t="s">
        <v>135</v>
      </c>
      <c r="AX185" s="49"/>
      <c r="AY185" s="50"/>
      <c r="AZ185" s="49"/>
      <c r="BA185" s="50"/>
      <c r="BB185" s="49"/>
      <c r="BC185" s="50"/>
      <c r="BD185" s="49"/>
      <c r="BE185" s="50"/>
      <c r="BF185" s="49"/>
      <c r="BG185" s="50"/>
      <c r="BH185" s="49"/>
      <c r="BI185" s="50"/>
      <c r="BJ185" s="49"/>
      <c r="BK185" s="50"/>
      <c r="BL185" s="49"/>
      <c r="BM185" s="50"/>
      <c r="BN185" s="49"/>
      <c r="BO185" s="50"/>
      <c r="BP185" s="49"/>
      <c r="BQ185" s="50"/>
      <c r="BR185" s="49"/>
      <c r="BS185" s="50"/>
      <c r="BT185" s="49"/>
      <c r="BU185" s="50"/>
      <c r="BV185" s="49"/>
      <c r="BW185" s="50"/>
      <c r="BX185" s="49"/>
      <c r="BY185" s="50"/>
      <c r="BZ185" s="49" t="s">
        <v>5</v>
      </c>
      <c r="CA185" s="50" t="s">
        <v>421</v>
      </c>
    </row>
    <row r="186" spans="1:79" s="91" customFormat="1" x14ac:dyDescent="0.25">
      <c r="A186" s="76">
        <v>150868</v>
      </c>
      <c r="B186" s="77" t="s">
        <v>643</v>
      </c>
      <c r="C186" s="78" t="s">
        <v>501</v>
      </c>
      <c r="D186" s="76" t="s">
        <v>70</v>
      </c>
      <c r="E186" s="79" t="s">
        <v>14</v>
      </c>
      <c r="F186" s="79" t="s">
        <v>71</v>
      </c>
      <c r="G186" s="79" t="s">
        <v>14</v>
      </c>
      <c r="H186" s="78" t="s">
        <v>14</v>
      </c>
      <c r="I186" s="79" t="s">
        <v>14</v>
      </c>
      <c r="J186" s="80">
        <v>6.3</v>
      </c>
      <c r="K186" s="81">
        <v>9</v>
      </c>
      <c r="L186" s="82">
        <v>0</v>
      </c>
      <c r="M186" s="83">
        <v>1</v>
      </c>
      <c r="N186" s="84">
        <v>86.01</v>
      </c>
      <c r="O186" s="85">
        <v>3</v>
      </c>
      <c r="P186" s="86"/>
      <c r="Q186" s="87">
        <f t="shared" si="23"/>
        <v>0</v>
      </c>
      <c r="R186" s="88">
        <f t="shared" si="24"/>
        <v>5</v>
      </c>
      <c r="S186" s="89">
        <f t="shared" si="25"/>
        <v>0</v>
      </c>
      <c r="T186" s="89">
        <f t="shared" si="26"/>
        <v>0</v>
      </c>
      <c r="U186" s="89">
        <f t="shared" si="27"/>
        <v>0</v>
      </c>
      <c r="V186" s="89">
        <f t="shared" si="28"/>
        <v>0</v>
      </c>
      <c r="W186" s="89">
        <f t="shared" si="29"/>
        <v>0</v>
      </c>
      <c r="X186" s="89">
        <f t="shared" si="30"/>
        <v>0</v>
      </c>
      <c r="Y186" s="89">
        <f t="shared" si="31"/>
        <v>0</v>
      </c>
      <c r="Z186" s="89">
        <f t="shared" si="32"/>
        <v>0</v>
      </c>
      <c r="AA186" s="41">
        <f t="shared" si="33"/>
        <v>0</v>
      </c>
      <c r="AB186" s="49"/>
      <c r="AC186" s="50"/>
      <c r="AD186" s="49"/>
      <c r="AE186" s="50"/>
      <c r="AF186" s="49"/>
      <c r="AG186" s="50"/>
      <c r="AH186" s="49"/>
      <c r="AI186" s="50"/>
      <c r="AJ186" s="49"/>
      <c r="AK186" s="50"/>
      <c r="AL186" s="49"/>
      <c r="AM186" s="50"/>
      <c r="AN186" s="49"/>
      <c r="AO186" s="50"/>
      <c r="AP186" s="49"/>
      <c r="AQ186" s="50"/>
      <c r="AR186" s="49"/>
      <c r="AS186" s="50"/>
      <c r="AT186" s="49"/>
      <c r="AU186" s="50"/>
      <c r="AV186" s="49" t="s">
        <v>5</v>
      </c>
      <c r="AW186" s="50" t="s">
        <v>602</v>
      </c>
      <c r="AX186" s="49" t="s">
        <v>5</v>
      </c>
      <c r="AY186" s="50" t="s">
        <v>421</v>
      </c>
      <c r="AZ186" s="49"/>
      <c r="BA186" s="50"/>
      <c r="BB186" s="49"/>
      <c r="BC186" s="50"/>
      <c r="BD186" s="49"/>
      <c r="BE186" s="50"/>
      <c r="BF186" s="49"/>
      <c r="BG186" s="50"/>
      <c r="BH186" s="49" t="s">
        <v>5</v>
      </c>
      <c r="BI186" s="50" t="s">
        <v>77</v>
      </c>
      <c r="BJ186" s="49"/>
      <c r="BK186" s="50"/>
      <c r="BL186" s="49"/>
      <c r="BM186" s="50"/>
      <c r="BN186" s="49" t="s">
        <v>5</v>
      </c>
      <c r="BO186" s="50" t="s">
        <v>122</v>
      </c>
      <c r="BP186" s="49"/>
      <c r="BQ186" s="50"/>
      <c r="BR186" s="49"/>
      <c r="BS186" s="50"/>
      <c r="BT186" s="49" t="s">
        <v>5</v>
      </c>
      <c r="BU186" s="50" t="s">
        <v>93</v>
      </c>
      <c r="BV186" s="49"/>
      <c r="BW186" s="50"/>
      <c r="BX186" s="49"/>
      <c r="BY186" s="50"/>
      <c r="BZ186" s="49"/>
      <c r="CA186" s="50"/>
    </row>
    <row r="187" spans="1:79" s="91" customFormat="1" x14ac:dyDescent="0.25">
      <c r="A187" s="76">
        <v>150788</v>
      </c>
      <c r="B187" s="77" t="s">
        <v>644</v>
      </c>
      <c r="C187" s="78" t="s">
        <v>497</v>
      </c>
      <c r="D187" s="76" t="s">
        <v>12</v>
      </c>
      <c r="E187" s="79" t="s">
        <v>14</v>
      </c>
      <c r="F187" s="79" t="s">
        <v>71</v>
      </c>
      <c r="G187" s="79" t="s">
        <v>14</v>
      </c>
      <c r="H187" s="78" t="s">
        <v>14</v>
      </c>
      <c r="I187" s="79" t="s">
        <v>14</v>
      </c>
      <c r="J187" s="80">
        <v>7.9</v>
      </c>
      <c r="K187" s="81">
        <v>0</v>
      </c>
      <c r="L187" s="82">
        <v>0</v>
      </c>
      <c r="M187" s="83">
        <v>0</v>
      </c>
      <c r="N187" s="84">
        <v>99.07</v>
      </c>
      <c r="O187" s="85">
        <v>1</v>
      </c>
      <c r="P187" s="86"/>
      <c r="Q187" s="87">
        <f t="shared" si="23"/>
        <v>0</v>
      </c>
      <c r="R187" s="88">
        <f t="shared" si="24"/>
        <v>4</v>
      </c>
      <c r="S187" s="89">
        <f t="shared" si="25"/>
        <v>0</v>
      </c>
      <c r="T187" s="89">
        <f t="shared" si="26"/>
        <v>0</v>
      </c>
      <c r="U187" s="89">
        <f t="shared" si="27"/>
        <v>0</v>
      </c>
      <c r="V187" s="89">
        <f t="shared" si="28"/>
        <v>0</v>
      </c>
      <c r="W187" s="89">
        <f t="shared" si="29"/>
        <v>0</v>
      </c>
      <c r="X187" s="89">
        <f t="shared" si="30"/>
        <v>0</v>
      </c>
      <c r="Y187" s="89">
        <f t="shared" si="31"/>
        <v>0</v>
      </c>
      <c r="Z187" s="89">
        <f t="shared" si="32"/>
        <v>0</v>
      </c>
      <c r="AA187" s="41">
        <f t="shared" si="33"/>
        <v>0</v>
      </c>
      <c r="AB187" s="49"/>
      <c r="AC187" s="50"/>
      <c r="AD187" s="49" t="s">
        <v>5</v>
      </c>
      <c r="AE187" s="50" t="s">
        <v>433</v>
      </c>
      <c r="AF187" s="49"/>
      <c r="AG187" s="50"/>
      <c r="AH187" s="49" t="s">
        <v>5</v>
      </c>
      <c r="AI187" s="50" t="s">
        <v>419</v>
      </c>
      <c r="AJ187" s="49"/>
      <c r="AK187" s="50"/>
      <c r="AL187" s="49"/>
      <c r="AM187" s="50"/>
      <c r="AN187" s="49"/>
      <c r="AO187" s="50"/>
      <c r="AP187" s="49"/>
      <c r="AQ187" s="50"/>
      <c r="AR187" s="49"/>
      <c r="AS187" s="50"/>
      <c r="AT187" s="49"/>
      <c r="AU187" s="50"/>
      <c r="AV187" s="49" t="s">
        <v>5</v>
      </c>
      <c r="AW187" s="50" t="s">
        <v>476</v>
      </c>
      <c r="AX187" s="49"/>
      <c r="AY187" s="50"/>
      <c r="AZ187" s="49"/>
      <c r="BA187" s="50"/>
      <c r="BB187" s="49"/>
      <c r="BC187" s="50"/>
      <c r="BD187" s="49"/>
      <c r="BE187" s="50"/>
      <c r="BF187" s="49"/>
      <c r="BG187" s="50"/>
      <c r="BH187" s="49"/>
      <c r="BI187" s="50"/>
      <c r="BJ187" s="49" t="s">
        <v>5</v>
      </c>
      <c r="BK187" s="50" t="s">
        <v>430</v>
      </c>
      <c r="BL187" s="49"/>
      <c r="BM187" s="50"/>
      <c r="BN187" s="49"/>
      <c r="BO187" s="50"/>
      <c r="BP187" s="49"/>
      <c r="BQ187" s="50"/>
      <c r="BR187" s="49"/>
      <c r="BS187" s="50"/>
      <c r="BT187" s="49"/>
      <c r="BU187" s="50"/>
      <c r="BV187" s="49"/>
      <c r="BW187" s="50"/>
      <c r="BX187" s="49"/>
      <c r="BY187" s="50"/>
      <c r="BZ187" s="49"/>
      <c r="CA187" s="50"/>
    </row>
    <row r="188" spans="1:79" s="91" customFormat="1" x14ac:dyDescent="0.25">
      <c r="A188" s="76">
        <v>160113</v>
      </c>
      <c r="B188" s="77" t="s">
        <v>645</v>
      </c>
      <c r="C188" s="78" t="s">
        <v>464</v>
      </c>
      <c r="D188" s="76" t="s">
        <v>12</v>
      </c>
      <c r="E188" s="79" t="s">
        <v>14</v>
      </c>
      <c r="F188" s="79" t="s">
        <v>71</v>
      </c>
      <c r="G188" s="79" t="s">
        <v>14</v>
      </c>
      <c r="H188" s="78" t="s">
        <v>14</v>
      </c>
      <c r="I188" s="79" t="s">
        <v>14</v>
      </c>
      <c r="J188" s="80">
        <v>5.7</v>
      </c>
      <c r="K188" s="81">
        <v>1</v>
      </c>
      <c r="L188" s="82">
        <v>0</v>
      </c>
      <c r="M188" s="83">
        <v>0</v>
      </c>
      <c r="N188" s="84">
        <v>100</v>
      </c>
      <c r="O188" s="85">
        <v>0</v>
      </c>
      <c r="P188" s="86"/>
      <c r="Q188" s="87">
        <f t="shared" si="23"/>
        <v>1</v>
      </c>
      <c r="R188" s="88">
        <f t="shared" si="24"/>
        <v>3</v>
      </c>
      <c r="S188" s="89">
        <f t="shared" si="25"/>
        <v>0</v>
      </c>
      <c r="T188" s="89">
        <f t="shared" si="26"/>
        <v>0</v>
      </c>
      <c r="U188" s="89">
        <f t="shared" si="27"/>
        <v>0</v>
      </c>
      <c r="V188" s="89">
        <f t="shared" si="28"/>
        <v>0</v>
      </c>
      <c r="W188" s="89">
        <f t="shared" si="29"/>
        <v>0</v>
      </c>
      <c r="X188" s="89">
        <f t="shared" si="30"/>
        <v>0</v>
      </c>
      <c r="Y188" s="89">
        <f t="shared" si="31"/>
        <v>0</v>
      </c>
      <c r="Z188" s="89">
        <f t="shared" si="32"/>
        <v>0</v>
      </c>
      <c r="AA188" s="41">
        <f t="shared" si="33"/>
        <v>0</v>
      </c>
      <c r="AB188" s="49"/>
      <c r="AC188" s="50"/>
      <c r="AD188" s="49"/>
      <c r="AE188" s="50"/>
      <c r="AF188" s="49" t="s">
        <v>5</v>
      </c>
      <c r="AG188" s="50" t="s">
        <v>427</v>
      </c>
      <c r="AH188" s="49"/>
      <c r="AI188" s="50"/>
      <c r="AJ188" s="49"/>
      <c r="AK188" s="50"/>
      <c r="AL188" s="49"/>
      <c r="AM188" s="50"/>
      <c r="AN188" s="49"/>
      <c r="AO188" s="50"/>
      <c r="AP188" s="49" t="s">
        <v>1</v>
      </c>
      <c r="AQ188" s="50" t="s">
        <v>428</v>
      </c>
      <c r="AR188" s="49" t="s">
        <v>5</v>
      </c>
      <c r="AS188" s="50" t="s">
        <v>459</v>
      </c>
      <c r="AT188" s="49"/>
      <c r="AU188" s="50"/>
      <c r="AV188" s="49" t="s">
        <v>5</v>
      </c>
      <c r="AW188" s="50" t="s">
        <v>448</v>
      </c>
      <c r="AX188" s="49"/>
      <c r="AY188" s="50"/>
      <c r="AZ188" s="49"/>
      <c r="BA188" s="50"/>
      <c r="BB188" s="49"/>
      <c r="BC188" s="50"/>
      <c r="BD188" s="49"/>
      <c r="BE188" s="50"/>
      <c r="BF188" s="49"/>
      <c r="BG188" s="50"/>
      <c r="BH188" s="49"/>
      <c r="BI188" s="50"/>
      <c r="BJ188" s="49"/>
      <c r="BK188" s="50"/>
      <c r="BL188" s="49"/>
      <c r="BM188" s="50"/>
      <c r="BN188" s="49"/>
      <c r="BO188" s="50"/>
      <c r="BP188" s="49"/>
      <c r="BQ188" s="50"/>
      <c r="BR188" s="49"/>
      <c r="BS188" s="50"/>
      <c r="BT188" s="49"/>
      <c r="BU188" s="50"/>
      <c r="BV188" s="49"/>
      <c r="BW188" s="50"/>
      <c r="BX188" s="49"/>
      <c r="BY188" s="50"/>
      <c r="BZ188" s="49"/>
      <c r="CA188" s="50"/>
    </row>
    <row r="189" spans="1:79" s="91" customFormat="1" x14ac:dyDescent="0.25">
      <c r="A189" s="76">
        <v>160134</v>
      </c>
      <c r="B189" s="77" t="s">
        <v>646</v>
      </c>
      <c r="C189" s="78" t="s">
        <v>452</v>
      </c>
      <c r="D189" s="76" t="s">
        <v>12</v>
      </c>
      <c r="E189" s="79" t="s">
        <v>14</v>
      </c>
      <c r="F189" s="79" t="s">
        <v>647</v>
      </c>
      <c r="G189" s="79" t="s">
        <v>14</v>
      </c>
      <c r="H189" s="78" t="s">
        <v>14</v>
      </c>
      <c r="I189" s="79" t="s">
        <v>14</v>
      </c>
      <c r="J189" s="80">
        <v>6</v>
      </c>
      <c r="K189" s="81">
        <v>0</v>
      </c>
      <c r="L189" s="82">
        <v>0</v>
      </c>
      <c r="M189" s="83">
        <v>1</v>
      </c>
      <c r="N189" s="84">
        <v>83.62</v>
      </c>
      <c r="O189" s="85">
        <v>1</v>
      </c>
      <c r="P189" s="86"/>
      <c r="Q189" s="87">
        <f t="shared" si="23"/>
        <v>0</v>
      </c>
      <c r="R189" s="88">
        <f t="shared" si="24"/>
        <v>3</v>
      </c>
      <c r="S189" s="89">
        <f t="shared" si="25"/>
        <v>0</v>
      </c>
      <c r="T189" s="89">
        <f t="shared" si="26"/>
        <v>0</v>
      </c>
      <c r="U189" s="89">
        <f t="shared" si="27"/>
        <v>1</v>
      </c>
      <c r="V189" s="89">
        <f t="shared" si="28"/>
        <v>1</v>
      </c>
      <c r="W189" s="89">
        <f t="shared" si="29"/>
        <v>0</v>
      </c>
      <c r="X189" s="89">
        <f t="shared" si="30"/>
        <v>0</v>
      </c>
      <c r="Y189" s="89">
        <f t="shared" si="31"/>
        <v>0</v>
      </c>
      <c r="Z189" s="89">
        <f t="shared" si="32"/>
        <v>0</v>
      </c>
      <c r="AA189" s="41">
        <f t="shared" si="33"/>
        <v>0</v>
      </c>
      <c r="AB189" s="49"/>
      <c r="AC189" s="50"/>
      <c r="AD189" s="49"/>
      <c r="AE189" s="50"/>
      <c r="AF189" s="49"/>
      <c r="AG189" s="50"/>
      <c r="AH189" s="49" t="s">
        <v>32</v>
      </c>
      <c r="AI189" s="50" t="s">
        <v>206</v>
      </c>
      <c r="AJ189" s="49"/>
      <c r="AK189" s="50"/>
      <c r="AL189" s="49"/>
      <c r="AM189" s="50"/>
      <c r="AN189" s="49"/>
      <c r="AO189" s="50"/>
      <c r="AP189" s="49"/>
      <c r="AQ189" s="50"/>
      <c r="AR189" s="49"/>
      <c r="AS189" s="50"/>
      <c r="AT189" s="49"/>
      <c r="AU189" s="50"/>
      <c r="AV189" s="49" t="s">
        <v>5</v>
      </c>
      <c r="AW189" s="50" t="s">
        <v>453</v>
      </c>
      <c r="AX189" s="49"/>
      <c r="AY189" s="50"/>
      <c r="AZ189" s="49"/>
      <c r="BA189" s="50"/>
      <c r="BB189" s="49"/>
      <c r="BC189" s="50"/>
      <c r="BD189" s="49"/>
      <c r="BE189" s="50"/>
      <c r="BF189" s="49"/>
      <c r="BG189" s="50"/>
      <c r="BH189" s="49"/>
      <c r="BI189" s="50"/>
      <c r="BJ189" s="49" t="s">
        <v>5</v>
      </c>
      <c r="BK189" s="50" t="s">
        <v>422</v>
      </c>
      <c r="BL189" s="49"/>
      <c r="BM189" s="50"/>
      <c r="BN189" s="49"/>
      <c r="BO189" s="50"/>
      <c r="BP189" s="49"/>
      <c r="BQ189" s="50"/>
      <c r="BR189" s="49" t="s">
        <v>5</v>
      </c>
      <c r="BS189" s="50" t="s">
        <v>109</v>
      </c>
      <c r="BT189" s="49"/>
      <c r="BU189" s="50"/>
      <c r="BV189" s="49"/>
      <c r="BW189" s="50"/>
      <c r="BX189" s="49"/>
      <c r="BY189" s="50"/>
      <c r="BZ189" s="49"/>
      <c r="CA189" s="50"/>
    </row>
    <row r="190" spans="1:79" s="91" customFormat="1" x14ac:dyDescent="0.25">
      <c r="A190" s="76">
        <v>160087</v>
      </c>
      <c r="B190" s="77" t="s">
        <v>648</v>
      </c>
      <c r="C190" s="78" t="s">
        <v>452</v>
      </c>
      <c r="D190" s="76" t="s">
        <v>12</v>
      </c>
      <c r="E190" s="79" t="s">
        <v>14</v>
      </c>
      <c r="F190" s="79" t="s">
        <v>71</v>
      </c>
      <c r="G190" s="79" t="s">
        <v>14</v>
      </c>
      <c r="H190" s="78" t="s">
        <v>14</v>
      </c>
      <c r="I190" s="79" t="s">
        <v>14</v>
      </c>
      <c r="J190" s="80">
        <v>6.6</v>
      </c>
      <c r="K190" s="81">
        <v>0</v>
      </c>
      <c r="L190" s="82">
        <v>0</v>
      </c>
      <c r="M190" s="83">
        <v>0</v>
      </c>
      <c r="N190" s="84">
        <v>100</v>
      </c>
      <c r="O190" s="85">
        <v>0</v>
      </c>
      <c r="P190" s="86"/>
      <c r="Q190" s="87">
        <f t="shared" si="23"/>
        <v>1</v>
      </c>
      <c r="R190" s="88">
        <f t="shared" si="24"/>
        <v>4</v>
      </c>
      <c r="S190" s="89">
        <f t="shared" si="25"/>
        <v>0</v>
      </c>
      <c r="T190" s="89">
        <f t="shared" si="26"/>
        <v>0</v>
      </c>
      <c r="U190" s="89">
        <f t="shared" si="27"/>
        <v>0</v>
      </c>
      <c r="V190" s="89">
        <f t="shared" si="28"/>
        <v>0</v>
      </c>
      <c r="W190" s="89">
        <f t="shared" si="29"/>
        <v>0</v>
      </c>
      <c r="X190" s="89">
        <f t="shared" si="30"/>
        <v>0</v>
      </c>
      <c r="Y190" s="89">
        <f t="shared" si="31"/>
        <v>0</v>
      </c>
      <c r="Z190" s="89">
        <f t="shared" si="32"/>
        <v>0</v>
      </c>
      <c r="AA190" s="41">
        <f t="shared" si="33"/>
        <v>0</v>
      </c>
      <c r="AB190" s="49"/>
      <c r="AC190" s="50"/>
      <c r="AD190" s="49" t="s">
        <v>5</v>
      </c>
      <c r="AE190" s="50" t="s">
        <v>154</v>
      </c>
      <c r="AF190" s="49"/>
      <c r="AG190" s="50"/>
      <c r="AH190" s="49"/>
      <c r="AI190" s="50"/>
      <c r="AJ190" s="49"/>
      <c r="AK190" s="50"/>
      <c r="AL190" s="49"/>
      <c r="AM190" s="50"/>
      <c r="AN190" s="49"/>
      <c r="AO190" s="50"/>
      <c r="AP190" s="49"/>
      <c r="AQ190" s="50"/>
      <c r="AR190" s="49"/>
      <c r="AS190" s="50"/>
      <c r="AT190" s="49" t="s">
        <v>5</v>
      </c>
      <c r="AU190" s="50"/>
      <c r="AV190" s="49" t="s">
        <v>5</v>
      </c>
      <c r="AW190" s="50" t="s">
        <v>453</v>
      </c>
      <c r="AX190" s="49"/>
      <c r="AY190" s="50"/>
      <c r="AZ190" s="49"/>
      <c r="BA190" s="50"/>
      <c r="BB190" s="49"/>
      <c r="BC190" s="50"/>
      <c r="BD190" s="49"/>
      <c r="BE190" s="50"/>
      <c r="BF190" s="49"/>
      <c r="BG190" s="50"/>
      <c r="BH190" s="49"/>
      <c r="BI190" s="50"/>
      <c r="BJ190" s="49"/>
      <c r="BK190" s="50"/>
      <c r="BL190" s="49"/>
      <c r="BM190" s="50"/>
      <c r="BN190" s="49"/>
      <c r="BO190" s="50"/>
      <c r="BP190" s="49"/>
      <c r="BQ190" s="50"/>
      <c r="BR190" s="49"/>
      <c r="BS190" s="50"/>
      <c r="BT190" s="49" t="s">
        <v>5</v>
      </c>
      <c r="BU190" s="50"/>
      <c r="BV190" s="49" t="s">
        <v>1</v>
      </c>
      <c r="BW190" s="50" t="s">
        <v>425</v>
      </c>
      <c r="BX190" s="49"/>
      <c r="BY190" s="50"/>
      <c r="BZ190" s="49"/>
      <c r="CA190" s="50"/>
    </row>
    <row r="191" spans="1:79" s="91" customFormat="1" x14ac:dyDescent="0.25">
      <c r="A191" s="76">
        <v>160046</v>
      </c>
      <c r="B191" s="77" t="s">
        <v>649</v>
      </c>
      <c r="C191" s="78" t="s">
        <v>440</v>
      </c>
      <c r="D191" s="76" t="s">
        <v>70</v>
      </c>
      <c r="E191" s="79" t="s">
        <v>14</v>
      </c>
      <c r="F191" s="79" t="s">
        <v>71</v>
      </c>
      <c r="G191" s="79" t="s">
        <v>14</v>
      </c>
      <c r="H191" s="78" t="s">
        <v>14</v>
      </c>
      <c r="I191" s="79" t="s">
        <v>14</v>
      </c>
      <c r="J191" s="80">
        <v>6.9</v>
      </c>
      <c r="K191" s="81">
        <v>0</v>
      </c>
      <c r="L191" s="82">
        <v>0</v>
      </c>
      <c r="M191" s="83">
        <v>0</v>
      </c>
      <c r="N191" s="84">
        <v>98.28</v>
      </c>
      <c r="O191" s="85">
        <v>0</v>
      </c>
      <c r="P191" s="86"/>
      <c r="Q191" s="87">
        <f t="shared" si="23"/>
        <v>1</v>
      </c>
      <c r="R191" s="88">
        <f t="shared" si="24"/>
        <v>3</v>
      </c>
      <c r="S191" s="89">
        <f t="shared" si="25"/>
        <v>0</v>
      </c>
      <c r="T191" s="89">
        <f t="shared" si="26"/>
        <v>0</v>
      </c>
      <c r="U191" s="89">
        <f t="shared" si="27"/>
        <v>0</v>
      </c>
      <c r="V191" s="89">
        <f t="shared" si="28"/>
        <v>0</v>
      </c>
      <c r="W191" s="89">
        <f t="shared" si="29"/>
        <v>0</v>
      </c>
      <c r="X191" s="89">
        <f t="shared" si="30"/>
        <v>0</v>
      </c>
      <c r="Y191" s="89">
        <f t="shared" si="31"/>
        <v>0</v>
      </c>
      <c r="Z191" s="89">
        <f t="shared" si="32"/>
        <v>0</v>
      </c>
      <c r="AA191" s="41">
        <f t="shared" si="33"/>
        <v>0</v>
      </c>
      <c r="AB191" s="49" t="s">
        <v>5</v>
      </c>
      <c r="AC191" s="50" t="s">
        <v>116</v>
      </c>
      <c r="AD191" s="49"/>
      <c r="AE191" s="50"/>
      <c r="AF191" s="49"/>
      <c r="AG191" s="50"/>
      <c r="AH191" s="49"/>
      <c r="AI191" s="50"/>
      <c r="AJ191" s="49"/>
      <c r="AK191" s="50"/>
      <c r="AL191" s="49"/>
      <c r="AM191" s="50"/>
      <c r="AN191" s="49"/>
      <c r="AO191" s="50"/>
      <c r="AP191" s="49"/>
      <c r="AQ191" s="50"/>
      <c r="AR191" s="49"/>
      <c r="AS191" s="50"/>
      <c r="AT191" s="49" t="s">
        <v>5</v>
      </c>
      <c r="AU191" s="50" t="s">
        <v>448</v>
      </c>
      <c r="AV191" s="49" t="s">
        <v>5</v>
      </c>
      <c r="AW191" s="50" t="s">
        <v>428</v>
      </c>
      <c r="AX191" s="49"/>
      <c r="AY191" s="50"/>
      <c r="AZ191" s="49"/>
      <c r="BA191" s="50"/>
      <c r="BB191" s="49"/>
      <c r="BC191" s="50"/>
      <c r="BD191" s="49"/>
      <c r="BE191" s="50"/>
      <c r="BF191" s="49"/>
      <c r="BG191" s="50"/>
      <c r="BH191" s="49"/>
      <c r="BI191" s="50"/>
      <c r="BJ191" s="49"/>
      <c r="BK191" s="50"/>
      <c r="BL191" s="49"/>
      <c r="BM191" s="50"/>
      <c r="BN191" s="49"/>
      <c r="BO191" s="50"/>
      <c r="BP191" s="49"/>
      <c r="BQ191" s="50"/>
      <c r="BR191" s="49"/>
      <c r="BS191" s="50"/>
      <c r="BT191" s="49"/>
      <c r="BU191" s="50"/>
      <c r="BV191" s="49" t="s">
        <v>1</v>
      </c>
      <c r="BW191" s="50" t="s">
        <v>436</v>
      </c>
      <c r="BX191" s="49"/>
      <c r="BY191" s="50"/>
      <c r="BZ191" s="49"/>
      <c r="CA191" s="50"/>
    </row>
    <row r="192" spans="1:79" s="91" customFormat="1" x14ac:dyDescent="0.25">
      <c r="A192" s="76">
        <v>160090</v>
      </c>
      <c r="B192" s="77" t="s">
        <v>650</v>
      </c>
      <c r="C192" s="78" t="s">
        <v>501</v>
      </c>
      <c r="D192" s="76" t="s">
        <v>70</v>
      </c>
      <c r="E192" s="79" t="s">
        <v>14</v>
      </c>
      <c r="F192" s="79" t="s">
        <v>71</v>
      </c>
      <c r="G192" s="79" t="s">
        <v>14</v>
      </c>
      <c r="H192" s="78" t="s">
        <v>14</v>
      </c>
      <c r="I192" s="79" t="s">
        <v>14</v>
      </c>
      <c r="J192" s="80">
        <v>6.9</v>
      </c>
      <c r="K192" s="81">
        <v>0</v>
      </c>
      <c r="L192" s="82">
        <v>0</v>
      </c>
      <c r="M192" s="83">
        <v>0</v>
      </c>
      <c r="N192" s="84">
        <v>100</v>
      </c>
      <c r="O192" s="85">
        <v>0</v>
      </c>
      <c r="P192" s="86"/>
      <c r="Q192" s="87">
        <f t="shared" si="23"/>
        <v>1</v>
      </c>
      <c r="R192" s="88">
        <f t="shared" si="24"/>
        <v>3</v>
      </c>
      <c r="S192" s="89">
        <f t="shared" si="25"/>
        <v>0</v>
      </c>
      <c r="T192" s="89">
        <f t="shared" si="26"/>
        <v>0</v>
      </c>
      <c r="U192" s="89">
        <f t="shared" si="27"/>
        <v>0</v>
      </c>
      <c r="V192" s="89">
        <f t="shared" si="28"/>
        <v>0</v>
      </c>
      <c r="W192" s="89">
        <f t="shared" si="29"/>
        <v>0</v>
      </c>
      <c r="X192" s="89">
        <f t="shared" si="30"/>
        <v>0</v>
      </c>
      <c r="Y192" s="89">
        <f t="shared" si="31"/>
        <v>0</v>
      </c>
      <c r="Z192" s="89">
        <f t="shared" si="32"/>
        <v>0</v>
      </c>
      <c r="AA192" s="41">
        <f t="shared" si="33"/>
        <v>0</v>
      </c>
      <c r="AB192" s="49"/>
      <c r="AC192" s="50"/>
      <c r="AD192" s="49" t="s">
        <v>5</v>
      </c>
      <c r="AE192" s="50" t="s">
        <v>133</v>
      </c>
      <c r="AF192" s="49"/>
      <c r="AG192" s="50"/>
      <c r="AH192" s="49"/>
      <c r="AI192" s="50"/>
      <c r="AJ192" s="49"/>
      <c r="AK192" s="50"/>
      <c r="AL192" s="49"/>
      <c r="AM192" s="50"/>
      <c r="AN192" s="49"/>
      <c r="AO192" s="50"/>
      <c r="AP192" s="49"/>
      <c r="AQ192" s="50"/>
      <c r="AR192" s="49"/>
      <c r="AS192" s="50"/>
      <c r="AT192" s="49"/>
      <c r="AU192" s="50"/>
      <c r="AV192" s="49" t="s">
        <v>5</v>
      </c>
      <c r="AW192" s="50" t="s">
        <v>602</v>
      </c>
      <c r="AX192" s="49"/>
      <c r="AY192" s="50"/>
      <c r="AZ192" s="49"/>
      <c r="BA192" s="50"/>
      <c r="BB192" s="49"/>
      <c r="BC192" s="50"/>
      <c r="BD192" s="49"/>
      <c r="BE192" s="50"/>
      <c r="BF192" s="49"/>
      <c r="BG192" s="50"/>
      <c r="BH192" s="49"/>
      <c r="BI192" s="50"/>
      <c r="BJ192" s="49"/>
      <c r="BK192" s="50"/>
      <c r="BL192" s="49"/>
      <c r="BM192" s="50"/>
      <c r="BN192" s="49"/>
      <c r="BO192" s="50"/>
      <c r="BP192" s="49"/>
      <c r="BQ192" s="50"/>
      <c r="BR192" s="49"/>
      <c r="BS192" s="50"/>
      <c r="BT192" s="49"/>
      <c r="BU192" s="50"/>
      <c r="BV192" s="49" t="s">
        <v>5</v>
      </c>
      <c r="BW192" s="50" t="s">
        <v>436</v>
      </c>
      <c r="BX192" s="49" t="s">
        <v>1</v>
      </c>
      <c r="BY192" s="50" t="s">
        <v>462</v>
      </c>
      <c r="BZ192" s="49"/>
      <c r="CA192" s="50"/>
    </row>
    <row r="193" spans="1:79" s="91" customFormat="1" x14ac:dyDescent="0.25">
      <c r="A193" s="76">
        <v>160362</v>
      </c>
      <c r="B193" s="77" t="s">
        <v>651</v>
      </c>
      <c r="C193" s="78" t="s">
        <v>501</v>
      </c>
      <c r="D193" s="76" t="s">
        <v>70</v>
      </c>
      <c r="E193" s="79" t="s">
        <v>14</v>
      </c>
      <c r="F193" s="79" t="s">
        <v>572</v>
      </c>
      <c r="G193" s="79" t="s">
        <v>14</v>
      </c>
      <c r="H193" s="78" t="s">
        <v>14</v>
      </c>
      <c r="I193" s="79" t="s">
        <v>14</v>
      </c>
      <c r="J193" s="80">
        <v>4.7</v>
      </c>
      <c r="K193" s="81">
        <v>0</v>
      </c>
      <c r="L193" s="82">
        <v>0</v>
      </c>
      <c r="M193" s="83">
        <v>0</v>
      </c>
      <c r="N193" s="84">
        <v>91.36</v>
      </c>
      <c r="O193" s="85">
        <v>1</v>
      </c>
      <c r="P193" s="86"/>
      <c r="Q193" s="87">
        <f t="shared" si="23"/>
        <v>0</v>
      </c>
      <c r="R193" s="88">
        <f t="shared" si="24"/>
        <v>5</v>
      </c>
      <c r="S193" s="89">
        <f t="shared" si="25"/>
        <v>0</v>
      </c>
      <c r="T193" s="89">
        <f t="shared" si="26"/>
        <v>0</v>
      </c>
      <c r="U193" s="89">
        <f t="shared" si="27"/>
        <v>0</v>
      </c>
      <c r="V193" s="89">
        <f t="shared" si="28"/>
        <v>0</v>
      </c>
      <c r="W193" s="89">
        <f t="shared" si="29"/>
        <v>0</v>
      </c>
      <c r="X193" s="89">
        <f t="shared" si="30"/>
        <v>0</v>
      </c>
      <c r="Y193" s="89">
        <f t="shared" si="31"/>
        <v>0</v>
      </c>
      <c r="Z193" s="89">
        <f t="shared" si="32"/>
        <v>0</v>
      </c>
      <c r="AA193" s="41">
        <f t="shared" si="33"/>
        <v>0</v>
      </c>
      <c r="AB193" s="49"/>
      <c r="AC193" s="50"/>
      <c r="AD193" s="49"/>
      <c r="AE193" s="50"/>
      <c r="AF193" s="49" t="s">
        <v>5</v>
      </c>
      <c r="AG193" s="50" t="s">
        <v>427</v>
      </c>
      <c r="AH193" s="49"/>
      <c r="AI193" s="50"/>
      <c r="AJ193" s="49"/>
      <c r="AK193" s="50"/>
      <c r="AL193" s="49"/>
      <c r="AM193" s="50"/>
      <c r="AN193" s="49"/>
      <c r="AO193" s="50"/>
      <c r="AP193" s="49" t="s">
        <v>5</v>
      </c>
      <c r="AQ193" s="50" t="s">
        <v>428</v>
      </c>
      <c r="AR193" s="49"/>
      <c r="AS193" s="50"/>
      <c r="AT193" s="49"/>
      <c r="AU193" s="50"/>
      <c r="AV193" s="49" t="s">
        <v>5</v>
      </c>
      <c r="AW193" s="50" t="s">
        <v>108</v>
      </c>
      <c r="AX193" s="49"/>
      <c r="AY193" s="50"/>
      <c r="AZ193" s="49"/>
      <c r="BA193" s="50"/>
      <c r="BB193" s="49"/>
      <c r="BC193" s="50"/>
      <c r="BD193" s="49" t="s">
        <v>5</v>
      </c>
      <c r="BE193" s="50"/>
      <c r="BF193" s="49"/>
      <c r="BG193" s="50"/>
      <c r="BH193" s="49"/>
      <c r="BI193" s="50"/>
      <c r="BJ193" s="49"/>
      <c r="BK193" s="50"/>
      <c r="BL193" s="49"/>
      <c r="BM193" s="50"/>
      <c r="BN193" s="49"/>
      <c r="BO193" s="50"/>
      <c r="BP193" s="49"/>
      <c r="BQ193" s="50"/>
      <c r="BR193" s="49"/>
      <c r="BS193" s="50"/>
      <c r="BT193" s="49"/>
      <c r="BU193" s="50"/>
      <c r="BV193" s="49" t="s">
        <v>5</v>
      </c>
      <c r="BW193" s="50" t="s">
        <v>436</v>
      </c>
      <c r="BX193" s="49"/>
      <c r="BY193" s="50"/>
      <c r="BZ193" s="49"/>
      <c r="CA193" s="50"/>
    </row>
    <row r="194" spans="1:79" s="91" customFormat="1" x14ac:dyDescent="0.25">
      <c r="A194" s="76">
        <v>150932</v>
      </c>
      <c r="B194" s="77" t="s">
        <v>652</v>
      </c>
      <c r="C194" s="78" t="s">
        <v>497</v>
      </c>
      <c r="D194" s="76" t="s">
        <v>12</v>
      </c>
      <c r="E194" s="79" t="s">
        <v>14</v>
      </c>
      <c r="F194" s="79" t="s">
        <v>71</v>
      </c>
      <c r="G194" s="79" t="s">
        <v>14</v>
      </c>
      <c r="H194" s="78" t="s">
        <v>14</v>
      </c>
      <c r="I194" s="79" t="s">
        <v>14</v>
      </c>
      <c r="J194" s="80">
        <v>4.4000000000000004</v>
      </c>
      <c r="K194" s="81">
        <v>0</v>
      </c>
      <c r="L194" s="82">
        <v>0</v>
      </c>
      <c r="M194" s="83">
        <v>0</v>
      </c>
      <c r="N194" s="84">
        <v>92.31</v>
      </c>
      <c r="O194" s="85">
        <v>0</v>
      </c>
      <c r="P194" s="86"/>
      <c r="Q194" s="87">
        <f t="shared" ref="Q194:Q231" si="34">COUNTIF($AB194:$CL194,"Outstanding")</f>
        <v>0</v>
      </c>
      <c r="R194" s="88">
        <f t="shared" ref="R194:R231" si="35">COUNTIF($AB194:$CL194,"Good")</f>
        <v>4</v>
      </c>
      <c r="S194" s="89">
        <f t="shared" ref="S194:S231" si="36">COUNTIF($AB194:$CL194,"N2Improve - Engagement")</f>
        <v>0</v>
      </c>
      <c r="T194" s="89">
        <f t="shared" ref="T194:T231" si="37">COUNTIF($AB194:$CL194,"N2Improve - Community Conduct")</f>
        <v>0</v>
      </c>
      <c r="U194" s="89">
        <f t="shared" ref="U194:U231" si="38">COUNTIF($AB194:$CL194,"N2Improve - Personal Org.")</f>
        <v>0</v>
      </c>
      <c r="V194" s="89">
        <f t="shared" ref="V194:V231" si="39">SUM(S194:U194)</f>
        <v>0</v>
      </c>
      <c r="W194" s="89">
        <f t="shared" ref="W194:W231" si="40">COUNTIF($AB194:$CL194,"Serious Conc - Engagement")</f>
        <v>0</v>
      </c>
      <c r="X194" s="89">
        <f t="shared" ref="X194:X231" si="41">COUNTIF($AB194:$CL194,"Serious Conc - Comm. Concern")</f>
        <v>0</v>
      </c>
      <c r="Y194" s="89">
        <f t="shared" ref="Y194:Y231" si="42">COUNTIF($AB194:$CL194,"Serious Conc - Personal Org.")</f>
        <v>0</v>
      </c>
      <c r="Z194" s="89">
        <f t="shared" si="32"/>
        <v>0</v>
      </c>
      <c r="AA194" s="41">
        <f t="shared" si="33"/>
        <v>0</v>
      </c>
      <c r="AB194" s="49"/>
      <c r="AC194" s="50"/>
      <c r="AD194" s="49"/>
      <c r="AE194" s="50"/>
      <c r="AF194" s="49"/>
      <c r="AG194" s="50"/>
      <c r="AH194" s="49"/>
      <c r="AI194" s="50"/>
      <c r="AJ194" s="49"/>
      <c r="AK194" s="50"/>
      <c r="AL194" s="49"/>
      <c r="AM194" s="50"/>
      <c r="AN194" s="49"/>
      <c r="AO194" s="50"/>
      <c r="AP194" s="49" t="s">
        <v>5</v>
      </c>
      <c r="AQ194" s="50" t="s">
        <v>428</v>
      </c>
      <c r="AR194" s="49"/>
      <c r="AS194" s="50"/>
      <c r="AT194" s="49"/>
      <c r="AU194" s="50"/>
      <c r="AV194" s="49" t="s">
        <v>5</v>
      </c>
      <c r="AW194" s="50" t="s">
        <v>108</v>
      </c>
      <c r="AX194" s="49"/>
      <c r="AY194" s="50"/>
      <c r="AZ194" s="49"/>
      <c r="BA194" s="50"/>
      <c r="BB194" s="49"/>
      <c r="BC194" s="50"/>
      <c r="BD194" s="49"/>
      <c r="BE194" s="50"/>
      <c r="BF194" s="49"/>
      <c r="BG194" s="50"/>
      <c r="BH194" s="49"/>
      <c r="BI194" s="50"/>
      <c r="BJ194" s="49"/>
      <c r="BK194" s="50"/>
      <c r="BL194" s="49"/>
      <c r="BM194" s="50"/>
      <c r="BN194" s="49"/>
      <c r="BO194" s="50"/>
      <c r="BP194" s="49"/>
      <c r="BQ194" s="50"/>
      <c r="BR194" s="49"/>
      <c r="BS194" s="50"/>
      <c r="BT194" s="49"/>
      <c r="BU194" s="50"/>
      <c r="BV194" s="49" t="s">
        <v>5</v>
      </c>
      <c r="BW194" s="50" t="s">
        <v>436</v>
      </c>
      <c r="BX194" s="49" t="s">
        <v>5</v>
      </c>
      <c r="BY194" s="50" t="s">
        <v>462</v>
      </c>
      <c r="BZ194" s="49"/>
      <c r="CA194" s="50"/>
    </row>
    <row r="195" spans="1:79" s="91" customFormat="1" x14ac:dyDescent="0.25">
      <c r="A195" s="76">
        <v>150934</v>
      </c>
      <c r="B195" s="77" t="s">
        <v>653</v>
      </c>
      <c r="C195" s="78" t="s">
        <v>497</v>
      </c>
      <c r="D195" s="76" t="s">
        <v>12</v>
      </c>
      <c r="E195" s="79" t="s">
        <v>14</v>
      </c>
      <c r="F195" s="79" t="s">
        <v>71</v>
      </c>
      <c r="G195" s="79" t="s">
        <v>14</v>
      </c>
      <c r="H195" s="78" t="s">
        <v>14</v>
      </c>
      <c r="I195" s="79" t="s">
        <v>14</v>
      </c>
      <c r="J195" s="80">
        <v>7.4</v>
      </c>
      <c r="K195" s="81">
        <v>0</v>
      </c>
      <c r="L195" s="82">
        <v>0</v>
      </c>
      <c r="M195" s="83">
        <v>0</v>
      </c>
      <c r="N195" s="84">
        <v>98.29</v>
      </c>
      <c r="O195" s="85">
        <v>0</v>
      </c>
      <c r="P195" s="86"/>
      <c r="Q195" s="87">
        <f t="shared" si="34"/>
        <v>0</v>
      </c>
      <c r="R195" s="88">
        <f t="shared" si="35"/>
        <v>4</v>
      </c>
      <c r="S195" s="89">
        <f t="shared" si="36"/>
        <v>0</v>
      </c>
      <c r="T195" s="89">
        <f t="shared" si="37"/>
        <v>0</v>
      </c>
      <c r="U195" s="89">
        <f t="shared" si="38"/>
        <v>0</v>
      </c>
      <c r="V195" s="89">
        <f t="shared" si="39"/>
        <v>0</v>
      </c>
      <c r="W195" s="89">
        <f t="shared" si="40"/>
        <v>0</v>
      </c>
      <c r="X195" s="89">
        <f t="shared" si="41"/>
        <v>0</v>
      </c>
      <c r="Y195" s="89">
        <f t="shared" si="42"/>
        <v>0</v>
      </c>
      <c r="Z195" s="89">
        <f t="shared" ref="Z195:Z231" si="43">SUM(W195:Y195)</f>
        <v>0</v>
      </c>
      <c r="AA195" s="41">
        <f t="shared" ref="AA195:AA231" si="44">COUNTIF(AB195:BY195,"*still*")</f>
        <v>0</v>
      </c>
      <c r="AB195" s="49"/>
      <c r="AC195" s="50"/>
      <c r="AD195" s="49" t="s">
        <v>5</v>
      </c>
      <c r="AE195" s="50" t="s">
        <v>133</v>
      </c>
      <c r="AF195" s="49"/>
      <c r="AG195" s="50"/>
      <c r="AH195" s="49" t="s">
        <v>5</v>
      </c>
      <c r="AI195" s="50" t="s">
        <v>424</v>
      </c>
      <c r="AJ195" s="49"/>
      <c r="AK195" s="50"/>
      <c r="AL195" s="49"/>
      <c r="AM195" s="50"/>
      <c r="AN195" s="49"/>
      <c r="AO195" s="50"/>
      <c r="AP195" s="49"/>
      <c r="AQ195" s="50"/>
      <c r="AR195" s="49"/>
      <c r="AS195" s="50"/>
      <c r="AT195" s="49"/>
      <c r="AU195" s="50"/>
      <c r="AV195" s="49" t="s">
        <v>5</v>
      </c>
      <c r="AW195" s="50" t="s">
        <v>476</v>
      </c>
      <c r="AX195" s="49"/>
      <c r="AY195" s="50"/>
      <c r="AZ195" s="49"/>
      <c r="BA195" s="50"/>
      <c r="BB195" s="49"/>
      <c r="BC195" s="50"/>
      <c r="BD195" s="49"/>
      <c r="BE195" s="50"/>
      <c r="BF195" s="49"/>
      <c r="BG195" s="50"/>
      <c r="BH195" s="49"/>
      <c r="BI195" s="50"/>
      <c r="BJ195" s="49" t="s">
        <v>5</v>
      </c>
      <c r="BK195" s="50" t="s">
        <v>430</v>
      </c>
      <c r="BL195" s="49"/>
      <c r="BM195" s="50"/>
      <c r="BN195" s="49"/>
      <c r="BO195" s="50"/>
      <c r="BP195" s="49"/>
      <c r="BQ195" s="50"/>
      <c r="BR195" s="49"/>
      <c r="BS195" s="50"/>
      <c r="BT195" s="49"/>
      <c r="BU195" s="50"/>
      <c r="BV195" s="49"/>
      <c r="BW195" s="50"/>
      <c r="BX195" s="49"/>
      <c r="BY195" s="50"/>
      <c r="BZ195" s="49"/>
      <c r="CA195" s="50"/>
    </row>
    <row r="196" spans="1:79" s="91" customFormat="1" x14ac:dyDescent="0.25">
      <c r="A196" s="76">
        <v>150948</v>
      </c>
      <c r="B196" s="77" t="s">
        <v>654</v>
      </c>
      <c r="C196" s="78" t="s">
        <v>497</v>
      </c>
      <c r="D196" s="76" t="s">
        <v>12</v>
      </c>
      <c r="E196" s="79" t="s">
        <v>14</v>
      </c>
      <c r="F196" s="79" t="s">
        <v>71</v>
      </c>
      <c r="G196" s="79" t="s">
        <v>14</v>
      </c>
      <c r="H196" s="78" t="s">
        <v>14</v>
      </c>
      <c r="I196" s="79" t="s">
        <v>14</v>
      </c>
      <c r="J196" s="80">
        <v>4.5999999999999996</v>
      </c>
      <c r="K196" s="81">
        <v>1</v>
      </c>
      <c r="L196" s="82">
        <v>0</v>
      </c>
      <c r="M196" s="83">
        <v>0</v>
      </c>
      <c r="N196" s="84">
        <v>97.35</v>
      </c>
      <c r="O196" s="85">
        <v>0</v>
      </c>
      <c r="P196" s="86"/>
      <c r="Q196" s="87">
        <f t="shared" si="34"/>
        <v>1</v>
      </c>
      <c r="R196" s="88">
        <f t="shared" si="35"/>
        <v>3</v>
      </c>
      <c r="S196" s="89">
        <f t="shared" si="36"/>
        <v>0</v>
      </c>
      <c r="T196" s="89">
        <f t="shared" si="37"/>
        <v>0</v>
      </c>
      <c r="U196" s="89">
        <f t="shared" si="38"/>
        <v>0</v>
      </c>
      <c r="V196" s="89">
        <f t="shared" si="39"/>
        <v>0</v>
      </c>
      <c r="W196" s="89">
        <f t="shared" si="40"/>
        <v>0</v>
      </c>
      <c r="X196" s="89">
        <f t="shared" si="41"/>
        <v>0</v>
      </c>
      <c r="Y196" s="89">
        <f t="shared" si="42"/>
        <v>0</v>
      </c>
      <c r="Z196" s="89">
        <f t="shared" si="43"/>
        <v>0</v>
      </c>
      <c r="AA196" s="41">
        <f t="shared" si="44"/>
        <v>0</v>
      </c>
      <c r="AB196" s="49" t="s">
        <v>5</v>
      </c>
      <c r="AC196" s="50" t="s">
        <v>116</v>
      </c>
      <c r="AD196" s="49"/>
      <c r="AE196" s="50"/>
      <c r="AF196" s="49"/>
      <c r="AG196" s="50"/>
      <c r="AH196" s="49"/>
      <c r="AI196" s="50"/>
      <c r="AJ196" s="49"/>
      <c r="AK196" s="50"/>
      <c r="AL196" s="49"/>
      <c r="AM196" s="50"/>
      <c r="AN196" s="49"/>
      <c r="AO196" s="50"/>
      <c r="AP196" s="49"/>
      <c r="AQ196" s="50"/>
      <c r="AR196" s="49" t="s">
        <v>5</v>
      </c>
      <c r="AS196" s="50" t="s">
        <v>127</v>
      </c>
      <c r="AT196" s="49"/>
      <c r="AU196" s="50"/>
      <c r="AV196" s="49" t="s">
        <v>5</v>
      </c>
      <c r="AW196" s="50" t="s">
        <v>476</v>
      </c>
      <c r="AX196" s="49"/>
      <c r="AY196" s="50"/>
      <c r="AZ196" s="49"/>
      <c r="BA196" s="50"/>
      <c r="BB196" s="49"/>
      <c r="BC196" s="50"/>
      <c r="BD196" s="49"/>
      <c r="BE196" s="50"/>
      <c r="BF196" s="49"/>
      <c r="BG196" s="50"/>
      <c r="BH196" s="49"/>
      <c r="BI196" s="50"/>
      <c r="BJ196" s="49"/>
      <c r="BK196" s="50"/>
      <c r="BL196" s="49"/>
      <c r="BM196" s="50"/>
      <c r="BN196" s="49" t="s">
        <v>1</v>
      </c>
      <c r="BO196" s="50" t="s">
        <v>122</v>
      </c>
      <c r="BP196" s="49"/>
      <c r="BQ196" s="50"/>
      <c r="BR196" s="49"/>
      <c r="BS196" s="50"/>
      <c r="BT196" s="49"/>
      <c r="BU196" s="50"/>
      <c r="BV196" s="49"/>
      <c r="BW196" s="50"/>
      <c r="BX196" s="49"/>
      <c r="BY196" s="50"/>
      <c r="BZ196" s="49"/>
      <c r="CA196" s="50"/>
    </row>
    <row r="197" spans="1:79" s="91" customFormat="1" x14ac:dyDescent="0.25">
      <c r="A197" s="76">
        <v>160105</v>
      </c>
      <c r="B197" s="77" t="s">
        <v>655</v>
      </c>
      <c r="C197" s="78" t="s">
        <v>440</v>
      </c>
      <c r="D197" s="76" t="s">
        <v>70</v>
      </c>
      <c r="E197" s="79" t="s">
        <v>14</v>
      </c>
      <c r="F197" s="79" t="s">
        <v>71</v>
      </c>
      <c r="G197" s="79" t="s">
        <v>14</v>
      </c>
      <c r="H197" s="78" t="s">
        <v>14</v>
      </c>
      <c r="I197" s="79" t="s">
        <v>14</v>
      </c>
      <c r="J197" s="80">
        <v>4.8</v>
      </c>
      <c r="K197" s="81">
        <v>0</v>
      </c>
      <c r="L197" s="82">
        <v>0</v>
      </c>
      <c r="M197" s="83">
        <v>1</v>
      </c>
      <c r="N197" s="84">
        <v>82.41</v>
      </c>
      <c r="O197" s="85">
        <v>0</v>
      </c>
      <c r="P197" s="86"/>
      <c r="Q197" s="87">
        <f t="shared" si="34"/>
        <v>0</v>
      </c>
      <c r="R197" s="88">
        <f t="shared" si="35"/>
        <v>3</v>
      </c>
      <c r="S197" s="89">
        <f t="shared" si="36"/>
        <v>1</v>
      </c>
      <c r="T197" s="89">
        <f t="shared" si="37"/>
        <v>0</v>
      </c>
      <c r="U197" s="89">
        <f t="shared" si="38"/>
        <v>0</v>
      </c>
      <c r="V197" s="89">
        <f t="shared" si="39"/>
        <v>1</v>
      </c>
      <c r="W197" s="89">
        <f t="shared" si="40"/>
        <v>0</v>
      </c>
      <c r="X197" s="89">
        <f t="shared" si="41"/>
        <v>0</v>
      </c>
      <c r="Y197" s="89">
        <f t="shared" si="42"/>
        <v>0</v>
      </c>
      <c r="Z197" s="89">
        <f t="shared" si="43"/>
        <v>0</v>
      </c>
      <c r="AA197" s="41">
        <f t="shared" si="44"/>
        <v>0</v>
      </c>
      <c r="AB197" s="49"/>
      <c r="AC197" s="50"/>
      <c r="AD197" s="49"/>
      <c r="AE197" s="50"/>
      <c r="AF197" s="49"/>
      <c r="AG197" s="50"/>
      <c r="AH197" s="49"/>
      <c r="AI197" s="50"/>
      <c r="AJ197" s="49"/>
      <c r="AK197" s="50"/>
      <c r="AL197" s="49"/>
      <c r="AM197" s="50"/>
      <c r="AN197" s="49"/>
      <c r="AO197" s="50"/>
      <c r="AP197" s="49"/>
      <c r="AQ197" s="50"/>
      <c r="AR197" s="49"/>
      <c r="AS197" s="50"/>
      <c r="AT197" s="49"/>
      <c r="AU197" s="50"/>
      <c r="AV197" s="49" t="s">
        <v>5</v>
      </c>
      <c r="AW197" s="50" t="s">
        <v>428</v>
      </c>
      <c r="AX197" s="49"/>
      <c r="AY197" s="50"/>
      <c r="AZ197" s="49"/>
      <c r="BA197" s="50"/>
      <c r="BB197" s="49"/>
      <c r="BC197" s="50"/>
      <c r="BD197" s="49"/>
      <c r="BE197" s="50"/>
      <c r="BF197" s="49"/>
      <c r="BG197" s="50"/>
      <c r="BH197" s="49"/>
      <c r="BI197" s="50"/>
      <c r="BJ197" s="49"/>
      <c r="BK197" s="50"/>
      <c r="BL197" s="49"/>
      <c r="BM197" s="50"/>
      <c r="BN197" s="49"/>
      <c r="BO197" s="50"/>
      <c r="BP197" s="49"/>
      <c r="BQ197" s="50"/>
      <c r="BR197" s="49"/>
      <c r="BS197" s="50"/>
      <c r="BT197" s="49" t="s">
        <v>5</v>
      </c>
      <c r="BU197" s="50" t="s">
        <v>93</v>
      </c>
      <c r="BV197" s="49" t="s">
        <v>30</v>
      </c>
      <c r="BW197" s="50" t="s">
        <v>425</v>
      </c>
      <c r="BX197" s="49" t="s">
        <v>5</v>
      </c>
      <c r="BY197" s="50" t="s">
        <v>462</v>
      </c>
      <c r="BZ197" s="49"/>
      <c r="CA197" s="50"/>
    </row>
    <row r="198" spans="1:79" s="91" customFormat="1" x14ac:dyDescent="0.25">
      <c r="A198" s="76">
        <v>150900</v>
      </c>
      <c r="B198" s="77" t="s">
        <v>656</v>
      </c>
      <c r="C198" s="78" t="s">
        <v>501</v>
      </c>
      <c r="D198" s="76" t="s">
        <v>70</v>
      </c>
      <c r="E198" s="79" t="s">
        <v>14</v>
      </c>
      <c r="F198" s="79" t="s">
        <v>71</v>
      </c>
      <c r="G198" s="79" t="s">
        <v>14</v>
      </c>
      <c r="H198" s="78" t="s">
        <v>14</v>
      </c>
      <c r="I198" s="79" t="s">
        <v>14</v>
      </c>
      <c r="J198" s="80">
        <v>7.7</v>
      </c>
      <c r="K198" s="81">
        <v>0</v>
      </c>
      <c r="L198" s="82">
        <v>0</v>
      </c>
      <c r="M198" s="83">
        <v>0</v>
      </c>
      <c r="N198" s="84">
        <v>100</v>
      </c>
      <c r="O198" s="85">
        <v>0</v>
      </c>
      <c r="P198" s="86"/>
      <c r="Q198" s="87">
        <f t="shared" si="34"/>
        <v>2</v>
      </c>
      <c r="R198" s="88">
        <f t="shared" si="35"/>
        <v>3</v>
      </c>
      <c r="S198" s="89">
        <f t="shared" si="36"/>
        <v>0</v>
      </c>
      <c r="T198" s="89">
        <f t="shared" si="37"/>
        <v>0</v>
      </c>
      <c r="U198" s="89">
        <f t="shared" si="38"/>
        <v>0</v>
      </c>
      <c r="V198" s="89">
        <f t="shared" si="39"/>
        <v>0</v>
      </c>
      <c r="W198" s="89">
        <f t="shared" si="40"/>
        <v>0</v>
      </c>
      <c r="X198" s="89">
        <f t="shared" si="41"/>
        <v>0</v>
      </c>
      <c r="Y198" s="89">
        <f t="shared" si="42"/>
        <v>0</v>
      </c>
      <c r="Z198" s="89">
        <f t="shared" si="43"/>
        <v>0</v>
      </c>
      <c r="AA198" s="41">
        <f t="shared" si="44"/>
        <v>0</v>
      </c>
      <c r="AB198" s="49"/>
      <c r="AC198" s="50"/>
      <c r="AD198" s="49"/>
      <c r="AE198" s="50"/>
      <c r="AF198" s="49"/>
      <c r="AG198" s="50"/>
      <c r="AH198" s="49"/>
      <c r="AI198" s="50"/>
      <c r="AJ198" s="49"/>
      <c r="AK198" s="50"/>
      <c r="AL198" s="49"/>
      <c r="AM198" s="50"/>
      <c r="AN198" s="49"/>
      <c r="AO198" s="50"/>
      <c r="AP198" s="49" t="s">
        <v>1</v>
      </c>
      <c r="AQ198" s="50" t="s">
        <v>428</v>
      </c>
      <c r="AR198" s="49"/>
      <c r="AS198" s="50"/>
      <c r="AT198" s="49" t="s">
        <v>5</v>
      </c>
      <c r="AU198" s="50" t="s">
        <v>448</v>
      </c>
      <c r="AV198" s="49" t="s">
        <v>5</v>
      </c>
      <c r="AW198" s="50" t="s">
        <v>135</v>
      </c>
      <c r="AX198" s="49"/>
      <c r="AY198" s="50"/>
      <c r="AZ198" s="49"/>
      <c r="BA198" s="50"/>
      <c r="BB198" s="49"/>
      <c r="BC198" s="50"/>
      <c r="BD198" s="49"/>
      <c r="BE198" s="50"/>
      <c r="BF198" s="49"/>
      <c r="BG198" s="50"/>
      <c r="BH198" s="49"/>
      <c r="BI198" s="50"/>
      <c r="BJ198" s="49"/>
      <c r="BK198" s="50"/>
      <c r="BL198" s="49"/>
      <c r="BM198" s="50"/>
      <c r="BN198" s="49" t="s">
        <v>1</v>
      </c>
      <c r="BO198" s="50" t="s">
        <v>82</v>
      </c>
      <c r="BP198" s="49"/>
      <c r="BQ198" s="50"/>
      <c r="BR198" s="49"/>
      <c r="BS198" s="50"/>
      <c r="BT198" s="49"/>
      <c r="BU198" s="50"/>
      <c r="BV198" s="49" t="s">
        <v>5</v>
      </c>
      <c r="BW198" s="50" t="s">
        <v>425</v>
      </c>
      <c r="BX198" s="49"/>
      <c r="BY198" s="50"/>
      <c r="BZ198" s="49"/>
      <c r="CA198" s="50"/>
    </row>
    <row r="199" spans="1:79" s="91" customFormat="1" x14ac:dyDescent="0.25">
      <c r="A199" s="76">
        <v>100335</v>
      </c>
      <c r="B199" s="77" t="s">
        <v>657</v>
      </c>
      <c r="C199" s="78" t="s">
        <v>432</v>
      </c>
      <c r="D199" s="76" t="s">
        <v>70</v>
      </c>
      <c r="E199" s="79" t="s">
        <v>87</v>
      </c>
      <c r="F199" s="79" t="s">
        <v>198</v>
      </c>
      <c r="G199" s="79" t="s">
        <v>14</v>
      </c>
      <c r="H199" s="78" t="s">
        <v>14</v>
      </c>
      <c r="I199" s="79" t="s">
        <v>14</v>
      </c>
      <c r="J199" s="80">
        <v>2.9</v>
      </c>
      <c r="K199" s="81">
        <v>1</v>
      </c>
      <c r="L199" s="82">
        <v>0</v>
      </c>
      <c r="M199" s="83">
        <v>0</v>
      </c>
      <c r="N199" s="84">
        <v>75.19</v>
      </c>
      <c r="O199" s="85">
        <v>5</v>
      </c>
      <c r="P199" s="86"/>
      <c r="Q199" s="87">
        <f t="shared" si="34"/>
        <v>0</v>
      </c>
      <c r="R199" s="88">
        <f t="shared" si="35"/>
        <v>2</v>
      </c>
      <c r="S199" s="89">
        <f t="shared" si="36"/>
        <v>1</v>
      </c>
      <c r="T199" s="89">
        <f t="shared" si="37"/>
        <v>0</v>
      </c>
      <c r="U199" s="89">
        <f t="shared" si="38"/>
        <v>1</v>
      </c>
      <c r="V199" s="89">
        <f t="shared" si="39"/>
        <v>2</v>
      </c>
      <c r="W199" s="89">
        <f t="shared" si="40"/>
        <v>0</v>
      </c>
      <c r="X199" s="89">
        <f t="shared" si="41"/>
        <v>0</v>
      </c>
      <c r="Y199" s="89">
        <f t="shared" si="42"/>
        <v>0</v>
      </c>
      <c r="Z199" s="89">
        <f t="shared" si="43"/>
        <v>0</v>
      </c>
      <c r="AA199" s="41">
        <f t="shared" si="44"/>
        <v>0</v>
      </c>
      <c r="AB199" s="49"/>
      <c r="AC199" s="50"/>
      <c r="AD199" s="49"/>
      <c r="AE199" s="50"/>
      <c r="AF199" s="49" t="s">
        <v>5</v>
      </c>
      <c r="AG199" s="50" t="s">
        <v>427</v>
      </c>
      <c r="AH199" s="49"/>
      <c r="AI199" s="50"/>
      <c r="AJ199" s="49"/>
      <c r="AK199" s="50"/>
      <c r="AL199" s="49"/>
      <c r="AM199" s="50"/>
      <c r="AN199" s="49"/>
      <c r="AO199" s="50"/>
      <c r="AP199" s="49"/>
      <c r="AQ199" s="50"/>
      <c r="AR199" s="49"/>
      <c r="AS199" s="50"/>
      <c r="AT199" s="49"/>
      <c r="AU199" s="50"/>
      <c r="AV199" s="49" t="s">
        <v>32</v>
      </c>
      <c r="AW199" s="50" t="s">
        <v>505</v>
      </c>
      <c r="AX199" s="49"/>
      <c r="AY199" s="50"/>
      <c r="AZ199" s="49"/>
      <c r="BA199" s="50"/>
      <c r="BB199" s="49"/>
      <c r="BC199" s="50"/>
      <c r="BD199" s="49" t="s">
        <v>30</v>
      </c>
      <c r="BE199" s="50" t="s">
        <v>436</v>
      </c>
      <c r="BF199" s="49"/>
      <c r="BG199" s="50"/>
      <c r="BH199" s="49"/>
      <c r="BI199" s="50"/>
      <c r="BJ199" s="49"/>
      <c r="BK199" s="50"/>
      <c r="BL199" s="49"/>
      <c r="BM199" s="50"/>
      <c r="BN199" s="49"/>
      <c r="BO199" s="50"/>
      <c r="BP199" s="49"/>
      <c r="BQ199" s="50"/>
      <c r="BR199" s="49"/>
      <c r="BS199" s="50"/>
      <c r="BT199" s="49"/>
      <c r="BU199" s="50"/>
      <c r="BV199" s="49"/>
      <c r="BW199" s="50"/>
      <c r="BX199" s="49" t="s">
        <v>5</v>
      </c>
      <c r="BY199" s="50" t="s">
        <v>462</v>
      </c>
      <c r="BZ199" s="49"/>
      <c r="CA199" s="50"/>
    </row>
    <row r="200" spans="1:79" s="91" customFormat="1" ht="30" x14ac:dyDescent="0.25">
      <c r="A200" s="76">
        <v>160072</v>
      </c>
      <c r="B200" s="77" t="s">
        <v>658</v>
      </c>
      <c r="C200" s="78" t="s">
        <v>418</v>
      </c>
      <c r="D200" s="76" t="s">
        <v>12</v>
      </c>
      <c r="E200" s="79" t="s">
        <v>14</v>
      </c>
      <c r="F200" s="77" t="s">
        <v>146</v>
      </c>
      <c r="G200" s="79" t="s">
        <v>14</v>
      </c>
      <c r="H200" s="78" t="s">
        <v>14</v>
      </c>
      <c r="I200" s="79" t="s">
        <v>14</v>
      </c>
      <c r="J200" s="80">
        <v>5</v>
      </c>
      <c r="K200" s="81">
        <v>1</v>
      </c>
      <c r="L200" s="82">
        <v>0</v>
      </c>
      <c r="M200" s="83">
        <v>1</v>
      </c>
      <c r="N200" s="84">
        <v>100</v>
      </c>
      <c r="O200" s="85">
        <v>1</v>
      </c>
      <c r="P200" s="86"/>
      <c r="Q200" s="87">
        <f t="shared" si="34"/>
        <v>0</v>
      </c>
      <c r="R200" s="88">
        <f t="shared" si="35"/>
        <v>4</v>
      </c>
      <c r="S200" s="89">
        <f t="shared" si="36"/>
        <v>0</v>
      </c>
      <c r="T200" s="89">
        <f t="shared" si="37"/>
        <v>0</v>
      </c>
      <c r="U200" s="89">
        <f t="shared" si="38"/>
        <v>0</v>
      </c>
      <c r="V200" s="89">
        <f t="shared" si="39"/>
        <v>0</v>
      </c>
      <c r="W200" s="89">
        <f t="shared" si="40"/>
        <v>0</v>
      </c>
      <c r="X200" s="89">
        <f t="shared" si="41"/>
        <v>0</v>
      </c>
      <c r="Y200" s="89">
        <f t="shared" si="42"/>
        <v>0</v>
      </c>
      <c r="Z200" s="89">
        <f t="shared" si="43"/>
        <v>0</v>
      </c>
      <c r="AA200" s="41">
        <f t="shared" si="44"/>
        <v>0</v>
      </c>
      <c r="AB200" s="49"/>
      <c r="AC200" s="50"/>
      <c r="AD200" s="49" t="s">
        <v>5</v>
      </c>
      <c r="AE200" s="50" t="s">
        <v>433</v>
      </c>
      <c r="AF200" s="49" t="s">
        <v>5</v>
      </c>
      <c r="AG200" s="50" t="s">
        <v>427</v>
      </c>
      <c r="AH200" s="49"/>
      <c r="AI200" s="50"/>
      <c r="AJ200" s="49"/>
      <c r="AK200" s="50"/>
      <c r="AL200" s="49"/>
      <c r="AM200" s="50"/>
      <c r="AN200" s="49"/>
      <c r="AO200" s="50"/>
      <c r="AP200" s="49"/>
      <c r="AQ200" s="50"/>
      <c r="AR200" s="49"/>
      <c r="AS200" s="50"/>
      <c r="AT200" s="49"/>
      <c r="AU200" s="50"/>
      <c r="AV200" s="49" t="s">
        <v>5</v>
      </c>
      <c r="AW200" s="50" t="s">
        <v>420</v>
      </c>
      <c r="AX200" s="49"/>
      <c r="AY200" s="50"/>
      <c r="AZ200" s="49"/>
      <c r="BA200" s="50"/>
      <c r="BB200" s="49"/>
      <c r="BC200" s="50"/>
      <c r="BD200" s="49"/>
      <c r="BE200" s="50"/>
      <c r="BF200" s="49"/>
      <c r="BG200" s="50"/>
      <c r="BH200" s="49"/>
      <c r="BI200" s="50"/>
      <c r="BJ200" s="49"/>
      <c r="BK200" s="50"/>
      <c r="BL200" s="49"/>
      <c r="BM200" s="50"/>
      <c r="BN200" s="49" t="s">
        <v>5</v>
      </c>
      <c r="BO200" s="50" t="s">
        <v>82</v>
      </c>
      <c r="BP200" s="49"/>
      <c r="BQ200" s="50"/>
      <c r="BR200" s="49"/>
      <c r="BS200" s="50"/>
      <c r="BT200" s="49"/>
      <c r="BU200" s="50"/>
      <c r="BV200" s="49"/>
      <c r="BW200" s="50"/>
      <c r="BX200" s="49"/>
      <c r="BY200" s="50"/>
      <c r="BZ200" s="49"/>
      <c r="CA200" s="50"/>
    </row>
    <row r="201" spans="1:79" s="91" customFormat="1" x14ac:dyDescent="0.25">
      <c r="A201" s="76">
        <v>150785</v>
      </c>
      <c r="B201" s="77" t="s">
        <v>659</v>
      </c>
      <c r="C201" s="78" t="s">
        <v>497</v>
      </c>
      <c r="D201" s="76" t="s">
        <v>12</v>
      </c>
      <c r="E201" s="79" t="s">
        <v>14</v>
      </c>
      <c r="F201" s="79" t="s">
        <v>71</v>
      </c>
      <c r="G201" s="79" t="s">
        <v>14</v>
      </c>
      <c r="H201" s="78" t="s">
        <v>14</v>
      </c>
      <c r="I201" s="79" t="s">
        <v>14</v>
      </c>
      <c r="J201" s="80">
        <v>5</v>
      </c>
      <c r="K201" s="81">
        <v>1</v>
      </c>
      <c r="L201" s="82">
        <v>0</v>
      </c>
      <c r="M201" s="83">
        <v>0</v>
      </c>
      <c r="N201" s="84">
        <v>95.45</v>
      </c>
      <c r="O201" s="85">
        <v>3</v>
      </c>
      <c r="P201" s="86"/>
      <c r="Q201" s="87">
        <f t="shared" si="34"/>
        <v>1</v>
      </c>
      <c r="R201" s="88">
        <f t="shared" si="35"/>
        <v>3</v>
      </c>
      <c r="S201" s="89">
        <f t="shared" si="36"/>
        <v>0</v>
      </c>
      <c r="T201" s="89">
        <f t="shared" si="37"/>
        <v>0</v>
      </c>
      <c r="U201" s="89">
        <f t="shared" si="38"/>
        <v>0</v>
      </c>
      <c r="V201" s="89">
        <f t="shared" si="39"/>
        <v>0</v>
      </c>
      <c r="W201" s="89">
        <f t="shared" si="40"/>
        <v>0</v>
      </c>
      <c r="X201" s="89">
        <f t="shared" si="41"/>
        <v>0</v>
      </c>
      <c r="Y201" s="89">
        <f t="shared" si="42"/>
        <v>0</v>
      </c>
      <c r="Z201" s="89">
        <f t="shared" si="43"/>
        <v>0</v>
      </c>
      <c r="AA201" s="41">
        <f t="shared" si="44"/>
        <v>0</v>
      </c>
      <c r="AB201" s="49"/>
      <c r="AC201" s="50"/>
      <c r="AD201" s="49"/>
      <c r="AE201" s="50"/>
      <c r="AF201" s="49" t="s">
        <v>5</v>
      </c>
      <c r="AG201" s="50" t="s">
        <v>427</v>
      </c>
      <c r="AH201" s="49"/>
      <c r="AI201" s="50"/>
      <c r="AJ201" s="49"/>
      <c r="AK201" s="50"/>
      <c r="AL201" s="49"/>
      <c r="AM201" s="50"/>
      <c r="AN201" s="49"/>
      <c r="AO201" s="50"/>
      <c r="AP201" s="49" t="s">
        <v>1</v>
      </c>
      <c r="AQ201" s="50" t="s">
        <v>428</v>
      </c>
      <c r="AR201" s="49"/>
      <c r="AS201" s="50"/>
      <c r="AT201" s="49"/>
      <c r="AU201" s="50"/>
      <c r="AV201" s="49" t="s">
        <v>5</v>
      </c>
      <c r="AW201" s="50" t="s">
        <v>108</v>
      </c>
      <c r="AX201" s="49"/>
      <c r="AY201" s="50"/>
      <c r="AZ201" s="49"/>
      <c r="BA201" s="50"/>
      <c r="BB201" s="49" t="s">
        <v>5</v>
      </c>
      <c r="BC201" s="50" t="s">
        <v>92</v>
      </c>
      <c r="BD201" s="49"/>
      <c r="BE201" s="50"/>
      <c r="BF201" s="49"/>
      <c r="BG201" s="50"/>
      <c r="BH201" s="49"/>
      <c r="BI201" s="50"/>
      <c r="BJ201" s="49"/>
      <c r="BK201" s="50"/>
      <c r="BL201" s="49"/>
      <c r="BM201" s="50"/>
      <c r="BN201" s="49"/>
      <c r="BO201" s="50"/>
      <c r="BP201" s="49"/>
      <c r="BQ201" s="50"/>
      <c r="BR201" s="49"/>
      <c r="BS201" s="50"/>
      <c r="BT201" s="49"/>
      <c r="BU201" s="50"/>
      <c r="BV201" s="49"/>
      <c r="BW201" s="50"/>
      <c r="BX201" s="49"/>
      <c r="BY201" s="50"/>
      <c r="BZ201" s="49"/>
      <c r="CA201" s="50"/>
    </row>
    <row r="202" spans="1:79" s="91" customFormat="1" x14ac:dyDescent="0.25">
      <c r="A202" s="76">
        <v>160073</v>
      </c>
      <c r="B202" s="77" t="s">
        <v>660</v>
      </c>
      <c r="C202" s="78" t="s">
        <v>497</v>
      </c>
      <c r="D202" s="76" t="s">
        <v>70</v>
      </c>
      <c r="E202" s="79" t="s">
        <v>14</v>
      </c>
      <c r="F202" s="79" t="s">
        <v>71</v>
      </c>
      <c r="G202" s="79" t="s">
        <v>14</v>
      </c>
      <c r="H202" s="78" t="s">
        <v>14</v>
      </c>
      <c r="I202" s="79" t="s">
        <v>14</v>
      </c>
      <c r="J202" s="80">
        <v>6.7</v>
      </c>
      <c r="K202" s="81">
        <v>0</v>
      </c>
      <c r="L202" s="82">
        <v>0</v>
      </c>
      <c r="M202" s="83">
        <v>0</v>
      </c>
      <c r="N202" s="84">
        <v>100</v>
      </c>
      <c r="O202" s="85">
        <v>1</v>
      </c>
      <c r="P202" s="86"/>
      <c r="Q202" s="87">
        <f t="shared" si="34"/>
        <v>1</v>
      </c>
      <c r="R202" s="88">
        <f t="shared" si="35"/>
        <v>3</v>
      </c>
      <c r="S202" s="89">
        <f t="shared" si="36"/>
        <v>0</v>
      </c>
      <c r="T202" s="89">
        <f t="shared" si="37"/>
        <v>0</v>
      </c>
      <c r="U202" s="89">
        <f t="shared" si="38"/>
        <v>0</v>
      </c>
      <c r="V202" s="89">
        <f t="shared" si="39"/>
        <v>0</v>
      </c>
      <c r="W202" s="89">
        <f t="shared" si="40"/>
        <v>0</v>
      </c>
      <c r="X202" s="89">
        <f t="shared" si="41"/>
        <v>0</v>
      </c>
      <c r="Y202" s="89">
        <f t="shared" si="42"/>
        <v>0</v>
      </c>
      <c r="Z202" s="89">
        <f t="shared" si="43"/>
        <v>0</v>
      </c>
      <c r="AA202" s="41">
        <f t="shared" si="44"/>
        <v>0</v>
      </c>
      <c r="AB202" s="49"/>
      <c r="AC202" s="50"/>
      <c r="AD202" s="49"/>
      <c r="AE202" s="50"/>
      <c r="AF202" s="49"/>
      <c r="AG202" s="50"/>
      <c r="AH202" s="49"/>
      <c r="AI202" s="50"/>
      <c r="AJ202" s="49"/>
      <c r="AK202" s="50"/>
      <c r="AL202" s="49"/>
      <c r="AM202" s="50"/>
      <c r="AN202" s="49"/>
      <c r="AO202" s="50"/>
      <c r="AP202" s="49"/>
      <c r="AQ202" s="50"/>
      <c r="AR202" s="49"/>
      <c r="AS202" s="50"/>
      <c r="AT202" s="49" t="s">
        <v>5</v>
      </c>
      <c r="AU202" s="50" t="s">
        <v>478</v>
      </c>
      <c r="AV202" s="49" t="s">
        <v>5</v>
      </c>
      <c r="AW202" s="50" t="s">
        <v>602</v>
      </c>
      <c r="AX202" s="49"/>
      <c r="AY202" s="50"/>
      <c r="AZ202" s="49"/>
      <c r="BA202" s="50"/>
      <c r="BB202" s="49"/>
      <c r="BC202" s="50"/>
      <c r="BD202" s="49"/>
      <c r="BE202" s="50"/>
      <c r="BF202" s="49"/>
      <c r="BG202" s="50"/>
      <c r="BH202" s="49"/>
      <c r="BI202" s="50"/>
      <c r="BJ202" s="49"/>
      <c r="BK202" s="50"/>
      <c r="BL202" s="49"/>
      <c r="BM202" s="50"/>
      <c r="BN202" s="49"/>
      <c r="BO202" s="50"/>
      <c r="BP202" s="49"/>
      <c r="BQ202" s="50"/>
      <c r="BR202" s="49"/>
      <c r="BS202" s="50"/>
      <c r="BT202" s="49"/>
      <c r="BU202" s="50"/>
      <c r="BV202" s="49" t="s">
        <v>5</v>
      </c>
      <c r="BW202" s="50" t="s">
        <v>425</v>
      </c>
      <c r="BX202" s="49" t="s">
        <v>1</v>
      </c>
      <c r="BY202" s="50" t="s">
        <v>462</v>
      </c>
      <c r="BZ202" s="49"/>
      <c r="CA202" s="50"/>
    </row>
    <row r="203" spans="1:79" s="91" customFormat="1" x14ac:dyDescent="0.25">
      <c r="A203" s="76">
        <v>160074</v>
      </c>
      <c r="B203" s="77" t="s">
        <v>661</v>
      </c>
      <c r="C203" s="78" t="s">
        <v>497</v>
      </c>
      <c r="D203" s="76" t="s">
        <v>70</v>
      </c>
      <c r="E203" s="79" t="s">
        <v>14</v>
      </c>
      <c r="F203" s="79" t="s">
        <v>71</v>
      </c>
      <c r="G203" s="79" t="s">
        <v>14</v>
      </c>
      <c r="H203" s="78" t="s">
        <v>14</v>
      </c>
      <c r="I203" s="79" t="s">
        <v>14</v>
      </c>
      <c r="J203" s="80">
        <v>6.2</v>
      </c>
      <c r="K203" s="81">
        <v>0</v>
      </c>
      <c r="L203" s="82">
        <v>0</v>
      </c>
      <c r="M203" s="83">
        <v>0</v>
      </c>
      <c r="N203" s="84">
        <v>100</v>
      </c>
      <c r="O203" s="85">
        <v>1</v>
      </c>
      <c r="P203" s="86"/>
      <c r="Q203" s="87">
        <f t="shared" si="34"/>
        <v>0</v>
      </c>
      <c r="R203" s="88">
        <f t="shared" si="35"/>
        <v>3</v>
      </c>
      <c r="S203" s="89">
        <f t="shared" si="36"/>
        <v>1</v>
      </c>
      <c r="T203" s="89">
        <f t="shared" si="37"/>
        <v>0</v>
      </c>
      <c r="U203" s="89">
        <f t="shared" si="38"/>
        <v>0</v>
      </c>
      <c r="V203" s="89">
        <f t="shared" si="39"/>
        <v>1</v>
      </c>
      <c r="W203" s="89">
        <f t="shared" si="40"/>
        <v>0</v>
      </c>
      <c r="X203" s="89">
        <f t="shared" si="41"/>
        <v>0</v>
      </c>
      <c r="Y203" s="89">
        <f t="shared" si="42"/>
        <v>0</v>
      </c>
      <c r="Z203" s="89">
        <f t="shared" si="43"/>
        <v>0</v>
      </c>
      <c r="AA203" s="41">
        <f t="shared" si="44"/>
        <v>0</v>
      </c>
      <c r="AB203" s="49"/>
      <c r="AC203" s="50"/>
      <c r="AD203" s="49" t="s">
        <v>5</v>
      </c>
      <c r="AE203" s="50" t="s">
        <v>133</v>
      </c>
      <c r="AF203" s="49"/>
      <c r="AG203" s="50"/>
      <c r="AH203" s="49"/>
      <c r="AI203" s="50"/>
      <c r="AJ203" s="49"/>
      <c r="AK203" s="50"/>
      <c r="AL203" s="49"/>
      <c r="AM203" s="50"/>
      <c r="AN203" s="49"/>
      <c r="AO203" s="50"/>
      <c r="AP203" s="49"/>
      <c r="AQ203" s="50"/>
      <c r="AR203" s="49"/>
      <c r="AS203" s="50"/>
      <c r="AT203" s="49"/>
      <c r="AU203" s="50"/>
      <c r="AV203" s="49" t="s">
        <v>5</v>
      </c>
      <c r="AW203" s="50" t="s">
        <v>602</v>
      </c>
      <c r="AX203" s="49"/>
      <c r="AY203" s="50"/>
      <c r="AZ203" s="49"/>
      <c r="BA203" s="50"/>
      <c r="BB203" s="49"/>
      <c r="BC203" s="50"/>
      <c r="BD203" s="49"/>
      <c r="BE203" s="50"/>
      <c r="BF203" s="49"/>
      <c r="BG203" s="50"/>
      <c r="BH203" s="49"/>
      <c r="BI203" s="50"/>
      <c r="BJ203" s="49"/>
      <c r="BK203" s="50"/>
      <c r="BL203" s="49"/>
      <c r="BM203" s="50"/>
      <c r="BN203" s="49" t="s">
        <v>5</v>
      </c>
      <c r="BO203" s="50" t="s">
        <v>122</v>
      </c>
      <c r="BP203" s="49"/>
      <c r="BQ203" s="50"/>
      <c r="BR203" s="49"/>
      <c r="BS203" s="50"/>
      <c r="BT203" s="49"/>
      <c r="BU203" s="50"/>
      <c r="BV203" s="49" t="s">
        <v>30</v>
      </c>
      <c r="BW203" s="50" t="s">
        <v>425</v>
      </c>
      <c r="BX203" s="49"/>
      <c r="BY203" s="50"/>
      <c r="BZ203" s="49"/>
      <c r="CA203" s="50"/>
    </row>
    <row r="204" spans="1:79" s="91" customFormat="1" x14ac:dyDescent="0.25">
      <c r="A204" s="76">
        <v>150839</v>
      </c>
      <c r="B204" s="77" t="s">
        <v>662</v>
      </c>
      <c r="C204" s="78" t="s">
        <v>466</v>
      </c>
      <c r="D204" s="76" t="s">
        <v>12</v>
      </c>
      <c r="E204" s="79" t="s">
        <v>14</v>
      </c>
      <c r="F204" s="79" t="s">
        <v>71</v>
      </c>
      <c r="G204" s="79" t="s">
        <v>14</v>
      </c>
      <c r="H204" s="78" t="s">
        <v>14</v>
      </c>
      <c r="I204" s="79" t="s">
        <v>14</v>
      </c>
      <c r="J204" s="80">
        <v>4.3</v>
      </c>
      <c r="K204" s="81">
        <v>1</v>
      </c>
      <c r="L204" s="82">
        <v>0</v>
      </c>
      <c r="M204" s="83">
        <v>0</v>
      </c>
      <c r="N204" s="84">
        <v>77.78</v>
      </c>
      <c r="O204" s="85">
        <v>3</v>
      </c>
      <c r="P204" s="86"/>
      <c r="Q204" s="87">
        <f t="shared" si="34"/>
        <v>0</v>
      </c>
      <c r="R204" s="88">
        <f t="shared" si="35"/>
        <v>3</v>
      </c>
      <c r="S204" s="89">
        <f t="shared" si="36"/>
        <v>1</v>
      </c>
      <c r="T204" s="89">
        <f t="shared" si="37"/>
        <v>0</v>
      </c>
      <c r="U204" s="89">
        <f t="shared" si="38"/>
        <v>0</v>
      </c>
      <c r="V204" s="89">
        <f t="shared" si="39"/>
        <v>1</v>
      </c>
      <c r="W204" s="89">
        <f t="shared" si="40"/>
        <v>0</v>
      </c>
      <c r="X204" s="89">
        <f t="shared" si="41"/>
        <v>0</v>
      </c>
      <c r="Y204" s="89">
        <f t="shared" si="42"/>
        <v>0</v>
      </c>
      <c r="Z204" s="89">
        <f t="shared" si="43"/>
        <v>0</v>
      </c>
      <c r="AA204" s="41">
        <f t="shared" si="44"/>
        <v>0</v>
      </c>
      <c r="AB204" s="49"/>
      <c r="AC204" s="50"/>
      <c r="AD204" s="49"/>
      <c r="AE204" s="50"/>
      <c r="AF204" s="49" t="s">
        <v>5</v>
      </c>
      <c r="AG204" s="50" t="s">
        <v>427</v>
      </c>
      <c r="AH204" s="49"/>
      <c r="AI204" s="50"/>
      <c r="AJ204" s="49"/>
      <c r="AK204" s="50"/>
      <c r="AL204" s="49"/>
      <c r="AM204" s="50"/>
      <c r="AN204" s="49"/>
      <c r="AO204" s="50"/>
      <c r="AP204" s="49"/>
      <c r="AQ204" s="50"/>
      <c r="AR204" s="49"/>
      <c r="AS204" s="50"/>
      <c r="AT204" s="49"/>
      <c r="AU204" s="50"/>
      <c r="AV204" s="49" t="s">
        <v>5</v>
      </c>
      <c r="AW204" s="50" t="s">
        <v>108</v>
      </c>
      <c r="AX204" s="49"/>
      <c r="AY204" s="50"/>
      <c r="AZ204" s="49"/>
      <c r="BA204" s="50"/>
      <c r="BB204" s="49"/>
      <c r="BC204" s="50"/>
      <c r="BD204" s="49" t="s">
        <v>5</v>
      </c>
      <c r="BE204" s="50" t="s">
        <v>436</v>
      </c>
      <c r="BF204" s="49"/>
      <c r="BG204" s="50"/>
      <c r="BH204" s="49"/>
      <c r="BI204" s="50"/>
      <c r="BJ204" s="49"/>
      <c r="BK204" s="50"/>
      <c r="BL204" s="49"/>
      <c r="BM204" s="50"/>
      <c r="BN204" s="49"/>
      <c r="BO204" s="50"/>
      <c r="BP204" s="49"/>
      <c r="BQ204" s="50"/>
      <c r="BR204" s="49"/>
      <c r="BS204" s="50"/>
      <c r="BT204" s="49"/>
      <c r="BU204" s="50"/>
      <c r="BV204" s="49"/>
      <c r="BW204" s="50"/>
      <c r="BX204" s="49" t="s">
        <v>30</v>
      </c>
      <c r="BY204" s="50" t="s">
        <v>462</v>
      </c>
      <c r="BZ204" s="49"/>
      <c r="CA204" s="50"/>
    </row>
    <row r="205" spans="1:79" s="91" customFormat="1" x14ac:dyDescent="0.25">
      <c r="A205" s="76">
        <v>160076</v>
      </c>
      <c r="B205" s="77" t="s">
        <v>663</v>
      </c>
      <c r="C205" s="78" t="s">
        <v>464</v>
      </c>
      <c r="D205" s="76" t="s">
        <v>70</v>
      </c>
      <c r="E205" s="79" t="s">
        <v>14</v>
      </c>
      <c r="F205" s="79" t="s">
        <v>71</v>
      </c>
      <c r="G205" s="79" t="s">
        <v>14</v>
      </c>
      <c r="H205" s="78" t="s">
        <v>14</v>
      </c>
      <c r="I205" s="79" t="s">
        <v>14</v>
      </c>
      <c r="J205" s="80">
        <v>6.4</v>
      </c>
      <c r="K205" s="81">
        <v>1</v>
      </c>
      <c r="L205" s="82">
        <v>0</v>
      </c>
      <c r="M205" s="83">
        <v>0</v>
      </c>
      <c r="N205" s="84">
        <v>84.21</v>
      </c>
      <c r="O205" s="85">
        <v>0</v>
      </c>
      <c r="P205" s="86"/>
      <c r="Q205" s="87">
        <f t="shared" si="34"/>
        <v>1</v>
      </c>
      <c r="R205" s="88">
        <f t="shared" si="35"/>
        <v>3</v>
      </c>
      <c r="S205" s="89">
        <f t="shared" si="36"/>
        <v>0</v>
      </c>
      <c r="T205" s="89">
        <f t="shared" si="37"/>
        <v>0</v>
      </c>
      <c r="U205" s="89">
        <f t="shared" si="38"/>
        <v>0</v>
      </c>
      <c r="V205" s="89">
        <f t="shared" si="39"/>
        <v>0</v>
      </c>
      <c r="W205" s="89">
        <f t="shared" si="40"/>
        <v>0</v>
      </c>
      <c r="X205" s="89">
        <f t="shared" si="41"/>
        <v>0</v>
      </c>
      <c r="Y205" s="89">
        <f t="shared" si="42"/>
        <v>0</v>
      </c>
      <c r="Z205" s="89">
        <f t="shared" si="43"/>
        <v>0</v>
      </c>
      <c r="AA205" s="41">
        <f t="shared" si="44"/>
        <v>0</v>
      </c>
      <c r="AB205" s="49"/>
      <c r="AC205" s="50"/>
      <c r="AD205" s="49"/>
      <c r="AE205" s="50"/>
      <c r="AF205" s="49"/>
      <c r="AG205" s="50"/>
      <c r="AH205" s="49"/>
      <c r="AI205" s="50"/>
      <c r="AJ205" s="49"/>
      <c r="AK205" s="50"/>
      <c r="AL205" s="49"/>
      <c r="AM205" s="50"/>
      <c r="AN205" s="49"/>
      <c r="AO205" s="50"/>
      <c r="AP205" s="49"/>
      <c r="AQ205" s="50"/>
      <c r="AR205" s="49"/>
      <c r="AS205" s="50"/>
      <c r="AT205" s="49"/>
      <c r="AU205" s="50"/>
      <c r="AV205" s="49" t="s">
        <v>5</v>
      </c>
      <c r="AW205" s="50" t="s">
        <v>448</v>
      </c>
      <c r="AX205" s="49"/>
      <c r="AY205" s="50"/>
      <c r="AZ205" s="49"/>
      <c r="BA205" s="50"/>
      <c r="BB205" s="49"/>
      <c r="BC205" s="50"/>
      <c r="BD205" s="49"/>
      <c r="BE205" s="50"/>
      <c r="BF205" s="49"/>
      <c r="BG205" s="50"/>
      <c r="BH205" s="49" t="s">
        <v>5</v>
      </c>
      <c r="BI205" s="50" t="s">
        <v>77</v>
      </c>
      <c r="BJ205" s="49"/>
      <c r="BK205" s="50"/>
      <c r="BL205" s="49"/>
      <c r="BM205" s="50"/>
      <c r="BN205" s="49"/>
      <c r="BO205" s="50"/>
      <c r="BP205" s="49"/>
      <c r="BQ205" s="50"/>
      <c r="BR205" s="49"/>
      <c r="BS205" s="50"/>
      <c r="BT205" s="49" t="s">
        <v>5</v>
      </c>
      <c r="BU205" s="50" t="s">
        <v>93</v>
      </c>
      <c r="BV205" s="49" t="s">
        <v>1</v>
      </c>
      <c r="BW205" s="50" t="s">
        <v>436</v>
      </c>
      <c r="BX205" s="49"/>
      <c r="BY205" s="50"/>
      <c r="BZ205" s="49"/>
      <c r="CA205" s="50"/>
    </row>
    <row r="206" spans="1:79" s="91" customFormat="1" x14ac:dyDescent="0.25">
      <c r="A206" s="76">
        <v>150784</v>
      </c>
      <c r="B206" s="77" t="s">
        <v>664</v>
      </c>
      <c r="C206" s="78" t="s">
        <v>490</v>
      </c>
      <c r="D206" s="76" t="s">
        <v>70</v>
      </c>
      <c r="E206" s="79" t="s">
        <v>14</v>
      </c>
      <c r="F206" s="79" t="s">
        <v>455</v>
      </c>
      <c r="G206" s="79" t="s">
        <v>14</v>
      </c>
      <c r="H206" s="78" t="s">
        <v>14</v>
      </c>
      <c r="I206" s="79" t="s">
        <v>14</v>
      </c>
      <c r="J206" s="80">
        <v>4.8</v>
      </c>
      <c r="K206" s="81">
        <v>0</v>
      </c>
      <c r="L206" s="82">
        <v>1</v>
      </c>
      <c r="M206" s="83">
        <v>0</v>
      </c>
      <c r="N206" s="84">
        <v>93.44</v>
      </c>
      <c r="O206" s="85">
        <v>5</v>
      </c>
      <c r="P206" s="86"/>
      <c r="Q206" s="87">
        <f t="shared" si="34"/>
        <v>0</v>
      </c>
      <c r="R206" s="88">
        <f t="shared" si="35"/>
        <v>4</v>
      </c>
      <c r="S206" s="89">
        <f t="shared" si="36"/>
        <v>0</v>
      </c>
      <c r="T206" s="89">
        <f t="shared" si="37"/>
        <v>0</v>
      </c>
      <c r="U206" s="89">
        <f t="shared" si="38"/>
        <v>0</v>
      </c>
      <c r="V206" s="89">
        <f t="shared" si="39"/>
        <v>0</v>
      </c>
      <c r="W206" s="89">
        <f t="shared" si="40"/>
        <v>0</v>
      </c>
      <c r="X206" s="89">
        <f t="shared" si="41"/>
        <v>0</v>
      </c>
      <c r="Y206" s="89">
        <f t="shared" si="42"/>
        <v>0</v>
      </c>
      <c r="Z206" s="89">
        <f t="shared" si="43"/>
        <v>0</v>
      </c>
      <c r="AA206" s="41">
        <f t="shared" si="44"/>
        <v>0</v>
      </c>
      <c r="AB206" s="49"/>
      <c r="AC206" s="50"/>
      <c r="AD206" s="49"/>
      <c r="AE206" s="50"/>
      <c r="AF206" s="49"/>
      <c r="AG206" s="50"/>
      <c r="AH206" s="49"/>
      <c r="AI206" s="50"/>
      <c r="AJ206" s="49"/>
      <c r="AK206" s="50"/>
      <c r="AL206" s="49"/>
      <c r="AM206" s="50"/>
      <c r="AN206" s="49"/>
      <c r="AO206" s="50"/>
      <c r="AP206" s="49"/>
      <c r="AQ206" s="50"/>
      <c r="AR206" s="49" t="s">
        <v>5</v>
      </c>
      <c r="AS206" s="50" t="s">
        <v>459</v>
      </c>
      <c r="AT206" s="49"/>
      <c r="AU206" s="50"/>
      <c r="AV206" s="49" t="s">
        <v>5</v>
      </c>
      <c r="AW206" s="50" t="s">
        <v>505</v>
      </c>
      <c r="AX206" s="49"/>
      <c r="AY206" s="50"/>
      <c r="AZ206" s="49"/>
      <c r="BA206" s="50"/>
      <c r="BB206" s="49"/>
      <c r="BC206" s="50"/>
      <c r="BD206" s="49" t="s">
        <v>5</v>
      </c>
      <c r="BE206" s="50" t="s">
        <v>436</v>
      </c>
      <c r="BF206" s="49"/>
      <c r="BG206" s="50"/>
      <c r="BH206" s="49"/>
      <c r="BI206" s="50"/>
      <c r="BJ206" s="49"/>
      <c r="BK206" s="50"/>
      <c r="BL206" s="49"/>
      <c r="BM206" s="50"/>
      <c r="BN206" s="49" t="s">
        <v>5</v>
      </c>
      <c r="BO206" s="50" t="s">
        <v>82</v>
      </c>
      <c r="BP206" s="49"/>
      <c r="BQ206" s="50"/>
      <c r="BR206" s="49"/>
      <c r="BS206" s="50"/>
      <c r="BT206" s="49"/>
      <c r="BU206" s="50"/>
      <c r="BV206" s="49"/>
      <c r="BW206" s="50"/>
      <c r="BX206" s="49"/>
      <c r="BY206" s="50"/>
      <c r="BZ206" s="49"/>
      <c r="CA206" s="50"/>
    </row>
    <row r="207" spans="1:79" s="91" customFormat="1" x14ac:dyDescent="0.25">
      <c r="A207" s="76">
        <v>150809</v>
      </c>
      <c r="B207" s="77" t="s">
        <v>665</v>
      </c>
      <c r="C207" s="78" t="s">
        <v>466</v>
      </c>
      <c r="D207" s="76" t="s">
        <v>70</v>
      </c>
      <c r="E207" s="79" t="s">
        <v>14</v>
      </c>
      <c r="F207" s="79" t="s">
        <v>275</v>
      </c>
      <c r="G207" s="79" t="s">
        <v>14</v>
      </c>
      <c r="H207" s="78" t="s">
        <v>14</v>
      </c>
      <c r="I207" s="79" t="s">
        <v>14</v>
      </c>
      <c r="J207" s="80">
        <v>4.8</v>
      </c>
      <c r="K207" s="81">
        <v>0</v>
      </c>
      <c r="L207" s="82">
        <v>0</v>
      </c>
      <c r="M207" s="83">
        <v>0</v>
      </c>
      <c r="N207" s="84">
        <v>95.73</v>
      </c>
      <c r="O207" s="85">
        <v>0</v>
      </c>
      <c r="P207" s="86"/>
      <c r="Q207" s="87">
        <f t="shared" si="34"/>
        <v>1</v>
      </c>
      <c r="R207" s="88">
        <f t="shared" si="35"/>
        <v>3</v>
      </c>
      <c r="S207" s="89">
        <f t="shared" si="36"/>
        <v>0</v>
      </c>
      <c r="T207" s="89">
        <f t="shared" si="37"/>
        <v>0</v>
      </c>
      <c r="U207" s="89">
        <f t="shared" si="38"/>
        <v>0</v>
      </c>
      <c r="V207" s="89">
        <f t="shared" si="39"/>
        <v>0</v>
      </c>
      <c r="W207" s="89">
        <f t="shared" si="40"/>
        <v>0</v>
      </c>
      <c r="X207" s="89">
        <f t="shared" si="41"/>
        <v>0</v>
      </c>
      <c r="Y207" s="89">
        <f t="shared" si="42"/>
        <v>0</v>
      </c>
      <c r="Z207" s="89">
        <f t="shared" si="43"/>
        <v>0</v>
      </c>
      <c r="AA207" s="41">
        <f t="shared" si="44"/>
        <v>0</v>
      </c>
      <c r="AB207" s="49"/>
      <c r="AC207" s="50"/>
      <c r="AD207" s="49"/>
      <c r="AE207" s="50"/>
      <c r="AF207" s="49"/>
      <c r="AG207" s="50"/>
      <c r="AH207" s="49"/>
      <c r="AI207" s="50"/>
      <c r="AJ207" s="49"/>
      <c r="AK207" s="50"/>
      <c r="AL207" s="49"/>
      <c r="AM207" s="50"/>
      <c r="AN207" s="49"/>
      <c r="AO207" s="50"/>
      <c r="AP207" s="49"/>
      <c r="AQ207" s="50"/>
      <c r="AR207" s="49"/>
      <c r="AS207" s="50"/>
      <c r="AT207" s="49"/>
      <c r="AU207" s="50"/>
      <c r="AV207" s="49" t="s">
        <v>5</v>
      </c>
      <c r="AW207" s="50" t="s">
        <v>476</v>
      </c>
      <c r="AX207" s="49"/>
      <c r="AY207" s="50"/>
      <c r="AZ207" s="49"/>
      <c r="BA207" s="50"/>
      <c r="BB207" s="49"/>
      <c r="BC207" s="50"/>
      <c r="BD207" s="49" t="s">
        <v>5</v>
      </c>
      <c r="BE207" s="50" t="s">
        <v>436</v>
      </c>
      <c r="BF207" s="49" t="s">
        <v>5</v>
      </c>
      <c r="BG207" s="50" t="s">
        <v>436</v>
      </c>
      <c r="BH207" s="49"/>
      <c r="BI207" s="50"/>
      <c r="BJ207" s="49"/>
      <c r="BK207" s="50"/>
      <c r="BL207" s="49"/>
      <c r="BM207" s="50"/>
      <c r="BN207" s="49"/>
      <c r="BO207" s="50"/>
      <c r="BP207" s="49"/>
      <c r="BQ207" s="50"/>
      <c r="BR207" s="49"/>
      <c r="BS207" s="50"/>
      <c r="BT207" s="49"/>
      <c r="BU207" s="50"/>
      <c r="BV207" s="49" t="s">
        <v>1</v>
      </c>
      <c r="BW207" s="50" t="s">
        <v>436</v>
      </c>
      <c r="BX207" s="49"/>
      <c r="BY207" s="50"/>
      <c r="BZ207" s="49"/>
      <c r="CA207" s="50"/>
    </row>
    <row r="208" spans="1:79" s="91" customFormat="1" x14ac:dyDescent="0.25">
      <c r="A208" s="76">
        <v>150824</v>
      </c>
      <c r="B208" s="77" t="s">
        <v>666</v>
      </c>
      <c r="C208" s="78" t="s">
        <v>497</v>
      </c>
      <c r="D208" s="76" t="s">
        <v>12</v>
      </c>
      <c r="E208" s="79" t="s">
        <v>14</v>
      </c>
      <c r="F208" s="79" t="s">
        <v>71</v>
      </c>
      <c r="G208" s="79" t="s">
        <v>14</v>
      </c>
      <c r="H208" s="78" t="s">
        <v>14</v>
      </c>
      <c r="I208" s="79" t="s">
        <v>14</v>
      </c>
      <c r="J208" s="80">
        <v>5.5</v>
      </c>
      <c r="K208" s="81">
        <v>3</v>
      </c>
      <c r="L208" s="82">
        <v>0</v>
      </c>
      <c r="M208" s="83">
        <v>0</v>
      </c>
      <c r="N208" s="84">
        <v>99.01</v>
      </c>
      <c r="O208" s="85">
        <v>2</v>
      </c>
      <c r="P208" s="86"/>
      <c r="Q208" s="87">
        <f t="shared" si="34"/>
        <v>0</v>
      </c>
      <c r="R208" s="88">
        <f t="shared" si="35"/>
        <v>4</v>
      </c>
      <c r="S208" s="89">
        <f t="shared" si="36"/>
        <v>0</v>
      </c>
      <c r="T208" s="89">
        <f t="shared" si="37"/>
        <v>0</v>
      </c>
      <c r="U208" s="89">
        <f t="shared" si="38"/>
        <v>0</v>
      </c>
      <c r="V208" s="89">
        <f t="shared" si="39"/>
        <v>0</v>
      </c>
      <c r="W208" s="89">
        <f t="shared" si="40"/>
        <v>0</v>
      </c>
      <c r="X208" s="89">
        <f t="shared" si="41"/>
        <v>0</v>
      </c>
      <c r="Y208" s="89">
        <f t="shared" si="42"/>
        <v>0</v>
      </c>
      <c r="Z208" s="89">
        <f t="shared" si="43"/>
        <v>0</v>
      </c>
      <c r="AA208" s="41">
        <f t="shared" si="44"/>
        <v>0</v>
      </c>
      <c r="AB208" s="49"/>
      <c r="AC208" s="50"/>
      <c r="AD208" s="49"/>
      <c r="AE208" s="50"/>
      <c r="AF208" s="49" t="s">
        <v>5</v>
      </c>
      <c r="AG208" s="50" t="s">
        <v>427</v>
      </c>
      <c r="AH208" s="49"/>
      <c r="AI208" s="50"/>
      <c r="AJ208" s="49"/>
      <c r="AK208" s="50"/>
      <c r="AL208" s="49"/>
      <c r="AM208" s="50"/>
      <c r="AN208" s="49"/>
      <c r="AO208" s="50"/>
      <c r="AP208" s="49" t="s">
        <v>5</v>
      </c>
      <c r="AQ208" s="50" t="s">
        <v>428</v>
      </c>
      <c r="AR208" s="49"/>
      <c r="AS208" s="50"/>
      <c r="AT208" s="49"/>
      <c r="AU208" s="50"/>
      <c r="AV208" s="49" t="s">
        <v>5</v>
      </c>
      <c r="AW208" s="50" t="s">
        <v>108</v>
      </c>
      <c r="AX208" s="49"/>
      <c r="AY208" s="50"/>
      <c r="AZ208" s="49"/>
      <c r="BA208" s="50"/>
      <c r="BB208" s="49" t="s">
        <v>5</v>
      </c>
      <c r="BC208" s="50" t="s">
        <v>92</v>
      </c>
      <c r="BD208" s="49"/>
      <c r="BE208" s="50"/>
      <c r="BF208" s="49"/>
      <c r="BG208" s="50"/>
      <c r="BH208" s="49"/>
      <c r="BI208" s="50"/>
      <c r="BJ208" s="49"/>
      <c r="BK208" s="50"/>
      <c r="BL208" s="49"/>
      <c r="BM208" s="50"/>
      <c r="BN208" s="49"/>
      <c r="BO208" s="50"/>
      <c r="BP208" s="49"/>
      <c r="BQ208" s="50"/>
      <c r="BR208" s="49"/>
      <c r="BS208" s="50"/>
      <c r="BT208" s="49"/>
      <c r="BU208" s="50"/>
      <c r="BV208" s="49"/>
      <c r="BW208" s="50"/>
      <c r="BX208" s="49"/>
      <c r="BY208" s="50"/>
      <c r="BZ208" s="49"/>
      <c r="CA208" s="50"/>
    </row>
    <row r="209" spans="1:79" s="91" customFormat="1" x14ac:dyDescent="0.25">
      <c r="A209" s="76">
        <v>152717</v>
      </c>
      <c r="B209" s="77" t="s">
        <v>667</v>
      </c>
      <c r="C209" s="78" t="s">
        <v>497</v>
      </c>
      <c r="D209" s="76" t="s">
        <v>12</v>
      </c>
      <c r="E209" s="79" t="s">
        <v>87</v>
      </c>
      <c r="F209" s="79" t="s">
        <v>88</v>
      </c>
      <c r="G209" s="79" t="s">
        <v>14</v>
      </c>
      <c r="H209" s="78" t="s">
        <v>14</v>
      </c>
      <c r="I209" s="79" t="s">
        <v>14</v>
      </c>
      <c r="J209" s="80">
        <v>3.9</v>
      </c>
      <c r="K209" s="81">
        <v>1</v>
      </c>
      <c r="L209" s="82">
        <v>0</v>
      </c>
      <c r="M209" s="83">
        <v>0</v>
      </c>
      <c r="N209" s="84">
        <v>98.04</v>
      </c>
      <c r="O209" s="85">
        <v>11</v>
      </c>
      <c r="P209" s="86"/>
      <c r="Q209" s="87">
        <f t="shared" si="34"/>
        <v>0</v>
      </c>
      <c r="R209" s="88">
        <f t="shared" si="35"/>
        <v>2</v>
      </c>
      <c r="S209" s="89">
        <f t="shared" si="36"/>
        <v>0</v>
      </c>
      <c r="T209" s="89">
        <f t="shared" si="37"/>
        <v>0</v>
      </c>
      <c r="U209" s="89">
        <f t="shared" si="38"/>
        <v>0</v>
      </c>
      <c r="V209" s="89">
        <f t="shared" si="39"/>
        <v>0</v>
      </c>
      <c r="W209" s="89">
        <f t="shared" si="40"/>
        <v>0</v>
      </c>
      <c r="X209" s="89">
        <f t="shared" si="41"/>
        <v>0</v>
      </c>
      <c r="Y209" s="89">
        <f t="shared" si="42"/>
        <v>1</v>
      </c>
      <c r="Z209" s="89">
        <f t="shared" si="43"/>
        <v>1</v>
      </c>
      <c r="AA209" s="41">
        <f t="shared" si="44"/>
        <v>0</v>
      </c>
      <c r="AB209" s="49"/>
      <c r="AC209" s="50"/>
      <c r="AD209" s="49"/>
      <c r="AE209" s="50"/>
      <c r="AF209" s="49" t="s">
        <v>5</v>
      </c>
      <c r="AG209" s="50" t="s">
        <v>427</v>
      </c>
      <c r="AH209" s="49"/>
      <c r="AI209" s="50"/>
      <c r="AJ209" s="49"/>
      <c r="AK209" s="50"/>
      <c r="AL209" s="49"/>
      <c r="AM209" s="50"/>
      <c r="AN209" s="49"/>
      <c r="AO209" s="50"/>
      <c r="AP209" s="49"/>
      <c r="AQ209" s="50"/>
      <c r="AR209" s="49"/>
      <c r="AS209" s="50"/>
      <c r="AT209" s="49"/>
      <c r="AU209" s="50"/>
      <c r="AV209" s="49" t="s">
        <v>36</v>
      </c>
      <c r="AW209" s="50" t="s">
        <v>151</v>
      </c>
      <c r="AX209" s="49"/>
      <c r="AY209" s="50"/>
      <c r="AZ209" s="49"/>
      <c r="BA209" s="50"/>
      <c r="BB209" s="49"/>
      <c r="BC209" s="50"/>
      <c r="BD209" s="49"/>
      <c r="BE209" s="50"/>
      <c r="BF209" s="49"/>
      <c r="BG209" s="50"/>
      <c r="BH209" s="49"/>
      <c r="BI209" s="50"/>
      <c r="BJ209" s="49"/>
      <c r="BK209" s="50"/>
      <c r="BL209" s="49"/>
      <c r="BM209" s="50"/>
      <c r="BN209" s="49"/>
      <c r="BO209" s="50"/>
      <c r="BP209" s="49"/>
      <c r="BQ209" s="50"/>
      <c r="BR209" s="49"/>
      <c r="BS209" s="50"/>
      <c r="BT209" s="49"/>
      <c r="BU209" s="50"/>
      <c r="BV209" s="49"/>
      <c r="BW209" s="50"/>
      <c r="BX209" s="49" t="s">
        <v>5</v>
      </c>
      <c r="BY209" s="50" t="s">
        <v>462</v>
      </c>
      <c r="BZ209" s="49"/>
      <c r="CA209" s="50"/>
    </row>
    <row r="210" spans="1:79" s="91" customFormat="1" x14ac:dyDescent="0.25">
      <c r="A210" s="76">
        <v>150955</v>
      </c>
      <c r="B210" s="77" t="s">
        <v>668</v>
      </c>
      <c r="C210" s="78" t="s">
        <v>466</v>
      </c>
      <c r="D210" s="76" t="s">
        <v>70</v>
      </c>
      <c r="E210" s="79" t="s">
        <v>14</v>
      </c>
      <c r="F210" s="79" t="s">
        <v>71</v>
      </c>
      <c r="G210" s="79" t="s">
        <v>14</v>
      </c>
      <c r="H210" s="78" t="s">
        <v>14</v>
      </c>
      <c r="I210" s="79" t="s">
        <v>14</v>
      </c>
      <c r="J210" s="80">
        <v>5.9</v>
      </c>
      <c r="K210" s="81">
        <v>2</v>
      </c>
      <c r="L210" s="82">
        <v>0</v>
      </c>
      <c r="M210" s="83">
        <v>0</v>
      </c>
      <c r="N210" s="84">
        <v>84.82</v>
      </c>
      <c r="O210" s="85">
        <v>2</v>
      </c>
      <c r="P210" s="86"/>
      <c r="Q210" s="87">
        <f t="shared" si="34"/>
        <v>0</v>
      </c>
      <c r="R210" s="88">
        <f t="shared" si="35"/>
        <v>4</v>
      </c>
      <c r="S210" s="89">
        <f t="shared" si="36"/>
        <v>0</v>
      </c>
      <c r="T210" s="89">
        <f t="shared" si="37"/>
        <v>0</v>
      </c>
      <c r="U210" s="89">
        <f t="shared" si="38"/>
        <v>0</v>
      </c>
      <c r="V210" s="89">
        <f t="shared" si="39"/>
        <v>0</v>
      </c>
      <c r="W210" s="89">
        <f t="shared" si="40"/>
        <v>0</v>
      </c>
      <c r="X210" s="89">
        <f t="shared" si="41"/>
        <v>0</v>
      </c>
      <c r="Y210" s="89">
        <f t="shared" si="42"/>
        <v>0</v>
      </c>
      <c r="Z210" s="89">
        <f t="shared" si="43"/>
        <v>0</v>
      </c>
      <c r="AA210" s="41">
        <f t="shared" si="44"/>
        <v>0</v>
      </c>
      <c r="AB210" s="49" t="s">
        <v>5</v>
      </c>
      <c r="AC210" s="50" t="s">
        <v>116</v>
      </c>
      <c r="AD210" s="49"/>
      <c r="AE210" s="50"/>
      <c r="AF210" s="49"/>
      <c r="AG210" s="50"/>
      <c r="AH210" s="49"/>
      <c r="AI210" s="50"/>
      <c r="AJ210" s="49"/>
      <c r="AK210" s="50"/>
      <c r="AL210" s="49"/>
      <c r="AM210" s="50"/>
      <c r="AN210" s="49"/>
      <c r="AO210" s="50"/>
      <c r="AP210" s="49"/>
      <c r="AQ210" s="50"/>
      <c r="AR210" s="49" t="s">
        <v>5</v>
      </c>
      <c r="AS210" s="50" t="s">
        <v>127</v>
      </c>
      <c r="AT210" s="49"/>
      <c r="AU210" s="50"/>
      <c r="AV210" s="49" t="s">
        <v>5</v>
      </c>
      <c r="AW210" s="50" t="s">
        <v>602</v>
      </c>
      <c r="AX210" s="49"/>
      <c r="AY210" s="50"/>
      <c r="AZ210" s="49"/>
      <c r="BA210" s="50"/>
      <c r="BB210" s="49"/>
      <c r="BC210" s="50"/>
      <c r="BD210" s="49"/>
      <c r="BE210" s="50"/>
      <c r="BF210" s="49"/>
      <c r="BG210" s="50"/>
      <c r="BH210" s="49"/>
      <c r="BI210" s="50"/>
      <c r="BJ210" s="49"/>
      <c r="BK210" s="50"/>
      <c r="BL210" s="49"/>
      <c r="BM210" s="50"/>
      <c r="BN210" s="49"/>
      <c r="BO210" s="50"/>
      <c r="BP210" s="49"/>
      <c r="BQ210" s="50"/>
      <c r="BR210" s="49"/>
      <c r="BS210" s="50"/>
      <c r="BT210" s="49"/>
      <c r="BU210" s="50"/>
      <c r="BV210" s="49" t="s">
        <v>5</v>
      </c>
      <c r="BW210" s="50" t="s">
        <v>425</v>
      </c>
      <c r="BX210" s="49"/>
      <c r="BY210" s="50"/>
      <c r="BZ210" s="49"/>
      <c r="CA210" s="50"/>
    </row>
    <row r="211" spans="1:79" s="91" customFormat="1" x14ac:dyDescent="0.25">
      <c r="A211" s="76">
        <v>160075</v>
      </c>
      <c r="B211" s="77" t="s">
        <v>669</v>
      </c>
      <c r="C211" s="78" t="s">
        <v>418</v>
      </c>
      <c r="D211" s="76" t="s">
        <v>12</v>
      </c>
      <c r="E211" s="79" t="s">
        <v>14</v>
      </c>
      <c r="F211" s="79" t="s">
        <v>71</v>
      </c>
      <c r="G211" s="79" t="s">
        <v>14</v>
      </c>
      <c r="H211" s="78" t="s">
        <v>14</v>
      </c>
      <c r="I211" s="79" t="s">
        <v>14</v>
      </c>
      <c r="J211" s="80">
        <v>6.3</v>
      </c>
      <c r="K211" s="81">
        <v>0</v>
      </c>
      <c r="L211" s="82">
        <v>0</v>
      </c>
      <c r="M211" s="83">
        <v>0</v>
      </c>
      <c r="N211" s="84">
        <v>97.3</v>
      </c>
      <c r="O211" s="85">
        <v>3</v>
      </c>
      <c r="P211" s="86"/>
      <c r="Q211" s="87">
        <f t="shared" si="34"/>
        <v>1</v>
      </c>
      <c r="R211" s="88">
        <f t="shared" si="35"/>
        <v>3</v>
      </c>
      <c r="S211" s="89">
        <f t="shared" si="36"/>
        <v>0</v>
      </c>
      <c r="T211" s="89">
        <f t="shared" si="37"/>
        <v>0</v>
      </c>
      <c r="U211" s="89">
        <f t="shared" si="38"/>
        <v>0</v>
      </c>
      <c r="V211" s="89">
        <f t="shared" si="39"/>
        <v>0</v>
      </c>
      <c r="W211" s="89">
        <f t="shared" si="40"/>
        <v>0</v>
      </c>
      <c r="X211" s="89">
        <f t="shared" si="41"/>
        <v>0</v>
      </c>
      <c r="Y211" s="89">
        <f t="shared" si="42"/>
        <v>0</v>
      </c>
      <c r="Z211" s="89">
        <f t="shared" si="43"/>
        <v>0</v>
      </c>
      <c r="AA211" s="41">
        <f t="shared" si="44"/>
        <v>0</v>
      </c>
      <c r="AB211" s="49"/>
      <c r="AC211" s="50"/>
      <c r="AD211" s="49"/>
      <c r="AE211" s="50"/>
      <c r="AF211" s="49"/>
      <c r="AG211" s="50"/>
      <c r="AH211" s="49"/>
      <c r="AI211" s="50"/>
      <c r="AJ211" s="49"/>
      <c r="AK211" s="50"/>
      <c r="AL211" s="49"/>
      <c r="AM211" s="50"/>
      <c r="AN211" s="49"/>
      <c r="AO211" s="50"/>
      <c r="AP211" s="49"/>
      <c r="AQ211" s="50"/>
      <c r="AR211" s="49"/>
      <c r="AS211" s="50"/>
      <c r="AT211" s="49" t="s">
        <v>5</v>
      </c>
      <c r="AU211" s="50" t="s">
        <v>448</v>
      </c>
      <c r="AV211" s="49" t="s">
        <v>5</v>
      </c>
      <c r="AW211" s="50" t="s">
        <v>420</v>
      </c>
      <c r="AX211" s="49"/>
      <c r="AY211" s="50"/>
      <c r="AZ211" s="49"/>
      <c r="BA211" s="50"/>
      <c r="BB211" s="49" t="s">
        <v>5</v>
      </c>
      <c r="BC211" s="50" t="s">
        <v>92</v>
      </c>
      <c r="BD211" s="49"/>
      <c r="BE211" s="50"/>
      <c r="BF211" s="49"/>
      <c r="BG211" s="50"/>
      <c r="BH211" s="49"/>
      <c r="BI211" s="50"/>
      <c r="BJ211" s="49"/>
      <c r="BK211" s="50"/>
      <c r="BL211" s="49"/>
      <c r="BM211" s="50"/>
      <c r="BN211" s="49"/>
      <c r="BO211" s="50"/>
      <c r="BP211" s="49"/>
      <c r="BQ211" s="50"/>
      <c r="BR211" s="49"/>
      <c r="BS211" s="50"/>
      <c r="BT211" s="49"/>
      <c r="BU211" s="50"/>
      <c r="BV211" s="49"/>
      <c r="BW211" s="50"/>
      <c r="BX211" s="49" t="s">
        <v>1</v>
      </c>
      <c r="BY211" s="50" t="s">
        <v>462</v>
      </c>
      <c r="BZ211" s="49"/>
      <c r="CA211" s="50"/>
    </row>
    <row r="212" spans="1:79" s="91" customFormat="1" x14ac:dyDescent="0.25">
      <c r="A212" s="76">
        <v>150800</v>
      </c>
      <c r="B212" s="77" t="s">
        <v>670</v>
      </c>
      <c r="C212" s="78" t="s">
        <v>490</v>
      </c>
      <c r="D212" s="76" t="s">
        <v>12</v>
      </c>
      <c r="E212" s="79" t="s">
        <v>14</v>
      </c>
      <c r="F212" s="79" t="s">
        <v>71</v>
      </c>
      <c r="G212" s="79" t="s">
        <v>14</v>
      </c>
      <c r="H212" s="78" t="s">
        <v>14</v>
      </c>
      <c r="I212" s="79" t="s">
        <v>14</v>
      </c>
      <c r="J212" s="80">
        <v>4.9000000000000004</v>
      </c>
      <c r="K212" s="81">
        <v>1</v>
      </c>
      <c r="L212" s="82">
        <v>0</v>
      </c>
      <c r="M212" s="83">
        <v>0</v>
      </c>
      <c r="N212" s="84">
        <v>100</v>
      </c>
      <c r="O212" s="85">
        <v>0</v>
      </c>
      <c r="P212" s="86"/>
      <c r="Q212" s="87">
        <f t="shared" si="34"/>
        <v>0</v>
      </c>
      <c r="R212" s="88">
        <f t="shared" si="35"/>
        <v>4</v>
      </c>
      <c r="S212" s="89">
        <f t="shared" si="36"/>
        <v>0</v>
      </c>
      <c r="T212" s="89">
        <f t="shared" si="37"/>
        <v>0</v>
      </c>
      <c r="U212" s="89">
        <f t="shared" si="38"/>
        <v>0</v>
      </c>
      <c r="V212" s="89">
        <f t="shared" si="39"/>
        <v>0</v>
      </c>
      <c r="W212" s="89">
        <f t="shared" si="40"/>
        <v>0</v>
      </c>
      <c r="X212" s="89">
        <f t="shared" si="41"/>
        <v>0</v>
      </c>
      <c r="Y212" s="89">
        <f t="shared" si="42"/>
        <v>0</v>
      </c>
      <c r="Z212" s="89">
        <f t="shared" si="43"/>
        <v>0</v>
      </c>
      <c r="AA212" s="41">
        <f t="shared" si="44"/>
        <v>0</v>
      </c>
      <c r="AB212" s="49" t="s">
        <v>5</v>
      </c>
      <c r="AC212" s="50" t="s">
        <v>116</v>
      </c>
      <c r="AD212" s="49"/>
      <c r="AE212" s="50"/>
      <c r="AF212" s="49" t="s">
        <v>5</v>
      </c>
      <c r="AG212" s="50"/>
      <c r="AH212" s="49"/>
      <c r="AI212" s="50"/>
      <c r="AJ212" s="49"/>
      <c r="AK212" s="50"/>
      <c r="AL212" s="49"/>
      <c r="AM212" s="50"/>
      <c r="AN212" s="49" t="s">
        <v>5</v>
      </c>
      <c r="AO212" s="50" t="s">
        <v>101</v>
      </c>
      <c r="AP212" s="49"/>
      <c r="AQ212" s="50"/>
      <c r="AR212" s="49"/>
      <c r="AS212" s="50"/>
      <c r="AT212" s="49"/>
      <c r="AU212" s="50"/>
      <c r="AV212" s="49" t="s">
        <v>5</v>
      </c>
      <c r="AW212" s="50" t="s">
        <v>459</v>
      </c>
      <c r="AX212" s="49"/>
      <c r="AY212" s="50"/>
      <c r="AZ212" s="49"/>
      <c r="BA212" s="50"/>
      <c r="BB212" s="49"/>
      <c r="BC212" s="50"/>
      <c r="BD212" s="49"/>
      <c r="BE212" s="50"/>
      <c r="BF212" s="49"/>
      <c r="BG212" s="50"/>
      <c r="BH212" s="49"/>
      <c r="BI212" s="50"/>
      <c r="BJ212" s="49"/>
      <c r="BK212" s="50"/>
      <c r="BL212" s="49"/>
      <c r="BM212" s="50"/>
      <c r="BN212" s="49"/>
      <c r="BO212" s="50"/>
      <c r="BP212" s="49"/>
      <c r="BQ212" s="50"/>
      <c r="BR212" s="49"/>
      <c r="BS212" s="50"/>
      <c r="BT212" s="49"/>
      <c r="BU212" s="50"/>
      <c r="BV212" s="49"/>
      <c r="BW212" s="50"/>
      <c r="BX212" s="49"/>
      <c r="BY212" s="50"/>
      <c r="BZ212" s="49"/>
      <c r="CA212" s="50"/>
    </row>
    <row r="213" spans="1:79" s="91" customFormat="1" x14ac:dyDescent="0.25">
      <c r="A213" s="76">
        <v>150810</v>
      </c>
      <c r="B213" s="77" t="s">
        <v>671</v>
      </c>
      <c r="C213" s="78" t="s">
        <v>497</v>
      </c>
      <c r="D213" s="76" t="s">
        <v>12</v>
      </c>
      <c r="E213" s="79" t="s">
        <v>14</v>
      </c>
      <c r="F213" s="79" t="s">
        <v>275</v>
      </c>
      <c r="G213" s="79" t="s">
        <v>14</v>
      </c>
      <c r="H213" s="78" t="s">
        <v>14</v>
      </c>
      <c r="I213" s="79" t="s">
        <v>14</v>
      </c>
      <c r="J213" s="80">
        <v>5.3</v>
      </c>
      <c r="K213" s="81">
        <v>0</v>
      </c>
      <c r="L213" s="82">
        <v>0</v>
      </c>
      <c r="M213" s="83">
        <v>1</v>
      </c>
      <c r="N213" s="84">
        <v>91.6</v>
      </c>
      <c r="O213" s="85">
        <v>11</v>
      </c>
      <c r="P213" s="86"/>
      <c r="Q213" s="87">
        <f t="shared" si="34"/>
        <v>0</v>
      </c>
      <c r="R213" s="88">
        <f t="shared" si="35"/>
        <v>3</v>
      </c>
      <c r="S213" s="89">
        <f t="shared" si="36"/>
        <v>0</v>
      </c>
      <c r="T213" s="89">
        <f t="shared" si="37"/>
        <v>0</v>
      </c>
      <c r="U213" s="89">
        <f t="shared" si="38"/>
        <v>0</v>
      </c>
      <c r="V213" s="89">
        <f t="shared" si="39"/>
        <v>0</v>
      </c>
      <c r="W213" s="89">
        <f t="shared" si="40"/>
        <v>0</v>
      </c>
      <c r="X213" s="89">
        <f t="shared" si="41"/>
        <v>0</v>
      </c>
      <c r="Y213" s="89">
        <f t="shared" si="42"/>
        <v>1</v>
      </c>
      <c r="Z213" s="89">
        <f t="shared" si="43"/>
        <v>1</v>
      </c>
      <c r="AA213" s="41">
        <f t="shared" si="44"/>
        <v>0</v>
      </c>
      <c r="AB213" s="49"/>
      <c r="AC213" s="50"/>
      <c r="AD213" s="49"/>
      <c r="AE213" s="50"/>
      <c r="AF213" s="49"/>
      <c r="AG213" s="50"/>
      <c r="AH213" s="49"/>
      <c r="AI213" s="50"/>
      <c r="AJ213" s="49"/>
      <c r="AK213" s="50"/>
      <c r="AL213" s="49"/>
      <c r="AM213" s="50"/>
      <c r="AN213" s="49"/>
      <c r="AO213" s="50"/>
      <c r="AP213" s="49" t="s">
        <v>5</v>
      </c>
      <c r="AQ213" s="50" t="s">
        <v>428</v>
      </c>
      <c r="AR213" s="49"/>
      <c r="AS213" s="50"/>
      <c r="AT213" s="49"/>
      <c r="AU213" s="50"/>
      <c r="AV213" s="49" t="s">
        <v>36</v>
      </c>
      <c r="AW213" s="50" t="s">
        <v>476</v>
      </c>
      <c r="AX213" s="49"/>
      <c r="AY213" s="50"/>
      <c r="AZ213" s="49"/>
      <c r="BA213" s="50"/>
      <c r="BB213" s="49"/>
      <c r="BC213" s="50"/>
      <c r="BD213" s="49"/>
      <c r="BE213" s="50"/>
      <c r="BF213" s="49"/>
      <c r="BG213" s="50"/>
      <c r="BH213" s="49"/>
      <c r="BI213" s="50"/>
      <c r="BJ213" s="49" t="s">
        <v>5</v>
      </c>
      <c r="BK213" s="50" t="s">
        <v>422</v>
      </c>
      <c r="BL213" s="49"/>
      <c r="BM213" s="50"/>
      <c r="BN213" s="49"/>
      <c r="BO213" s="50"/>
      <c r="BP213" s="49"/>
      <c r="BQ213" s="50"/>
      <c r="BR213" s="49" t="s">
        <v>5</v>
      </c>
      <c r="BS213" s="50" t="s">
        <v>109</v>
      </c>
      <c r="BT213" s="49"/>
      <c r="BU213" s="50"/>
      <c r="BV213" s="49"/>
      <c r="BW213" s="50"/>
      <c r="BX213" s="49"/>
      <c r="BY213" s="50"/>
      <c r="BZ213" s="49"/>
      <c r="CA213" s="50"/>
    </row>
    <row r="214" spans="1:79" s="91" customFormat="1" x14ac:dyDescent="0.25">
      <c r="A214" s="76">
        <v>160112</v>
      </c>
      <c r="B214" s="77" t="s">
        <v>672</v>
      </c>
      <c r="C214" s="78" t="s">
        <v>432</v>
      </c>
      <c r="D214" s="76" t="s">
        <v>70</v>
      </c>
      <c r="E214" s="79" t="s">
        <v>14</v>
      </c>
      <c r="F214" s="79" t="s">
        <v>71</v>
      </c>
      <c r="G214" s="79" t="s">
        <v>14</v>
      </c>
      <c r="H214" s="78" t="s">
        <v>14</v>
      </c>
      <c r="I214" s="79" t="s">
        <v>14</v>
      </c>
      <c r="J214" s="80">
        <v>8.3000000000000007</v>
      </c>
      <c r="K214" s="81">
        <v>0</v>
      </c>
      <c r="L214" s="82">
        <v>0</v>
      </c>
      <c r="M214" s="83">
        <v>0</v>
      </c>
      <c r="N214" s="84">
        <v>100</v>
      </c>
      <c r="O214" s="85">
        <v>1</v>
      </c>
      <c r="P214" s="86"/>
      <c r="Q214" s="87">
        <f t="shared" si="34"/>
        <v>0</v>
      </c>
      <c r="R214" s="88">
        <f t="shared" si="35"/>
        <v>5</v>
      </c>
      <c r="S214" s="89">
        <f t="shared" si="36"/>
        <v>0</v>
      </c>
      <c r="T214" s="89">
        <f t="shared" si="37"/>
        <v>0</v>
      </c>
      <c r="U214" s="89">
        <f t="shared" si="38"/>
        <v>0</v>
      </c>
      <c r="V214" s="89">
        <f t="shared" si="39"/>
        <v>0</v>
      </c>
      <c r="W214" s="89">
        <f t="shared" si="40"/>
        <v>0</v>
      </c>
      <c r="X214" s="89">
        <f t="shared" si="41"/>
        <v>0</v>
      </c>
      <c r="Y214" s="89">
        <f t="shared" si="42"/>
        <v>0</v>
      </c>
      <c r="Z214" s="89">
        <f t="shared" si="43"/>
        <v>0</v>
      </c>
      <c r="AA214" s="41">
        <f t="shared" si="44"/>
        <v>0</v>
      </c>
      <c r="AB214" s="49" t="s">
        <v>5</v>
      </c>
      <c r="AC214" s="50" t="s">
        <v>116</v>
      </c>
      <c r="AD214" s="49" t="s">
        <v>5</v>
      </c>
      <c r="AE214" s="50" t="s">
        <v>154</v>
      </c>
      <c r="AF214" s="49"/>
      <c r="AG214" s="50"/>
      <c r="AH214" s="49"/>
      <c r="AI214" s="50"/>
      <c r="AJ214" s="49"/>
      <c r="AK214" s="50"/>
      <c r="AL214" s="49"/>
      <c r="AM214" s="50"/>
      <c r="AN214" s="49"/>
      <c r="AO214" s="50"/>
      <c r="AP214" s="49"/>
      <c r="AQ214" s="50"/>
      <c r="AR214" s="49"/>
      <c r="AS214" s="50"/>
      <c r="AT214" s="49"/>
      <c r="AU214" s="50"/>
      <c r="AV214" s="49" t="s">
        <v>5</v>
      </c>
      <c r="AW214" s="50" t="s">
        <v>123</v>
      </c>
      <c r="AX214" s="49"/>
      <c r="AY214" s="50"/>
      <c r="AZ214" s="49"/>
      <c r="BA214" s="50"/>
      <c r="BB214" s="49"/>
      <c r="BC214" s="50"/>
      <c r="BD214" s="49"/>
      <c r="BE214" s="50"/>
      <c r="BF214" s="49"/>
      <c r="BG214" s="50"/>
      <c r="BH214" s="49"/>
      <c r="BI214" s="50"/>
      <c r="BJ214" s="49" t="s">
        <v>5</v>
      </c>
      <c r="BK214" s="50" t="s">
        <v>430</v>
      </c>
      <c r="BL214" s="49"/>
      <c r="BM214" s="50"/>
      <c r="BN214" s="49"/>
      <c r="BO214" s="50"/>
      <c r="BP214" s="49"/>
      <c r="BQ214" s="50"/>
      <c r="BR214" s="49" t="s">
        <v>5</v>
      </c>
      <c r="BS214" s="50" t="s">
        <v>109</v>
      </c>
      <c r="BT214" s="49"/>
      <c r="BU214" s="50"/>
      <c r="BV214" s="49"/>
      <c r="BW214" s="50"/>
      <c r="BX214" s="49"/>
      <c r="BY214" s="50"/>
      <c r="BZ214" s="49"/>
      <c r="CA214" s="50"/>
    </row>
    <row r="215" spans="1:79" s="91" customFormat="1" x14ac:dyDescent="0.25">
      <c r="A215" s="76">
        <v>150891</v>
      </c>
      <c r="B215" s="77" t="s">
        <v>673</v>
      </c>
      <c r="C215" s="78" t="s">
        <v>497</v>
      </c>
      <c r="D215" s="76" t="s">
        <v>12</v>
      </c>
      <c r="E215" s="79" t="s">
        <v>14</v>
      </c>
      <c r="F215" s="79" t="s">
        <v>71</v>
      </c>
      <c r="G215" s="79" t="s">
        <v>14</v>
      </c>
      <c r="H215" s="78" t="s">
        <v>14</v>
      </c>
      <c r="I215" s="79" t="s">
        <v>14</v>
      </c>
      <c r="J215" s="80">
        <v>5.8</v>
      </c>
      <c r="K215" s="81">
        <v>1</v>
      </c>
      <c r="L215" s="82">
        <v>0</v>
      </c>
      <c r="M215" s="83">
        <v>1</v>
      </c>
      <c r="N215" s="84">
        <v>100</v>
      </c>
      <c r="O215" s="85">
        <v>1</v>
      </c>
      <c r="P215" s="86"/>
      <c r="Q215" s="87">
        <f t="shared" si="34"/>
        <v>0</v>
      </c>
      <c r="R215" s="88">
        <f t="shared" si="35"/>
        <v>4</v>
      </c>
      <c r="S215" s="89">
        <f t="shared" si="36"/>
        <v>1</v>
      </c>
      <c r="T215" s="89">
        <f t="shared" si="37"/>
        <v>0</v>
      </c>
      <c r="U215" s="89">
        <f t="shared" si="38"/>
        <v>0</v>
      </c>
      <c r="V215" s="89">
        <f t="shared" si="39"/>
        <v>1</v>
      </c>
      <c r="W215" s="89">
        <f t="shared" si="40"/>
        <v>0</v>
      </c>
      <c r="X215" s="89">
        <f t="shared" si="41"/>
        <v>0</v>
      </c>
      <c r="Y215" s="89">
        <f t="shared" si="42"/>
        <v>0</v>
      </c>
      <c r="Z215" s="89">
        <f t="shared" si="43"/>
        <v>0</v>
      </c>
      <c r="AA215" s="41">
        <f t="shared" si="44"/>
        <v>0</v>
      </c>
      <c r="AB215" s="49"/>
      <c r="AC215" s="50"/>
      <c r="AD215" s="49"/>
      <c r="AE215" s="50"/>
      <c r="AF215" s="49" t="s">
        <v>5</v>
      </c>
      <c r="AG215" s="50" t="s">
        <v>427</v>
      </c>
      <c r="AH215" s="49"/>
      <c r="AI215" s="50"/>
      <c r="AJ215" s="49"/>
      <c r="AK215" s="50"/>
      <c r="AL215" s="49"/>
      <c r="AM215" s="50"/>
      <c r="AN215" s="49"/>
      <c r="AO215" s="50"/>
      <c r="AP215" s="49"/>
      <c r="AQ215" s="50"/>
      <c r="AR215" s="49"/>
      <c r="AS215" s="50"/>
      <c r="AT215" s="49"/>
      <c r="AU215" s="50"/>
      <c r="AV215" s="49" t="s">
        <v>5</v>
      </c>
      <c r="AW215" s="50" t="s">
        <v>108</v>
      </c>
      <c r="AX215" s="49"/>
      <c r="AY215" s="50"/>
      <c r="AZ215" s="49"/>
      <c r="BA215" s="50"/>
      <c r="BB215" s="49"/>
      <c r="BC215" s="50"/>
      <c r="BD215" s="49"/>
      <c r="BE215" s="50"/>
      <c r="BF215" s="49"/>
      <c r="BG215" s="50"/>
      <c r="BH215" s="49"/>
      <c r="BI215" s="50"/>
      <c r="BJ215" s="49"/>
      <c r="BK215" s="50"/>
      <c r="BL215" s="49"/>
      <c r="BM215" s="50"/>
      <c r="BN215" s="49" t="s">
        <v>5</v>
      </c>
      <c r="BO215" s="50" t="s">
        <v>82</v>
      </c>
      <c r="BP215" s="49" t="s">
        <v>5</v>
      </c>
      <c r="BQ215" s="50"/>
      <c r="BR215" s="49"/>
      <c r="BS215" s="50"/>
      <c r="BT215" s="49"/>
      <c r="BU215" s="50"/>
      <c r="BV215" s="49" t="s">
        <v>30</v>
      </c>
      <c r="BW215" s="50" t="s">
        <v>425</v>
      </c>
      <c r="BX215" s="49"/>
      <c r="BY215" s="50"/>
      <c r="BZ215" s="49"/>
      <c r="CA215" s="50"/>
    </row>
    <row r="216" spans="1:79" s="91" customFormat="1" x14ac:dyDescent="0.25">
      <c r="A216" s="76">
        <v>150879</v>
      </c>
      <c r="B216" s="77" t="s">
        <v>674</v>
      </c>
      <c r="C216" s="78" t="s">
        <v>466</v>
      </c>
      <c r="D216" s="76" t="s">
        <v>70</v>
      </c>
      <c r="E216" s="79" t="s">
        <v>14</v>
      </c>
      <c r="F216" s="79" t="s">
        <v>198</v>
      </c>
      <c r="G216" s="79" t="s">
        <v>14</v>
      </c>
      <c r="H216" s="78" t="s">
        <v>14</v>
      </c>
      <c r="I216" s="79" t="s">
        <v>14</v>
      </c>
      <c r="J216" s="80">
        <v>6.9</v>
      </c>
      <c r="K216" s="81">
        <v>2</v>
      </c>
      <c r="L216" s="82">
        <v>0</v>
      </c>
      <c r="M216" s="83">
        <v>0</v>
      </c>
      <c r="N216" s="84">
        <v>97.16</v>
      </c>
      <c r="O216" s="85">
        <v>1</v>
      </c>
      <c r="P216" s="86"/>
      <c r="Q216" s="87">
        <f t="shared" si="34"/>
        <v>1</v>
      </c>
      <c r="R216" s="88">
        <f t="shared" si="35"/>
        <v>4</v>
      </c>
      <c r="S216" s="89">
        <f t="shared" si="36"/>
        <v>0</v>
      </c>
      <c r="T216" s="89">
        <f t="shared" si="37"/>
        <v>0</v>
      </c>
      <c r="U216" s="89">
        <f t="shared" si="38"/>
        <v>0</v>
      </c>
      <c r="V216" s="89">
        <f t="shared" si="39"/>
        <v>0</v>
      </c>
      <c r="W216" s="89">
        <f t="shared" si="40"/>
        <v>0</v>
      </c>
      <c r="X216" s="89">
        <f t="shared" si="41"/>
        <v>0</v>
      </c>
      <c r="Y216" s="89">
        <f t="shared" si="42"/>
        <v>0</v>
      </c>
      <c r="Z216" s="89">
        <f t="shared" si="43"/>
        <v>0</v>
      </c>
      <c r="AA216" s="41">
        <f t="shared" si="44"/>
        <v>0</v>
      </c>
      <c r="AB216" s="59" t="s">
        <v>5</v>
      </c>
      <c r="AC216" s="58" t="s">
        <v>116</v>
      </c>
      <c r="AD216" s="59"/>
      <c r="AE216" s="58"/>
      <c r="AF216" s="59"/>
      <c r="AG216" s="58"/>
      <c r="AH216" s="59"/>
      <c r="AI216" s="58"/>
      <c r="AJ216" s="59"/>
      <c r="AK216" s="58"/>
      <c r="AL216" s="59"/>
      <c r="AM216" s="58"/>
      <c r="AN216" s="59"/>
      <c r="AO216" s="58"/>
      <c r="AP216" s="59"/>
      <c r="AQ216" s="58"/>
      <c r="AR216" s="59"/>
      <c r="AS216" s="58"/>
      <c r="AT216" s="59"/>
      <c r="AU216" s="58"/>
      <c r="AV216" s="59" t="s">
        <v>5</v>
      </c>
      <c r="AW216" s="58" t="s">
        <v>602</v>
      </c>
      <c r="AX216" s="59"/>
      <c r="AY216" s="58"/>
      <c r="AZ216" s="59"/>
      <c r="BA216" s="58"/>
      <c r="BB216" s="59"/>
      <c r="BC216" s="58"/>
      <c r="BD216" s="59"/>
      <c r="BE216" s="58"/>
      <c r="BF216" s="59"/>
      <c r="BG216" s="58"/>
      <c r="BH216" s="59"/>
      <c r="BI216" s="58"/>
      <c r="BJ216" s="59"/>
      <c r="BK216" s="58"/>
      <c r="BL216" s="59"/>
      <c r="BM216" s="58"/>
      <c r="BN216" s="59"/>
      <c r="BO216" s="58"/>
      <c r="BP216" s="59"/>
      <c r="BQ216" s="58"/>
      <c r="BR216" s="59" t="s">
        <v>5</v>
      </c>
      <c r="BS216" s="58" t="s">
        <v>98</v>
      </c>
      <c r="BT216" s="59" t="s">
        <v>5</v>
      </c>
      <c r="BU216" s="58" t="s">
        <v>93</v>
      </c>
      <c r="BV216" s="59" t="s">
        <v>1</v>
      </c>
      <c r="BW216" s="58" t="s">
        <v>436</v>
      </c>
      <c r="BX216" s="59"/>
      <c r="BY216" s="58"/>
      <c r="BZ216" s="59"/>
      <c r="CA216" s="58"/>
    </row>
    <row r="217" spans="1:79" s="91" customFormat="1" x14ac:dyDescent="0.25">
      <c r="A217" s="76">
        <v>150801</v>
      </c>
      <c r="B217" s="77" t="s">
        <v>675</v>
      </c>
      <c r="C217" s="78" t="s">
        <v>466</v>
      </c>
      <c r="D217" s="76" t="s">
        <v>70</v>
      </c>
      <c r="E217" s="79" t="s">
        <v>14</v>
      </c>
      <c r="F217" s="79" t="s">
        <v>71</v>
      </c>
      <c r="G217" s="79" t="s">
        <v>14</v>
      </c>
      <c r="H217" s="78" t="s">
        <v>14</v>
      </c>
      <c r="I217" s="79" t="s">
        <v>14</v>
      </c>
      <c r="J217" s="80">
        <v>5.7</v>
      </c>
      <c r="K217" s="81">
        <v>2</v>
      </c>
      <c r="L217" s="82">
        <v>0</v>
      </c>
      <c r="M217" s="83">
        <v>0</v>
      </c>
      <c r="N217" s="84">
        <v>100</v>
      </c>
      <c r="O217" s="85">
        <v>0</v>
      </c>
      <c r="P217" s="86"/>
      <c r="Q217" s="87">
        <f t="shared" si="34"/>
        <v>0</v>
      </c>
      <c r="R217" s="88">
        <f t="shared" si="35"/>
        <v>4</v>
      </c>
      <c r="S217" s="89">
        <f t="shared" si="36"/>
        <v>0</v>
      </c>
      <c r="T217" s="89">
        <f t="shared" si="37"/>
        <v>0</v>
      </c>
      <c r="U217" s="89">
        <f t="shared" si="38"/>
        <v>0</v>
      </c>
      <c r="V217" s="89">
        <f t="shared" si="39"/>
        <v>0</v>
      </c>
      <c r="W217" s="89">
        <f t="shared" si="40"/>
        <v>0</v>
      </c>
      <c r="X217" s="89">
        <f t="shared" si="41"/>
        <v>0</v>
      </c>
      <c r="Y217" s="89">
        <f t="shared" si="42"/>
        <v>0</v>
      </c>
      <c r="Z217" s="89">
        <f t="shared" si="43"/>
        <v>0</v>
      </c>
      <c r="AA217" s="41">
        <f t="shared" si="44"/>
        <v>0</v>
      </c>
      <c r="AB217" s="59" t="s">
        <v>5</v>
      </c>
      <c r="AC217" s="58" t="s">
        <v>116</v>
      </c>
      <c r="AD217" s="59"/>
      <c r="AE217" s="58"/>
      <c r="AF217" s="59"/>
      <c r="AG217" s="58"/>
      <c r="AH217" s="59"/>
      <c r="AI217" s="58"/>
      <c r="AJ217" s="59"/>
      <c r="AK217" s="58"/>
      <c r="AL217" s="59"/>
      <c r="AM217" s="58"/>
      <c r="AN217" s="59" t="s">
        <v>5</v>
      </c>
      <c r="AO217" s="58" t="s">
        <v>101</v>
      </c>
      <c r="AP217" s="59"/>
      <c r="AQ217" s="58"/>
      <c r="AR217" s="59" t="s">
        <v>5</v>
      </c>
      <c r="AS217" s="58" t="s">
        <v>127</v>
      </c>
      <c r="AT217" s="59"/>
      <c r="AU217" s="58"/>
      <c r="AV217" s="59" t="s">
        <v>5</v>
      </c>
      <c r="AW217" s="58" t="s">
        <v>476</v>
      </c>
      <c r="AX217" s="59"/>
      <c r="AY217" s="58"/>
      <c r="AZ217" s="59"/>
      <c r="BA217" s="58"/>
      <c r="BB217" s="59"/>
      <c r="BC217" s="58"/>
      <c r="BD217" s="59"/>
      <c r="BE217" s="58"/>
      <c r="BF217" s="59"/>
      <c r="BG217" s="58"/>
      <c r="BH217" s="59"/>
      <c r="BI217" s="58"/>
      <c r="BJ217" s="59"/>
      <c r="BK217" s="58"/>
      <c r="BL217" s="59"/>
      <c r="BM217" s="58"/>
      <c r="BN217" s="59"/>
      <c r="BO217" s="58"/>
      <c r="BP217" s="59"/>
      <c r="BQ217" s="58"/>
      <c r="BR217" s="59"/>
      <c r="BS217" s="58"/>
      <c r="BT217" s="59"/>
      <c r="BU217" s="58"/>
      <c r="BV217" s="59"/>
      <c r="BW217" s="58"/>
      <c r="BX217" s="59"/>
      <c r="BY217" s="58"/>
      <c r="BZ217" s="59"/>
      <c r="CA217" s="58"/>
    </row>
    <row r="218" spans="1:79" s="91" customFormat="1" x14ac:dyDescent="0.25">
      <c r="A218" s="76">
        <v>160354</v>
      </c>
      <c r="B218" s="77" t="s">
        <v>676</v>
      </c>
      <c r="C218" s="78" t="s">
        <v>490</v>
      </c>
      <c r="D218" s="76" t="s">
        <v>12</v>
      </c>
      <c r="E218" s="79" t="s">
        <v>14</v>
      </c>
      <c r="F218" s="79" t="s">
        <v>71</v>
      </c>
      <c r="G218" s="79" t="s">
        <v>14</v>
      </c>
      <c r="H218" s="78" t="s">
        <v>14</v>
      </c>
      <c r="I218" s="79" t="s">
        <v>14</v>
      </c>
      <c r="J218" s="80">
        <v>6</v>
      </c>
      <c r="K218" s="81">
        <v>2</v>
      </c>
      <c r="L218" s="82">
        <v>0</v>
      </c>
      <c r="M218" s="83">
        <v>0</v>
      </c>
      <c r="N218" s="84">
        <v>99.12</v>
      </c>
      <c r="O218" s="85">
        <v>0</v>
      </c>
      <c r="P218" s="86"/>
      <c r="Q218" s="87">
        <f t="shared" si="34"/>
        <v>1</v>
      </c>
      <c r="R218" s="88">
        <f t="shared" si="35"/>
        <v>3</v>
      </c>
      <c r="S218" s="89">
        <f t="shared" si="36"/>
        <v>0</v>
      </c>
      <c r="T218" s="89">
        <f t="shared" si="37"/>
        <v>0</v>
      </c>
      <c r="U218" s="89">
        <f t="shared" si="38"/>
        <v>0</v>
      </c>
      <c r="V218" s="89">
        <f t="shared" si="39"/>
        <v>0</v>
      </c>
      <c r="W218" s="89">
        <f t="shared" si="40"/>
        <v>0</v>
      </c>
      <c r="X218" s="89">
        <f t="shared" si="41"/>
        <v>0</v>
      </c>
      <c r="Y218" s="89">
        <f t="shared" si="42"/>
        <v>0</v>
      </c>
      <c r="Z218" s="89">
        <f t="shared" si="43"/>
        <v>0</v>
      </c>
      <c r="AA218" s="41">
        <f t="shared" si="44"/>
        <v>0</v>
      </c>
      <c r="AB218" s="59"/>
      <c r="AC218" s="58"/>
      <c r="AD218" s="59"/>
      <c r="AE218" s="58"/>
      <c r="AF218" s="59" t="s">
        <v>5</v>
      </c>
      <c r="AG218" s="58" t="s">
        <v>427</v>
      </c>
      <c r="AH218" s="59"/>
      <c r="AI218" s="58"/>
      <c r="AJ218" s="59"/>
      <c r="AK218" s="58"/>
      <c r="AL218" s="59"/>
      <c r="AM218" s="58"/>
      <c r="AN218" s="59"/>
      <c r="AO218" s="58"/>
      <c r="AP218" s="59" t="s">
        <v>1</v>
      </c>
      <c r="AQ218" s="58" t="s">
        <v>428</v>
      </c>
      <c r="AR218" s="59"/>
      <c r="AS218" s="58"/>
      <c r="AT218" s="59"/>
      <c r="AU218" s="58"/>
      <c r="AV218" s="59" t="s">
        <v>5</v>
      </c>
      <c r="AW218" s="58" t="s">
        <v>459</v>
      </c>
      <c r="AX218" s="59"/>
      <c r="AY218" s="58"/>
      <c r="AZ218" s="59"/>
      <c r="BA218" s="58"/>
      <c r="BB218" s="59"/>
      <c r="BC218" s="58"/>
      <c r="BD218" s="59"/>
      <c r="BE218" s="58"/>
      <c r="BF218" s="59"/>
      <c r="BG218" s="58"/>
      <c r="BH218" s="59"/>
      <c r="BI218" s="58"/>
      <c r="BJ218" s="59"/>
      <c r="BK218" s="58"/>
      <c r="BL218" s="59"/>
      <c r="BM218" s="58"/>
      <c r="BN218" s="59"/>
      <c r="BO218" s="58"/>
      <c r="BP218" s="59"/>
      <c r="BQ218" s="58"/>
      <c r="BR218" s="59"/>
      <c r="BS218" s="58"/>
      <c r="BT218" s="59"/>
      <c r="BU218" s="58"/>
      <c r="BV218" s="59" t="s">
        <v>5</v>
      </c>
      <c r="BW218" s="58" t="s">
        <v>425</v>
      </c>
      <c r="BX218" s="59"/>
      <c r="BY218" s="58"/>
      <c r="BZ218" s="59"/>
      <c r="CA218" s="58"/>
    </row>
    <row r="219" spans="1:79" s="91" customFormat="1" x14ac:dyDescent="0.25">
      <c r="A219" s="76">
        <v>160089</v>
      </c>
      <c r="B219" s="77" t="s">
        <v>677</v>
      </c>
      <c r="C219" s="78" t="s">
        <v>501</v>
      </c>
      <c r="D219" s="76" t="s">
        <v>70</v>
      </c>
      <c r="E219" s="79" t="s">
        <v>14</v>
      </c>
      <c r="F219" s="79" t="s">
        <v>71</v>
      </c>
      <c r="G219" s="79" t="s">
        <v>14</v>
      </c>
      <c r="H219" s="78" t="s">
        <v>14</v>
      </c>
      <c r="I219" s="79" t="s">
        <v>14</v>
      </c>
      <c r="J219" s="80">
        <v>7.5</v>
      </c>
      <c r="K219" s="81">
        <v>0</v>
      </c>
      <c r="L219" s="82">
        <v>0</v>
      </c>
      <c r="M219" s="83">
        <v>0</v>
      </c>
      <c r="N219" s="84">
        <v>100</v>
      </c>
      <c r="O219" s="85">
        <v>0</v>
      </c>
      <c r="P219" s="86"/>
      <c r="Q219" s="87">
        <f t="shared" si="34"/>
        <v>2</v>
      </c>
      <c r="R219" s="88">
        <f t="shared" si="35"/>
        <v>2</v>
      </c>
      <c r="S219" s="89">
        <f t="shared" si="36"/>
        <v>0</v>
      </c>
      <c r="T219" s="89">
        <f t="shared" si="37"/>
        <v>0</v>
      </c>
      <c r="U219" s="89">
        <f t="shared" si="38"/>
        <v>0</v>
      </c>
      <c r="V219" s="89">
        <f t="shared" si="39"/>
        <v>0</v>
      </c>
      <c r="W219" s="89">
        <f t="shared" si="40"/>
        <v>0</v>
      </c>
      <c r="X219" s="89">
        <f t="shared" si="41"/>
        <v>0</v>
      </c>
      <c r="Y219" s="89">
        <f t="shared" si="42"/>
        <v>0</v>
      </c>
      <c r="Z219" s="89">
        <f t="shared" si="43"/>
        <v>0</v>
      </c>
      <c r="AA219" s="41">
        <f t="shared" si="44"/>
        <v>0</v>
      </c>
      <c r="AB219" s="59"/>
      <c r="AC219" s="58"/>
      <c r="AD219" s="59"/>
      <c r="AE219" s="58"/>
      <c r="AF219" s="59"/>
      <c r="AG219" s="58"/>
      <c r="AH219" s="59"/>
      <c r="AI219" s="58"/>
      <c r="AJ219" s="59"/>
      <c r="AK219" s="58"/>
      <c r="AL219" s="59"/>
      <c r="AM219" s="58"/>
      <c r="AN219" s="59"/>
      <c r="AO219" s="58"/>
      <c r="AP219" s="59"/>
      <c r="AQ219" s="58"/>
      <c r="AR219" s="59"/>
      <c r="AS219" s="58"/>
      <c r="AT219" s="59" t="s">
        <v>5</v>
      </c>
      <c r="AU219" s="58" t="s">
        <v>448</v>
      </c>
      <c r="AV219" s="59" t="s">
        <v>5</v>
      </c>
      <c r="AW219" s="58" t="s">
        <v>135</v>
      </c>
      <c r="AX219" s="59"/>
      <c r="AY219" s="58"/>
      <c r="AZ219" s="59"/>
      <c r="BA219" s="58"/>
      <c r="BB219" s="59"/>
      <c r="BC219" s="58"/>
      <c r="BD219" s="59"/>
      <c r="BE219" s="58"/>
      <c r="BF219" s="59"/>
      <c r="BG219" s="58"/>
      <c r="BH219" s="59"/>
      <c r="BI219" s="58"/>
      <c r="BJ219" s="59" t="s">
        <v>1</v>
      </c>
      <c r="BK219" s="58" t="s">
        <v>430</v>
      </c>
      <c r="BL219" s="59"/>
      <c r="BM219" s="58"/>
      <c r="BN219" s="59"/>
      <c r="BO219" s="58"/>
      <c r="BP219" s="59"/>
      <c r="BQ219" s="58"/>
      <c r="BR219" s="59"/>
      <c r="BS219" s="58"/>
      <c r="BT219" s="59"/>
      <c r="BU219" s="58"/>
      <c r="BV219" s="59" t="s">
        <v>1</v>
      </c>
      <c r="BW219" s="58" t="s">
        <v>436</v>
      </c>
      <c r="BX219" s="59"/>
      <c r="BY219" s="58"/>
      <c r="BZ219" s="59"/>
      <c r="CA219" s="58"/>
    </row>
    <row r="220" spans="1:79" s="91" customFormat="1" x14ac:dyDescent="0.25">
      <c r="A220" s="76">
        <v>160093</v>
      </c>
      <c r="B220" s="77" t="s">
        <v>678</v>
      </c>
      <c r="C220" s="78" t="s">
        <v>432</v>
      </c>
      <c r="D220" s="76" t="s">
        <v>70</v>
      </c>
      <c r="E220" s="79" t="s">
        <v>14</v>
      </c>
      <c r="F220" s="79" t="s">
        <v>71</v>
      </c>
      <c r="G220" s="79" t="s">
        <v>14</v>
      </c>
      <c r="H220" s="78" t="s">
        <v>14</v>
      </c>
      <c r="I220" s="79" t="s">
        <v>14</v>
      </c>
      <c r="J220" s="80">
        <v>5.5</v>
      </c>
      <c r="K220" s="81">
        <v>2</v>
      </c>
      <c r="L220" s="82">
        <v>0</v>
      </c>
      <c r="M220" s="83">
        <v>0</v>
      </c>
      <c r="N220" s="84">
        <v>86.67</v>
      </c>
      <c r="O220" s="85">
        <v>0</v>
      </c>
      <c r="P220" s="86"/>
      <c r="Q220" s="87">
        <f t="shared" si="34"/>
        <v>0</v>
      </c>
      <c r="R220" s="88">
        <f t="shared" si="35"/>
        <v>4</v>
      </c>
      <c r="S220" s="89">
        <f t="shared" si="36"/>
        <v>0</v>
      </c>
      <c r="T220" s="89">
        <f t="shared" si="37"/>
        <v>0</v>
      </c>
      <c r="U220" s="89">
        <f t="shared" si="38"/>
        <v>0</v>
      </c>
      <c r="V220" s="89">
        <f t="shared" si="39"/>
        <v>0</v>
      </c>
      <c r="W220" s="89">
        <f t="shared" si="40"/>
        <v>0</v>
      </c>
      <c r="X220" s="89">
        <f t="shared" si="41"/>
        <v>0</v>
      </c>
      <c r="Y220" s="89">
        <f t="shared" si="42"/>
        <v>0</v>
      </c>
      <c r="Z220" s="89">
        <f t="shared" si="43"/>
        <v>0</v>
      </c>
      <c r="AA220" s="41">
        <f t="shared" si="44"/>
        <v>0</v>
      </c>
      <c r="AB220" s="59"/>
      <c r="AC220" s="58"/>
      <c r="AD220" s="59"/>
      <c r="AE220" s="58"/>
      <c r="AF220" s="59" t="s">
        <v>5</v>
      </c>
      <c r="AG220" s="58" t="s">
        <v>427</v>
      </c>
      <c r="AH220" s="59"/>
      <c r="AI220" s="58"/>
      <c r="AJ220" s="59"/>
      <c r="AK220" s="58"/>
      <c r="AL220" s="59"/>
      <c r="AM220" s="58"/>
      <c r="AN220" s="59"/>
      <c r="AO220" s="58"/>
      <c r="AP220" s="59"/>
      <c r="AQ220" s="58"/>
      <c r="AR220" s="59"/>
      <c r="AS220" s="58"/>
      <c r="AT220" s="59"/>
      <c r="AU220" s="58"/>
      <c r="AV220" s="59" t="s">
        <v>5</v>
      </c>
      <c r="AW220" s="58" t="s">
        <v>123</v>
      </c>
      <c r="AX220" s="59"/>
      <c r="AY220" s="58"/>
      <c r="AZ220" s="59"/>
      <c r="BA220" s="58"/>
      <c r="BB220" s="59" t="s">
        <v>5</v>
      </c>
      <c r="BC220" s="58" t="s">
        <v>92</v>
      </c>
      <c r="BD220" s="59"/>
      <c r="BE220" s="58"/>
      <c r="BF220" s="59"/>
      <c r="BG220" s="58"/>
      <c r="BH220" s="59"/>
      <c r="BI220" s="58"/>
      <c r="BJ220" s="59"/>
      <c r="BK220" s="58"/>
      <c r="BL220" s="59"/>
      <c r="BM220" s="58"/>
      <c r="BN220" s="59"/>
      <c r="BO220" s="58"/>
      <c r="BP220" s="59"/>
      <c r="BQ220" s="58"/>
      <c r="BR220" s="59"/>
      <c r="BS220" s="58"/>
      <c r="BT220" s="59"/>
      <c r="BU220" s="58"/>
      <c r="BV220" s="59" t="s">
        <v>5</v>
      </c>
      <c r="BW220" s="58" t="s">
        <v>425</v>
      </c>
      <c r="BX220" s="59"/>
      <c r="BY220" s="58"/>
      <c r="BZ220" s="59"/>
      <c r="CA220" s="58"/>
    </row>
    <row r="221" spans="1:79" s="91" customFormat="1" x14ac:dyDescent="0.25">
      <c r="A221" s="76">
        <v>150840</v>
      </c>
      <c r="B221" s="77" t="s">
        <v>679</v>
      </c>
      <c r="C221" s="78" t="s">
        <v>497</v>
      </c>
      <c r="D221" s="76" t="s">
        <v>12</v>
      </c>
      <c r="E221" s="79" t="s">
        <v>14</v>
      </c>
      <c r="F221" s="79" t="s">
        <v>71</v>
      </c>
      <c r="G221" s="79" t="s">
        <v>14</v>
      </c>
      <c r="H221" s="78" t="s">
        <v>14</v>
      </c>
      <c r="I221" s="79" t="s">
        <v>14</v>
      </c>
      <c r="J221" s="80">
        <v>3.2</v>
      </c>
      <c r="K221" s="81">
        <v>1</v>
      </c>
      <c r="L221" s="82">
        <v>0</v>
      </c>
      <c r="M221" s="83">
        <v>0</v>
      </c>
      <c r="N221" s="84">
        <v>73.63</v>
      </c>
      <c r="O221" s="85">
        <v>2</v>
      </c>
      <c r="P221" s="86"/>
      <c r="Q221" s="87">
        <f t="shared" si="34"/>
        <v>0</v>
      </c>
      <c r="R221" s="88">
        <f t="shared" si="35"/>
        <v>3</v>
      </c>
      <c r="S221" s="89">
        <f t="shared" si="36"/>
        <v>0</v>
      </c>
      <c r="T221" s="89">
        <f t="shared" si="37"/>
        <v>0</v>
      </c>
      <c r="U221" s="89">
        <f t="shared" si="38"/>
        <v>0</v>
      </c>
      <c r="V221" s="89">
        <f t="shared" si="39"/>
        <v>0</v>
      </c>
      <c r="W221" s="89">
        <f t="shared" si="40"/>
        <v>0</v>
      </c>
      <c r="X221" s="89">
        <f t="shared" si="41"/>
        <v>0</v>
      </c>
      <c r="Y221" s="89">
        <f t="shared" si="42"/>
        <v>0</v>
      </c>
      <c r="Z221" s="89">
        <f t="shared" si="43"/>
        <v>0</v>
      </c>
      <c r="AA221" s="41">
        <f t="shared" si="44"/>
        <v>0</v>
      </c>
      <c r="AB221" s="59"/>
      <c r="AC221" s="58"/>
      <c r="AD221" s="59"/>
      <c r="AE221" s="58"/>
      <c r="AF221" s="59" t="s">
        <v>5</v>
      </c>
      <c r="AG221" s="58" t="s">
        <v>427</v>
      </c>
      <c r="AH221" s="59"/>
      <c r="AI221" s="58"/>
      <c r="AJ221" s="59"/>
      <c r="AK221" s="58"/>
      <c r="AL221" s="59"/>
      <c r="AM221" s="58"/>
      <c r="AN221" s="59"/>
      <c r="AO221" s="58"/>
      <c r="AP221" s="59"/>
      <c r="AQ221" s="58"/>
      <c r="AR221" s="59"/>
      <c r="AS221" s="58"/>
      <c r="AT221" s="59"/>
      <c r="AU221" s="58"/>
      <c r="AV221" s="59" t="s">
        <v>5</v>
      </c>
      <c r="AW221" s="58" t="s">
        <v>79</v>
      </c>
      <c r="AX221" s="59"/>
      <c r="AY221" s="58"/>
      <c r="AZ221" s="59"/>
      <c r="BA221" s="58"/>
      <c r="BB221" s="59"/>
      <c r="BC221" s="58"/>
      <c r="BD221" s="59"/>
      <c r="BE221" s="58"/>
      <c r="BF221" s="59"/>
      <c r="BG221" s="58"/>
      <c r="BH221" s="59"/>
      <c r="BI221" s="58"/>
      <c r="BJ221" s="59"/>
      <c r="BK221" s="58"/>
      <c r="BL221" s="59"/>
      <c r="BM221" s="58"/>
      <c r="BN221" s="59"/>
      <c r="BO221" s="58"/>
      <c r="BP221" s="59"/>
      <c r="BQ221" s="58"/>
      <c r="BR221" s="59"/>
      <c r="BS221" s="58"/>
      <c r="BT221" s="59"/>
      <c r="BU221" s="58"/>
      <c r="BV221" s="59"/>
      <c r="BW221" s="58"/>
      <c r="BX221" s="59" t="s">
        <v>5</v>
      </c>
      <c r="BY221" s="58" t="s">
        <v>462</v>
      </c>
      <c r="BZ221" s="59"/>
      <c r="CA221" s="58"/>
    </row>
    <row r="222" spans="1:79" s="91" customFormat="1" x14ac:dyDescent="0.25">
      <c r="A222" s="76">
        <v>150812</v>
      </c>
      <c r="B222" s="77" t="s">
        <v>680</v>
      </c>
      <c r="C222" s="78" t="s">
        <v>497</v>
      </c>
      <c r="D222" s="76" t="s">
        <v>12</v>
      </c>
      <c r="E222" s="79" t="s">
        <v>87</v>
      </c>
      <c r="F222" s="79" t="s">
        <v>88</v>
      </c>
      <c r="G222" s="79" t="s">
        <v>14</v>
      </c>
      <c r="H222" s="78" t="s">
        <v>14</v>
      </c>
      <c r="I222" s="79" t="s">
        <v>14</v>
      </c>
      <c r="J222" s="80">
        <v>5.0999999999999996</v>
      </c>
      <c r="K222" s="81">
        <v>1</v>
      </c>
      <c r="L222" s="82">
        <v>0</v>
      </c>
      <c r="M222" s="83">
        <v>3</v>
      </c>
      <c r="N222" s="84">
        <v>81.2</v>
      </c>
      <c r="O222" s="85">
        <v>11</v>
      </c>
      <c r="P222" s="86"/>
      <c r="Q222" s="87">
        <f t="shared" si="34"/>
        <v>0</v>
      </c>
      <c r="R222" s="88">
        <f t="shared" si="35"/>
        <v>2</v>
      </c>
      <c r="S222" s="89">
        <f t="shared" si="36"/>
        <v>0</v>
      </c>
      <c r="T222" s="89">
        <f t="shared" si="37"/>
        <v>0</v>
      </c>
      <c r="U222" s="89">
        <f t="shared" si="38"/>
        <v>2</v>
      </c>
      <c r="V222" s="89">
        <f t="shared" si="39"/>
        <v>2</v>
      </c>
      <c r="W222" s="89">
        <f t="shared" si="40"/>
        <v>0</v>
      </c>
      <c r="X222" s="89">
        <f t="shared" si="41"/>
        <v>0</v>
      </c>
      <c r="Y222" s="89">
        <f t="shared" si="42"/>
        <v>1</v>
      </c>
      <c r="Z222" s="89">
        <f t="shared" si="43"/>
        <v>1</v>
      </c>
      <c r="AA222" s="41">
        <f t="shared" si="44"/>
        <v>0</v>
      </c>
      <c r="AB222" s="59"/>
      <c r="AC222" s="58"/>
      <c r="AD222" s="59"/>
      <c r="AE222" s="58"/>
      <c r="AF222" s="59"/>
      <c r="AG222" s="58"/>
      <c r="AH222" s="59" t="s">
        <v>32</v>
      </c>
      <c r="AI222" s="58" t="s">
        <v>206</v>
      </c>
      <c r="AJ222" s="59"/>
      <c r="AK222" s="58"/>
      <c r="AL222" s="59"/>
      <c r="AM222" s="58"/>
      <c r="AN222" s="59"/>
      <c r="AO222" s="58"/>
      <c r="AP222" s="59"/>
      <c r="AQ222" s="58"/>
      <c r="AR222" s="59"/>
      <c r="AS222" s="58"/>
      <c r="AT222" s="59"/>
      <c r="AU222" s="58"/>
      <c r="AV222" s="59" t="s">
        <v>36</v>
      </c>
      <c r="AW222" s="58" t="s">
        <v>476</v>
      </c>
      <c r="AX222" s="59"/>
      <c r="AY222" s="58"/>
      <c r="AZ222" s="59"/>
      <c r="BA222" s="58"/>
      <c r="BB222" s="59"/>
      <c r="BC222" s="58"/>
      <c r="BD222" s="59"/>
      <c r="BE222" s="58"/>
      <c r="BF222" s="59"/>
      <c r="BG222" s="58"/>
      <c r="BH222" s="59"/>
      <c r="BI222" s="58"/>
      <c r="BJ222" s="59" t="s">
        <v>5</v>
      </c>
      <c r="BK222" s="58" t="s">
        <v>422</v>
      </c>
      <c r="BL222" s="59"/>
      <c r="BM222" s="58"/>
      <c r="BN222" s="59" t="s">
        <v>32</v>
      </c>
      <c r="BO222" s="58"/>
      <c r="BP222" s="59"/>
      <c r="BQ222" s="58"/>
      <c r="BR222" s="59" t="s">
        <v>5</v>
      </c>
      <c r="BS222" s="58"/>
      <c r="BT222" s="59"/>
      <c r="BU222" s="58"/>
      <c r="BV222" s="59"/>
      <c r="BW222" s="58"/>
      <c r="BX222" s="59"/>
      <c r="BY222" s="58"/>
      <c r="BZ222" s="59"/>
      <c r="CA222" s="58"/>
    </row>
    <row r="223" spans="1:79" s="91" customFormat="1" x14ac:dyDescent="0.25">
      <c r="A223" s="76">
        <v>150831</v>
      </c>
      <c r="B223" s="77" t="s">
        <v>681</v>
      </c>
      <c r="C223" s="78" t="s">
        <v>497</v>
      </c>
      <c r="D223" s="76" t="s">
        <v>70</v>
      </c>
      <c r="E223" s="79" t="s">
        <v>14</v>
      </c>
      <c r="F223" s="79" t="s">
        <v>71</v>
      </c>
      <c r="G223" s="79" t="s">
        <v>14</v>
      </c>
      <c r="H223" s="78" t="s">
        <v>14</v>
      </c>
      <c r="I223" s="79" t="s">
        <v>14</v>
      </c>
      <c r="J223" s="80"/>
      <c r="K223" s="81"/>
      <c r="L223" s="82"/>
      <c r="M223" s="83"/>
      <c r="N223" s="84">
        <v>100</v>
      </c>
      <c r="O223" s="85">
        <v>0</v>
      </c>
      <c r="P223" s="86"/>
      <c r="Q223" s="87">
        <f t="shared" si="34"/>
        <v>1</v>
      </c>
      <c r="R223" s="88">
        <f t="shared" si="35"/>
        <v>4</v>
      </c>
      <c r="S223" s="89">
        <f t="shared" si="36"/>
        <v>0</v>
      </c>
      <c r="T223" s="89">
        <f t="shared" si="37"/>
        <v>0</v>
      </c>
      <c r="U223" s="89">
        <f t="shared" si="38"/>
        <v>0</v>
      </c>
      <c r="V223" s="89">
        <f t="shared" si="39"/>
        <v>0</v>
      </c>
      <c r="W223" s="89">
        <f t="shared" si="40"/>
        <v>0</v>
      </c>
      <c r="X223" s="89">
        <f t="shared" si="41"/>
        <v>0</v>
      </c>
      <c r="Y223" s="89">
        <f t="shared" si="42"/>
        <v>0</v>
      </c>
      <c r="Z223" s="89">
        <f t="shared" si="43"/>
        <v>0</v>
      </c>
      <c r="AA223" s="41">
        <f t="shared" si="44"/>
        <v>0</v>
      </c>
      <c r="AB223" s="59"/>
      <c r="AC223" s="58"/>
      <c r="AD223" s="59" t="s">
        <v>5</v>
      </c>
      <c r="AE223" s="58" t="s">
        <v>154</v>
      </c>
      <c r="AF223" s="59"/>
      <c r="AG223" s="58"/>
      <c r="AH223" s="59" t="s">
        <v>5</v>
      </c>
      <c r="AI223" s="58" t="s">
        <v>424</v>
      </c>
      <c r="AJ223" s="59"/>
      <c r="AK223" s="58"/>
      <c r="AL223" s="59"/>
      <c r="AM223" s="58"/>
      <c r="AN223" s="59"/>
      <c r="AO223" s="58"/>
      <c r="AP223" s="59"/>
      <c r="AQ223" s="58"/>
      <c r="AR223" s="59"/>
      <c r="AS223" s="58"/>
      <c r="AT223" s="59"/>
      <c r="AU223" s="58"/>
      <c r="AV223" s="59" t="s">
        <v>1</v>
      </c>
      <c r="AW223" s="58" t="s">
        <v>476</v>
      </c>
      <c r="AX223" s="59"/>
      <c r="AY223" s="58"/>
      <c r="AZ223" s="59"/>
      <c r="BA223" s="58"/>
      <c r="BB223" s="59"/>
      <c r="BC223" s="58"/>
      <c r="BD223" s="59"/>
      <c r="BE223" s="58"/>
      <c r="BF223" s="59"/>
      <c r="BG223" s="58"/>
      <c r="BH223" s="59"/>
      <c r="BI223" s="58"/>
      <c r="BJ223" s="59" t="s">
        <v>5</v>
      </c>
      <c r="BK223" s="58" t="s">
        <v>430</v>
      </c>
      <c r="BL223" s="59"/>
      <c r="BM223" s="58"/>
      <c r="BN223" s="59"/>
      <c r="BO223" s="58"/>
      <c r="BP223" s="59"/>
      <c r="BQ223" s="58"/>
      <c r="BR223" s="59" t="s">
        <v>5</v>
      </c>
      <c r="BS223" s="58" t="s">
        <v>109</v>
      </c>
      <c r="BT223" s="59"/>
      <c r="BU223" s="58"/>
      <c r="BV223" s="59"/>
      <c r="BW223" s="58"/>
      <c r="BX223" s="59"/>
      <c r="BY223" s="58"/>
      <c r="BZ223" s="59"/>
      <c r="CA223" s="58"/>
    </row>
    <row r="224" spans="1:79" s="91" customFormat="1" x14ac:dyDescent="0.25">
      <c r="A224" s="76">
        <v>150999</v>
      </c>
      <c r="B224" s="77" t="s">
        <v>682</v>
      </c>
      <c r="C224" s="78" t="s">
        <v>497</v>
      </c>
      <c r="D224" s="76" t="s">
        <v>70</v>
      </c>
      <c r="E224" s="79" t="s">
        <v>14</v>
      </c>
      <c r="F224" s="79" t="s">
        <v>71</v>
      </c>
      <c r="G224" s="79" t="s">
        <v>14</v>
      </c>
      <c r="H224" s="78" t="s">
        <v>14</v>
      </c>
      <c r="I224" s="79" t="s">
        <v>14</v>
      </c>
      <c r="J224" s="80">
        <v>4.8</v>
      </c>
      <c r="K224" s="81">
        <v>0</v>
      </c>
      <c r="L224" s="82">
        <v>0</v>
      </c>
      <c r="M224" s="83">
        <v>0</v>
      </c>
      <c r="N224" s="84">
        <v>94.07</v>
      </c>
      <c r="O224" s="85">
        <v>1</v>
      </c>
      <c r="P224" s="86"/>
      <c r="Q224" s="87">
        <f t="shared" si="34"/>
        <v>2</v>
      </c>
      <c r="R224" s="88">
        <f t="shared" si="35"/>
        <v>2</v>
      </c>
      <c r="S224" s="89">
        <f t="shared" si="36"/>
        <v>0</v>
      </c>
      <c r="T224" s="89">
        <f t="shared" si="37"/>
        <v>0</v>
      </c>
      <c r="U224" s="89">
        <f t="shared" si="38"/>
        <v>0</v>
      </c>
      <c r="V224" s="89">
        <f t="shared" si="39"/>
        <v>0</v>
      </c>
      <c r="W224" s="89">
        <f t="shared" si="40"/>
        <v>0</v>
      </c>
      <c r="X224" s="89">
        <f t="shared" si="41"/>
        <v>0</v>
      </c>
      <c r="Y224" s="89">
        <f t="shared" si="42"/>
        <v>0</v>
      </c>
      <c r="Z224" s="89">
        <f t="shared" si="43"/>
        <v>0</v>
      </c>
      <c r="AA224" s="41">
        <f t="shared" si="44"/>
        <v>0</v>
      </c>
      <c r="AB224" s="59" t="s">
        <v>5</v>
      </c>
      <c r="AC224" s="58" t="s">
        <v>116</v>
      </c>
      <c r="AD224" s="59"/>
      <c r="AE224" s="58"/>
      <c r="AF224" s="59"/>
      <c r="AG224" s="58"/>
      <c r="AH224" s="59"/>
      <c r="AI224" s="58"/>
      <c r="AJ224" s="59"/>
      <c r="AK224" s="58"/>
      <c r="AL224" s="59"/>
      <c r="AM224" s="58"/>
      <c r="AN224" s="59"/>
      <c r="AO224" s="58"/>
      <c r="AP224" s="59"/>
      <c r="AQ224" s="58"/>
      <c r="AR224" s="59"/>
      <c r="AS224" s="58"/>
      <c r="AT224" s="59"/>
      <c r="AU224" s="58"/>
      <c r="AV224" s="59" t="s">
        <v>1</v>
      </c>
      <c r="AW224" s="58" t="s">
        <v>476</v>
      </c>
      <c r="AX224" s="59"/>
      <c r="AY224" s="58"/>
      <c r="AZ224" s="59"/>
      <c r="BA224" s="58"/>
      <c r="BB224" s="59"/>
      <c r="BC224" s="58"/>
      <c r="BD224" s="59" t="s">
        <v>5</v>
      </c>
      <c r="BE224" s="58" t="s">
        <v>436</v>
      </c>
      <c r="BF224" s="59"/>
      <c r="BG224" s="58"/>
      <c r="BH224" s="59"/>
      <c r="BI224" s="58"/>
      <c r="BJ224" s="59"/>
      <c r="BK224" s="58"/>
      <c r="BL224" s="59"/>
      <c r="BM224" s="58"/>
      <c r="BN224" s="59"/>
      <c r="BO224" s="58"/>
      <c r="BP224" s="59"/>
      <c r="BQ224" s="58"/>
      <c r="BR224" s="59"/>
      <c r="BS224" s="58"/>
      <c r="BT224" s="59"/>
      <c r="BU224" s="58"/>
      <c r="BV224" s="59"/>
      <c r="BW224" s="58"/>
      <c r="BX224" s="59" t="s">
        <v>1</v>
      </c>
      <c r="BY224" s="58" t="s">
        <v>462</v>
      </c>
      <c r="BZ224" s="59"/>
      <c r="CA224" s="58"/>
    </row>
    <row r="225" spans="1:79" s="91" customFormat="1" x14ac:dyDescent="0.25">
      <c r="A225" s="76">
        <v>150914</v>
      </c>
      <c r="B225" s="77" t="s">
        <v>683</v>
      </c>
      <c r="C225" s="78" t="s">
        <v>497</v>
      </c>
      <c r="D225" s="76" t="s">
        <v>70</v>
      </c>
      <c r="E225" s="79" t="s">
        <v>87</v>
      </c>
      <c r="F225" s="79" t="s">
        <v>71</v>
      </c>
      <c r="G225" s="79" t="s">
        <v>14</v>
      </c>
      <c r="H225" s="78" t="s">
        <v>14</v>
      </c>
      <c r="I225" s="79" t="s">
        <v>14</v>
      </c>
      <c r="J225" s="80">
        <v>8.1999999999999993</v>
      </c>
      <c r="K225" s="81">
        <v>0</v>
      </c>
      <c r="L225" s="82">
        <v>0</v>
      </c>
      <c r="M225" s="83">
        <v>0</v>
      </c>
      <c r="N225" s="84">
        <v>97.32</v>
      </c>
      <c r="O225" s="85">
        <v>2</v>
      </c>
      <c r="P225" s="86"/>
      <c r="Q225" s="87">
        <f t="shared" si="34"/>
        <v>2</v>
      </c>
      <c r="R225" s="88">
        <f t="shared" si="35"/>
        <v>3</v>
      </c>
      <c r="S225" s="89">
        <f t="shared" si="36"/>
        <v>0</v>
      </c>
      <c r="T225" s="89">
        <f t="shared" si="37"/>
        <v>0</v>
      </c>
      <c r="U225" s="89">
        <f t="shared" si="38"/>
        <v>0</v>
      </c>
      <c r="V225" s="89">
        <f t="shared" si="39"/>
        <v>0</v>
      </c>
      <c r="W225" s="89">
        <f t="shared" si="40"/>
        <v>0</v>
      </c>
      <c r="X225" s="89">
        <f t="shared" si="41"/>
        <v>0</v>
      </c>
      <c r="Y225" s="89">
        <f t="shared" si="42"/>
        <v>0</v>
      </c>
      <c r="Z225" s="89">
        <f t="shared" si="43"/>
        <v>0</v>
      </c>
      <c r="AA225" s="41">
        <f t="shared" si="44"/>
        <v>0</v>
      </c>
      <c r="AB225" s="59"/>
      <c r="AC225" s="58"/>
      <c r="AD225" s="59" t="s">
        <v>5</v>
      </c>
      <c r="AE225" s="58" t="s">
        <v>154</v>
      </c>
      <c r="AF225" s="59"/>
      <c r="AG225" s="58"/>
      <c r="AH225" s="59" t="s">
        <v>1</v>
      </c>
      <c r="AI225" s="58" t="s">
        <v>206</v>
      </c>
      <c r="AJ225" s="59"/>
      <c r="AK225" s="58"/>
      <c r="AL225" s="59"/>
      <c r="AM225" s="58"/>
      <c r="AN225" s="59"/>
      <c r="AO225" s="58"/>
      <c r="AP225" s="59"/>
      <c r="AQ225" s="58"/>
      <c r="AR225" s="59"/>
      <c r="AS225" s="58"/>
      <c r="AT225" s="59"/>
      <c r="AU225" s="58"/>
      <c r="AV225" s="59" t="s">
        <v>1</v>
      </c>
      <c r="AW225" s="58" t="s">
        <v>476</v>
      </c>
      <c r="AX225" s="59"/>
      <c r="AY225" s="58"/>
      <c r="AZ225" s="59" t="s">
        <v>5</v>
      </c>
      <c r="BA225" s="58" t="s">
        <v>430</v>
      </c>
      <c r="BB225" s="59"/>
      <c r="BC225" s="58"/>
      <c r="BD225" s="59"/>
      <c r="BE225" s="58"/>
      <c r="BF225" s="59"/>
      <c r="BG225" s="58"/>
      <c r="BH225" s="59"/>
      <c r="BI225" s="58"/>
      <c r="BJ225" s="59" t="s">
        <v>5</v>
      </c>
      <c r="BK225" s="58" t="s">
        <v>422</v>
      </c>
      <c r="BL225" s="59"/>
      <c r="BM225" s="58"/>
      <c r="BN225" s="59"/>
      <c r="BO225" s="58"/>
      <c r="BP225" s="59"/>
      <c r="BQ225" s="58"/>
      <c r="BR225" s="59"/>
      <c r="BS225" s="58"/>
      <c r="BT225" s="59"/>
      <c r="BU225" s="58"/>
      <c r="BV225" s="59"/>
      <c r="BW225" s="58"/>
      <c r="BX225" s="59"/>
      <c r="BY225" s="58"/>
      <c r="BZ225" s="59"/>
      <c r="CA225" s="58"/>
    </row>
    <row r="226" spans="1:79" s="91" customFormat="1" x14ac:dyDescent="0.25">
      <c r="A226" s="76">
        <v>150946</v>
      </c>
      <c r="B226" s="77" t="s">
        <v>684</v>
      </c>
      <c r="C226" s="78" t="s">
        <v>497</v>
      </c>
      <c r="D226" s="76" t="s">
        <v>12</v>
      </c>
      <c r="E226" s="79" t="s">
        <v>14</v>
      </c>
      <c r="F226" s="79" t="s">
        <v>71</v>
      </c>
      <c r="G226" s="79" t="s">
        <v>14</v>
      </c>
      <c r="H226" s="78" t="s">
        <v>14</v>
      </c>
      <c r="I226" s="79" t="s">
        <v>14</v>
      </c>
      <c r="J226" s="80">
        <v>3.6</v>
      </c>
      <c r="K226" s="81">
        <v>1</v>
      </c>
      <c r="L226" s="82">
        <v>0</v>
      </c>
      <c r="M226" s="83">
        <v>0</v>
      </c>
      <c r="N226" s="84">
        <v>84.85</v>
      </c>
      <c r="O226" s="85">
        <v>0</v>
      </c>
      <c r="P226" s="86"/>
      <c r="Q226" s="87">
        <f t="shared" si="34"/>
        <v>0</v>
      </c>
      <c r="R226" s="88">
        <f t="shared" si="35"/>
        <v>3</v>
      </c>
      <c r="S226" s="89">
        <f t="shared" si="36"/>
        <v>0</v>
      </c>
      <c r="T226" s="89">
        <f t="shared" si="37"/>
        <v>0</v>
      </c>
      <c r="U226" s="89">
        <f t="shared" si="38"/>
        <v>0</v>
      </c>
      <c r="V226" s="89">
        <f t="shared" si="39"/>
        <v>0</v>
      </c>
      <c r="W226" s="89">
        <f t="shared" si="40"/>
        <v>0</v>
      </c>
      <c r="X226" s="89">
        <f t="shared" si="41"/>
        <v>0</v>
      </c>
      <c r="Y226" s="89">
        <f t="shared" si="42"/>
        <v>0</v>
      </c>
      <c r="Z226" s="89">
        <f t="shared" si="43"/>
        <v>0</v>
      </c>
      <c r="AA226" s="41">
        <f t="shared" si="44"/>
        <v>0</v>
      </c>
      <c r="AB226" s="59"/>
      <c r="AC226" s="58"/>
      <c r="AD226" s="59"/>
      <c r="AE226" s="58"/>
      <c r="AF226" s="59" t="s">
        <v>5</v>
      </c>
      <c r="AG226" s="58" t="s">
        <v>427</v>
      </c>
      <c r="AH226" s="59"/>
      <c r="AI226" s="58"/>
      <c r="AJ226" s="59"/>
      <c r="AK226" s="58"/>
      <c r="AL226" s="59"/>
      <c r="AM226" s="58"/>
      <c r="AN226" s="59"/>
      <c r="AO226" s="58"/>
      <c r="AP226" s="59"/>
      <c r="AQ226" s="58"/>
      <c r="AR226" s="59"/>
      <c r="AS226" s="58"/>
      <c r="AT226" s="59"/>
      <c r="AU226" s="58"/>
      <c r="AV226" s="59" t="s">
        <v>5</v>
      </c>
      <c r="AW226" s="58" t="s">
        <v>151</v>
      </c>
      <c r="AX226" s="59"/>
      <c r="AY226" s="58"/>
      <c r="AZ226" s="59"/>
      <c r="BA226" s="58"/>
      <c r="BB226" s="59"/>
      <c r="BC226" s="58"/>
      <c r="BD226" s="59"/>
      <c r="BE226" s="58"/>
      <c r="BF226" s="59"/>
      <c r="BG226" s="58"/>
      <c r="BH226" s="59"/>
      <c r="BI226" s="58"/>
      <c r="BJ226" s="59"/>
      <c r="BK226" s="58"/>
      <c r="BL226" s="59"/>
      <c r="BM226" s="58"/>
      <c r="BN226" s="59"/>
      <c r="BO226" s="58"/>
      <c r="BP226" s="59"/>
      <c r="BQ226" s="58"/>
      <c r="BR226" s="59"/>
      <c r="BS226" s="58"/>
      <c r="BT226" s="59" t="s">
        <v>5</v>
      </c>
      <c r="BU226" s="58" t="s">
        <v>93</v>
      </c>
      <c r="BV226" s="59"/>
      <c r="BW226" s="58"/>
      <c r="BX226" s="59"/>
      <c r="BY226" s="58" t="s">
        <v>462</v>
      </c>
      <c r="BZ226" s="59"/>
      <c r="CA226" s="58"/>
    </row>
    <row r="227" spans="1:79" s="91" customFormat="1" x14ac:dyDescent="0.25">
      <c r="A227" s="76">
        <v>160111</v>
      </c>
      <c r="B227" s="77" t="s">
        <v>685</v>
      </c>
      <c r="C227" s="78" t="s">
        <v>464</v>
      </c>
      <c r="D227" s="76" t="s">
        <v>70</v>
      </c>
      <c r="E227" s="79" t="s">
        <v>14</v>
      </c>
      <c r="F227" s="79" t="s">
        <v>71</v>
      </c>
      <c r="G227" s="79" t="s">
        <v>14</v>
      </c>
      <c r="H227" s="78" t="s">
        <v>14</v>
      </c>
      <c r="I227" s="79" t="s">
        <v>14</v>
      </c>
      <c r="J227" s="80">
        <v>4.0999999999999996</v>
      </c>
      <c r="K227" s="81">
        <v>1</v>
      </c>
      <c r="L227" s="82">
        <v>0</v>
      </c>
      <c r="M227" s="83">
        <v>0</v>
      </c>
      <c r="N227" s="84">
        <v>91.54</v>
      </c>
      <c r="O227" s="85">
        <v>1</v>
      </c>
      <c r="P227" s="86"/>
      <c r="Q227" s="87">
        <f t="shared" si="34"/>
        <v>0</v>
      </c>
      <c r="R227" s="88">
        <f t="shared" si="35"/>
        <v>4</v>
      </c>
      <c r="S227" s="89">
        <f t="shared" si="36"/>
        <v>0</v>
      </c>
      <c r="T227" s="89">
        <f t="shared" si="37"/>
        <v>0</v>
      </c>
      <c r="U227" s="89">
        <f t="shared" si="38"/>
        <v>0</v>
      </c>
      <c r="V227" s="89">
        <f t="shared" si="39"/>
        <v>0</v>
      </c>
      <c r="W227" s="89">
        <f t="shared" si="40"/>
        <v>0</v>
      </c>
      <c r="X227" s="89">
        <f t="shared" si="41"/>
        <v>0</v>
      </c>
      <c r="Y227" s="89">
        <f t="shared" si="42"/>
        <v>0</v>
      </c>
      <c r="Z227" s="89">
        <f t="shared" si="43"/>
        <v>0</v>
      </c>
      <c r="AA227" s="41">
        <f t="shared" si="44"/>
        <v>0</v>
      </c>
      <c r="AB227" s="59"/>
      <c r="AC227" s="58"/>
      <c r="AD227" s="59"/>
      <c r="AE227" s="58"/>
      <c r="AF227" s="59" t="s">
        <v>5</v>
      </c>
      <c r="AG227" s="58" t="s">
        <v>427</v>
      </c>
      <c r="AH227" s="59"/>
      <c r="AI227" s="58"/>
      <c r="AJ227" s="59"/>
      <c r="AK227" s="58"/>
      <c r="AL227" s="59"/>
      <c r="AM227" s="58"/>
      <c r="AN227" s="59"/>
      <c r="AO227" s="58"/>
      <c r="AP227" s="59"/>
      <c r="AQ227" s="58"/>
      <c r="AR227" s="59"/>
      <c r="AS227" s="58"/>
      <c r="AT227" s="59"/>
      <c r="AU227" s="58"/>
      <c r="AV227" s="59" t="s">
        <v>5</v>
      </c>
      <c r="AW227" s="58" t="s">
        <v>151</v>
      </c>
      <c r="AX227" s="59"/>
      <c r="AY227" s="58"/>
      <c r="AZ227" s="59"/>
      <c r="BA227" s="58"/>
      <c r="BB227" s="59" t="s">
        <v>5</v>
      </c>
      <c r="BC227" s="58" t="s">
        <v>92</v>
      </c>
      <c r="BD227" s="59"/>
      <c r="BE227" s="58"/>
      <c r="BF227" s="59"/>
      <c r="BG227" s="58"/>
      <c r="BH227" s="59"/>
      <c r="BI227" s="58"/>
      <c r="BJ227" s="59"/>
      <c r="BK227" s="58"/>
      <c r="BL227" s="59"/>
      <c r="BM227" s="58"/>
      <c r="BN227" s="59" t="s">
        <v>5</v>
      </c>
      <c r="BO227" s="58" t="s">
        <v>82</v>
      </c>
      <c r="BP227" s="59"/>
      <c r="BQ227" s="58"/>
      <c r="BR227" s="59"/>
      <c r="BS227" s="58"/>
      <c r="BT227" s="59"/>
      <c r="BU227" s="58"/>
      <c r="BV227" s="59"/>
      <c r="BW227" s="58"/>
      <c r="BX227" s="59"/>
      <c r="BY227" s="58"/>
      <c r="BZ227" s="59"/>
      <c r="CA227" s="58"/>
    </row>
    <row r="228" spans="1:79" s="91" customFormat="1" x14ac:dyDescent="0.25">
      <c r="A228" s="76">
        <v>160355</v>
      </c>
      <c r="B228" s="77" t="s">
        <v>686</v>
      </c>
      <c r="C228" s="78" t="s">
        <v>490</v>
      </c>
      <c r="D228" s="76" t="s">
        <v>12</v>
      </c>
      <c r="E228" s="79" t="s">
        <v>14</v>
      </c>
      <c r="F228" s="79" t="s">
        <v>312</v>
      </c>
      <c r="G228" s="79" t="s">
        <v>14</v>
      </c>
      <c r="H228" s="78" t="s">
        <v>14</v>
      </c>
      <c r="I228" s="79" t="s">
        <v>14</v>
      </c>
      <c r="J228" s="80">
        <v>8</v>
      </c>
      <c r="K228" s="81">
        <v>1</v>
      </c>
      <c r="L228" s="82">
        <v>0</v>
      </c>
      <c r="M228" s="83">
        <v>0</v>
      </c>
      <c r="N228" s="84">
        <v>97.56</v>
      </c>
      <c r="O228" s="85">
        <v>8</v>
      </c>
      <c r="P228" s="86"/>
      <c r="Q228" s="87">
        <f t="shared" si="34"/>
        <v>1</v>
      </c>
      <c r="R228" s="88">
        <f t="shared" si="35"/>
        <v>3</v>
      </c>
      <c r="S228" s="89">
        <f t="shared" si="36"/>
        <v>0</v>
      </c>
      <c r="T228" s="89">
        <f t="shared" si="37"/>
        <v>0</v>
      </c>
      <c r="U228" s="89">
        <f t="shared" si="38"/>
        <v>0</v>
      </c>
      <c r="V228" s="89">
        <f t="shared" si="39"/>
        <v>0</v>
      </c>
      <c r="W228" s="89">
        <f t="shared" si="40"/>
        <v>0</v>
      </c>
      <c r="X228" s="89">
        <f t="shared" si="41"/>
        <v>0</v>
      </c>
      <c r="Y228" s="89">
        <f t="shared" si="42"/>
        <v>0</v>
      </c>
      <c r="Z228" s="89">
        <f t="shared" si="43"/>
        <v>0</v>
      </c>
      <c r="AA228" s="41">
        <f t="shared" si="44"/>
        <v>0</v>
      </c>
      <c r="AB228" s="59"/>
      <c r="AC228" s="58"/>
      <c r="AD228" s="59"/>
      <c r="AE228" s="58"/>
      <c r="AF228" s="59"/>
      <c r="AG228" s="58"/>
      <c r="AH228" s="59"/>
      <c r="AI228" s="58"/>
      <c r="AJ228" s="59"/>
      <c r="AK228" s="58"/>
      <c r="AL228" s="59"/>
      <c r="AM228" s="58"/>
      <c r="AN228" s="59"/>
      <c r="AO228" s="58"/>
      <c r="AP228" s="59" t="s">
        <v>1</v>
      </c>
      <c r="AQ228" s="58" t="s">
        <v>428</v>
      </c>
      <c r="AR228" s="59"/>
      <c r="AS228" s="58"/>
      <c r="AT228" s="59"/>
      <c r="AU228" s="58"/>
      <c r="AV228" s="59" t="s">
        <v>5</v>
      </c>
      <c r="AW228" s="58" t="s">
        <v>459</v>
      </c>
      <c r="AX228" s="59"/>
      <c r="AY228" s="58"/>
      <c r="AZ228" s="59"/>
      <c r="BA228" s="58"/>
      <c r="BB228" s="59"/>
      <c r="BC228" s="58"/>
      <c r="BD228" s="59"/>
      <c r="BE228" s="58"/>
      <c r="BF228" s="59"/>
      <c r="BG228" s="58"/>
      <c r="BH228" s="59"/>
      <c r="BI228" s="58"/>
      <c r="BJ228" s="59" t="s">
        <v>5</v>
      </c>
      <c r="BK228" s="58" t="s">
        <v>430</v>
      </c>
      <c r="BL228" s="59"/>
      <c r="BM228" s="58"/>
      <c r="BN228" s="59"/>
      <c r="BO228" s="58"/>
      <c r="BP228" s="59"/>
      <c r="BQ228" s="58"/>
      <c r="BR228" s="59"/>
      <c r="BS228" s="58"/>
      <c r="BT228" s="59" t="s">
        <v>5</v>
      </c>
      <c r="BU228" s="58" t="s">
        <v>93</v>
      </c>
      <c r="BV228" s="59"/>
      <c r="BW228" s="58"/>
      <c r="BX228" s="59"/>
      <c r="BY228" s="58"/>
      <c r="BZ228" s="59"/>
      <c r="CA228" s="58"/>
    </row>
    <row r="229" spans="1:79" s="91" customFormat="1" x14ac:dyDescent="0.25">
      <c r="A229" s="76">
        <v>150872</v>
      </c>
      <c r="B229" s="77" t="s">
        <v>687</v>
      </c>
      <c r="C229" s="78" t="s">
        <v>497</v>
      </c>
      <c r="D229" s="76" t="s">
        <v>70</v>
      </c>
      <c r="E229" s="79" t="s">
        <v>14</v>
      </c>
      <c r="F229" s="79" t="s">
        <v>71</v>
      </c>
      <c r="G229" s="79" t="s">
        <v>14</v>
      </c>
      <c r="H229" s="78" t="s">
        <v>14</v>
      </c>
      <c r="I229" s="79" t="s">
        <v>14</v>
      </c>
      <c r="J229" s="80">
        <v>6.5</v>
      </c>
      <c r="K229" s="81">
        <v>0</v>
      </c>
      <c r="L229" s="82">
        <v>0</v>
      </c>
      <c r="M229" s="83">
        <v>1</v>
      </c>
      <c r="N229" s="84">
        <v>100</v>
      </c>
      <c r="O229" s="85">
        <v>1</v>
      </c>
      <c r="P229" s="86"/>
      <c r="Q229" s="87">
        <f t="shared" si="34"/>
        <v>2</v>
      </c>
      <c r="R229" s="88">
        <f t="shared" si="35"/>
        <v>2</v>
      </c>
      <c r="S229" s="89">
        <f t="shared" si="36"/>
        <v>0</v>
      </c>
      <c r="T229" s="89">
        <f t="shared" si="37"/>
        <v>0</v>
      </c>
      <c r="U229" s="89">
        <f t="shared" si="38"/>
        <v>0</v>
      </c>
      <c r="V229" s="89">
        <f t="shared" si="39"/>
        <v>0</v>
      </c>
      <c r="W229" s="89">
        <f t="shared" si="40"/>
        <v>0</v>
      </c>
      <c r="X229" s="89">
        <f t="shared" si="41"/>
        <v>0</v>
      </c>
      <c r="Y229" s="89">
        <f t="shared" si="42"/>
        <v>0</v>
      </c>
      <c r="Z229" s="89">
        <f t="shared" si="43"/>
        <v>0</v>
      </c>
      <c r="AA229" s="41">
        <f t="shared" si="44"/>
        <v>0</v>
      </c>
      <c r="AB229" s="59"/>
      <c r="AC229" s="58"/>
      <c r="AD229" s="59"/>
      <c r="AE229" s="58"/>
      <c r="AF229" s="59"/>
      <c r="AG229" s="58"/>
      <c r="AH229" s="59"/>
      <c r="AI229" s="58"/>
      <c r="AJ229" s="59"/>
      <c r="AK229" s="58"/>
      <c r="AL229" s="59"/>
      <c r="AM229" s="58"/>
      <c r="AN229" s="59"/>
      <c r="AO229" s="58"/>
      <c r="AP229" s="59"/>
      <c r="AQ229" s="58"/>
      <c r="AR229" s="59"/>
      <c r="AS229" s="58"/>
      <c r="AT229" s="59"/>
      <c r="AU229" s="58"/>
      <c r="AV229" s="59" t="s">
        <v>1</v>
      </c>
      <c r="AW229" s="58" t="s">
        <v>476</v>
      </c>
      <c r="AX229" s="59"/>
      <c r="AY229" s="58"/>
      <c r="AZ229" s="59"/>
      <c r="BA229" s="58"/>
      <c r="BB229" s="59" t="s">
        <v>5</v>
      </c>
      <c r="BC229" s="58" t="s">
        <v>92</v>
      </c>
      <c r="BD229" s="59"/>
      <c r="BE229" s="58"/>
      <c r="BF229" s="59"/>
      <c r="BG229" s="58"/>
      <c r="BH229" s="59"/>
      <c r="BI229" s="58"/>
      <c r="BJ229" s="59"/>
      <c r="BK229" s="58"/>
      <c r="BL229" s="59"/>
      <c r="BM229" s="58"/>
      <c r="BN229" s="59" t="s">
        <v>1</v>
      </c>
      <c r="BO229" s="58" t="s">
        <v>82</v>
      </c>
      <c r="BP229" s="59"/>
      <c r="BQ229" s="58"/>
      <c r="BR229" s="59"/>
      <c r="BS229" s="58"/>
      <c r="BT229" s="59" t="s">
        <v>5</v>
      </c>
      <c r="BU229" s="58" t="s">
        <v>93</v>
      </c>
      <c r="BV229" s="59"/>
      <c r="BW229" s="58"/>
      <c r="BX229" s="59"/>
      <c r="BY229" s="58"/>
      <c r="BZ229" s="59"/>
      <c r="CA229" s="58"/>
    </row>
    <row r="230" spans="1:79" s="91" customFormat="1" x14ac:dyDescent="0.25">
      <c r="A230" s="76">
        <v>160041</v>
      </c>
      <c r="B230" s="77" t="s">
        <v>688</v>
      </c>
      <c r="C230" s="78" t="s">
        <v>452</v>
      </c>
      <c r="D230" s="76" t="s">
        <v>70</v>
      </c>
      <c r="E230" s="79" t="s">
        <v>14</v>
      </c>
      <c r="F230" s="79" t="s">
        <v>71</v>
      </c>
      <c r="G230" s="79" t="s">
        <v>14</v>
      </c>
      <c r="H230" s="78" t="s">
        <v>14</v>
      </c>
      <c r="I230" s="79" t="s">
        <v>14</v>
      </c>
      <c r="J230" s="80">
        <v>6.7</v>
      </c>
      <c r="K230" s="81">
        <v>0</v>
      </c>
      <c r="L230" s="82">
        <v>0</v>
      </c>
      <c r="M230" s="83">
        <v>0</v>
      </c>
      <c r="N230" s="84">
        <v>100</v>
      </c>
      <c r="O230" s="85">
        <v>0</v>
      </c>
      <c r="P230" s="86"/>
      <c r="Q230" s="87">
        <f t="shared" si="34"/>
        <v>2</v>
      </c>
      <c r="R230" s="88">
        <f t="shared" si="35"/>
        <v>2</v>
      </c>
      <c r="S230" s="89">
        <f t="shared" si="36"/>
        <v>0</v>
      </c>
      <c r="T230" s="89">
        <f t="shared" si="37"/>
        <v>0</v>
      </c>
      <c r="U230" s="89">
        <f t="shared" si="38"/>
        <v>0</v>
      </c>
      <c r="V230" s="89">
        <f t="shared" si="39"/>
        <v>0</v>
      </c>
      <c r="W230" s="89">
        <f t="shared" si="40"/>
        <v>0</v>
      </c>
      <c r="X230" s="89">
        <f t="shared" si="41"/>
        <v>0</v>
      </c>
      <c r="Y230" s="89">
        <f t="shared" si="42"/>
        <v>0</v>
      </c>
      <c r="Z230" s="89">
        <f t="shared" si="43"/>
        <v>0</v>
      </c>
      <c r="AA230" s="41">
        <f t="shared" si="44"/>
        <v>0</v>
      </c>
      <c r="AB230" s="59"/>
      <c r="AC230" s="58"/>
      <c r="AD230" s="59"/>
      <c r="AE230" s="58"/>
      <c r="AF230" s="59"/>
      <c r="AG230" s="58"/>
      <c r="AH230" s="59"/>
      <c r="AI230" s="58"/>
      <c r="AJ230" s="59"/>
      <c r="AK230" s="58"/>
      <c r="AL230" s="59"/>
      <c r="AM230" s="58"/>
      <c r="AN230" s="59"/>
      <c r="AO230" s="58"/>
      <c r="AP230" s="59"/>
      <c r="AQ230" s="58"/>
      <c r="AR230" s="59"/>
      <c r="AS230" s="58"/>
      <c r="AT230" s="59"/>
      <c r="AU230" s="58"/>
      <c r="AV230" s="59" t="s">
        <v>5</v>
      </c>
      <c r="AW230" s="58" t="s">
        <v>602</v>
      </c>
      <c r="AX230" s="59"/>
      <c r="AY230" s="58"/>
      <c r="AZ230" s="59"/>
      <c r="BA230" s="58"/>
      <c r="BB230" s="59"/>
      <c r="BC230" s="58"/>
      <c r="BD230" s="59"/>
      <c r="BE230" s="58"/>
      <c r="BF230" s="59"/>
      <c r="BG230" s="58"/>
      <c r="BH230" s="59"/>
      <c r="BI230" s="58"/>
      <c r="BJ230" s="59" t="s">
        <v>5</v>
      </c>
      <c r="BK230" s="58" t="s">
        <v>430</v>
      </c>
      <c r="BL230" s="59"/>
      <c r="BM230" s="58"/>
      <c r="BN230" s="59"/>
      <c r="BO230" s="58"/>
      <c r="BP230" s="59"/>
      <c r="BQ230" s="58"/>
      <c r="BR230" s="59"/>
      <c r="BS230" s="58"/>
      <c r="BT230" s="59"/>
      <c r="BU230" s="58"/>
      <c r="BV230" s="59" t="s">
        <v>1</v>
      </c>
      <c r="BW230" s="58" t="s">
        <v>436</v>
      </c>
      <c r="BX230" s="59" t="s">
        <v>1</v>
      </c>
      <c r="BY230" s="58" t="s">
        <v>462</v>
      </c>
      <c r="BZ230" s="59"/>
      <c r="CA230" s="58"/>
    </row>
    <row r="231" spans="1:79" s="91" customFormat="1" x14ac:dyDescent="0.25">
      <c r="A231" s="76">
        <v>151500</v>
      </c>
      <c r="B231" s="77" t="s">
        <v>689</v>
      </c>
      <c r="C231" s="78" t="s">
        <v>497</v>
      </c>
      <c r="D231" s="76" t="s">
        <v>70</v>
      </c>
      <c r="E231" s="79" t="s">
        <v>14</v>
      </c>
      <c r="F231" s="79" t="s">
        <v>218</v>
      </c>
      <c r="G231" s="79" t="s">
        <v>14</v>
      </c>
      <c r="H231" s="78" t="s">
        <v>14</v>
      </c>
      <c r="I231" s="79" t="s">
        <v>14</v>
      </c>
      <c r="J231" s="80">
        <v>7.9</v>
      </c>
      <c r="K231" s="81">
        <v>0</v>
      </c>
      <c r="L231" s="82">
        <v>0</v>
      </c>
      <c r="M231" s="83">
        <v>0</v>
      </c>
      <c r="N231" s="84">
        <v>100</v>
      </c>
      <c r="O231" s="85">
        <v>0</v>
      </c>
      <c r="P231" s="86"/>
      <c r="Q231" s="87">
        <f t="shared" si="34"/>
        <v>3</v>
      </c>
      <c r="R231" s="88">
        <f t="shared" si="35"/>
        <v>1</v>
      </c>
      <c r="S231" s="89">
        <f t="shared" si="36"/>
        <v>0</v>
      </c>
      <c r="T231" s="89">
        <f t="shared" si="37"/>
        <v>0</v>
      </c>
      <c r="U231" s="89">
        <f t="shared" si="38"/>
        <v>0</v>
      </c>
      <c r="V231" s="89">
        <f t="shared" si="39"/>
        <v>0</v>
      </c>
      <c r="W231" s="89">
        <f t="shared" si="40"/>
        <v>0</v>
      </c>
      <c r="X231" s="89">
        <f t="shared" si="41"/>
        <v>0</v>
      </c>
      <c r="Y231" s="89">
        <f t="shared" si="42"/>
        <v>0</v>
      </c>
      <c r="Z231" s="89">
        <f t="shared" si="43"/>
        <v>0</v>
      </c>
      <c r="AA231" s="41">
        <f t="shared" si="44"/>
        <v>0</v>
      </c>
      <c r="AB231" s="59"/>
      <c r="AC231" s="58"/>
      <c r="AD231" s="59"/>
      <c r="AE231" s="58"/>
      <c r="AF231" s="59"/>
      <c r="AG231" s="58"/>
      <c r="AH231" s="59" t="s">
        <v>1</v>
      </c>
      <c r="AI231" s="58" t="s">
        <v>206</v>
      </c>
      <c r="AJ231" s="59"/>
      <c r="AK231" s="58"/>
      <c r="AL231" s="59"/>
      <c r="AM231" s="58"/>
      <c r="AN231" s="59"/>
      <c r="AO231" s="58"/>
      <c r="AP231" s="59"/>
      <c r="AQ231" s="58"/>
      <c r="AR231" s="59"/>
      <c r="AS231" s="58"/>
      <c r="AT231" s="59"/>
      <c r="AU231" s="58"/>
      <c r="AV231" s="59" t="s">
        <v>1</v>
      </c>
      <c r="AW231" s="58" t="s">
        <v>476</v>
      </c>
      <c r="AX231" s="59"/>
      <c r="AY231" s="58"/>
      <c r="AZ231" s="59"/>
      <c r="BA231" s="58"/>
      <c r="BB231" s="59"/>
      <c r="BC231" s="58"/>
      <c r="BD231" s="59"/>
      <c r="BE231" s="58"/>
      <c r="BF231" s="59"/>
      <c r="BG231" s="58"/>
      <c r="BH231" s="59"/>
      <c r="BI231" s="58"/>
      <c r="BJ231" s="59" t="s">
        <v>1</v>
      </c>
      <c r="BK231" s="58" t="s">
        <v>430</v>
      </c>
      <c r="BL231" s="59"/>
      <c r="BM231" s="58"/>
      <c r="BN231" s="59"/>
      <c r="BO231" s="58"/>
      <c r="BP231" s="59"/>
      <c r="BQ231" s="58"/>
      <c r="BR231" s="59" t="s">
        <v>5</v>
      </c>
      <c r="BS231" s="58" t="s">
        <v>109</v>
      </c>
      <c r="BT231" s="59"/>
      <c r="BU231" s="58"/>
      <c r="BV231" s="59"/>
      <c r="BW231" s="58"/>
      <c r="BX231" s="59"/>
      <c r="BY231" s="58"/>
      <c r="BZ231" s="59"/>
      <c r="CA231" s="58"/>
    </row>
  </sheetData>
  <autoFilter ref="A1:CA231" xr:uid="{00000000-0009-0000-0000-000002000000}"/>
  <conditionalFormatting sqref="P5:P231">
    <cfRule type="cellIs" dxfId="147" priority="95" stopIfTrue="1" operator="greaterThan">
      <formula>0</formula>
    </cfRule>
  </conditionalFormatting>
  <conditionalFormatting sqref="L5:M231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:N23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:O23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:K231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4">
    <cfRule type="cellIs" dxfId="146" priority="81" stopIfTrue="1" operator="greaterThan">
      <formula>0</formula>
    </cfRule>
  </conditionalFormatting>
  <conditionalFormatting sqref="L2:M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4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231">
    <cfRule type="top10" dxfId="145" priority="68" rank="10"/>
  </conditionalFormatting>
  <conditionalFormatting sqref="S2:S231">
    <cfRule type="top10" dxfId="144" priority="67" rank="10"/>
  </conditionalFormatting>
  <conditionalFormatting sqref="T2:T231">
    <cfRule type="top10" dxfId="143" priority="66" rank="5"/>
  </conditionalFormatting>
  <conditionalFormatting sqref="U2:U231">
    <cfRule type="top10" dxfId="142" priority="65" rank="5"/>
  </conditionalFormatting>
  <conditionalFormatting sqref="W2:W231">
    <cfRule type="top10" dxfId="141" priority="64" rank="5"/>
  </conditionalFormatting>
  <conditionalFormatting sqref="X2:X231">
    <cfRule type="top10" dxfId="140" priority="63" rank="5"/>
  </conditionalFormatting>
  <conditionalFormatting sqref="Y2:Y231">
    <cfRule type="top10" dxfId="139" priority="62" rank="5"/>
  </conditionalFormatting>
  <conditionalFormatting sqref="V2:V231">
    <cfRule type="top10" dxfId="138" priority="61" rank="10"/>
  </conditionalFormatting>
  <conditionalFormatting sqref="Z2:Z231">
    <cfRule type="top10" dxfId="137" priority="60" rank="10"/>
  </conditionalFormatting>
  <conditionalFormatting sqref="AB2:AB1048576 AD2:AD1048576 AF2:AF1048576 AH2:AH1048576 AJ2:AJ1048576 AL2:AL1048576 AN2:AN1048576 AP2:AP1048576 AR2:AR1048576 AT2:AT1048576 AV2:AV1048576 AX2:AX1048576 AZ2:AZ1048576 BB2:BB1048576 BD2:BD1048576 BF2:BF1048576 BH2:BH1048576 BJ2:BJ1048576 BL2:BL1048576 BN2:BN1048576 BP2:BP1048576 BR2:BR1048576 BT2:BT1048576 BV2:BV1048576 BX2:BX1048576 BZ2:BZ1048576">
    <cfRule type="containsText" dxfId="65" priority="8" operator="containsText" text="Serious">
      <formula>NOT(ISERROR(SEARCH("Serious",AB2)))</formula>
    </cfRule>
    <cfRule type="containsText" dxfId="64" priority="9" operator="containsText" text="2">
      <formula>NOT(ISERROR(SEARCH("2",AB2)))</formula>
    </cfRule>
  </conditionalFormatting>
  <conditionalFormatting sqref="AB1:CA1048576">
    <cfRule type="containsText" dxfId="63" priority="3" operator="containsText" text="fixed">
      <formula>NOT(ISERROR(SEARCH("fixed",AB1)))</formula>
    </cfRule>
    <cfRule type="cellIs" dxfId="62" priority="6" operator="equal">
      <formula>"Serious Concern still"</formula>
    </cfRule>
    <cfRule type="cellIs" dxfId="61" priority="7" operator="equal">
      <formula>"N2Improve still"</formula>
    </cfRule>
  </conditionalFormatting>
  <conditionalFormatting sqref="AB1:CA1048576">
    <cfRule type="containsText" dxfId="60" priority="4" operator="containsText" text="Serious Concern still">
      <formula>NOT(ISERROR(SEARCH("Serious Concern still",AB1)))</formula>
    </cfRule>
    <cfRule type="containsText" dxfId="59" priority="5" operator="containsText" text="N2Improve still">
      <formula>NOT(ISERROR(SEARCH("N2Improve still",AB1)))</formula>
    </cfRule>
  </conditionalFormatting>
  <conditionalFormatting sqref="AA1">
    <cfRule type="cellIs" dxfId="43" priority="1" operator="equal">
      <formula>"Serious Concern still"</formula>
    </cfRule>
    <cfRule type="cellIs" dxfId="42" priority="2" operator="equal">
      <formula>"N2Improve still"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45330C-6F11-4BC7-B7BB-20266FE1DEC3}">
          <x14:formula1>
            <xm:f>Lookups!$A$1:$A$8</xm:f>
          </x14:formula1>
          <xm:sqref>AB1:AB1048576 AD1:AD1048576 AF1:AF1048576 AH1:AH1048576 AJ1:AJ1048576 AL1:AL1048576 AN1:AN1048576 AP1:AP1048576 AR1:AR1048576 AT1:AT1048576 AV1:AV1048576 AX1:AX1048576 AZ1:AZ1048576 BB1:BB1048576 BD1:BD1048576 BF1:BF1048576 BH1:BH1048576 BJ1:BJ1048576 BL1:BL1048576 BN1:BN1048576 BP1:BP1048576 BR1:BR1048576 BT1:BT1048576 BV1:BV1048576 BX1:BX1048576 BZ1:BZ1048576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6AEFB-9EE6-479B-B270-C4612AC9F3E3}">
  <sheetPr codeName="Sheet6"/>
  <dimension ref="A1:CC231"/>
  <sheetViews>
    <sheetView tabSelected="1" zoomScale="70" zoomScaleNormal="70" workbookViewId="0">
      <pane xSplit="27" ySplit="1" topLeftCell="AB2" activePane="bottomRight" state="frozen"/>
      <selection activeCell="B27" sqref="B27"/>
      <selection pane="topRight" activeCell="B27" sqref="B27"/>
      <selection pane="bottomLeft" activeCell="B27" sqref="B27"/>
      <selection pane="bottomRight" activeCell="AD9" sqref="AD9"/>
    </sheetView>
  </sheetViews>
  <sheetFormatPr defaultRowHeight="15" x14ac:dyDescent="0.25"/>
  <cols>
    <col min="1" max="1" width="10.5703125" style="101" customWidth="1"/>
    <col min="2" max="2" width="27.140625" style="101" bestFit="1" customWidth="1"/>
    <col min="3" max="3" width="6.85546875" style="101" bestFit="1" customWidth="1"/>
    <col min="4" max="4" width="4.42578125" style="102" hidden="1" customWidth="1"/>
    <col min="5" max="5" width="3.5703125" style="102" hidden="1" customWidth="1"/>
    <col min="6" max="6" width="29.85546875" style="102" hidden="1" customWidth="1"/>
    <col min="7" max="7" width="3.5703125" style="102" hidden="1" customWidth="1"/>
    <col min="8" max="8" width="3.7109375" style="102" hidden="1" customWidth="1"/>
    <col min="9" max="9" width="4.140625" style="102" hidden="1" customWidth="1"/>
    <col min="10" max="10" width="8" style="103" hidden="1" customWidth="1"/>
    <col min="11" max="13" width="6" style="101" hidden="1" customWidth="1"/>
    <col min="14" max="15" width="8.28515625" style="55" hidden="1" customWidth="1"/>
    <col min="16" max="16" width="6.42578125" style="55" hidden="1" customWidth="1"/>
    <col min="17" max="26" width="7" hidden="1" customWidth="1"/>
    <col min="27" max="27" width="7" customWidth="1"/>
    <col min="28" max="28" width="13.28515625" style="59" customWidth="1"/>
    <col min="29" max="29" width="6.42578125" style="58" customWidth="1"/>
    <col min="30" max="30" width="13.28515625" style="59" customWidth="1"/>
    <col min="31" max="31" width="6.42578125" style="58" customWidth="1"/>
    <col min="32" max="32" width="13.28515625" style="59" customWidth="1"/>
    <col min="33" max="33" width="6.42578125" style="58" customWidth="1"/>
    <col min="34" max="34" width="13.28515625" style="59" customWidth="1"/>
    <col min="35" max="35" width="6.42578125" style="58" customWidth="1"/>
    <col min="36" max="36" width="13.28515625" style="59" customWidth="1"/>
    <col min="37" max="37" width="6.42578125" style="58" customWidth="1"/>
    <col min="38" max="38" width="13.28515625" style="59" customWidth="1"/>
    <col min="39" max="39" width="6.42578125" style="58" customWidth="1"/>
    <col min="40" max="40" width="13.28515625" style="59" customWidth="1"/>
    <col min="41" max="41" width="6.42578125" style="58" customWidth="1"/>
    <col min="42" max="42" width="13.28515625" style="59" customWidth="1"/>
    <col min="43" max="43" width="6.42578125" style="58" customWidth="1"/>
    <col min="44" max="44" width="13.28515625" style="59" customWidth="1"/>
    <col min="45" max="45" width="6.42578125" style="58" customWidth="1"/>
    <col min="46" max="46" width="13.28515625" style="59" customWidth="1"/>
    <col min="47" max="47" width="6.42578125" style="58" customWidth="1"/>
    <col min="48" max="48" width="13.28515625" style="59" customWidth="1"/>
    <col min="49" max="49" width="13.7109375" style="58" customWidth="1"/>
    <col min="50" max="50" width="13.28515625" style="59" customWidth="1"/>
    <col min="51" max="51" width="6.42578125" style="58" customWidth="1"/>
    <col min="52" max="52" width="13.28515625" style="59" customWidth="1"/>
    <col min="53" max="53" width="6.42578125" style="58" customWidth="1"/>
    <col min="54" max="54" width="13.28515625" style="59" customWidth="1"/>
    <col min="55" max="55" width="6.42578125" style="58" customWidth="1"/>
    <col min="56" max="56" width="13.28515625" style="59" customWidth="1"/>
    <col min="57" max="57" width="6.42578125" style="58" customWidth="1"/>
    <col min="58" max="58" width="13.28515625" style="59" customWidth="1"/>
    <col min="59" max="59" width="6.42578125" style="58" customWidth="1"/>
    <col min="60" max="60" width="13.28515625" style="59" customWidth="1"/>
    <col min="61" max="61" width="6.42578125" style="58" customWidth="1"/>
    <col min="62" max="62" width="13.28515625" style="59" customWidth="1"/>
    <col min="63" max="63" width="6.42578125" style="58" customWidth="1"/>
    <col min="64" max="64" width="13.28515625" style="59" customWidth="1"/>
    <col min="65" max="65" width="6.42578125" style="58" customWidth="1"/>
    <col min="66" max="66" width="13.28515625" style="59" customWidth="1"/>
    <col min="67" max="67" width="6.42578125" style="58" customWidth="1"/>
    <col min="68" max="68" width="13.28515625" style="59" customWidth="1"/>
    <col min="69" max="69" width="6.42578125" style="58" customWidth="1"/>
    <col min="70" max="70" width="13.28515625" style="59" customWidth="1"/>
    <col min="71" max="71" width="6.42578125" style="58" customWidth="1"/>
    <col min="72" max="72" width="13.28515625" style="59" customWidth="1"/>
    <col min="73" max="73" width="6.42578125" style="58" customWidth="1"/>
    <col min="74" max="74" width="13.28515625" style="59" customWidth="1"/>
    <col min="75" max="75" width="6.42578125" style="58" customWidth="1"/>
    <col min="76" max="76" width="13.28515625" style="59" customWidth="1"/>
    <col min="77" max="77" width="6.42578125" style="58" customWidth="1"/>
    <col min="78" max="78" width="13.28515625" style="59" customWidth="1"/>
    <col min="79" max="79" width="6.42578125" style="58" customWidth="1"/>
    <col min="80" max="80" width="13.28515625" style="59" customWidth="1"/>
    <col min="81" max="81" width="6.42578125" style="58" customWidth="1"/>
    <col min="82" max="16384" width="9.140625" style="101"/>
  </cols>
  <sheetData>
    <row r="1" spans="1:81" s="69" customFormat="1" ht="195.75" customHeight="1" thickBot="1" x14ac:dyDescent="0.3">
      <c r="A1" s="104" t="s">
        <v>2</v>
      </c>
      <c r="B1" s="105" t="s">
        <v>3</v>
      </c>
      <c r="C1" s="106" t="s">
        <v>15</v>
      </c>
      <c r="D1" s="107" t="s">
        <v>16</v>
      </c>
      <c r="E1" s="108" t="s">
        <v>1399</v>
      </c>
      <c r="F1" s="108" t="s">
        <v>18</v>
      </c>
      <c r="G1" s="108" t="s">
        <v>20</v>
      </c>
      <c r="H1" s="109" t="s">
        <v>21</v>
      </c>
      <c r="I1" s="108" t="s">
        <v>0</v>
      </c>
      <c r="J1" s="110" t="s">
        <v>380</v>
      </c>
      <c r="K1" s="65" t="s">
        <v>25</v>
      </c>
      <c r="L1" s="66" t="s">
        <v>381</v>
      </c>
      <c r="M1" s="67" t="s">
        <v>27</v>
      </c>
      <c r="N1" s="68" t="s">
        <v>1400</v>
      </c>
      <c r="O1" s="68" t="s">
        <v>1401</v>
      </c>
      <c r="P1" s="68" t="s">
        <v>29</v>
      </c>
      <c r="Q1" s="70" t="s">
        <v>1</v>
      </c>
      <c r="R1" s="71" t="s">
        <v>5</v>
      </c>
      <c r="S1" s="72" t="s">
        <v>30</v>
      </c>
      <c r="T1" s="72" t="s">
        <v>31</v>
      </c>
      <c r="U1" s="72" t="s">
        <v>32</v>
      </c>
      <c r="V1" s="73" t="s">
        <v>33</v>
      </c>
      <c r="W1" s="74" t="s">
        <v>34</v>
      </c>
      <c r="X1" s="75" t="s">
        <v>35</v>
      </c>
      <c r="Y1" s="75" t="s">
        <v>36</v>
      </c>
      <c r="Z1" s="75" t="s">
        <v>37</v>
      </c>
      <c r="AA1" s="162" t="s">
        <v>1854</v>
      </c>
      <c r="AB1" s="20" t="s">
        <v>38</v>
      </c>
      <c r="AC1" s="21" t="s">
        <v>39</v>
      </c>
      <c r="AD1" s="20" t="s">
        <v>384</v>
      </c>
      <c r="AE1" s="21" t="s">
        <v>385</v>
      </c>
      <c r="AF1" s="20" t="s">
        <v>386</v>
      </c>
      <c r="AG1" s="21" t="s">
        <v>387</v>
      </c>
      <c r="AH1" s="20" t="s">
        <v>388</v>
      </c>
      <c r="AI1" s="21" t="s">
        <v>389</v>
      </c>
      <c r="AJ1" s="20" t="s">
        <v>695</v>
      </c>
      <c r="AK1" s="21" t="s">
        <v>696</v>
      </c>
      <c r="AL1" s="20" t="s">
        <v>392</v>
      </c>
      <c r="AM1" s="21" t="s">
        <v>393</v>
      </c>
      <c r="AN1" s="20" t="s">
        <v>42</v>
      </c>
      <c r="AO1" s="21" t="s">
        <v>43</v>
      </c>
      <c r="AP1" s="20" t="s">
        <v>394</v>
      </c>
      <c r="AQ1" s="21" t="s">
        <v>395</v>
      </c>
      <c r="AR1" s="20" t="s">
        <v>396</v>
      </c>
      <c r="AS1" s="21" t="s">
        <v>397</v>
      </c>
      <c r="AT1" s="20" t="s">
        <v>398</v>
      </c>
      <c r="AU1" s="21" t="s">
        <v>399</v>
      </c>
      <c r="AV1" s="20" t="s">
        <v>46</v>
      </c>
      <c r="AW1" s="21" t="s">
        <v>400</v>
      </c>
      <c r="AX1" s="20" t="s">
        <v>48</v>
      </c>
      <c r="AY1" s="21" t="s">
        <v>49</v>
      </c>
      <c r="AZ1" s="20" t="s">
        <v>401</v>
      </c>
      <c r="BA1" s="21" t="s">
        <v>402</v>
      </c>
      <c r="BB1" s="20" t="s">
        <v>50</v>
      </c>
      <c r="BC1" s="21" t="s">
        <v>51</v>
      </c>
      <c r="BD1" s="20" t="s">
        <v>403</v>
      </c>
      <c r="BE1" s="21" t="s">
        <v>404</v>
      </c>
      <c r="BF1" s="20" t="s">
        <v>52</v>
      </c>
      <c r="BG1" s="21" t="s">
        <v>53</v>
      </c>
      <c r="BH1" s="20" t="s">
        <v>56</v>
      </c>
      <c r="BI1" s="21" t="s">
        <v>57</v>
      </c>
      <c r="BJ1" s="20" t="s">
        <v>1402</v>
      </c>
      <c r="BK1" s="21" t="s">
        <v>1403</v>
      </c>
      <c r="BL1" s="20" t="s">
        <v>58</v>
      </c>
      <c r="BM1" s="21" t="s">
        <v>59</v>
      </c>
      <c r="BN1" s="20" t="s">
        <v>407</v>
      </c>
      <c r="BO1" s="21" t="s">
        <v>408</v>
      </c>
      <c r="BP1" s="20" t="s">
        <v>703</v>
      </c>
      <c r="BQ1" s="21" t="s">
        <v>704</v>
      </c>
      <c r="BR1" s="20" t="s">
        <v>60</v>
      </c>
      <c r="BS1" s="21" t="s">
        <v>61</v>
      </c>
      <c r="BT1" s="20" t="s">
        <v>409</v>
      </c>
      <c r="BU1" s="21" t="s">
        <v>410</v>
      </c>
      <c r="BV1" s="20" t="s">
        <v>411</v>
      </c>
      <c r="BW1" s="21" t="s">
        <v>412</v>
      </c>
      <c r="BX1" s="20" t="s">
        <v>413</v>
      </c>
      <c r="BY1" s="21" t="s">
        <v>414</v>
      </c>
      <c r="BZ1" s="20" t="s">
        <v>415</v>
      </c>
      <c r="CA1" s="21" t="s">
        <v>416</v>
      </c>
      <c r="CB1" s="20" t="s">
        <v>66</v>
      </c>
      <c r="CC1" s="21" t="s">
        <v>67</v>
      </c>
    </row>
    <row r="2" spans="1:81" s="120" customFormat="1" ht="14.25" customHeight="1" x14ac:dyDescent="0.25">
      <c r="A2" s="79">
        <v>150546</v>
      </c>
      <c r="B2" s="77" t="s">
        <v>1404</v>
      </c>
      <c r="C2" s="97" t="s">
        <v>1405</v>
      </c>
      <c r="D2" s="111" t="s">
        <v>12</v>
      </c>
      <c r="E2" s="96" t="s">
        <v>87</v>
      </c>
      <c r="F2" s="96" t="s">
        <v>88</v>
      </c>
      <c r="G2" s="112" t="s">
        <v>14</v>
      </c>
      <c r="H2" s="113" t="s">
        <v>14</v>
      </c>
      <c r="I2" s="96" t="s">
        <v>4</v>
      </c>
      <c r="J2" s="114">
        <v>5.9</v>
      </c>
      <c r="K2" s="115">
        <v>0</v>
      </c>
      <c r="L2" s="116">
        <v>0</v>
      </c>
      <c r="M2" s="117">
        <v>0</v>
      </c>
      <c r="N2" s="118">
        <v>92.55</v>
      </c>
      <c r="O2" s="118">
        <v>92.11</v>
      </c>
      <c r="P2" s="119">
        <v>4</v>
      </c>
      <c r="Q2" s="87">
        <f t="shared" ref="Q2:Q65" si="0">COUNTIF($AB2:$CT2,"Outstanding")</f>
        <v>1</v>
      </c>
      <c r="R2" s="88">
        <f t="shared" ref="R2:R65" si="1">COUNTIF($AB2:$CT2,"Good")</f>
        <v>2</v>
      </c>
      <c r="S2" s="89">
        <f t="shared" ref="S2:S65" si="2">COUNTIF($AB2:$CT2,"N2Improve - Engagement")</f>
        <v>0</v>
      </c>
      <c r="T2" s="89">
        <f t="shared" ref="T2:T65" si="3">COUNTIF($AB2:$CT2,"N2Improve - Community Conduct")</f>
        <v>0</v>
      </c>
      <c r="U2" s="89">
        <f t="shared" ref="U2:U65" si="4">COUNTIF($AB2:$CT2,"N2Improve - Personal Org.")</f>
        <v>1</v>
      </c>
      <c r="V2" s="89">
        <f t="shared" ref="V2:V65" si="5">SUM(S2:U2)</f>
        <v>1</v>
      </c>
      <c r="W2" s="89">
        <f t="shared" ref="W2:W65" si="6">COUNTIF($AB2:$CT2,"Serious Conc - Engagement")</f>
        <v>0</v>
      </c>
      <c r="X2" s="89">
        <f t="shared" ref="X2:X65" si="7">COUNTIF($AB2:$CT2,"Serious Conc - Comm. Concern")</f>
        <v>0</v>
      </c>
      <c r="Y2" s="89">
        <f t="shared" ref="Y2:Y65" si="8">COUNTIF($AB2:$CT2,"Serious Conc - Personal Org.")</f>
        <v>0</v>
      </c>
      <c r="Z2" s="89">
        <f t="shared" ref="Z2" si="9">SUM(W2:Y2)</f>
        <v>0</v>
      </c>
      <c r="AA2" s="41">
        <f>COUNTIF(AB2:CC2,"*still*")</f>
        <v>0</v>
      </c>
      <c r="AB2" s="42"/>
      <c r="AC2" s="43"/>
      <c r="AD2" s="42"/>
      <c r="AE2" s="43"/>
      <c r="AF2" s="42"/>
      <c r="AG2" s="43"/>
      <c r="AH2" s="42"/>
      <c r="AI2" s="43"/>
      <c r="AJ2" s="42"/>
      <c r="AK2" s="43"/>
      <c r="AL2" s="42"/>
      <c r="AM2" s="43"/>
      <c r="AN2" s="42" t="s">
        <v>1</v>
      </c>
      <c r="AO2" s="43" t="s">
        <v>1406</v>
      </c>
      <c r="AP2" s="42"/>
      <c r="AQ2" s="43"/>
      <c r="AR2" s="42"/>
      <c r="AS2" s="43"/>
      <c r="AT2" s="42"/>
      <c r="AU2" s="43"/>
      <c r="AV2" s="42" t="s">
        <v>5</v>
      </c>
      <c r="AW2" s="43" t="s">
        <v>602</v>
      </c>
      <c r="AX2" s="42"/>
      <c r="AY2" s="43"/>
      <c r="AZ2" s="42"/>
      <c r="BA2" s="43"/>
      <c r="BB2" s="42"/>
      <c r="BC2" s="43"/>
      <c r="BD2" s="42"/>
      <c r="BE2" s="43"/>
      <c r="BF2" s="42" t="s">
        <v>5</v>
      </c>
      <c r="BG2" s="43" t="s">
        <v>132</v>
      </c>
      <c r="BH2" s="42"/>
      <c r="BI2" s="43"/>
      <c r="BJ2" s="42"/>
      <c r="BK2" s="43"/>
      <c r="BL2" s="42"/>
      <c r="BM2" s="43"/>
      <c r="BN2" s="42"/>
      <c r="BO2" s="43"/>
      <c r="BP2" s="42"/>
      <c r="BQ2" s="43"/>
      <c r="BR2" s="42"/>
      <c r="BS2" s="43"/>
      <c r="BT2" s="42"/>
      <c r="BU2" s="43"/>
      <c r="BV2" s="42"/>
      <c r="BW2" s="43"/>
      <c r="BX2" s="42" t="s">
        <v>32</v>
      </c>
      <c r="BY2" s="43" t="s">
        <v>425</v>
      </c>
      <c r="BZ2" s="42"/>
      <c r="CA2" s="43"/>
      <c r="CB2" s="42"/>
      <c r="CC2" s="43"/>
    </row>
    <row r="3" spans="1:81" s="120" customFormat="1" ht="14.25" customHeight="1" x14ac:dyDescent="0.25">
      <c r="A3" s="79">
        <v>152185</v>
      </c>
      <c r="B3" s="77" t="s">
        <v>1407</v>
      </c>
      <c r="C3" s="98" t="s">
        <v>1408</v>
      </c>
      <c r="D3" s="90" t="s">
        <v>12</v>
      </c>
      <c r="E3" s="79" t="s">
        <v>14</v>
      </c>
      <c r="F3" s="79" t="s">
        <v>115</v>
      </c>
      <c r="G3" s="78" t="s">
        <v>14</v>
      </c>
      <c r="H3" s="121" t="s">
        <v>14</v>
      </c>
      <c r="I3" s="79" t="s">
        <v>14</v>
      </c>
      <c r="J3" s="122">
        <v>6.9</v>
      </c>
      <c r="K3" s="123">
        <v>2</v>
      </c>
      <c r="L3" s="124">
        <v>0</v>
      </c>
      <c r="M3" s="125">
        <v>0</v>
      </c>
      <c r="N3" s="118">
        <v>100</v>
      </c>
      <c r="O3" s="118">
        <v>100</v>
      </c>
      <c r="P3" s="119">
        <v>0</v>
      </c>
      <c r="Q3" s="87">
        <f t="shared" si="0"/>
        <v>2</v>
      </c>
      <c r="R3" s="88">
        <f t="shared" si="1"/>
        <v>2</v>
      </c>
      <c r="S3" s="89">
        <f t="shared" si="2"/>
        <v>0</v>
      </c>
      <c r="T3" s="89">
        <f t="shared" si="3"/>
        <v>0</v>
      </c>
      <c r="U3" s="89">
        <f t="shared" si="4"/>
        <v>0</v>
      </c>
      <c r="V3" s="89">
        <f t="shared" si="5"/>
        <v>0</v>
      </c>
      <c r="W3" s="89">
        <f t="shared" si="6"/>
        <v>0</v>
      </c>
      <c r="X3" s="89">
        <f t="shared" si="7"/>
        <v>0</v>
      </c>
      <c r="Y3" s="89">
        <f t="shared" si="8"/>
        <v>0</v>
      </c>
      <c r="Z3" s="89">
        <f t="shared" ref="Z3:Z66" si="10">SUM(W3:Y3)</f>
        <v>0</v>
      </c>
      <c r="AA3" s="41">
        <f t="shared" ref="AA3:AA66" si="11">COUNTIF(AB3:CC3,"*still*")</f>
        <v>0</v>
      </c>
      <c r="AB3" s="49"/>
      <c r="AC3" s="50"/>
      <c r="AD3" s="49"/>
      <c r="AE3" s="50"/>
      <c r="AF3" s="49"/>
      <c r="AG3" s="50"/>
      <c r="AH3" s="49" t="s">
        <v>1</v>
      </c>
      <c r="AI3" s="50" t="s">
        <v>206</v>
      </c>
      <c r="AJ3" s="49"/>
      <c r="AK3" s="50"/>
      <c r="AL3" s="49"/>
      <c r="AM3" s="50"/>
      <c r="AN3" s="49"/>
      <c r="AO3" s="50"/>
      <c r="AP3" s="49"/>
      <c r="AQ3" s="50"/>
      <c r="AR3" s="49"/>
      <c r="AS3" s="50"/>
      <c r="AT3" s="49"/>
      <c r="AU3" s="50"/>
      <c r="AV3" s="49" t="s">
        <v>5</v>
      </c>
      <c r="AW3" s="50" t="s">
        <v>421</v>
      </c>
      <c r="AX3" s="49"/>
      <c r="AY3" s="50"/>
      <c r="AZ3" s="49"/>
      <c r="BA3" s="50"/>
      <c r="BB3" s="49"/>
      <c r="BC3" s="50"/>
      <c r="BD3" s="49"/>
      <c r="BE3" s="50"/>
      <c r="BF3" s="49"/>
      <c r="BG3" s="50"/>
      <c r="BH3" s="49" t="s">
        <v>5</v>
      </c>
      <c r="BI3" s="50" t="s">
        <v>139</v>
      </c>
      <c r="BJ3" s="49"/>
      <c r="BK3" s="50"/>
      <c r="BL3" s="49"/>
      <c r="BM3" s="50"/>
      <c r="BN3" s="49"/>
      <c r="BO3" s="50"/>
      <c r="BP3" s="49"/>
      <c r="BQ3" s="50"/>
      <c r="BR3" s="49"/>
      <c r="BS3" s="50"/>
      <c r="BT3" s="49" t="s">
        <v>1</v>
      </c>
      <c r="BU3" s="50" t="s">
        <v>109</v>
      </c>
      <c r="BV3" s="49"/>
      <c r="BW3" s="50"/>
      <c r="BX3" s="49"/>
      <c r="BY3" s="50"/>
      <c r="BZ3" s="49"/>
      <c r="CA3" s="50"/>
      <c r="CB3" s="49"/>
      <c r="CC3" s="50"/>
    </row>
    <row r="4" spans="1:81" s="120" customFormat="1" ht="14.25" customHeight="1" x14ac:dyDescent="0.25">
      <c r="A4" s="79">
        <v>152194</v>
      </c>
      <c r="B4" s="77" t="s">
        <v>1409</v>
      </c>
      <c r="C4" s="98" t="s">
        <v>1410</v>
      </c>
      <c r="D4" s="90" t="s">
        <v>70</v>
      </c>
      <c r="E4" s="79" t="s">
        <v>87</v>
      </c>
      <c r="F4" s="79" t="s">
        <v>1130</v>
      </c>
      <c r="G4" s="78" t="s">
        <v>14</v>
      </c>
      <c r="H4" s="121" t="s">
        <v>14</v>
      </c>
      <c r="I4" s="79" t="s">
        <v>14</v>
      </c>
      <c r="J4" s="122">
        <v>5.4</v>
      </c>
      <c r="K4" s="123">
        <v>0</v>
      </c>
      <c r="L4" s="124">
        <v>0</v>
      </c>
      <c r="M4" s="125">
        <v>0</v>
      </c>
      <c r="N4" s="118">
        <v>100</v>
      </c>
      <c r="O4" s="118">
        <v>100</v>
      </c>
      <c r="P4" s="119">
        <v>2</v>
      </c>
      <c r="Q4" s="87">
        <f t="shared" si="0"/>
        <v>1</v>
      </c>
      <c r="R4" s="88">
        <f t="shared" si="1"/>
        <v>3</v>
      </c>
      <c r="S4" s="89">
        <f t="shared" si="2"/>
        <v>0</v>
      </c>
      <c r="T4" s="89">
        <f t="shared" si="3"/>
        <v>0</v>
      </c>
      <c r="U4" s="89">
        <f t="shared" si="4"/>
        <v>0</v>
      </c>
      <c r="V4" s="89">
        <f t="shared" si="5"/>
        <v>0</v>
      </c>
      <c r="W4" s="89">
        <f t="shared" si="6"/>
        <v>0</v>
      </c>
      <c r="X4" s="89">
        <f t="shared" si="7"/>
        <v>0</v>
      </c>
      <c r="Y4" s="89">
        <f t="shared" si="8"/>
        <v>0</v>
      </c>
      <c r="Z4" s="89">
        <f t="shared" si="10"/>
        <v>0</v>
      </c>
      <c r="AA4" s="41">
        <f t="shared" si="11"/>
        <v>0</v>
      </c>
      <c r="AB4" s="49"/>
      <c r="AC4" s="50"/>
      <c r="AD4" s="49"/>
      <c r="AE4" s="50"/>
      <c r="AF4" s="49"/>
      <c r="AG4" s="50"/>
      <c r="AH4" s="49"/>
      <c r="AI4" s="50"/>
      <c r="AJ4" s="49"/>
      <c r="AK4" s="50"/>
      <c r="AL4" s="49"/>
      <c r="AM4" s="50"/>
      <c r="AN4" s="49"/>
      <c r="AO4" s="50"/>
      <c r="AP4" s="49"/>
      <c r="AQ4" s="50"/>
      <c r="AR4" s="49"/>
      <c r="AS4" s="50"/>
      <c r="AT4" s="49"/>
      <c r="AU4" s="50"/>
      <c r="AV4" s="49" t="s">
        <v>5</v>
      </c>
      <c r="AW4" s="50" t="s">
        <v>122</v>
      </c>
      <c r="AX4" s="49"/>
      <c r="AY4" s="50"/>
      <c r="AZ4" s="49"/>
      <c r="BA4" s="50"/>
      <c r="BB4" s="49"/>
      <c r="BC4" s="50"/>
      <c r="BD4" s="49"/>
      <c r="BE4" s="50"/>
      <c r="BF4" s="49" t="s">
        <v>5</v>
      </c>
      <c r="BG4" s="50" t="s">
        <v>77</v>
      </c>
      <c r="BH4" s="49"/>
      <c r="BI4" s="50"/>
      <c r="BJ4" s="49"/>
      <c r="BK4" s="50"/>
      <c r="BL4" s="49"/>
      <c r="BM4" s="50"/>
      <c r="BN4" s="49"/>
      <c r="BO4" s="50"/>
      <c r="BP4" s="49"/>
      <c r="BQ4" s="50"/>
      <c r="BR4" s="49"/>
      <c r="BS4" s="50"/>
      <c r="BT4" s="49"/>
      <c r="BU4" s="50"/>
      <c r="BV4" s="49" t="s">
        <v>5</v>
      </c>
      <c r="BW4" s="50" t="s">
        <v>93</v>
      </c>
      <c r="BX4" s="49"/>
      <c r="BY4" s="50"/>
      <c r="BZ4" s="49" t="s">
        <v>1</v>
      </c>
      <c r="CA4" s="50" t="s">
        <v>462</v>
      </c>
      <c r="CB4" s="49"/>
      <c r="CC4" s="50"/>
    </row>
    <row r="5" spans="1:81" s="120" customFormat="1" ht="14.25" customHeight="1" x14ac:dyDescent="0.25">
      <c r="A5" s="79">
        <v>152099</v>
      </c>
      <c r="B5" s="77" t="s">
        <v>1411</v>
      </c>
      <c r="C5" s="98" t="s">
        <v>1405</v>
      </c>
      <c r="D5" s="90" t="s">
        <v>70</v>
      </c>
      <c r="E5" s="79" t="s">
        <v>14</v>
      </c>
      <c r="F5" s="79" t="s">
        <v>71</v>
      </c>
      <c r="G5" s="78" t="s">
        <v>14</v>
      </c>
      <c r="H5" s="121" t="s">
        <v>14</v>
      </c>
      <c r="I5" s="79" t="s">
        <v>14</v>
      </c>
      <c r="J5" s="122">
        <v>6.7</v>
      </c>
      <c r="K5" s="123">
        <v>0</v>
      </c>
      <c r="L5" s="124">
        <v>0</v>
      </c>
      <c r="M5" s="125">
        <v>0</v>
      </c>
      <c r="N5" s="118">
        <v>83.64</v>
      </c>
      <c r="O5" s="118">
        <v>84.62</v>
      </c>
      <c r="P5" s="119">
        <v>0</v>
      </c>
      <c r="Q5" s="87">
        <f t="shared" si="0"/>
        <v>1</v>
      </c>
      <c r="R5" s="88">
        <f t="shared" si="1"/>
        <v>3</v>
      </c>
      <c r="S5" s="89">
        <f t="shared" si="2"/>
        <v>0</v>
      </c>
      <c r="T5" s="89">
        <f t="shared" si="3"/>
        <v>0</v>
      </c>
      <c r="U5" s="89">
        <f t="shared" si="4"/>
        <v>1</v>
      </c>
      <c r="V5" s="89">
        <f t="shared" si="5"/>
        <v>1</v>
      </c>
      <c r="W5" s="89">
        <f t="shared" si="6"/>
        <v>0</v>
      </c>
      <c r="X5" s="89">
        <f t="shared" si="7"/>
        <v>0</v>
      </c>
      <c r="Y5" s="89">
        <f t="shared" si="8"/>
        <v>0</v>
      </c>
      <c r="Z5" s="89">
        <f t="shared" si="10"/>
        <v>0</v>
      </c>
      <c r="AA5" s="41">
        <f t="shared" si="11"/>
        <v>0</v>
      </c>
      <c r="AB5" s="49"/>
      <c r="AC5" s="50"/>
      <c r="AD5" s="49"/>
      <c r="AE5" s="50"/>
      <c r="AF5" s="49"/>
      <c r="AG5" s="50"/>
      <c r="AH5" s="49"/>
      <c r="AI5" s="50"/>
      <c r="AJ5" s="49"/>
      <c r="AK5" s="50"/>
      <c r="AL5" s="49"/>
      <c r="AM5" s="50"/>
      <c r="AN5" s="49"/>
      <c r="AO5" s="50"/>
      <c r="AP5" s="49"/>
      <c r="AQ5" s="50"/>
      <c r="AR5" s="49" t="s">
        <v>32</v>
      </c>
      <c r="AS5" s="50" t="s">
        <v>459</v>
      </c>
      <c r="AT5" s="49"/>
      <c r="AU5" s="50"/>
      <c r="AV5" s="49" t="s">
        <v>1</v>
      </c>
      <c r="AW5" s="50" t="s">
        <v>457</v>
      </c>
      <c r="AX5" s="49"/>
      <c r="AY5" s="50"/>
      <c r="AZ5" s="49"/>
      <c r="BA5" s="50"/>
      <c r="BB5" s="49"/>
      <c r="BC5" s="50"/>
      <c r="BD5" s="49"/>
      <c r="BE5" s="50"/>
      <c r="BF5" s="49"/>
      <c r="BG5" s="50"/>
      <c r="BH5" s="49"/>
      <c r="BI5" s="50"/>
      <c r="BJ5" s="49"/>
      <c r="BK5" s="50"/>
      <c r="BL5" s="49"/>
      <c r="BM5" s="50"/>
      <c r="BN5" s="49" t="s">
        <v>5</v>
      </c>
      <c r="BO5" s="50" t="s">
        <v>602</v>
      </c>
      <c r="BP5" s="49" t="s">
        <v>5</v>
      </c>
      <c r="BQ5" s="50"/>
      <c r="BR5" s="49"/>
      <c r="BS5" s="50"/>
      <c r="BT5" s="49"/>
      <c r="BU5" s="50"/>
      <c r="BV5" s="49"/>
      <c r="BW5" s="50"/>
      <c r="BX5" s="49" t="s">
        <v>5</v>
      </c>
      <c r="BY5" s="50" t="s">
        <v>425</v>
      </c>
      <c r="BZ5" s="49"/>
      <c r="CA5" s="50"/>
      <c r="CB5" s="49"/>
      <c r="CC5" s="50"/>
    </row>
    <row r="6" spans="1:81" s="120" customFormat="1" ht="14.25" customHeight="1" x14ac:dyDescent="0.25">
      <c r="A6" s="79">
        <v>150583</v>
      </c>
      <c r="B6" s="77" t="s">
        <v>1412</v>
      </c>
      <c r="C6" s="98" t="s">
        <v>1410</v>
      </c>
      <c r="D6" s="90" t="s">
        <v>70</v>
      </c>
      <c r="E6" s="79" t="s">
        <v>14</v>
      </c>
      <c r="F6" s="79" t="s">
        <v>115</v>
      </c>
      <c r="G6" s="78" t="s">
        <v>14</v>
      </c>
      <c r="H6" s="121" t="s">
        <v>14</v>
      </c>
      <c r="I6" s="79" t="s">
        <v>14</v>
      </c>
      <c r="J6" s="122">
        <v>3.1</v>
      </c>
      <c r="K6" s="123">
        <v>0</v>
      </c>
      <c r="L6" s="124">
        <v>0</v>
      </c>
      <c r="M6" s="125">
        <v>0</v>
      </c>
      <c r="N6" s="118">
        <v>93.55</v>
      </c>
      <c r="O6" s="118">
        <v>88.24</v>
      </c>
      <c r="P6" s="119">
        <v>11</v>
      </c>
      <c r="Q6" s="87">
        <f t="shared" si="0"/>
        <v>0</v>
      </c>
      <c r="R6" s="88">
        <f t="shared" si="1"/>
        <v>1</v>
      </c>
      <c r="S6" s="89">
        <f t="shared" si="2"/>
        <v>1</v>
      </c>
      <c r="T6" s="89">
        <f t="shared" si="3"/>
        <v>0</v>
      </c>
      <c r="U6" s="89">
        <f t="shared" si="4"/>
        <v>1</v>
      </c>
      <c r="V6" s="89">
        <f t="shared" si="5"/>
        <v>2</v>
      </c>
      <c r="W6" s="89">
        <f t="shared" si="6"/>
        <v>0</v>
      </c>
      <c r="X6" s="89">
        <f t="shared" si="7"/>
        <v>0</v>
      </c>
      <c r="Y6" s="89">
        <f t="shared" si="8"/>
        <v>0</v>
      </c>
      <c r="Z6" s="89">
        <f t="shared" si="10"/>
        <v>0</v>
      </c>
      <c r="AA6" s="41">
        <f t="shared" si="11"/>
        <v>0</v>
      </c>
      <c r="AB6" s="49"/>
      <c r="AC6" s="50"/>
      <c r="AD6" s="49"/>
      <c r="AE6" s="50"/>
      <c r="AF6" s="49"/>
      <c r="AG6" s="50"/>
      <c r="AH6" s="49"/>
      <c r="AI6" s="50"/>
      <c r="AJ6" s="49"/>
      <c r="AK6" s="50"/>
      <c r="AL6" s="49"/>
      <c r="AM6" s="50"/>
      <c r="AN6" s="49"/>
      <c r="AO6" s="50"/>
      <c r="AP6" s="49"/>
      <c r="AQ6" s="50"/>
      <c r="AR6" s="49"/>
      <c r="AS6" s="50"/>
      <c r="AT6" s="49"/>
      <c r="AU6" s="50"/>
      <c r="AV6" s="49" t="s">
        <v>32</v>
      </c>
      <c r="AW6" s="50" t="s">
        <v>505</v>
      </c>
      <c r="AX6" s="49"/>
      <c r="AY6" s="50"/>
      <c r="AZ6" s="49"/>
      <c r="BA6" s="50"/>
      <c r="BB6" s="49"/>
      <c r="BC6" s="50"/>
      <c r="BD6" s="49" t="s">
        <v>5</v>
      </c>
      <c r="BE6" s="50" t="s">
        <v>436</v>
      </c>
      <c r="BF6" s="49"/>
      <c r="BG6" s="50"/>
      <c r="BH6" s="49"/>
      <c r="BI6" s="50"/>
      <c r="BJ6" s="49"/>
      <c r="BK6" s="50"/>
      <c r="BL6" s="49"/>
      <c r="BM6" s="50"/>
      <c r="BN6" s="49"/>
      <c r="BO6" s="50"/>
      <c r="BP6" s="49"/>
      <c r="BQ6" s="50"/>
      <c r="BR6" s="49"/>
      <c r="BS6" s="50"/>
      <c r="BT6" s="49"/>
      <c r="BU6" s="50"/>
      <c r="BV6" s="49"/>
      <c r="BW6" s="50"/>
      <c r="BX6" s="49"/>
      <c r="BY6" s="50"/>
      <c r="BZ6" s="49" t="s">
        <v>30</v>
      </c>
      <c r="CA6" s="50" t="s">
        <v>462</v>
      </c>
      <c r="CB6" s="49"/>
      <c r="CC6" s="50"/>
    </row>
    <row r="7" spans="1:81" s="120" customFormat="1" ht="14.25" customHeight="1" x14ac:dyDescent="0.25">
      <c r="A7" s="79">
        <v>152199</v>
      </c>
      <c r="B7" s="77" t="s">
        <v>1413</v>
      </c>
      <c r="C7" s="98" t="s">
        <v>1414</v>
      </c>
      <c r="D7" s="90" t="s">
        <v>12</v>
      </c>
      <c r="E7" s="79" t="s">
        <v>14</v>
      </c>
      <c r="F7" s="79" t="s">
        <v>312</v>
      </c>
      <c r="G7" s="78" t="s">
        <v>14</v>
      </c>
      <c r="H7" s="121" t="s">
        <v>14</v>
      </c>
      <c r="I7" s="79" t="s">
        <v>14</v>
      </c>
      <c r="J7" s="122">
        <v>7</v>
      </c>
      <c r="K7" s="123">
        <v>1</v>
      </c>
      <c r="L7" s="124">
        <v>0</v>
      </c>
      <c r="M7" s="125">
        <v>1</v>
      </c>
      <c r="N7" s="118">
        <v>95.15</v>
      </c>
      <c r="O7" s="118">
        <v>86.11</v>
      </c>
      <c r="P7" s="119">
        <v>5</v>
      </c>
      <c r="Q7" s="87">
        <f t="shared" si="0"/>
        <v>1</v>
      </c>
      <c r="R7" s="88">
        <f t="shared" si="1"/>
        <v>3</v>
      </c>
      <c r="S7" s="89">
        <f t="shared" si="2"/>
        <v>0</v>
      </c>
      <c r="T7" s="89">
        <f t="shared" si="3"/>
        <v>0</v>
      </c>
      <c r="U7" s="89">
        <f t="shared" si="4"/>
        <v>0</v>
      </c>
      <c r="V7" s="89">
        <f t="shared" si="5"/>
        <v>0</v>
      </c>
      <c r="W7" s="89">
        <f t="shared" si="6"/>
        <v>0</v>
      </c>
      <c r="X7" s="89">
        <f t="shared" si="7"/>
        <v>0</v>
      </c>
      <c r="Y7" s="89">
        <f t="shared" si="8"/>
        <v>0</v>
      </c>
      <c r="Z7" s="89">
        <f t="shared" si="10"/>
        <v>0</v>
      </c>
      <c r="AA7" s="41">
        <f t="shared" si="11"/>
        <v>0</v>
      </c>
      <c r="AB7" s="49"/>
      <c r="AC7" s="50"/>
      <c r="AD7" s="49"/>
      <c r="AE7" s="50"/>
      <c r="AF7" s="49" t="s">
        <v>5</v>
      </c>
      <c r="AG7" s="50" t="s">
        <v>427</v>
      </c>
      <c r="AH7" s="49"/>
      <c r="AI7" s="50"/>
      <c r="AJ7" s="49"/>
      <c r="AK7" s="50"/>
      <c r="AL7" s="49"/>
      <c r="AM7" s="50"/>
      <c r="AN7" s="49"/>
      <c r="AO7" s="50"/>
      <c r="AP7" s="49" t="s">
        <v>5</v>
      </c>
      <c r="AQ7" s="50" t="s">
        <v>428</v>
      </c>
      <c r="AR7" s="49"/>
      <c r="AS7" s="50"/>
      <c r="AT7" s="49"/>
      <c r="AU7" s="50"/>
      <c r="AV7" s="49" t="s">
        <v>1</v>
      </c>
      <c r="AW7" s="50" t="s">
        <v>476</v>
      </c>
      <c r="AX7" s="49"/>
      <c r="AY7" s="50"/>
      <c r="AZ7" s="49"/>
      <c r="BA7" s="50"/>
      <c r="BB7" s="49"/>
      <c r="BC7" s="50"/>
      <c r="BD7" s="49"/>
      <c r="BE7" s="50"/>
      <c r="BF7" s="49"/>
      <c r="BG7" s="50"/>
      <c r="BH7" s="49" t="s">
        <v>5</v>
      </c>
      <c r="BI7" s="50" t="s">
        <v>136</v>
      </c>
      <c r="BJ7" s="49"/>
      <c r="BK7" s="50"/>
      <c r="BL7" s="49"/>
      <c r="BM7" s="50"/>
      <c r="BN7" s="49"/>
      <c r="BO7" s="50"/>
      <c r="BP7" s="49"/>
      <c r="BQ7" s="50"/>
      <c r="BR7" s="49"/>
      <c r="BS7" s="50"/>
      <c r="BT7" s="49"/>
      <c r="BU7" s="50"/>
      <c r="BV7" s="49"/>
      <c r="BW7" s="50"/>
      <c r="BX7" s="49"/>
      <c r="BY7" s="50"/>
      <c r="BZ7" s="49"/>
      <c r="CA7" s="50"/>
      <c r="CB7" s="49"/>
      <c r="CC7" s="50"/>
    </row>
    <row r="8" spans="1:81" s="120" customFormat="1" ht="14.25" customHeight="1" x14ac:dyDescent="0.25">
      <c r="A8" s="79">
        <v>150540</v>
      </c>
      <c r="B8" s="77" t="s">
        <v>1415</v>
      </c>
      <c r="C8" s="98" t="s">
        <v>1408</v>
      </c>
      <c r="D8" s="90" t="s">
        <v>70</v>
      </c>
      <c r="E8" s="79" t="s">
        <v>14</v>
      </c>
      <c r="F8" s="79" t="s">
        <v>71</v>
      </c>
      <c r="G8" s="78" t="s">
        <v>14</v>
      </c>
      <c r="H8" s="121" t="s">
        <v>14</v>
      </c>
      <c r="I8" s="79" t="s">
        <v>14</v>
      </c>
      <c r="J8" s="122">
        <v>6.8</v>
      </c>
      <c r="K8" s="123">
        <v>1</v>
      </c>
      <c r="L8" s="124">
        <v>0</v>
      </c>
      <c r="M8" s="125">
        <v>0</v>
      </c>
      <c r="N8" s="118">
        <v>84.76</v>
      </c>
      <c r="O8" s="118">
        <v>100</v>
      </c>
      <c r="P8" s="119">
        <v>0</v>
      </c>
      <c r="Q8" s="87">
        <f t="shared" si="0"/>
        <v>2</v>
      </c>
      <c r="R8" s="88">
        <f t="shared" si="1"/>
        <v>2</v>
      </c>
      <c r="S8" s="89">
        <f t="shared" si="2"/>
        <v>0</v>
      </c>
      <c r="T8" s="89">
        <f t="shared" si="3"/>
        <v>0</v>
      </c>
      <c r="U8" s="89">
        <f t="shared" si="4"/>
        <v>0</v>
      </c>
      <c r="V8" s="89">
        <f t="shared" si="5"/>
        <v>0</v>
      </c>
      <c r="W8" s="89">
        <f t="shared" si="6"/>
        <v>0</v>
      </c>
      <c r="X8" s="89">
        <f t="shared" si="7"/>
        <v>0</v>
      </c>
      <c r="Y8" s="89">
        <f t="shared" si="8"/>
        <v>0</v>
      </c>
      <c r="Z8" s="89">
        <f t="shared" si="10"/>
        <v>0</v>
      </c>
      <c r="AA8" s="41">
        <f t="shared" si="11"/>
        <v>0</v>
      </c>
      <c r="AB8" s="49"/>
      <c r="AC8" s="50"/>
      <c r="AD8" s="49" t="s">
        <v>5</v>
      </c>
      <c r="AE8" s="50" t="s">
        <v>133</v>
      </c>
      <c r="AF8" s="49"/>
      <c r="AG8" s="50"/>
      <c r="AH8" s="49"/>
      <c r="AI8" s="50"/>
      <c r="AJ8" s="49"/>
      <c r="AK8" s="50"/>
      <c r="AL8" s="49"/>
      <c r="AM8" s="50"/>
      <c r="AN8" s="49"/>
      <c r="AO8" s="50"/>
      <c r="AP8" s="49"/>
      <c r="AQ8" s="50"/>
      <c r="AR8" s="49"/>
      <c r="AS8" s="50"/>
      <c r="AT8" s="49"/>
      <c r="AU8" s="50"/>
      <c r="AV8" s="49" t="s">
        <v>1</v>
      </c>
      <c r="AW8" s="50" t="s">
        <v>421</v>
      </c>
      <c r="AX8" s="49"/>
      <c r="AY8" s="50"/>
      <c r="AZ8" s="49"/>
      <c r="BA8" s="50"/>
      <c r="BB8" s="49" t="s">
        <v>5</v>
      </c>
      <c r="BC8" s="50" t="s">
        <v>76</v>
      </c>
      <c r="BD8" s="49"/>
      <c r="BE8" s="50"/>
      <c r="BF8" s="49"/>
      <c r="BG8" s="50"/>
      <c r="BH8" s="49"/>
      <c r="BI8" s="50"/>
      <c r="BJ8" s="49"/>
      <c r="BK8" s="50"/>
      <c r="BL8" s="49"/>
      <c r="BM8" s="50"/>
      <c r="BN8" s="49"/>
      <c r="BO8" s="50"/>
      <c r="BP8" s="49"/>
      <c r="BQ8" s="50"/>
      <c r="BR8" s="49"/>
      <c r="BS8" s="50"/>
      <c r="BT8" s="49"/>
      <c r="BU8" s="50"/>
      <c r="BV8" s="49"/>
      <c r="BW8" s="50"/>
      <c r="BX8" s="49" t="s">
        <v>1</v>
      </c>
      <c r="BY8" s="50" t="s">
        <v>425</v>
      </c>
      <c r="BZ8" s="49"/>
      <c r="CA8" s="50"/>
      <c r="CB8" s="49"/>
      <c r="CC8" s="50"/>
    </row>
    <row r="9" spans="1:81" s="120" customFormat="1" ht="14.25" customHeight="1" x14ac:dyDescent="0.25">
      <c r="A9" s="79">
        <v>152208</v>
      </c>
      <c r="B9" s="77" t="s">
        <v>1416</v>
      </c>
      <c r="C9" s="98" t="s">
        <v>1417</v>
      </c>
      <c r="D9" s="90" t="s">
        <v>70</v>
      </c>
      <c r="E9" s="79" t="s">
        <v>14</v>
      </c>
      <c r="F9" s="79" t="s">
        <v>158</v>
      </c>
      <c r="G9" s="78" t="s">
        <v>14</v>
      </c>
      <c r="H9" s="121" t="s">
        <v>14</v>
      </c>
      <c r="I9" s="79" t="s">
        <v>14</v>
      </c>
      <c r="J9" s="122">
        <v>5.4</v>
      </c>
      <c r="K9" s="123">
        <v>2</v>
      </c>
      <c r="L9" s="124">
        <v>0</v>
      </c>
      <c r="M9" s="125">
        <v>0</v>
      </c>
      <c r="N9" s="118">
        <v>100</v>
      </c>
      <c r="O9" s="118">
        <v>100</v>
      </c>
      <c r="P9" s="119">
        <v>6</v>
      </c>
      <c r="Q9" s="87">
        <f t="shared" si="0"/>
        <v>0</v>
      </c>
      <c r="R9" s="88">
        <f t="shared" si="1"/>
        <v>3</v>
      </c>
      <c r="S9" s="89">
        <f t="shared" si="2"/>
        <v>1</v>
      </c>
      <c r="T9" s="89">
        <f t="shared" si="3"/>
        <v>0</v>
      </c>
      <c r="U9" s="89">
        <f t="shared" si="4"/>
        <v>0</v>
      </c>
      <c r="V9" s="89">
        <f t="shared" si="5"/>
        <v>1</v>
      </c>
      <c r="W9" s="89">
        <f t="shared" si="6"/>
        <v>0</v>
      </c>
      <c r="X9" s="89">
        <f t="shared" si="7"/>
        <v>0</v>
      </c>
      <c r="Y9" s="89">
        <f t="shared" si="8"/>
        <v>0</v>
      </c>
      <c r="Z9" s="89">
        <f t="shared" si="10"/>
        <v>0</v>
      </c>
      <c r="AA9" s="41">
        <f t="shared" si="11"/>
        <v>0</v>
      </c>
      <c r="AB9" s="49"/>
      <c r="AC9" s="50"/>
      <c r="AD9" s="49"/>
      <c r="AE9" s="50"/>
      <c r="AF9" s="49" t="s">
        <v>5</v>
      </c>
      <c r="AG9" s="50" t="s">
        <v>427</v>
      </c>
      <c r="AH9" s="49"/>
      <c r="AI9" s="50"/>
      <c r="AJ9" s="49"/>
      <c r="AK9" s="50"/>
      <c r="AL9" s="49"/>
      <c r="AM9" s="50"/>
      <c r="AN9" s="49"/>
      <c r="AO9" s="50"/>
      <c r="AP9" s="49"/>
      <c r="AQ9" s="50"/>
      <c r="AR9" s="49" t="s">
        <v>5</v>
      </c>
      <c r="AS9" s="50" t="s">
        <v>459</v>
      </c>
      <c r="AT9" s="49"/>
      <c r="AU9" s="50"/>
      <c r="AV9" s="49" t="s">
        <v>30</v>
      </c>
      <c r="AW9" s="50" t="s">
        <v>425</v>
      </c>
      <c r="AX9" s="49"/>
      <c r="AY9" s="50"/>
      <c r="AZ9" s="49"/>
      <c r="BA9" s="50"/>
      <c r="BB9" s="49"/>
      <c r="BC9" s="50"/>
      <c r="BD9" s="49"/>
      <c r="BE9" s="50"/>
      <c r="BF9" s="49"/>
      <c r="BG9" s="50"/>
      <c r="BH9" s="49"/>
      <c r="BI9" s="50"/>
      <c r="BJ9" s="49"/>
      <c r="BK9" s="50"/>
      <c r="BL9" s="49"/>
      <c r="BM9" s="50"/>
      <c r="BN9" s="49"/>
      <c r="BO9" s="50"/>
      <c r="BP9" s="49"/>
      <c r="BQ9" s="50"/>
      <c r="BR9" s="49"/>
      <c r="BS9" s="50"/>
      <c r="BT9" s="49"/>
      <c r="BU9" s="50"/>
      <c r="BV9" s="49"/>
      <c r="BW9" s="50"/>
      <c r="BX9" s="49"/>
      <c r="BY9" s="50"/>
      <c r="BZ9" s="49" t="s">
        <v>5</v>
      </c>
      <c r="CA9" s="50" t="s">
        <v>420</v>
      </c>
      <c r="CB9" s="49"/>
      <c r="CC9" s="50"/>
    </row>
    <row r="10" spans="1:81" s="120" customFormat="1" ht="14.25" customHeight="1" x14ac:dyDescent="0.25">
      <c r="A10" s="79">
        <v>150428</v>
      </c>
      <c r="B10" s="77" t="s">
        <v>1418</v>
      </c>
      <c r="C10" s="98" t="s">
        <v>1419</v>
      </c>
      <c r="D10" s="90" t="s">
        <v>70</v>
      </c>
      <c r="E10" s="79" t="s">
        <v>14</v>
      </c>
      <c r="F10" s="79" t="s">
        <v>115</v>
      </c>
      <c r="G10" s="78" t="s">
        <v>14</v>
      </c>
      <c r="H10" s="121" t="s">
        <v>14</v>
      </c>
      <c r="I10" s="79" t="s">
        <v>14</v>
      </c>
      <c r="J10" s="122">
        <v>8.5</v>
      </c>
      <c r="K10" s="123">
        <v>1</v>
      </c>
      <c r="L10" s="124">
        <v>0</v>
      </c>
      <c r="M10" s="125">
        <v>0</v>
      </c>
      <c r="N10" s="118">
        <v>100</v>
      </c>
      <c r="O10" s="118">
        <v>100</v>
      </c>
      <c r="P10" s="119">
        <v>1</v>
      </c>
      <c r="Q10" s="87">
        <f t="shared" si="0"/>
        <v>1</v>
      </c>
      <c r="R10" s="88">
        <f t="shared" si="1"/>
        <v>3</v>
      </c>
      <c r="S10" s="89">
        <f t="shared" si="2"/>
        <v>0</v>
      </c>
      <c r="T10" s="89">
        <f t="shared" si="3"/>
        <v>0</v>
      </c>
      <c r="U10" s="89">
        <f t="shared" si="4"/>
        <v>0</v>
      </c>
      <c r="V10" s="89">
        <f t="shared" si="5"/>
        <v>0</v>
      </c>
      <c r="W10" s="89">
        <f t="shared" si="6"/>
        <v>0</v>
      </c>
      <c r="X10" s="89">
        <f t="shared" si="7"/>
        <v>0</v>
      </c>
      <c r="Y10" s="89">
        <f t="shared" si="8"/>
        <v>0</v>
      </c>
      <c r="Z10" s="89">
        <f t="shared" si="10"/>
        <v>0</v>
      </c>
      <c r="AA10" s="41">
        <f t="shared" si="11"/>
        <v>0</v>
      </c>
      <c r="AB10" s="49"/>
      <c r="AC10" s="50"/>
      <c r="AD10" s="49" t="s">
        <v>5</v>
      </c>
      <c r="AE10" s="50" t="s">
        <v>438</v>
      </c>
      <c r="AF10" s="49"/>
      <c r="AG10" s="50"/>
      <c r="AH10" s="49" t="s">
        <v>5</v>
      </c>
      <c r="AI10" s="50" t="s">
        <v>137</v>
      </c>
      <c r="AJ10" s="49"/>
      <c r="AK10" s="50"/>
      <c r="AL10" s="49"/>
      <c r="AM10" s="50"/>
      <c r="AN10" s="49"/>
      <c r="AO10" s="50"/>
      <c r="AP10" s="49"/>
      <c r="AQ10" s="50"/>
      <c r="AR10" s="49"/>
      <c r="AS10" s="50"/>
      <c r="AT10" s="49"/>
      <c r="AU10" s="50"/>
      <c r="AV10" s="49" t="s">
        <v>5</v>
      </c>
      <c r="AW10" s="50" t="s">
        <v>602</v>
      </c>
      <c r="AX10" s="49"/>
      <c r="AY10" s="50"/>
      <c r="AZ10" s="49"/>
      <c r="BA10" s="50"/>
      <c r="BB10" s="49"/>
      <c r="BC10" s="50"/>
      <c r="BD10" s="49"/>
      <c r="BE10" s="50"/>
      <c r="BF10" s="49"/>
      <c r="BG10" s="50"/>
      <c r="BH10" s="49" t="s">
        <v>1</v>
      </c>
      <c r="BI10" s="50" t="s">
        <v>139</v>
      </c>
      <c r="BJ10" s="49"/>
      <c r="BK10" s="50"/>
      <c r="BL10" s="49"/>
      <c r="BM10" s="50"/>
      <c r="BN10" s="49"/>
      <c r="BO10" s="50"/>
      <c r="BP10" s="49"/>
      <c r="BQ10" s="50"/>
      <c r="BR10" s="49"/>
      <c r="BS10" s="50"/>
      <c r="BT10" s="49"/>
      <c r="BU10" s="50"/>
      <c r="BV10" s="49"/>
      <c r="BW10" s="50"/>
      <c r="BX10" s="49"/>
      <c r="BY10" s="50"/>
      <c r="BZ10" s="49"/>
      <c r="CA10" s="50"/>
      <c r="CB10" s="49"/>
      <c r="CC10" s="50"/>
    </row>
    <row r="11" spans="1:81" s="120" customFormat="1" ht="14.25" customHeight="1" x14ac:dyDescent="0.25">
      <c r="A11" s="79">
        <v>150507</v>
      </c>
      <c r="B11" s="77" t="s">
        <v>1420</v>
      </c>
      <c r="C11" s="98" t="s">
        <v>1421</v>
      </c>
      <c r="D11" s="90" t="s">
        <v>12</v>
      </c>
      <c r="E11" s="79" t="s">
        <v>14</v>
      </c>
      <c r="F11" s="79" t="s">
        <v>88</v>
      </c>
      <c r="G11" s="78" t="s">
        <v>14</v>
      </c>
      <c r="H11" s="121" t="s">
        <v>14</v>
      </c>
      <c r="I11" s="79" t="s">
        <v>14</v>
      </c>
      <c r="J11" s="122">
        <v>6.1</v>
      </c>
      <c r="K11" s="123">
        <v>1</v>
      </c>
      <c r="L11" s="124">
        <v>0</v>
      </c>
      <c r="M11" s="125">
        <v>0</v>
      </c>
      <c r="N11" s="118">
        <v>93.75</v>
      </c>
      <c r="O11" s="118">
        <v>90.48</v>
      </c>
      <c r="P11" s="119">
        <v>3</v>
      </c>
      <c r="Q11" s="87">
        <f t="shared" si="0"/>
        <v>1</v>
      </c>
      <c r="R11" s="88">
        <f t="shared" si="1"/>
        <v>3</v>
      </c>
      <c r="S11" s="89">
        <f t="shared" si="2"/>
        <v>0</v>
      </c>
      <c r="T11" s="89">
        <f t="shared" si="3"/>
        <v>0</v>
      </c>
      <c r="U11" s="89">
        <f t="shared" si="4"/>
        <v>0</v>
      </c>
      <c r="V11" s="89">
        <f t="shared" si="5"/>
        <v>0</v>
      </c>
      <c r="W11" s="89">
        <f t="shared" si="6"/>
        <v>0</v>
      </c>
      <c r="X11" s="89">
        <f t="shared" si="7"/>
        <v>0</v>
      </c>
      <c r="Y11" s="89">
        <f t="shared" si="8"/>
        <v>0</v>
      </c>
      <c r="Z11" s="89">
        <f t="shared" si="10"/>
        <v>0</v>
      </c>
      <c r="AA11" s="41">
        <f t="shared" si="11"/>
        <v>0</v>
      </c>
      <c r="AB11" s="49"/>
      <c r="AC11" s="50"/>
      <c r="AD11" s="49" t="s">
        <v>5</v>
      </c>
      <c r="AE11" s="50" t="s">
        <v>438</v>
      </c>
      <c r="AF11" s="49"/>
      <c r="AG11" s="50"/>
      <c r="AH11" s="49"/>
      <c r="AI11" s="50"/>
      <c r="AJ11" s="49"/>
      <c r="AK11" s="50"/>
      <c r="AL11" s="49"/>
      <c r="AM11" s="50"/>
      <c r="AN11" s="49"/>
      <c r="AO11" s="50"/>
      <c r="AP11" s="49"/>
      <c r="AQ11" s="50"/>
      <c r="AR11" s="49"/>
      <c r="AS11" s="50"/>
      <c r="AT11" s="49"/>
      <c r="AU11" s="50"/>
      <c r="AV11" s="49" t="s">
        <v>5</v>
      </c>
      <c r="AW11" s="50" t="s">
        <v>151</v>
      </c>
      <c r="AX11" s="49"/>
      <c r="AY11" s="50"/>
      <c r="AZ11" s="49"/>
      <c r="BA11" s="50"/>
      <c r="BB11" s="49"/>
      <c r="BC11" s="50"/>
      <c r="BD11" s="49"/>
      <c r="BE11" s="50"/>
      <c r="BF11" s="49"/>
      <c r="BG11" s="50"/>
      <c r="BH11" s="49" t="s">
        <v>5</v>
      </c>
      <c r="BI11" s="50" t="s">
        <v>139</v>
      </c>
      <c r="BJ11" s="49"/>
      <c r="BK11" s="50"/>
      <c r="BL11" s="49"/>
      <c r="BM11" s="50"/>
      <c r="BN11" s="49"/>
      <c r="BO11" s="50"/>
      <c r="BP11" s="49"/>
      <c r="BQ11" s="50"/>
      <c r="BR11" s="49" t="s">
        <v>1</v>
      </c>
      <c r="BS11" s="50" t="s">
        <v>81</v>
      </c>
      <c r="BT11" s="49"/>
      <c r="BU11" s="50"/>
      <c r="BV11" s="49"/>
      <c r="BW11" s="50"/>
      <c r="BX11" s="49"/>
      <c r="BY11" s="50"/>
      <c r="BZ11" s="49"/>
      <c r="CA11" s="50"/>
      <c r="CB11" s="49"/>
      <c r="CC11" s="50"/>
    </row>
    <row r="12" spans="1:81" s="120" customFormat="1" ht="14.25" customHeight="1" x14ac:dyDescent="0.25">
      <c r="A12" s="79">
        <v>150447</v>
      </c>
      <c r="B12" s="77" t="s">
        <v>1422</v>
      </c>
      <c r="C12" s="98" t="s">
        <v>1417</v>
      </c>
      <c r="D12" s="90" t="s">
        <v>12</v>
      </c>
      <c r="E12" s="79" t="s">
        <v>14</v>
      </c>
      <c r="F12" s="79" t="s">
        <v>71</v>
      </c>
      <c r="G12" s="78" t="s">
        <v>14</v>
      </c>
      <c r="H12" s="121" t="s">
        <v>14</v>
      </c>
      <c r="I12" s="79" t="s">
        <v>14</v>
      </c>
      <c r="J12" s="122">
        <v>7.6</v>
      </c>
      <c r="K12" s="123">
        <v>0</v>
      </c>
      <c r="L12" s="124">
        <v>0</v>
      </c>
      <c r="M12" s="125">
        <v>0</v>
      </c>
      <c r="N12" s="118">
        <v>97.25</v>
      </c>
      <c r="O12" s="118">
        <v>97.44</v>
      </c>
      <c r="P12" s="119">
        <v>4</v>
      </c>
      <c r="Q12" s="87">
        <f t="shared" si="0"/>
        <v>1</v>
      </c>
      <c r="R12" s="88">
        <f t="shared" si="1"/>
        <v>3</v>
      </c>
      <c r="S12" s="89">
        <f t="shared" si="2"/>
        <v>0</v>
      </c>
      <c r="T12" s="89">
        <f t="shared" si="3"/>
        <v>0</v>
      </c>
      <c r="U12" s="89">
        <f t="shared" si="4"/>
        <v>0</v>
      </c>
      <c r="V12" s="89">
        <f t="shared" si="5"/>
        <v>0</v>
      </c>
      <c r="W12" s="89">
        <f t="shared" si="6"/>
        <v>0</v>
      </c>
      <c r="X12" s="89">
        <f t="shared" si="7"/>
        <v>0</v>
      </c>
      <c r="Y12" s="89">
        <f t="shared" si="8"/>
        <v>0</v>
      </c>
      <c r="Z12" s="89">
        <f t="shared" si="10"/>
        <v>0</v>
      </c>
      <c r="AA12" s="41">
        <f t="shared" si="11"/>
        <v>0</v>
      </c>
      <c r="AB12" s="49"/>
      <c r="AC12" s="50"/>
      <c r="AD12" s="49"/>
      <c r="AE12" s="50"/>
      <c r="AF12" s="49"/>
      <c r="AG12" s="50"/>
      <c r="AH12" s="49"/>
      <c r="AI12" s="50"/>
      <c r="AJ12" s="49"/>
      <c r="AK12" s="50"/>
      <c r="AL12" s="49"/>
      <c r="AM12" s="50"/>
      <c r="AN12" s="49"/>
      <c r="AO12" s="50"/>
      <c r="AP12" s="49"/>
      <c r="AQ12" s="50"/>
      <c r="AR12" s="49" t="s">
        <v>5</v>
      </c>
      <c r="AS12" s="50" t="s">
        <v>91</v>
      </c>
      <c r="AT12" s="49"/>
      <c r="AU12" s="50"/>
      <c r="AV12" s="49" t="s">
        <v>5</v>
      </c>
      <c r="AW12" s="50" t="s">
        <v>425</v>
      </c>
      <c r="AX12" s="49"/>
      <c r="AY12" s="50"/>
      <c r="AZ12" s="49"/>
      <c r="BA12" s="50"/>
      <c r="BB12" s="49"/>
      <c r="BC12" s="50"/>
      <c r="BD12" s="49"/>
      <c r="BE12" s="50"/>
      <c r="BF12" s="49" t="s">
        <v>1</v>
      </c>
      <c r="BG12" s="50" t="s">
        <v>77</v>
      </c>
      <c r="BH12" s="49"/>
      <c r="BI12" s="50"/>
      <c r="BJ12" s="49"/>
      <c r="BK12" s="50"/>
      <c r="BL12" s="49"/>
      <c r="BM12" s="50"/>
      <c r="BN12" s="49"/>
      <c r="BO12" s="50"/>
      <c r="BP12" s="49"/>
      <c r="BQ12" s="50"/>
      <c r="BR12" s="49"/>
      <c r="BS12" s="50"/>
      <c r="BT12" s="49"/>
      <c r="BU12" s="50"/>
      <c r="BV12" s="49" t="s">
        <v>5</v>
      </c>
      <c r="BW12" s="50" t="s">
        <v>93</v>
      </c>
      <c r="BX12" s="49"/>
      <c r="BY12" s="50"/>
      <c r="BZ12" s="49"/>
      <c r="CA12" s="50"/>
      <c r="CB12" s="49"/>
      <c r="CC12" s="50"/>
    </row>
    <row r="13" spans="1:81" s="120" customFormat="1" ht="14.25" customHeight="1" x14ac:dyDescent="0.25">
      <c r="A13" s="79">
        <v>152200</v>
      </c>
      <c r="B13" s="77" t="s">
        <v>1423</v>
      </c>
      <c r="C13" s="98" t="s">
        <v>1419</v>
      </c>
      <c r="D13" s="90" t="s">
        <v>70</v>
      </c>
      <c r="E13" s="79" t="s">
        <v>14</v>
      </c>
      <c r="F13" s="79" t="s">
        <v>88</v>
      </c>
      <c r="G13" s="78" t="s">
        <v>14</v>
      </c>
      <c r="H13" s="121" t="s">
        <v>14</v>
      </c>
      <c r="I13" s="79" t="s">
        <v>14</v>
      </c>
      <c r="J13" s="122">
        <v>5.4</v>
      </c>
      <c r="K13" s="123">
        <v>0</v>
      </c>
      <c r="L13" s="124">
        <v>0</v>
      </c>
      <c r="M13" s="125">
        <v>0</v>
      </c>
      <c r="N13" s="118">
        <v>100</v>
      </c>
      <c r="O13" s="118">
        <v>100</v>
      </c>
      <c r="P13" s="119">
        <v>0</v>
      </c>
      <c r="Q13" s="87">
        <f t="shared" si="0"/>
        <v>0</v>
      </c>
      <c r="R13" s="88">
        <f t="shared" si="1"/>
        <v>3</v>
      </c>
      <c r="S13" s="89">
        <f t="shared" si="2"/>
        <v>1</v>
      </c>
      <c r="T13" s="89">
        <f t="shared" si="3"/>
        <v>0</v>
      </c>
      <c r="U13" s="89">
        <f t="shared" si="4"/>
        <v>0</v>
      </c>
      <c r="V13" s="89">
        <f t="shared" si="5"/>
        <v>1</v>
      </c>
      <c r="W13" s="89">
        <f t="shared" si="6"/>
        <v>0</v>
      </c>
      <c r="X13" s="89">
        <f t="shared" si="7"/>
        <v>0</v>
      </c>
      <c r="Y13" s="89">
        <f t="shared" si="8"/>
        <v>0</v>
      </c>
      <c r="Z13" s="89">
        <f t="shared" si="10"/>
        <v>0</v>
      </c>
      <c r="AA13" s="41">
        <f t="shared" si="11"/>
        <v>0</v>
      </c>
      <c r="AB13" s="49"/>
      <c r="AC13" s="50"/>
      <c r="AD13" s="49" t="s">
        <v>5</v>
      </c>
      <c r="AE13" s="50" t="s">
        <v>133</v>
      </c>
      <c r="AF13" s="49"/>
      <c r="AG13" s="50"/>
      <c r="AH13" s="49" t="s">
        <v>30</v>
      </c>
      <c r="AI13" s="50" t="s">
        <v>424</v>
      </c>
      <c r="AJ13" s="49"/>
      <c r="AK13" s="50"/>
      <c r="AL13" s="49"/>
      <c r="AM13" s="50"/>
      <c r="AN13" s="49"/>
      <c r="AO13" s="50"/>
      <c r="AP13" s="49"/>
      <c r="AQ13" s="50"/>
      <c r="AR13" s="49"/>
      <c r="AS13" s="50"/>
      <c r="AT13" s="49"/>
      <c r="AU13" s="50"/>
      <c r="AV13" s="49" t="s">
        <v>5</v>
      </c>
      <c r="AW13" s="50" t="s">
        <v>476</v>
      </c>
      <c r="AX13" s="49"/>
      <c r="AY13" s="50"/>
      <c r="AZ13" s="49"/>
      <c r="BA13" s="50"/>
      <c r="BB13" s="49"/>
      <c r="BC13" s="50"/>
      <c r="BD13" s="49"/>
      <c r="BE13" s="50"/>
      <c r="BF13" s="49"/>
      <c r="BG13" s="50"/>
      <c r="BH13" s="49"/>
      <c r="BI13" s="50"/>
      <c r="BJ13" s="49"/>
      <c r="BK13" s="50"/>
      <c r="BL13" s="49"/>
      <c r="BM13" s="50"/>
      <c r="BN13" s="49"/>
      <c r="BO13" s="50"/>
      <c r="BP13" s="49"/>
      <c r="BQ13" s="50"/>
      <c r="BR13" s="49"/>
      <c r="BS13" s="50"/>
      <c r="BT13" s="49"/>
      <c r="BU13" s="50"/>
      <c r="BV13" s="49"/>
      <c r="BW13" s="50"/>
      <c r="BX13" s="49" t="s">
        <v>5</v>
      </c>
      <c r="BY13" s="50" t="s">
        <v>425</v>
      </c>
      <c r="BZ13" s="49"/>
      <c r="CA13" s="50"/>
      <c r="CB13" s="49"/>
      <c r="CC13" s="50"/>
    </row>
    <row r="14" spans="1:81" s="120" customFormat="1" ht="14.25" customHeight="1" x14ac:dyDescent="0.25">
      <c r="A14" s="79">
        <v>152103</v>
      </c>
      <c r="B14" s="77" t="s">
        <v>1424</v>
      </c>
      <c r="C14" s="98" t="s">
        <v>1405</v>
      </c>
      <c r="D14" s="90" t="s">
        <v>70</v>
      </c>
      <c r="E14" s="79" t="s">
        <v>87</v>
      </c>
      <c r="F14" s="79" t="s">
        <v>71</v>
      </c>
      <c r="G14" s="78" t="s">
        <v>14</v>
      </c>
      <c r="H14" s="121" t="s">
        <v>14</v>
      </c>
      <c r="I14" s="79" t="s">
        <v>14</v>
      </c>
      <c r="J14" s="122">
        <v>5.4</v>
      </c>
      <c r="K14" s="123">
        <v>1</v>
      </c>
      <c r="L14" s="124">
        <v>0</v>
      </c>
      <c r="M14" s="125">
        <v>0</v>
      </c>
      <c r="N14" s="118">
        <v>100</v>
      </c>
      <c r="O14" s="118">
        <v>100</v>
      </c>
      <c r="P14" s="119">
        <v>0</v>
      </c>
      <c r="Q14" s="87">
        <f t="shared" si="0"/>
        <v>2</v>
      </c>
      <c r="R14" s="88">
        <f t="shared" si="1"/>
        <v>2</v>
      </c>
      <c r="S14" s="89">
        <f t="shared" si="2"/>
        <v>0</v>
      </c>
      <c r="T14" s="89">
        <f t="shared" si="3"/>
        <v>0</v>
      </c>
      <c r="U14" s="89">
        <f t="shared" si="4"/>
        <v>0</v>
      </c>
      <c r="V14" s="89">
        <f t="shared" si="5"/>
        <v>0</v>
      </c>
      <c r="W14" s="89">
        <f t="shared" si="6"/>
        <v>0</v>
      </c>
      <c r="X14" s="89">
        <f t="shared" si="7"/>
        <v>0</v>
      </c>
      <c r="Y14" s="89">
        <f t="shared" si="8"/>
        <v>0</v>
      </c>
      <c r="Z14" s="89">
        <f t="shared" si="10"/>
        <v>0</v>
      </c>
      <c r="AA14" s="41">
        <f t="shared" si="11"/>
        <v>0</v>
      </c>
      <c r="AB14" s="49" t="s">
        <v>5</v>
      </c>
      <c r="AC14" s="50" t="s">
        <v>72</v>
      </c>
      <c r="AD14" s="49"/>
      <c r="AE14" s="50"/>
      <c r="AF14" s="49"/>
      <c r="AG14" s="50"/>
      <c r="AH14" s="49"/>
      <c r="AI14" s="50"/>
      <c r="AJ14" s="49"/>
      <c r="AK14" s="50"/>
      <c r="AL14" s="49"/>
      <c r="AM14" s="50"/>
      <c r="AN14" s="49"/>
      <c r="AO14" s="50"/>
      <c r="AP14" s="49"/>
      <c r="AQ14" s="50"/>
      <c r="AR14" s="49"/>
      <c r="AS14" s="50"/>
      <c r="AT14" s="49" t="s">
        <v>5</v>
      </c>
      <c r="AU14" s="50" t="s">
        <v>448</v>
      </c>
      <c r="AV14" s="49" t="s">
        <v>1</v>
      </c>
      <c r="AW14" s="50" t="s">
        <v>122</v>
      </c>
      <c r="AX14" s="49"/>
      <c r="AY14" s="50"/>
      <c r="AZ14" s="49"/>
      <c r="BA14" s="50"/>
      <c r="BB14" s="49"/>
      <c r="BC14" s="50"/>
      <c r="BD14" s="49"/>
      <c r="BE14" s="50"/>
      <c r="BF14" s="49"/>
      <c r="BG14" s="50"/>
      <c r="BH14" s="49"/>
      <c r="BI14" s="50"/>
      <c r="BJ14" s="49"/>
      <c r="BK14" s="50"/>
      <c r="BL14" s="49"/>
      <c r="BM14" s="50"/>
      <c r="BN14" s="49"/>
      <c r="BO14" s="50"/>
      <c r="BP14" s="49"/>
      <c r="BQ14" s="50"/>
      <c r="BR14" s="49"/>
      <c r="BS14" s="50"/>
      <c r="BT14" s="49"/>
      <c r="BU14" s="50"/>
      <c r="BV14" s="49"/>
      <c r="BW14" s="50"/>
      <c r="BX14" s="49" t="s">
        <v>1</v>
      </c>
      <c r="BY14" s="50" t="s">
        <v>425</v>
      </c>
      <c r="BZ14" s="49"/>
      <c r="CA14" s="50"/>
      <c r="CB14" s="49"/>
      <c r="CC14" s="50"/>
    </row>
    <row r="15" spans="1:81" s="120" customFormat="1" ht="14.25" customHeight="1" x14ac:dyDescent="0.25">
      <c r="A15" s="79">
        <v>150412</v>
      </c>
      <c r="B15" s="77" t="s">
        <v>1425</v>
      </c>
      <c r="C15" s="98" t="s">
        <v>1405</v>
      </c>
      <c r="D15" s="90" t="s">
        <v>70</v>
      </c>
      <c r="E15" s="79" t="s">
        <v>14</v>
      </c>
      <c r="F15" s="79" t="s">
        <v>88</v>
      </c>
      <c r="G15" s="78" t="s">
        <v>14</v>
      </c>
      <c r="H15" s="121" t="s">
        <v>14</v>
      </c>
      <c r="I15" s="79" t="s">
        <v>14</v>
      </c>
      <c r="J15" s="122">
        <v>4.9000000000000004</v>
      </c>
      <c r="K15" s="123">
        <v>1</v>
      </c>
      <c r="L15" s="124">
        <v>0</v>
      </c>
      <c r="M15" s="125">
        <v>0</v>
      </c>
      <c r="N15" s="118">
        <v>95.24</v>
      </c>
      <c r="O15" s="118">
        <v>92.11</v>
      </c>
      <c r="P15" s="119">
        <v>3</v>
      </c>
      <c r="Q15" s="87">
        <f t="shared" si="0"/>
        <v>0</v>
      </c>
      <c r="R15" s="88">
        <f t="shared" si="1"/>
        <v>4</v>
      </c>
      <c r="S15" s="89">
        <f t="shared" si="2"/>
        <v>0</v>
      </c>
      <c r="T15" s="89">
        <f t="shared" si="3"/>
        <v>0</v>
      </c>
      <c r="U15" s="89">
        <f t="shared" si="4"/>
        <v>0</v>
      </c>
      <c r="V15" s="89">
        <f t="shared" si="5"/>
        <v>0</v>
      </c>
      <c r="W15" s="89">
        <f t="shared" si="6"/>
        <v>0</v>
      </c>
      <c r="X15" s="89">
        <f t="shared" si="7"/>
        <v>0</v>
      </c>
      <c r="Y15" s="89">
        <f t="shared" si="8"/>
        <v>0</v>
      </c>
      <c r="Z15" s="89">
        <f t="shared" si="10"/>
        <v>0</v>
      </c>
      <c r="AA15" s="41">
        <f t="shared" si="11"/>
        <v>0</v>
      </c>
      <c r="AB15" s="49"/>
      <c r="AC15" s="50"/>
      <c r="AD15" s="49"/>
      <c r="AE15" s="50"/>
      <c r="AF15" s="49" t="s">
        <v>5</v>
      </c>
      <c r="AG15" s="50" t="s">
        <v>427</v>
      </c>
      <c r="AH15" s="49"/>
      <c r="AI15" s="50"/>
      <c r="AJ15" s="49" t="s">
        <v>5</v>
      </c>
      <c r="AK15" s="50" t="s">
        <v>163</v>
      </c>
      <c r="AL15" s="49"/>
      <c r="AM15" s="50"/>
      <c r="AN15" s="49"/>
      <c r="AO15" s="50"/>
      <c r="AP15" s="49"/>
      <c r="AQ15" s="50"/>
      <c r="AR15" s="49"/>
      <c r="AS15" s="50"/>
      <c r="AT15" s="49"/>
      <c r="AU15" s="50"/>
      <c r="AV15" s="49" t="s">
        <v>5</v>
      </c>
      <c r="AW15" s="50" t="s">
        <v>495</v>
      </c>
      <c r="AX15" s="49"/>
      <c r="AY15" s="50"/>
      <c r="AZ15" s="49"/>
      <c r="BA15" s="50"/>
      <c r="BB15" s="49"/>
      <c r="BC15" s="50"/>
      <c r="BD15" s="49"/>
      <c r="BE15" s="50"/>
      <c r="BF15" s="49"/>
      <c r="BG15" s="50"/>
      <c r="BH15" s="49"/>
      <c r="BI15" s="50"/>
      <c r="BJ15" s="49"/>
      <c r="BK15" s="50"/>
      <c r="BL15" s="49"/>
      <c r="BM15" s="50"/>
      <c r="BN15" s="49"/>
      <c r="BO15" s="50"/>
      <c r="BP15" s="49"/>
      <c r="BQ15" s="50"/>
      <c r="BR15" s="49"/>
      <c r="BS15" s="50"/>
      <c r="BT15" s="49"/>
      <c r="BU15" s="50"/>
      <c r="BV15" s="49"/>
      <c r="BW15" s="50"/>
      <c r="BX15" s="49" t="s">
        <v>5</v>
      </c>
      <c r="BY15" s="50" t="s">
        <v>425</v>
      </c>
      <c r="BZ15" s="49"/>
      <c r="CA15" s="50"/>
      <c r="CB15" s="49"/>
      <c r="CC15" s="50"/>
    </row>
    <row r="16" spans="1:81" s="120" customFormat="1" ht="14.25" customHeight="1" x14ac:dyDescent="0.25">
      <c r="A16" s="79">
        <v>150415</v>
      </c>
      <c r="B16" s="77" t="s">
        <v>1426</v>
      </c>
      <c r="C16" s="98" t="s">
        <v>1414</v>
      </c>
      <c r="D16" s="90" t="s">
        <v>12</v>
      </c>
      <c r="E16" s="79" t="s">
        <v>14</v>
      </c>
      <c r="F16" s="79" t="s">
        <v>71</v>
      </c>
      <c r="G16" s="78" t="s">
        <v>14</v>
      </c>
      <c r="H16" s="121" t="s">
        <v>14</v>
      </c>
      <c r="I16" s="79" t="s">
        <v>14</v>
      </c>
      <c r="J16" s="122">
        <v>4.4000000000000004</v>
      </c>
      <c r="K16" s="123">
        <v>0</v>
      </c>
      <c r="L16" s="124">
        <v>0</v>
      </c>
      <c r="M16" s="125">
        <v>0</v>
      </c>
      <c r="N16" s="118">
        <v>100</v>
      </c>
      <c r="O16" s="118">
        <v>100</v>
      </c>
      <c r="P16" s="119">
        <v>2</v>
      </c>
      <c r="Q16" s="87">
        <f t="shared" si="0"/>
        <v>1</v>
      </c>
      <c r="R16" s="88">
        <f t="shared" si="1"/>
        <v>3</v>
      </c>
      <c r="S16" s="89">
        <f t="shared" si="2"/>
        <v>0</v>
      </c>
      <c r="T16" s="89">
        <f t="shared" si="3"/>
        <v>0</v>
      </c>
      <c r="U16" s="89">
        <f t="shared" si="4"/>
        <v>0</v>
      </c>
      <c r="V16" s="89">
        <f t="shared" si="5"/>
        <v>0</v>
      </c>
      <c r="W16" s="89">
        <f t="shared" si="6"/>
        <v>0</v>
      </c>
      <c r="X16" s="89">
        <f t="shared" si="7"/>
        <v>0</v>
      </c>
      <c r="Y16" s="89">
        <f t="shared" si="8"/>
        <v>0</v>
      </c>
      <c r="Z16" s="89">
        <f t="shared" si="10"/>
        <v>0</v>
      </c>
      <c r="AA16" s="41">
        <f t="shared" si="11"/>
        <v>0</v>
      </c>
      <c r="AB16" s="49"/>
      <c r="AC16" s="50"/>
      <c r="AD16" s="49"/>
      <c r="AE16" s="50"/>
      <c r="AF16" s="49"/>
      <c r="AG16" s="50"/>
      <c r="AH16" s="49"/>
      <c r="AI16" s="50"/>
      <c r="AJ16" s="49"/>
      <c r="AK16" s="50"/>
      <c r="AL16" s="49"/>
      <c r="AM16" s="50"/>
      <c r="AN16" s="49"/>
      <c r="AO16" s="50"/>
      <c r="AP16" s="49"/>
      <c r="AQ16" s="50"/>
      <c r="AR16" s="49"/>
      <c r="AS16" s="50"/>
      <c r="AT16" s="49"/>
      <c r="AU16" s="50"/>
      <c r="AV16" s="49" t="s">
        <v>1</v>
      </c>
      <c r="AW16" s="50" t="s">
        <v>82</v>
      </c>
      <c r="AX16" s="49"/>
      <c r="AY16" s="50"/>
      <c r="AZ16" s="49"/>
      <c r="BA16" s="50"/>
      <c r="BB16" s="49"/>
      <c r="BC16" s="50"/>
      <c r="BD16" s="49" t="s">
        <v>5</v>
      </c>
      <c r="BE16" s="50" t="s">
        <v>436</v>
      </c>
      <c r="BF16" s="49"/>
      <c r="BG16" s="50"/>
      <c r="BH16" s="49"/>
      <c r="BI16" s="50"/>
      <c r="BJ16" s="49"/>
      <c r="BK16" s="50"/>
      <c r="BL16" s="49"/>
      <c r="BM16" s="50"/>
      <c r="BN16" s="49"/>
      <c r="BO16" s="50"/>
      <c r="BP16" s="49"/>
      <c r="BQ16" s="50"/>
      <c r="BR16" s="49"/>
      <c r="BS16" s="50"/>
      <c r="BT16" s="49"/>
      <c r="BU16" s="50"/>
      <c r="BV16" s="49"/>
      <c r="BW16" s="50"/>
      <c r="BX16" s="49" t="s">
        <v>5</v>
      </c>
      <c r="BY16" s="50" t="s">
        <v>425</v>
      </c>
      <c r="BZ16" s="49" t="s">
        <v>5</v>
      </c>
      <c r="CA16" s="50" t="s">
        <v>462</v>
      </c>
      <c r="CB16" s="49"/>
      <c r="CC16" s="50"/>
    </row>
    <row r="17" spans="1:81" s="120" customFormat="1" ht="14.25" customHeight="1" x14ac:dyDescent="0.25">
      <c r="A17" s="79">
        <v>152209</v>
      </c>
      <c r="B17" s="77" t="s">
        <v>1427</v>
      </c>
      <c r="C17" s="98" t="s">
        <v>1408</v>
      </c>
      <c r="D17" s="90" t="s">
        <v>12</v>
      </c>
      <c r="E17" s="79" t="s">
        <v>14</v>
      </c>
      <c r="F17" s="79" t="s">
        <v>71</v>
      </c>
      <c r="G17" s="78" t="s">
        <v>14</v>
      </c>
      <c r="H17" s="121" t="s">
        <v>14</v>
      </c>
      <c r="I17" s="79" t="s">
        <v>14</v>
      </c>
      <c r="J17" s="122">
        <v>5.7</v>
      </c>
      <c r="K17" s="123">
        <v>1</v>
      </c>
      <c r="L17" s="124">
        <v>1</v>
      </c>
      <c r="M17" s="125">
        <v>0</v>
      </c>
      <c r="N17" s="118">
        <v>52.29</v>
      </c>
      <c r="O17" s="118">
        <v>42.5</v>
      </c>
      <c r="P17" s="119">
        <v>4</v>
      </c>
      <c r="Q17" s="87">
        <f t="shared" si="0"/>
        <v>0</v>
      </c>
      <c r="R17" s="88">
        <f t="shared" si="1"/>
        <v>0</v>
      </c>
      <c r="S17" s="89">
        <f t="shared" si="2"/>
        <v>3</v>
      </c>
      <c r="T17" s="89">
        <f t="shared" si="3"/>
        <v>0</v>
      </c>
      <c r="U17" s="89">
        <f t="shared" si="4"/>
        <v>0</v>
      </c>
      <c r="V17" s="89">
        <f t="shared" si="5"/>
        <v>3</v>
      </c>
      <c r="W17" s="89">
        <f t="shared" si="6"/>
        <v>0</v>
      </c>
      <c r="X17" s="89">
        <f t="shared" si="7"/>
        <v>0</v>
      </c>
      <c r="Y17" s="89">
        <f t="shared" si="8"/>
        <v>1</v>
      </c>
      <c r="Z17" s="89">
        <f t="shared" si="10"/>
        <v>1</v>
      </c>
      <c r="AA17" s="41">
        <f t="shared" si="11"/>
        <v>0</v>
      </c>
      <c r="AB17" s="49"/>
      <c r="AC17" s="50"/>
      <c r="AD17" s="49"/>
      <c r="AE17" s="50"/>
      <c r="AF17" s="49" t="s">
        <v>30</v>
      </c>
      <c r="AG17" s="50" t="s">
        <v>427</v>
      </c>
      <c r="AH17" s="49" t="s">
        <v>36</v>
      </c>
      <c r="AI17" s="50" t="s">
        <v>206</v>
      </c>
      <c r="AJ17" s="49"/>
      <c r="AK17" s="50"/>
      <c r="AL17" s="49"/>
      <c r="AM17" s="50"/>
      <c r="AN17" s="49"/>
      <c r="AO17" s="50"/>
      <c r="AP17" s="49"/>
      <c r="AQ17" s="50"/>
      <c r="AR17" s="49"/>
      <c r="AS17" s="50"/>
      <c r="AT17" s="49"/>
      <c r="AU17" s="50"/>
      <c r="AV17" s="49" t="s">
        <v>30</v>
      </c>
      <c r="AW17" s="50" t="s">
        <v>421</v>
      </c>
      <c r="AX17" s="49"/>
      <c r="AY17" s="50"/>
      <c r="AZ17" s="49"/>
      <c r="BA17" s="50"/>
      <c r="BB17" s="49"/>
      <c r="BC17" s="50"/>
      <c r="BD17" s="49"/>
      <c r="BE17" s="50"/>
      <c r="BF17" s="49"/>
      <c r="BG17" s="50"/>
      <c r="BH17" s="49"/>
      <c r="BI17" s="50"/>
      <c r="BJ17" s="49"/>
      <c r="BK17" s="50"/>
      <c r="BL17" s="49"/>
      <c r="BM17" s="50"/>
      <c r="BN17" s="49"/>
      <c r="BO17" s="50"/>
      <c r="BP17" s="49"/>
      <c r="BQ17" s="50"/>
      <c r="BR17" s="49"/>
      <c r="BS17" s="50"/>
      <c r="BT17" s="49" t="s">
        <v>30</v>
      </c>
      <c r="BU17" s="50" t="s">
        <v>109</v>
      </c>
      <c r="BV17" s="49"/>
      <c r="BW17" s="50"/>
      <c r="BX17" s="49"/>
      <c r="BY17" s="50"/>
      <c r="BZ17" s="49"/>
      <c r="CA17" s="50"/>
      <c r="CB17" s="49"/>
      <c r="CC17" s="50"/>
    </row>
    <row r="18" spans="1:81" s="120" customFormat="1" ht="14.25" customHeight="1" x14ac:dyDescent="0.25">
      <c r="A18" s="79">
        <v>152184</v>
      </c>
      <c r="B18" s="77" t="s">
        <v>1428</v>
      </c>
      <c r="C18" s="98" t="s">
        <v>1421</v>
      </c>
      <c r="D18" s="90" t="s">
        <v>70</v>
      </c>
      <c r="E18" s="79" t="s">
        <v>14</v>
      </c>
      <c r="F18" s="79" t="s">
        <v>71</v>
      </c>
      <c r="G18" s="78" t="s">
        <v>14</v>
      </c>
      <c r="H18" s="121" t="s">
        <v>14</v>
      </c>
      <c r="I18" s="79" t="s">
        <v>14</v>
      </c>
      <c r="J18" s="122">
        <v>5.7</v>
      </c>
      <c r="K18" s="123">
        <v>1</v>
      </c>
      <c r="L18" s="124">
        <v>0</v>
      </c>
      <c r="M18" s="125">
        <v>0</v>
      </c>
      <c r="N18" s="118">
        <v>87.74</v>
      </c>
      <c r="O18" s="118">
        <v>84.21</v>
      </c>
      <c r="P18" s="119">
        <v>0</v>
      </c>
      <c r="Q18" s="87">
        <f t="shared" si="0"/>
        <v>0</v>
      </c>
      <c r="R18" s="88">
        <f t="shared" si="1"/>
        <v>4</v>
      </c>
      <c r="S18" s="89">
        <f t="shared" si="2"/>
        <v>0</v>
      </c>
      <c r="T18" s="89">
        <f t="shared" si="3"/>
        <v>0</v>
      </c>
      <c r="U18" s="89">
        <f t="shared" si="4"/>
        <v>0</v>
      </c>
      <c r="V18" s="89">
        <f t="shared" si="5"/>
        <v>0</v>
      </c>
      <c r="W18" s="89">
        <f t="shared" si="6"/>
        <v>0</v>
      </c>
      <c r="X18" s="89">
        <f t="shared" si="7"/>
        <v>0</v>
      </c>
      <c r="Y18" s="89">
        <f t="shared" si="8"/>
        <v>0</v>
      </c>
      <c r="Z18" s="89">
        <f t="shared" si="10"/>
        <v>0</v>
      </c>
      <c r="AA18" s="41">
        <f t="shared" si="11"/>
        <v>0</v>
      </c>
      <c r="AB18" s="49"/>
      <c r="AC18" s="50"/>
      <c r="AD18" s="49"/>
      <c r="AE18" s="50"/>
      <c r="AF18" s="49" t="s">
        <v>5</v>
      </c>
      <c r="AG18" s="50" t="s">
        <v>427</v>
      </c>
      <c r="AH18" s="49"/>
      <c r="AI18" s="50"/>
      <c r="AJ18" s="49"/>
      <c r="AK18" s="50"/>
      <c r="AL18" s="49"/>
      <c r="AM18" s="50"/>
      <c r="AN18" s="49"/>
      <c r="AO18" s="50"/>
      <c r="AP18" s="49"/>
      <c r="AQ18" s="50"/>
      <c r="AR18" s="49"/>
      <c r="AS18" s="50"/>
      <c r="AT18" s="49"/>
      <c r="AU18" s="50"/>
      <c r="AV18" s="49" t="s">
        <v>5</v>
      </c>
      <c r="AW18" s="50" t="s">
        <v>151</v>
      </c>
      <c r="AX18" s="49"/>
      <c r="AY18" s="50"/>
      <c r="AZ18" s="49"/>
      <c r="BA18" s="50"/>
      <c r="BB18" s="49"/>
      <c r="BC18" s="50"/>
      <c r="BD18" s="49"/>
      <c r="BE18" s="50"/>
      <c r="BF18" s="49"/>
      <c r="BG18" s="50"/>
      <c r="BH18" s="49"/>
      <c r="BI18" s="50"/>
      <c r="BJ18" s="49"/>
      <c r="BK18" s="50"/>
      <c r="BL18" s="49"/>
      <c r="BM18" s="50"/>
      <c r="BN18" s="49"/>
      <c r="BO18" s="50"/>
      <c r="BP18" s="49"/>
      <c r="BQ18" s="50"/>
      <c r="BR18" s="49" t="s">
        <v>5</v>
      </c>
      <c r="BS18" s="50" t="s">
        <v>81</v>
      </c>
      <c r="BT18" s="49"/>
      <c r="BU18" s="50"/>
      <c r="BV18" s="49"/>
      <c r="BW18" s="50"/>
      <c r="BX18" s="49"/>
      <c r="BY18" s="50"/>
      <c r="BZ18" s="49" t="s">
        <v>5</v>
      </c>
      <c r="CA18" s="50" t="s">
        <v>462</v>
      </c>
      <c r="CB18" s="49"/>
      <c r="CC18" s="50"/>
    </row>
    <row r="19" spans="1:81" s="120" customFormat="1" ht="14.25" customHeight="1" x14ac:dyDescent="0.25">
      <c r="A19" s="79">
        <v>152104</v>
      </c>
      <c r="B19" s="77" t="s">
        <v>1429</v>
      </c>
      <c r="C19" s="98" t="s">
        <v>1408</v>
      </c>
      <c r="D19" s="90" t="s">
        <v>12</v>
      </c>
      <c r="E19" s="79" t="s">
        <v>14</v>
      </c>
      <c r="F19" s="79" t="s">
        <v>71</v>
      </c>
      <c r="G19" s="78" t="s">
        <v>14</v>
      </c>
      <c r="H19" s="121" t="s">
        <v>14</v>
      </c>
      <c r="I19" s="79" t="s">
        <v>14</v>
      </c>
      <c r="J19" s="122">
        <v>7.1</v>
      </c>
      <c r="K19" s="123">
        <v>0</v>
      </c>
      <c r="L19" s="124">
        <v>0</v>
      </c>
      <c r="M19" s="125">
        <v>1</v>
      </c>
      <c r="N19" s="118">
        <v>93.33</v>
      </c>
      <c r="O19" s="118">
        <v>97.22</v>
      </c>
      <c r="P19" s="119">
        <v>0</v>
      </c>
      <c r="Q19" s="87">
        <f t="shared" si="0"/>
        <v>1</v>
      </c>
      <c r="R19" s="88">
        <f t="shared" si="1"/>
        <v>3</v>
      </c>
      <c r="S19" s="89">
        <f t="shared" si="2"/>
        <v>0</v>
      </c>
      <c r="T19" s="89">
        <f t="shared" si="3"/>
        <v>0</v>
      </c>
      <c r="U19" s="89">
        <f t="shared" si="4"/>
        <v>0</v>
      </c>
      <c r="V19" s="89">
        <f t="shared" si="5"/>
        <v>0</v>
      </c>
      <c r="W19" s="89">
        <f t="shared" si="6"/>
        <v>0</v>
      </c>
      <c r="X19" s="89">
        <f t="shared" si="7"/>
        <v>0</v>
      </c>
      <c r="Y19" s="89">
        <f t="shared" si="8"/>
        <v>0</v>
      </c>
      <c r="Z19" s="89">
        <f t="shared" si="10"/>
        <v>0</v>
      </c>
      <c r="AA19" s="41">
        <f t="shared" si="11"/>
        <v>0</v>
      </c>
      <c r="AB19" s="49"/>
      <c r="AC19" s="50"/>
      <c r="AD19" s="49" t="s">
        <v>5</v>
      </c>
      <c r="AE19" s="50" t="s">
        <v>133</v>
      </c>
      <c r="AF19" s="49"/>
      <c r="AG19" s="50"/>
      <c r="AH19" s="49" t="s">
        <v>1</v>
      </c>
      <c r="AI19" s="50" t="s">
        <v>424</v>
      </c>
      <c r="AJ19" s="49"/>
      <c r="AK19" s="50"/>
      <c r="AL19" s="49"/>
      <c r="AM19" s="50"/>
      <c r="AN19" s="49"/>
      <c r="AO19" s="50"/>
      <c r="AP19" s="49"/>
      <c r="AQ19" s="50"/>
      <c r="AR19" s="49"/>
      <c r="AS19" s="50"/>
      <c r="AT19" s="49"/>
      <c r="AU19" s="50"/>
      <c r="AV19" s="49" t="s">
        <v>5</v>
      </c>
      <c r="AW19" s="50" t="s">
        <v>421</v>
      </c>
      <c r="AX19" s="49"/>
      <c r="AY19" s="50"/>
      <c r="AZ19" s="49"/>
      <c r="BA19" s="50"/>
      <c r="BB19" s="49"/>
      <c r="BC19" s="50"/>
      <c r="BD19" s="49"/>
      <c r="BE19" s="50"/>
      <c r="BF19" s="49"/>
      <c r="BG19" s="50"/>
      <c r="BH19" s="49" t="s">
        <v>5</v>
      </c>
      <c r="BI19" s="50" t="s">
        <v>139</v>
      </c>
      <c r="BJ19" s="49"/>
      <c r="BK19" s="50"/>
      <c r="BL19" s="49"/>
      <c r="BM19" s="50"/>
      <c r="BN19" s="49"/>
      <c r="BO19" s="50"/>
      <c r="BP19" s="49"/>
      <c r="BQ19" s="50"/>
      <c r="BR19" s="49"/>
      <c r="BS19" s="50"/>
      <c r="BT19" s="49"/>
      <c r="BU19" s="50"/>
      <c r="BV19" s="49"/>
      <c r="BW19" s="50"/>
      <c r="BX19" s="49"/>
      <c r="BY19" s="50"/>
      <c r="BZ19" s="49"/>
      <c r="CA19" s="50"/>
      <c r="CB19" s="49"/>
      <c r="CC19" s="50"/>
    </row>
    <row r="20" spans="1:81" s="120" customFormat="1" ht="14.25" customHeight="1" x14ac:dyDescent="0.25">
      <c r="A20" s="79">
        <v>150502</v>
      </c>
      <c r="B20" s="77" t="s">
        <v>1430</v>
      </c>
      <c r="C20" s="98" t="s">
        <v>1421</v>
      </c>
      <c r="D20" s="90" t="s">
        <v>70</v>
      </c>
      <c r="E20" s="79" t="s">
        <v>14</v>
      </c>
      <c r="F20" s="79" t="s">
        <v>88</v>
      </c>
      <c r="G20" s="78" t="s">
        <v>14</v>
      </c>
      <c r="H20" s="121" t="s">
        <v>14</v>
      </c>
      <c r="I20" s="79" t="s">
        <v>14</v>
      </c>
      <c r="J20" s="122">
        <v>6.4</v>
      </c>
      <c r="K20" s="123">
        <v>1</v>
      </c>
      <c r="L20" s="124">
        <v>0</v>
      </c>
      <c r="M20" s="125">
        <v>0</v>
      </c>
      <c r="N20" s="118">
        <v>100</v>
      </c>
      <c r="O20" s="118">
        <v>100</v>
      </c>
      <c r="P20" s="119">
        <v>0</v>
      </c>
      <c r="Q20" s="87">
        <f t="shared" si="0"/>
        <v>0</v>
      </c>
      <c r="R20" s="88">
        <f t="shared" si="1"/>
        <v>5</v>
      </c>
      <c r="S20" s="89">
        <f t="shared" si="2"/>
        <v>0</v>
      </c>
      <c r="T20" s="89">
        <f t="shared" si="3"/>
        <v>0</v>
      </c>
      <c r="U20" s="89">
        <f t="shared" si="4"/>
        <v>0</v>
      </c>
      <c r="V20" s="89">
        <f t="shared" si="5"/>
        <v>0</v>
      </c>
      <c r="W20" s="89">
        <f t="shared" si="6"/>
        <v>0</v>
      </c>
      <c r="X20" s="89">
        <f t="shared" si="7"/>
        <v>0</v>
      </c>
      <c r="Y20" s="89">
        <f t="shared" si="8"/>
        <v>0</v>
      </c>
      <c r="Z20" s="89">
        <f t="shared" si="10"/>
        <v>0</v>
      </c>
      <c r="AA20" s="41">
        <f t="shared" si="11"/>
        <v>0</v>
      </c>
      <c r="AB20" s="49"/>
      <c r="AC20" s="50"/>
      <c r="AD20" s="49"/>
      <c r="AE20" s="50"/>
      <c r="AF20" s="49"/>
      <c r="AG20" s="50"/>
      <c r="AH20" s="49" t="s">
        <v>5</v>
      </c>
      <c r="AI20" s="50" t="s">
        <v>206</v>
      </c>
      <c r="AJ20" s="49"/>
      <c r="AK20" s="50"/>
      <c r="AL20" s="49"/>
      <c r="AM20" s="50"/>
      <c r="AN20" s="49"/>
      <c r="AO20" s="50"/>
      <c r="AP20" s="49"/>
      <c r="AQ20" s="50"/>
      <c r="AR20" s="49"/>
      <c r="AS20" s="50"/>
      <c r="AT20" s="49"/>
      <c r="AU20" s="50"/>
      <c r="AV20" s="49" t="s">
        <v>5</v>
      </c>
      <c r="AW20" s="50" t="s">
        <v>151</v>
      </c>
      <c r="AX20" s="49"/>
      <c r="AY20" s="50"/>
      <c r="AZ20" s="49"/>
      <c r="BA20" s="50"/>
      <c r="BB20" s="49"/>
      <c r="BC20" s="50"/>
      <c r="BD20" s="49"/>
      <c r="BE20" s="50"/>
      <c r="BF20" s="49"/>
      <c r="BG20" s="50"/>
      <c r="BH20" s="49" t="s">
        <v>5</v>
      </c>
      <c r="BI20" s="50" t="s">
        <v>139</v>
      </c>
      <c r="BJ20" s="49"/>
      <c r="BK20" s="50"/>
      <c r="BL20" s="49"/>
      <c r="BM20" s="50"/>
      <c r="BN20" s="49" t="s">
        <v>5</v>
      </c>
      <c r="BO20" s="50" t="s">
        <v>602</v>
      </c>
      <c r="BP20" s="49" t="s">
        <v>5</v>
      </c>
      <c r="BQ20" s="50"/>
      <c r="BR20" s="49"/>
      <c r="BS20" s="50"/>
      <c r="BT20" s="49"/>
      <c r="BU20" s="50"/>
      <c r="BV20" s="49"/>
      <c r="BW20" s="50"/>
      <c r="BX20" s="49"/>
      <c r="BY20" s="50"/>
      <c r="BZ20" s="49"/>
      <c r="CA20" s="50"/>
      <c r="CB20" s="49"/>
      <c r="CC20" s="50"/>
    </row>
    <row r="21" spans="1:81" s="120" customFormat="1" ht="14.25" customHeight="1" x14ac:dyDescent="0.25">
      <c r="A21" s="79">
        <v>152106</v>
      </c>
      <c r="B21" s="77" t="s">
        <v>1431</v>
      </c>
      <c r="C21" s="98" t="s">
        <v>1405</v>
      </c>
      <c r="D21" s="90" t="s">
        <v>70</v>
      </c>
      <c r="E21" s="79" t="s">
        <v>14</v>
      </c>
      <c r="F21" s="79" t="s">
        <v>71</v>
      </c>
      <c r="G21" s="78" t="s">
        <v>14</v>
      </c>
      <c r="H21" s="121" t="s">
        <v>14</v>
      </c>
      <c r="I21" s="79" t="s">
        <v>14</v>
      </c>
      <c r="J21" s="122">
        <v>5.6</v>
      </c>
      <c r="K21" s="123">
        <v>0</v>
      </c>
      <c r="L21" s="124">
        <v>0</v>
      </c>
      <c r="M21" s="125">
        <v>0</v>
      </c>
      <c r="N21" s="118">
        <v>100</v>
      </c>
      <c r="O21" s="118">
        <v>100</v>
      </c>
      <c r="P21" s="119">
        <v>0</v>
      </c>
      <c r="Q21" s="87">
        <f t="shared" si="0"/>
        <v>2</v>
      </c>
      <c r="R21" s="88">
        <f t="shared" si="1"/>
        <v>2</v>
      </c>
      <c r="S21" s="89">
        <f t="shared" si="2"/>
        <v>0</v>
      </c>
      <c r="T21" s="89">
        <f t="shared" si="3"/>
        <v>0</v>
      </c>
      <c r="U21" s="89">
        <f t="shared" si="4"/>
        <v>0</v>
      </c>
      <c r="V21" s="89">
        <f t="shared" si="5"/>
        <v>0</v>
      </c>
      <c r="W21" s="89">
        <f t="shared" si="6"/>
        <v>0</v>
      </c>
      <c r="X21" s="89">
        <f t="shared" si="7"/>
        <v>0</v>
      </c>
      <c r="Y21" s="89">
        <f t="shared" si="8"/>
        <v>0</v>
      </c>
      <c r="Z21" s="89">
        <f t="shared" si="10"/>
        <v>0</v>
      </c>
      <c r="AA21" s="41">
        <f t="shared" si="11"/>
        <v>0</v>
      </c>
      <c r="AB21" s="49"/>
      <c r="AC21" s="50"/>
      <c r="AD21" s="49"/>
      <c r="AE21" s="50"/>
      <c r="AF21" s="49"/>
      <c r="AG21" s="50"/>
      <c r="AH21" s="49" t="s">
        <v>5</v>
      </c>
      <c r="AI21" s="50" t="s">
        <v>137</v>
      </c>
      <c r="AJ21" s="49"/>
      <c r="AK21" s="50"/>
      <c r="AL21" s="49"/>
      <c r="AM21" s="50"/>
      <c r="AN21" s="49"/>
      <c r="AO21" s="50"/>
      <c r="AP21" s="49"/>
      <c r="AQ21" s="50"/>
      <c r="AR21" s="49"/>
      <c r="AS21" s="50"/>
      <c r="AT21" s="49"/>
      <c r="AU21" s="50"/>
      <c r="AV21" s="49" t="s">
        <v>1</v>
      </c>
      <c r="AW21" s="50" t="s">
        <v>122</v>
      </c>
      <c r="AX21" s="49"/>
      <c r="AY21" s="50"/>
      <c r="AZ21" s="49"/>
      <c r="BA21" s="50"/>
      <c r="BB21" s="49"/>
      <c r="BC21" s="50"/>
      <c r="BD21" s="49"/>
      <c r="BE21" s="50"/>
      <c r="BF21" s="49"/>
      <c r="BG21" s="50"/>
      <c r="BH21" s="49" t="s">
        <v>5</v>
      </c>
      <c r="BI21" s="50" t="s">
        <v>139</v>
      </c>
      <c r="BJ21" s="49"/>
      <c r="BK21" s="50"/>
      <c r="BL21" s="49"/>
      <c r="BM21" s="50"/>
      <c r="BN21" s="49"/>
      <c r="BO21" s="50"/>
      <c r="BP21" s="49"/>
      <c r="BQ21" s="50"/>
      <c r="BR21" s="49"/>
      <c r="BS21" s="50"/>
      <c r="BT21" s="49"/>
      <c r="BU21" s="50"/>
      <c r="BV21" s="49"/>
      <c r="BW21" s="50"/>
      <c r="BX21" s="49" t="s">
        <v>1</v>
      </c>
      <c r="BY21" s="50" t="s">
        <v>425</v>
      </c>
      <c r="BZ21" s="49"/>
      <c r="CA21" s="50"/>
      <c r="CB21" s="49"/>
      <c r="CC21" s="50"/>
    </row>
    <row r="22" spans="1:81" s="120" customFormat="1" ht="14.25" customHeight="1" x14ac:dyDescent="0.25">
      <c r="A22" s="79">
        <v>152107</v>
      </c>
      <c r="B22" s="77" t="s">
        <v>1432</v>
      </c>
      <c r="C22" s="98" t="s">
        <v>1405</v>
      </c>
      <c r="D22" s="90" t="s">
        <v>70</v>
      </c>
      <c r="E22" s="79" t="s">
        <v>14</v>
      </c>
      <c r="F22" s="79" t="s">
        <v>71</v>
      </c>
      <c r="G22" s="78" t="s">
        <v>14</v>
      </c>
      <c r="H22" s="121" t="s">
        <v>14</v>
      </c>
      <c r="I22" s="79" t="s">
        <v>14</v>
      </c>
      <c r="J22" s="122">
        <v>5.7</v>
      </c>
      <c r="K22" s="123">
        <v>1</v>
      </c>
      <c r="L22" s="124">
        <v>0</v>
      </c>
      <c r="M22" s="125">
        <v>1</v>
      </c>
      <c r="N22" s="118">
        <v>99.08</v>
      </c>
      <c r="O22" s="118">
        <v>97.3</v>
      </c>
      <c r="P22" s="119">
        <v>0</v>
      </c>
      <c r="Q22" s="87">
        <f t="shared" si="0"/>
        <v>1</v>
      </c>
      <c r="R22" s="88">
        <f t="shared" si="1"/>
        <v>3</v>
      </c>
      <c r="S22" s="89">
        <f t="shared" si="2"/>
        <v>0</v>
      </c>
      <c r="T22" s="89">
        <f t="shared" si="3"/>
        <v>0</v>
      </c>
      <c r="U22" s="89">
        <f t="shared" si="4"/>
        <v>0</v>
      </c>
      <c r="V22" s="89">
        <f t="shared" si="5"/>
        <v>0</v>
      </c>
      <c r="W22" s="89">
        <f t="shared" si="6"/>
        <v>0</v>
      </c>
      <c r="X22" s="89">
        <f t="shared" si="7"/>
        <v>0</v>
      </c>
      <c r="Y22" s="89">
        <f t="shared" si="8"/>
        <v>0</v>
      </c>
      <c r="Z22" s="89">
        <f t="shared" si="10"/>
        <v>0</v>
      </c>
      <c r="AA22" s="41">
        <f t="shared" si="11"/>
        <v>0</v>
      </c>
      <c r="AB22" s="49" t="s">
        <v>5</v>
      </c>
      <c r="AC22" s="50" t="s">
        <v>72</v>
      </c>
      <c r="AD22" s="49"/>
      <c r="AE22" s="50"/>
      <c r="AF22" s="49"/>
      <c r="AG22" s="50"/>
      <c r="AH22" s="49"/>
      <c r="AI22" s="50"/>
      <c r="AJ22" s="49"/>
      <c r="AK22" s="50"/>
      <c r="AL22" s="49"/>
      <c r="AM22" s="50"/>
      <c r="AN22" s="49"/>
      <c r="AO22" s="50"/>
      <c r="AP22" s="49"/>
      <c r="AQ22" s="50"/>
      <c r="AR22" s="49"/>
      <c r="AS22" s="50"/>
      <c r="AT22" s="49" t="s">
        <v>5</v>
      </c>
      <c r="AU22" s="50" t="s">
        <v>448</v>
      </c>
      <c r="AV22" s="49" t="s">
        <v>1</v>
      </c>
      <c r="AW22" s="50" t="s">
        <v>602</v>
      </c>
      <c r="AX22" s="49"/>
      <c r="AY22" s="50"/>
      <c r="AZ22" s="49"/>
      <c r="BA22" s="50"/>
      <c r="BB22" s="49"/>
      <c r="BC22" s="50"/>
      <c r="BD22" s="49"/>
      <c r="BE22" s="50"/>
      <c r="BF22" s="49"/>
      <c r="BG22" s="50"/>
      <c r="BH22" s="49" t="s">
        <v>5</v>
      </c>
      <c r="BI22" s="50" t="s">
        <v>139</v>
      </c>
      <c r="BJ22" s="49"/>
      <c r="BK22" s="50"/>
      <c r="BL22" s="49"/>
      <c r="BM22" s="50"/>
      <c r="BN22" s="49"/>
      <c r="BO22" s="50"/>
      <c r="BP22" s="49"/>
      <c r="BQ22" s="50"/>
      <c r="BR22" s="49"/>
      <c r="BS22" s="50"/>
      <c r="BT22" s="49"/>
      <c r="BU22" s="50"/>
      <c r="BV22" s="49"/>
      <c r="BW22" s="50"/>
      <c r="BX22" s="49"/>
      <c r="BY22" s="50"/>
      <c r="BZ22" s="49"/>
      <c r="CA22" s="50"/>
      <c r="CB22" s="49"/>
      <c r="CC22" s="50"/>
    </row>
    <row r="23" spans="1:81" s="120" customFormat="1" ht="14.25" customHeight="1" x14ac:dyDescent="0.25">
      <c r="A23" s="79">
        <v>150561</v>
      </c>
      <c r="B23" s="77" t="s">
        <v>1433</v>
      </c>
      <c r="C23" s="98" t="s">
        <v>1419</v>
      </c>
      <c r="D23" s="90" t="s">
        <v>12</v>
      </c>
      <c r="E23" s="79" t="s">
        <v>14</v>
      </c>
      <c r="F23" s="77" t="s">
        <v>146</v>
      </c>
      <c r="G23" s="78" t="s">
        <v>14</v>
      </c>
      <c r="H23" s="121" t="s">
        <v>14</v>
      </c>
      <c r="I23" s="79" t="s">
        <v>14</v>
      </c>
      <c r="J23" s="122">
        <v>7</v>
      </c>
      <c r="K23" s="123">
        <v>0</v>
      </c>
      <c r="L23" s="124">
        <v>0</v>
      </c>
      <c r="M23" s="125">
        <v>0</v>
      </c>
      <c r="N23" s="118">
        <v>100</v>
      </c>
      <c r="O23" s="118">
        <v>100</v>
      </c>
      <c r="P23" s="119">
        <v>3</v>
      </c>
      <c r="Q23" s="87">
        <f t="shared" si="0"/>
        <v>1</v>
      </c>
      <c r="R23" s="88">
        <f t="shared" si="1"/>
        <v>3</v>
      </c>
      <c r="S23" s="89">
        <f t="shared" si="2"/>
        <v>0</v>
      </c>
      <c r="T23" s="89">
        <f t="shared" si="3"/>
        <v>0</v>
      </c>
      <c r="U23" s="89">
        <f t="shared" si="4"/>
        <v>0</v>
      </c>
      <c r="V23" s="89">
        <f t="shared" si="5"/>
        <v>0</v>
      </c>
      <c r="W23" s="89">
        <f t="shared" si="6"/>
        <v>0</v>
      </c>
      <c r="X23" s="89">
        <f t="shared" si="7"/>
        <v>0</v>
      </c>
      <c r="Y23" s="89">
        <f t="shared" si="8"/>
        <v>0</v>
      </c>
      <c r="Z23" s="89">
        <f t="shared" si="10"/>
        <v>0</v>
      </c>
      <c r="AA23" s="41">
        <f t="shared" si="11"/>
        <v>0</v>
      </c>
      <c r="AB23" s="49"/>
      <c r="AC23" s="50"/>
      <c r="AD23" s="49"/>
      <c r="AE23" s="50"/>
      <c r="AF23" s="49"/>
      <c r="AG23" s="50"/>
      <c r="AH23" s="49"/>
      <c r="AI23" s="50"/>
      <c r="AJ23" s="49"/>
      <c r="AK23" s="50"/>
      <c r="AL23" s="49"/>
      <c r="AM23" s="50"/>
      <c r="AN23" s="49"/>
      <c r="AO23" s="50"/>
      <c r="AP23" s="49" t="s">
        <v>5</v>
      </c>
      <c r="AQ23" s="50" t="s">
        <v>428</v>
      </c>
      <c r="AR23" s="49"/>
      <c r="AS23" s="50"/>
      <c r="AT23" s="49"/>
      <c r="AU23" s="50"/>
      <c r="AV23" s="49" t="s">
        <v>5</v>
      </c>
      <c r="AW23" s="50" t="s">
        <v>122</v>
      </c>
      <c r="AX23" s="49"/>
      <c r="AY23" s="50"/>
      <c r="AZ23" s="49" t="s">
        <v>1</v>
      </c>
      <c r="BA23" s="50" t="s">
        <v>422</v>
      </c>
      <c r="BB23" s="49"/>
      <c r="BC23" s="50"/>
      <c r="BD23" s="49"/>
      <c r="BE23" s="50"/>
      <c r="BF23" s="49"/>
      <c r="BG23" s="50"/>
      <c r="BH23" s="49" t="s">
        <v>5</v>
      </c>
      <c r="BI23" s="50" t="s">
        <v>139</v>
      </c>
      <c r="BJ23" s="49"/>
      <c r="BK23" s="50"/>
      <c r="BL23" s="49"/>
      <c r="BM23" s="50"/>
      <c r="BN23" s="49"/>
      <c r="BO23" s="50"/>
      <c r="BP23" s="49"/>
      <c r="BQ23" s="50"/>
      <c r="BR23" s="49"/>
      <c r="BS23" s="50"/>
      <c r="BT23" s="49"/>
      <c r="BU23" s="50"/>
      <c r="BV23" s="49"/>
      <c r="BW23" s="50"/>
      <c r="BX23" s="49"/>
      <c r="BY23" s="50"/>
      <c r="BZ23" s="49"/>
      <c r="CA23" s="50"/>
      <c r="CB23" s="49"/>
      <c r="CC23" s="50"/>
    </row>
    <row r="24" spans="1:81" s="120" customFormat="1" ht="14.25" customHeight="1" x14ac:dyDescent="0.25">
      <c r="A24" s="79">
        <v>152108</v>
      </c>
      <c r="B24" s="77" t="s">
        <v>1434</v>
      </c>
      <c r="C24" s="98" t="s">
        <v>1435</v>
      </c>
      <c r="D24" s="90" t="s">
        <v>70</v>
      </c>
      <c r="E24" s="79" t="s">
        <v>14</v>
      </c>
      <c r="F24" s="79" t="s">
        <v>71</v>
      </c>
      <c r="G24" s="78" t="s">
        <v>14</v>
      </c>
      <c r="H24" s="121" t="s">
        <v>14</v>
      </c>
      <c r="I24" s="79" t="s">
        <v>14</v>
      </c>
      <c r="J24" s="122">
        <v>5.7</v>
      </c>
      <c r="K24" s="123">
        <v>0</v>
      </c>
      <c r="L24" s="124">
        <v>0</v>
      </c>
      <c r="M24" s="125">
        <v>1</v>
      </c>
      <c r="N24" s="118">
        <v>93.75</v>
      </c>
      <c r="O24" s="118">
        <v>90</v>
      </c>
      <c r="P24" s="119">
        <v>2</v>
      </c>
      <c r="Q24" s="87">
        <f t="shared" si="0"/>
        <v>3</v>
      </c>
      <c r="R24" s="88">
        <f t="shared" si="1"/>
        <v>2</v>
      </c>
      <c r="S24" s="89">
        <f t="shared" si="2"/>
        <v>0</v>
      </c>
      <c r="T24" s="89">
        <f t="shared" si="3"/>
        <v>0</v>
      </c>
      <c r="U24" s="89">
        <f t="shared" si="4"/>
        <v>0</v>
      </c>
      <c r="V24" s="89">
        <f t="shared" si="5"/>
        <v>0</v>
      </c>
      <c r="W24" s="89">
        <f t="shared" si="6"/>
        <v>0</v>
      </c>
      <c r="X24" s="89">
        <f t="shared" si="7"/>
        <v>0</v>
      </c>
      <c r="Y24" s="89">
        <f t="shared" si="8"/>
        <v>0</v>
      </c>
      <c r="Z24" s="89">
        <f t="shared" si="10"/>
        <v>0</v>
      </c>
      <c r="AA24" s="41">
        <f t="shared" si="11"/>
        <v>0</v>
      </c>
      <c r="AB24" s="49"/>
      <c r="AC24" s="50"/>
      <c r="AD24" s="49" t="s">
        <v>5</v>
      </c>
      <c r="AE24" s="50" t="s">
        <v>133</v>
      </c>
      <c r="AF24" s="49"/>
      <c r="AG24" s="50"/>
      <c r="AH24" s="49"/>
      <c r="AI24" s="50"/>
      <c r="AJ24" s="49"/>
      <c r="AK24" s="50"/>
      <c r="AL24" s="49"/>
      <c r="AM24" s="50"/>
      <c r="AN24" s="49"/>
      <c r="AO24" s="50"/>
      <c r="AP24" s="49"/>
      <c r="AQ24" s="50"/>
      <c r="AR24" s="49"/>
      <c r="AS24" s="50"/>
      <c r="AT24" s="49"/>
      <c r="AU24" s="50"/>
      <c r="AV24" s="49" t="s">
        <v>5</v>
      </c>
      <c r="AW24" s="50" t="s">
        <v>602</v>
      </c>
      <c r="AX24" s="49"/>
      <c r="AY24" s="50"/>
      <c r="AZ24" s="49"/>
      <c r="BA24" s="50"/>
      <c r="BB24" s="49"/>
      <c r="BC24" s="50"/>
      <c r="BD24" s="49"/>
      <c r="BE24" s="50"/>
      <c r="BF24" s="49"/>
      <c r="BG24" s="50"/>
      <c r="BH24" s="49"/>
      <c r="BI24" s="50"/>
      <c r="BJ24" s="49"/>
      <c r="BK24" s="50"/>
      <c r="BL24" s="49"/>
      <c r="BM24" s="50"/>
      <c r="BN24" s="49" t="s">
        <v>1</v>
      </c>
      <c r="BO24" s="50" t="s">
        <v>602</v>
      </c>
      <c r="BP24" s="49" t="s">
        <v>1</v>
      </c>
      <c r="BQ24" s="50"/>
      <c r="BR24" s="49" t="s">
        <v>1</v>
      </c>
      <c r="BS24" s="50" t="s">
        <v>81</v>
      </c>
      <c r="BT24" s="49"/>
      <c r="BU24" s="50"/>
      <c r="BV24" s="49"/>
      <c r="BW24" s="50"/>
      <c r="BX24" s="49"/>
      <c r="BY24" s="50"/>
      <c r="BZ24" s="49"/>
      <c r="CA24" s="50"/>
      <c r="CB24" s="49"/>
      <c r="CC24" s="50"/>
    </row>
    <row r="25" spans="1:81" s="120" customFormat="1" ht="14.25" customHeight="1" x14ac:dyDescent="0.25">
      <c r="A25" s="79">
        <v>152201</v>
      </c>
      <c r="B25" s="77" t="s">
        <v>1436</v>
      </c>
      <c r="C25" s="98" t="s">
        <v>1435</v>
      </c>
      <c r="D25" s="90" t="s">
        <v>70</v>
      </c>
      <c r="E25" s="79" t="s">
        <v>14</v>
      </c>
      <c r="F25" s="79" t="s">
        <v>71</v>
      </c>
      <c r="G25" s="78" t="s">
        <v>14</v>
      </c>
      <c r="H25" s="121" t="s">
        <v>14</v>
      </c>
      <c r="I25" s="79" t="s">
        <v>14</v>
      </c>
      <c r="J25" s="122">
        <v>6.9</v>
      </c>
      <c r="K25" s="123">
        <v>0</v>
      </c>
      <c r="L25" s="124">
        <v>0</v>
      </c>
      <c r="M25" s="125">
        <v>0</v>
      </c>
      <c r="N25" s="118">
        <v>100</v>
      </c>
      <c r="O25" s="118">
        <v>100</v>
      </c>
      <c r="P25" s="119">
        <v>0</v>
      </c>
      <c r="Q25" s="87">
        <f t="shared" si="0"/>
        <v>1</v>
      </c>
      <c r="R25" s="88">
        <f t="shared" si="1"/>
        <v>3</v>
      </c>
      <c r="S25" s="89">
        <f t="shared" si="2"/>
        <v>0</v>
      </c>
      <c r="T25" s="89">
        <f t="shared" si="3"/>
        <v>0</v>
      </c>
      <c r="U25" s="89">
        <f t="shared" si="4"/>
        <v>0</v>
      </c>
      <c r="V25" s="89">
        <f t="shared" si="5"/>
        <v>0</v>
      </c>
      <c r="W25" s="89">
        <f t="shared" si="6"/>
        <v>0</v>
      </c>
      <c r="X25" s="89">
        <f t="shared" si="7"/>
        <v>0</v>
      </c>
      <c r="Y25" s="89">
        <f t="shared" si="8"/>
        <v>0</v>
      </c>
      <c r="Z25" s="89">
        <f t="shared" si="10"/>
        <v>0</v>
      </c>
      <c r="AA25" s="41">
        <f t="shared" si="11"/>
        <v>0</v>
      </c>
      <c r="AB25" s="49" t="s">
        <v>5</v>
      </c>
      <c r="AC25" s="50" t="s">
        <v>72</v>
      </c>
      <c r="AD25" s="49"/>
      <c r="AE25" s="50"/>
      <c r="AF25" s="49"/>
      <c r="AG25" s="50"/>
      <c r="AH25" s="49"/>
      <c r="AI25" s="50"/>
      <c r="AJ25" s="49"/>
      <c r="AK25" s="50"/>
      <c r="AL25" s="49"/>
      <c r="AM25" s="50"/>
      <c r="AN25" s="49"/>
      <c r="AO25" s="50"/>
      <c r="AP25" s="49"/>
      <c r="AQ25" s="50"/>
      <c r="AR25" s="49"/>
      <c r="AS25" s="50"/>
      <c r="AT25" s="49"/>
      <c r="AU25" s="50"/>
      <c r="AV25" s="49" t="s">
        <v>5</v>
      </c>
      <c r="AW25" s="50" t="s">
        <v>457</v>
      </c>
      <c r="AX25" s="49"/>
      <c r="AY25" s="50"/>
      <c r="AZ25" s="49"/>
      <c r="BA25" s="50"/>
      <c r="BB25" s="49"/>
      <c r="BC25" s="50"/>
      <c r="BD25" s="49"/>
      <c r="BE25" s="50"/>
      <c r="BF25" s="49"/>
      <c r="BG25" s="50"/>
      <c r="BH25" s="49"/>
      <c r="BI25" s="50"/>
      <c r="BJ25" s="49"/>
      <c r="BK25" s="50"/>
      <c r="BL25" s="49"/>
      <c r="BM25" s="50"/>
      <c r="BN25" s="49"/>
      <c r="BO25" s="50"/>
      <c r="BP25" s="49"/>
      <c r="BQ25" s="50"/>
      <c r="BR25" s="49" t="s">
        <v>1</v>
      </c>
      <c r="BS25" s="50" t="s">
        <v>81</v>
      </c>
      <c r="BT25" s="49"/>
      <c r="BU25" s="50"/>
      <c r="BV25" s="49"/>
      <c r="BW25" s="50"/>
      <c r="BX25" s="49" t="s">
        <v>5</v>
      </c>
      <c r="BY25" s="50" t="s">
        <v>425</v>
      </c>
      <c r="BZ25" s="49"/>
      <c r="CA25" s="50"/>
      <c r="CB25" s="49"/>
      <c r="CC25" s="50"/>
    </row>
    <row r="26" spans="1:81" s="120" customFormat="1" ht="14.25" customHeight="1" x14ac:dyDescent="0.25">
      <c r="A26" s="79">
        <v>150446</v>
      </c>
      <c r="B26" s="77" t="s">
        <v>1437</v>
      </c>
      <c r="C26" s="98" t="s">
        <v>1417</v>
      </c>
      <c r="D26" s="90" t="s">
        <v>70</v>
      </c>
      <c r="E26" s="79" t="s">
        <v>14</v>
      </c>
      <c r="F26" s="79" t="s">
        <v>71</v>
      </c>
      <c r="G26" s="78" t="s">
        <v>14</v>
      </c>
      <c r="H26" s="121" t="s">
        <v>14</v>
      </c>
      <c r="I26" s="79" t="s">
        <v>14</v>
      </c>
      <c r="J26" s="122">
        <v>6.1</v>
      </c>
      <c r="K26" s="123">
        <v>0</v>
      </c>
      <c r="L26" s="124">
        <v>0</v>
      </c>
      <c r="M26" s="125">
        <v>0</v>
      </c>
      <c r="N26" s="118">
        <v>92.05</v>
      </c>
      <c r="O26" s="118">
        <v>89.74</v>
      </c>
      <c r="P26" s="119">
        <v>1</v>
      </c>
      <c r="Q26" s="87">
        <f t="shared" si="0"/>
        <v>0</v>
      </c>
      <c r="R26" s="88">
        <f t="shared" si="1"/>
        <v>2</v>
      </c>
      <c r="S26" s="89">
        <f t="shared" si="2"/>
        <v>0</v>
      </c>
      <c r="T26" s="89">
        <f t="shared" si="3"/>
        <v>0</v>
      </c>
      <c r="U26" s="89">
        <f t="shared" si="4"/>
        <v>1</v>
      </c>
      <c r="V26" s="89">
        <f t="shared" si="5"/>
        <v>1</v>
      </c>
      <c r="W26" s="89">
        <f t="shared" si="6"/>
        <v>0</v>
      </c>
      <c r="X26" s="89">
        <f t="shared" si="7"/>
        <v>0</v>
      </c>
      <c r="Y26" s="89">
        <f t="shared" si="8"/>
        <v>0</v>
      </c>
      <c r="Z26" s="89">
        <f t="shared" si="10"/>
        <v>0</v>
      </c>
      <c r="AA26" s="41">
        <f t="shared" si="11"/>
        <v>0</v>
      </c>
      <c r="AB26" s="49"/>
      <c r="AC26" s="50"/>
      <c r="AD26" s="49" t="s">
        <v>32</v>
      </c>
      <c r="AE26" s="50" t="s">
        <v>438</v>
      </c>
      <c r="AF26" s="49"/>
      <c r="AG26" s="50"/>
      <c r="AH26" s="49"/>
      <c r="AI26" s="50"/>
      <c r="AJ26" s="49"/>
      <c r="AK26" s="50"/>
      <c r="AL26" s="49"/>
      <c r="AM26" s="50"/>
      <c r="AN26" s="49"/>
      <c r="AO26" s="50"/>
      <c r="AP26" s="49"/>
      <c r="AQ26" s="50"/>
      <c r="AR26" s="49"/>
      <c r="AS26" s="50"/>
      <c r="AT26" s="49"/>
      <c r="AU26" s="50"/>
      <c r="AV26" s="49" t="s">
        <v>5</v>
      </c>
      <c r="AW26" s="50" t="s">
        <v>425</v>
      </c>
      <c r="AX26" s="49"/>
      <c r="AY26" s="50"/>
      <c r="AZ26" s="49"/>
      <c r="BA26" s="50"/>
      <c r="BB26" s="49"/>
      <c r="BC26" s="50"/>
      <c r="BD26" s="49"/>
      <c r="BE26" s="50"/>
      <c r="BF26" s="49"/>
      <c r="BG26" s="50"/>
      <c r="BH26" s="49"/>
      <c r="BI26" s="50"/>
      <c r="BJ26" s="49"/>
      <c r="BK26" s="50"/>
      <c r="BL26" s="49"/>
      <c r="BM26" s="50"/>
      <c r="BN26" s="49"/>
      <c r="BO26" s="50"/>
      <c r="BP26" s="49"/>
      <c r="BQ26" s="50"/>
      <c r="BR26" s="49" t="s">
        <v>5</v>
      </c>
      <c r="BS26" s="50" t="s">
        <v>81</v>
      </c>
      <c r="BT26" s="49"/>
      <c r="BU26" s="50"/>
      <c r="BV26" s="49"/>
      <c r="BW26" s="50"/>
      <c r="BX26" s="49"/>
      <c r="BY26" s="50"/>
      <c r="BZ26" s="49"/>
      <c r="CA26" s="50"/>
      <c r="CB26" s="49"/>
      <c r="CC26" s="50"/>
    </row>
    <row r="27" spans="1:81" s="120" customFormat="1" ht="14.25" customHeight="1" x14ac:dyDescent="0.25">
      <c r="A27" s="79">
        <v>152191</v>
      </c>
      <c r="B27" s="77" t="s">
        <v>1438</v>
      </c>
      <c r="C27" s="98" t="s">
        <v>1408</v>
      </c>
      <c r="D27" s="90" t="s">
        <v>70</v>
      </c>
      <c r="E27" s="79" t="s">
        <v>87</v>
      </c>
      <c r="F27" s="79" t="s">
        <v>312</v>
      </c>
      <c r="G27" s="78" t="s">
        <v>14</v>
      </c>
      <c r="H27" s="121" t="s">
        <v>14</v>
      </c>
      <c r="I27" s="79" t="s">
        <v>14</v>
      </c>
      <c r="J27" s="122">
        <v>7</v>
      </c>
      <c r="K27" s="123">
        <v>4</v>
      </c>
      <c r="L27" s="124">
        <v>0</v>
      </c>
      <c r="M27" s="125">
        <v>1</v>
      </c>
      <c r="N27" s="118">
        <v>95.28</v>
      </c>
      <c r="O27" s="118">
        <v>94.29</v>
      </c>
      <c r="P27" s="119">
        <v>5</v>
      </c>
      <c r="Q27" s="87">
        <f t="shared" si="0"/>
        <v>0</v>
      </c>
      <c r="R27" s="88">
        <f t="shared" si="1"/>
        <v>4</v>
      </c>
      <c r="S27" s="89">
        <f t="shared" si="2"/>
        <v>0</v>
      </c>
      <c r="T27" s="89">
        <f t="shared" si="3"/>
        <v>0</v>
      </c>
      <c r="U27" s="89">
        <f t="shared" si="4"/>
        <v>0</v>
      </c>
      <c r="V27" s="89">
        <f t="shared" si="5"/>
        <v>0</v>
      </c>
      <c r="W27" s="89">
        <f t="shared" si="6"/>
        <v>0</v>
      </c>
      <c r="X27" s="89">
        <f t="shared" si="7"/>
        <v>0</v>
      </c>
      <c r="Y27" s="89">
        <f t="shared" si="8"/>
        <v>0</v>
      </c>
      <c r="Z27" s="89">
        <f t="shared" si="10"/>
        <v>0</v>
      </c>
      <c r="AA27" s="41">
        <f t="shared" si="11"/>
        <v>0</v>
      </c>
      <c r="AB27" s="49"/>
      <c r="AC27" s="50"/>
      <c r="AD27" s="49"/>
      <c r="AE27" s="50"/>
      <c r="AF27" s="49" t="s">
        <v>5</v>
      </c>
      <c r="AG27" s="50" t="s">
        <v>427</v>
      </c>
      <c r="AH27" s="49"/>
      <c r="AI27" s="50"/>
      <c r="AJ27" s="49"/>
      <c r="AK27" s="50"/>
      <c r="AL27" s="49"/>
      <c r="AM27" s="50"/>
      <c r="AN27" s="49"/>
      <c r="AO27" s="50"/>
      <c r="AP27" s="49" t="s">
        <v>5</v>
      </c>
      <c r="AQ27" s="50" t="s">
        <v>428</v>
      </c>
      <c r="AR27" s="49"/>
      <c r="AS27" s="50"/>
      <c r="AT27" s="49"/>
      <c r="AU27" s="50"/>
      <c r="AV27" s="49" t="s">
        <v>5</v>
      </c>
      <c r="AW27" s="50" t="s">
        <v>421</v>
      </c>
      <c r="AX27" s="49" t="s">
        <v>5</v>
      </c>
      <c r="AY27" s="50" t="s">
        <v>421</v>
      </c>
      <c r="AZ27" s="49"/>
      <c r="BA27" s="50"/>
      <c r="BB27" s="49"/>
      <c r="BC27" s="50"/>
      <c r="BD27" s="49"/>
      <c r="BE27" s="50"/>
      <c r="BF27" s="49"/>
      <c r="BG27" s="50"/>
      <c r="BH27" s="49"/>
      <c r="BI27" s="50"/>
      <c r="BJ27" s="49"/>
      <c r="BK27" s="50"/>
      <c r="BL27" s="49"/>
      <c r="BM27" s="50"/>
      <c r="BN27" s="49"/>
      <c r="BO27" s="50"/>
      <c r="BP27" s="49"/>
      <c r="BQ27" s="50"/>
      <c r="BR27" s="49"/>
      <c r="BS27" s="50"/>
      <c r="BT27" s="49"/>
      <c r="BU27" s="50"/>
      <c r="BV27" s="49"/>
      <c r="BW27" s="50"/>
      <c r="BX27" s="49"/>
      <c r="BY27" s="50"/>
      <c r="BZ27" s="49"/>
      <c r="CA27" s="50"/>
      <c r="CB27" s="49"/>
      <c r="CC27" s="50"/>
    </row>
    <row r="28" spans="1:81" s="120" customFormat="1" ht="14.25" customHeight="1" x14ac:dyDescent="0.25">
      <c r="A28" s="79">
        <v>152109</v>
      </c>
      <c r="B28" s="77" t="s">
        <v>1439</v>
      </c>
      <c r="C28" s="98" t="s">
        <v>1440</v>
      </c>
      <c r="D28" s="90" t="s">
        <v>12</v>
      </c>
      <c r="E28" s="79" t="s">
        <v>14</v>
      </c>
      <c r="F28" s="79" t="s">
        <v>71</v>
      </c>
      <c r="G28" s="78" t="s">
        <v>14</v>
      </c>
      <c r="H28" s="121" t="s">
        <v>14</v>
      </c>
      <c r="I28" s="79" t="s">
        <v>14</v>
      </c>
      <c r="J28" s="122">
        <v>8.3000000000000007</v>
      </c>
      <c r="K28" s="123">
        <v>1</v>
      </c>
      <c r="L28" s="124">
        <v>0</v>
      </c>
      <c r="M28" s="125">
        <v>0</v>
      </c>
      <c r="N28" s="118">
        <v>79.7</v>
      </c>
      <c r="O28" s="118">
        <v>95.12</v>
      </c>
      <c r="P28" s="119">
        <v>1</v>
      </c>
      <c r="Q28" s="87">
        <f t="shared" si="0"/>
        <v>3</v>
      </c>
      <c r="R28" s="88">
        <f t="shared" si="1"/>
        <v>2</v>
      </c>
      <c r="S28" s="89">
        <f t="shared" si="2"/>
        <v>0</v>
      </c>
      <c r="T28" s="89">
        <f t="shared" si="3"/>
        <v>0</v>
      </c>
      <c r="U28" s="89">
        <f t="shared" si="4"/>
        <v>0</v>
      </c>
      <c r="V28" s="89">
        <f t="shared" si="5"/>
        <v>0</v>
      </c>
      <c r="W28" s="89">
        <f t="shared" si="6"/>
        <v>0</v>
      </c>
      <c r="X28" s="89">
        <f t="shared" si="7"/>
        <v>0</v>
      </c>
      <c r="Y28" s="89">
        <f t="shared" si="8"/>
        <v>0</v>
      </c>
      <c r="Z28" s="89">
        <f t="shared" si="10"/>
        <v>0</v>
      </c>
      <c r="AA28" s="41">
        <f t="shared" si="11"/>
        <v>0</v>
      </c>
      <c r="AB28" s="49" t="s">
        <v>5</v>
      </c>
      <c r="AC28" s="50" t="s">
        <v>72</v>
      </c>
      <c r="AD28" s="49" t="s">
        <v>1</v>
      </c>
      <c r="AE28" s="50" t="s">
        <v>433</v>
      </c>
      <c r="AF28" s="49"/>
      <c r="AG28" s="50"/>
      <c r="AH28" s="49"/>
      <c r="AI28" s="50"/>
      <c r="AJ28" s="49"/>
      <c r="AK28" s="50"/>
      <c r="AL28" s="49"/>
      <c r="AM28" s="50"/>
      <c r="AN28" s="49"/>
      <c r="AO28" s="50"/>
      <c r="AP28" s="49"/>
      <c r="AQ28" s="50"/>
      <c r="AR28" s="49"/>
      <c r="AS28" s="50"/>
      <c r="AT28" s="49"/>
      <c r="AU28" s="50"/>
      <c r="AV28" s="49" t="s">
        <v>1</v>
      </c>
      <c r="AW28" s="50" t="s">
        <v>433</v>
      </c>
      <c r="AX28" s="49"/>
      <c r="AY28" s="50"/>
      <c r="AZ28" s="49"/>
      <c r="BA28" s="50"/>
      <c r="BB28" s="49" t="s">
        <v>5</v>
      </c>
      <c r="BC28" s="50" t="s">
        <v>76</v>
      </c>
      <c r="BD28" s="49"/>
      <c r="BE28" s="50"/>
      <c r="BF28" s="49"/>
      <c r="BG28" s="50"/>
      <c r="BH28" s="49"/>
      <c r="BI28" s="50"/>
      <c r="BJ28" s="49"/>
      <c r="BK28" s="50"/>
      <c r="BL28" s="49"/>
      <c r="BM28" s="50"/>
      <c r="BN28" s="49"/>
      <c r="BO28" s="50"/>
      <c r="BP28" s="49"/>
      <c r="BQ28" s="50"/>
      <c r="BR28" s="49" t="s">
        <v>1</v>
      </c>
      <c r="BS28" s="50" t="s">
        <v>81</v>
      </c>
      <c r="BT28" s="49"/>
      <c r="BU28" s="50"/>
      <c r="BV28" s="49"/>
      <c r="BW28" s="50"/>
      <c r="BX28" s="49"/>
      <c r="BY28" s="50"/>
      <c r="BZ28" s="49"/>
      <c r="CA28" s="50"/>
      <c r="CB28" s="49"/>
      <c r="CC28" s="50"/>
    </row>
    <row r="29" spans="1:81" s="120" customFormat="1" ht="14.25" customHeight="1" x14ac:dyDescent="0.25">
      <c r="A29" s="79">
        <v>150430</v>
      </c>
      <c r="B29" s="77" t="s">
        <v>1441</v>
      </c>
      <c r="C29" s="98" t="s">
        <v>1408</v>
      </c>
      <c r="D29" s="90" t="s">
        <v>12</v>
      </c>
      <c r="E29" s="79" t="s">
        <v>14</v>
      </c>
      <c r="F29" s="79" t="s">
        <v>88</v>
      </c>
      <c r="G29" s="78" t="s">
        <v>14</v>
      </c>
      <c r="H29" s="121" t="s">
        <v>14</v>
      </c>
      <c r="I29" s="79" t="s">
        <v>14</v>
      </c>
      <c r="J29" s="122">
        <v>7.7</v>
      </c>
      <c r="K29" s="123">
        <v>1</v>
      </c>
      <c r="L29" s="124">
        <v>0</v>
      </c>
      <c r="M29" s="125">
        <v>0</v>
      </c>
      <c r="N29" s="118">
        <v>100</v>
      </c>
      <c r="O29" s="118">
        <v>100</v>
      </c>
      <c r="P29" s="119">
        <v>5</v>
      </c>
      <c r="Q29" s="87">
        <f t="shared" si="0"/>
        <v>3</v>
      </c>
      <c r="R29" s="88">
        <f t="shared" si="1"/>
        <v>1</v>
      </c>
      <c r="S29" s="89">
        <f t="shared" si="2"/>
        <v>0</v>
      </c>
      <c r="T29" s="89">
        <f t="shared" si="3"/>
        <v>0</v>
      </c>
      <c r="U29" s="89">
        <f t="shared" si="4"/>
        <v>0</v>
      </c>
      <c r="V29" s="89">
        <f t="shared" si="5"/>
        <v>0</v>
      </c>
      <c r="W29" s="89">
        <f t="shared" si="6"/>
        <v>0</v>
      </c>
      <c r="X29" s="89">
        <f t="shared" si="7"/>
        <v>0</v>
      </c>
      <c r="Y29" s="89">
        <f t="shared" si="8"/>
        <v>0</v>
      </c>
      <c r="Z29" s="89">
        <f t="shared" si="10"/>
        <v>0</v>
      </c>
      <c r="AA29" s="41">
        <f t="shared" si="11"/>
        <v>0</v>
      </c>
      <c r="AB29" s="49"/>
      <c r="AC29" s="50"/>
      <c r="AD29" s="49"/>
      <c r="AE29" s="50"/>
      <c r="AF29" s="49"/>
      <c r="AG29" s="50"/>
      <c r="AH29" s="49"/>
      <c r="AI29" s="50"/>
      <c r="AJ29" s="49" t="s">
        <v>1</v>
      </c>
      <c r="AK29" s="50" t="s">
        <v>163</v>
      </c>
      <c r="AL29" s="49"/>
      <c r="AM29" s="50"/>
      <c r="AN29" s="49"/>
      <c r="AO29" s="50"/>
      <c r="AP29" s="49"/>
      <c r="AQ29" s="50"/>
      <c r="AR29" s="49"/>
      <c r="AS29" s="50"/>
      <c r="AT29" s="49"/>
      <c r="AU29" s="50"/>
      <c r="AV29" s="49" t="s">
        <v>1</v>
      </c>
      <c r="AW29" s="50" t="s">
        <v>421</v>
      </c>
      <c r="AX29" s="49"/>
      <c r="AY29" s="50"/>
      <c r="AZ29" s="49"/>
      <c r="BA29" s="50"/>
      <c r="BB29" s="49"/>
      <c r="BC29" s="50"/>
      <c r="BD29" s="49"/>
      <c r="BE29" s="50"/>
      <c r="BF29" s="49"/>
      <c r="BG29" s="50"/>
      <c r="BH29" s="49" t="s">
        <v>5</v>
      </c>
      <c r="BI29" s="50" t="s">
        <v>139</v>
      </c>
      <c r="BJ29" s="49"/>
      <c r="BK29" s="50"/>
      <c r="BL29" s="49"/>
      <c r="BM29" s="50"/>
      <c r="BN29" s="49"/>
      <c r="BO29" s="50"/>
      <c r="BP29" s="49"/>
      <c r="BQ29" s="50"/>
      <c r="BR29" s="49"/>
      <c r="BS29" s="50"/>
      <c r="BT29" s="49" t="s">
        <v>1</v>
      </c>
      <c r="BU29" s="50" t="s">
        <v>98</v>
      </c>
      <c r="BV29" s="49"/>
      <c r="BW29" s="50"/>
      <c r="BX29" s="49"/>
      <c r="BY29" s="50"/>
      <c r="BZ29" s="49"/>
      <c r="CA29" s="50"/>
      <c r="CB29" s="49"/>
      <c r="CC29" s="50"/>
    </row>
    <row r="30" spans="1:81" s="120" customFormat="1" ht="14.25" customHeight="1" x14ac:dyDescent="0.25">
      <c r="A30" s="79">
        <v>150444</v>
      </c>
      <c r="B30" s="77" t="s">
        <v>1442</v>
      </c>
      <c r="C30" s="98" t="s">
        <v>1440</v>
      </c>
      <c r="D30" s="90" t="s">
        <v>70</v>
      </c>
      <c r="E30" s="79" t="s">
        <v>14</v>
      </c>
      <c r="F30" s="79" t="s">
        <v>71</v>
      </c>
      <c r="G30" s="78" t="s">
        <v>14</v>
      </c>
      <c r="H30" s="121" t="s">
        <v>14</v>
      </c>
      <c r="I30" s="79" t="s">
        <v>14</v>
      </c>
      <c r="J30" s="122">
        <v>7.7</v>
      </c>
      <c r="K30" s="123">
        <v>0</v>
      </c>
      <c r="L30" s="124">
        <v>0</v>
      </c>
      <c r="M30" s="125">
        <v>0</v>
      </c>
      <c r="N30" s="118">
        <v>78.849999999999994</v>
      </c>
      <c r="O30" s="118">
        <v>94.59</v>
      </c>
      <c r="P30" s="119">
        <v>3</v>
      </c>
      <c r="Q30" s="87">
        <f t="shared" si="0"/>
        <v>1</v>
      </c>
      <c r="R30" s="88">
        <f t="shared" si="1"/>
        <v>3</v>
      </c>
      <c r="S30" s="89">
        <f t="shared" si="2"/>
        <v>0</v>
      </c>
      <c r="T30" s="89">
        <f t="shared" si="3"/>
        <v>0</v>
      </c>
      <c r="U30" s="89">
        <f t="shared" si="4"/>
        <v>0</v>
      </c>
      <c r="V30" s="89">
        <f t="shared" si="5"/>
        <v>0</v>
      </c>
      <c r="W30" s="89">
        <f t="shared" si="6"/>
        <v>0</v>
      </c>
      <c r="X30" s="89">
        <f t="shared" si="7"/>
        <v>0</v>
      </c>
      <c r="Y30" s="89">
        <f t="shared" si="8"/>
        <v>0</v>
      </c>
      <c r="Z30" s="89">
        <f t="shared" si="10"/>
        <v>0</v>
      </c>
      <c r="AA30" s="41">
        <f t="shared" si="11"/>
        <v>0</v>
      </c>
      <c r="AB30" s="49"/>
      <c r="AC30" s="50"/>
      <c r="AD30" s="49"/>
      <c r="AE30" s="50"/>
      <c r="AF30" s="49"/>
      <c r="AG30" s="50"/>
      <c r="AH30" s="49"/>
      <c r="AI30" s="50"/>
      <c r="AJ30" s="49"/>
      <c r="AK30" s="50"/>
      <c r="AL30" s="49"/>
      <c r="AM30" s="50"/>
      <c r="AN30" s="49"/>
      <c r="AO30" s="50"/>
      <c r="AP30" s="49" t="s">
        <v>5</v>
      </c>
      <c r="AQ30" s="50" t="s">
        <v>428</v>
      </c>
      <c r="AR30" s="49"/>
      <c r="AS30" s="50"/>
      <c r="AT30" s="49"/>
      <c r="AU30" s="50"/>
      <c r="AV30" s="49" t="s">
        <v>1</v>
      </c>
      <c r="AW30" s="50" t="s">
        <v>433</v>
      </c>
      <c r="AX30" s="49"/>
      <c r="AY30" s="50"/>
      <c r="AZ30" s="49"/>
      <c r="BA30" s="50"/>
      <c r="BB30" s="49" t="s">
        <v>5</v>
      </c>
      <c r="BC30" s="50" t="s">
        <v>76</v>
      </c>
      <c r="BD30" s="49"/>
      <c r="BE30" s="50"/>
      <c r="BF30" s="49"/>
      <c r="BG30" s="50"/>
      <c r="BH30" s="49"/>
      <c r="BI30" s="50"/>
      <c r="BJ30" s="49"/>
      <c r="BK30" s="50"/>
      <c r="BL30" s="49"/>
      <c r="BM30" s="50"/>
      <c r="BN30" s="49"/>
      <c r="BO30" s="50"/>
      <c r="BP30" s="49"/>
      <c r="BQ30" s="50"/>
      <c r="BR30" s="49"/>
      <c r="BS30" s="50"/>
      <c r="BT30" s="49"/>
      <c r="BU30" s="50"/>
      <c r="BV30" s="49" t="s">
        <v>5</v>
      </c>
      <c r="BW30" s="50" t="s">
        <v>93</v>
      </c>
      <c r="BX30" s="49"/>
      <c r="BY30" s="50"/>
      <c r="BZ30" s="49"/>
      <c r="CA30" s="50"/>
      <c r="CB30" s="49"/>
      <c r="CC30" s="50"/>
    </row>
    <row r="31" spans="1:81" s="120" customFormat="1" ht="14.25" customHeight="1" x14ac:dyDescent="0.25">
      <c r="A31" s="79">
        <v>150478</v>
      </c>
      <c r="B31" s="77" t="s">
        <v>1443</v>
      </c>
      <c r="C31" s="98" t="s">
        <v>1414</v>
      </c>
      <c r="D31" s="90" t="s">
        <v>70</v>
      </c>
      <c r="E31" s="79" t="s">
        <v>14</v>
      </c>
      <c r="F31" s="79" t="s">
        <v>71</v>
      </c>
      <c r="G31" s="78" t="s">
        <v>14</v>
      </c>
      <c r="H31" s="121" t="s">
        <v>14</v>
      </c>
      <c r="I31" s="79" t="s">
        <v>14</v>
      </c>
      <c r="J31" s="122">
        <v>5.8</v>
      </c>
      <c r="K31" s="123">
        <v>1</v>
      </c>
      <c r="L31" s="124">
        <v>0</v>
      </c>
      <c r="M31" s="125">
        <v>1</v>
      </c>
      <c r="N31" s="118">
        <v>96.64</v>
      </c>
      <c r="O31" s="118">
        <v>95</v>
      </c>
      <c r="P31" s="119">
        <v>1</v>
      </c>
      <c r="Q31" s="87">
        <f t="shared" si="0"/>
        <v>1</v>
      </c>
      <c r="R31" s="88">
        <f t="shared" si="1"/>
        <v>2</v>
      </c>
      <c r="S31" s="89">
        <f t="shared" si="2"/>
        <v>1</v>
      </c>
      <c r="T31" s="89">
        <f t="shared" si="3"/>
        <v>0</v>
      </c>
      <c r="U31" s="89">
        <f t="shared" si="4"/>
        <v>0</v>
      </c>
      <c r="V31" s="89">
        <f t="shared" si="5"/>
        <v>1</v>
      </c>
      <c r="W31" s="89">
        <f t="shared" si="6"/>
        <v>0</v>
      </c>
      <c r="X31" s="89">
        <f t="shared" si="7"/>
        <v>0</v>
      </c>
      <c r="Y31" s="89">
        <f t="shared" si="8"/>
        <v>0</v>
      </c>
      <c r="Z31" s="89">
        <f t="shared" si="10"/>
        <v>0</v>
      </c>
      <c r="AA31" s="41">
        <f t="shared" si="11"/>
        <v>0</v>
      </c>
      <c r="AB31" s="49"/>
      <c r="AC31" s="50"/>
      <c r="AD31" s="49" t="s">
        <v>5</v>
      </c>
      <c r="AE31" s="50" t="s">
        <v>433</v>
      </c>
      <c r="AF31" s="49"/>
      <c r="AG31" s="50"/>
      <c r="AH31" s="49" t="s">
        <v>30</v>
      </c>
      <c r="AI31" s="50" t="s">
        <v>424</v>
      </c>
      <c r="AJ31" s="49"/>
      <c r="AK31" s="50"/>
      <c r="AL31" s="49"/>
      <c r="AM31" s="50"/>
      <c r="AN31" s="49"/>
      <c r="AO31" s="50"/>
      <c r="AP31" s="49"/>
      <c r="AQ31" s="50"/>
      <c r="AR31" s="49"/>
      <c r="AS31" s="50"/>
      <c r="AT31" s="49"/>
      <c r="AU31" s="50"/>
      <c r="AV31" s="49" t="s">
        <v>1</v>
      </c>
      <c r="AW31" s="50" t="s">
        <v>457</v>
      </c>
      <c r="AX31" s="49"/>
      <c r="AY31" s="50"/>
      <c r="AZ31" s="49"/>
      <c r="BA31" s="50"/>
      <c r="BB31" s="49"/>
      <c r="BC31" s="50"/>
      <c r="BD31" s="49"/>
      <c r="BE31" s="50"/>
      <c r="BF31" s="49"/>
      <c r="BG31" s="50"/>
      <c r="BH31" s="49" t="s">
        <v>5</v>
      </c>
      <c r="BI31" s="50" t="s">
        <v>139</v>
      </c>
      <c r="BJ31" s="49"/>
      <c r="BK31" s="50"/>
      <c r="BL31" s="49"/>
      <c r="BM31" s="50"/>
      <c r="BN31" s="49"/>
      <c r="BO31" s="50"/>
      <c r="BP31" s="49"/>
      <c r="BQ31" s="50"/>
      <c r="BR31" s="49"/>
      <c r="BS31" s="50"/>
      <c r="BT31" s="49"/>
      <c r="BU31" s="50"/>
      <c r="BV31" s="49"/>
      <c r="BW31" s="50"/>
      <c r="BX31" s="49"/>
      <c r="BY31" s="50"/>
      <c r="BZ31" s="49"/>
      <c r="CA31" s="50"/>
      <c r="CB31" s="49"/>
      <c r="CC31" s="50"/>
    </row>
    <row r="32" spans="1:81" s="120" customFormat="1" ht="14.25" customHeight="1" x14ac:dyDescent="0.25">
      <c r="A32" s="79">
        <v>150571</v>
      </c>
      <c r="B32" s="77" t="s">
        <v>1444</v>
      </c>
      <c r="C32" s="98" t="s">
        <v>1435</v>
      </c>
      <c r="D32" s="90" t="s">
        <v>70</v>
      </c>
      <c r="E32" s="79" t="s">
        <v>14</v>
      </c>
      <c r="F32" s="79" t="s">
        <v>71</v>
      </c>
      <c r="G32" s="78" t="s">
        <v>14</v>
      </c>
      <c r="H32" s="121" t="s">
        <v>14</v>
      </c>
      <c r="I32" s="79" t="s">
        <v>14</v>
      </c>
      <c r="J32" s="122">
        <v>5.3</v>
      </c>
      <c r="K32" s="123">
        <v>0</v>
      </c>
      <c r="L32" s="124">
        <v>0</v>
      </c>
      <c r="M32" s="125">
        <v>0</v>
      </c>
      <c r="N32" s="118">
        <v>99.01</v>
      </c>
      <c r="O32" s="118">
        <v>97.14</v>
      </c>
      <c r="P32" s="119">
        <v>0</v>
      </c>
      <c r="Q32" s="87">
        <f t="shared" si="0"/>
        <v>1</v>
      </c>
      <c r="R32" s="88">
        <f t="shared" si="1"/>
        <v>3</v>
      </c>
      <c r="S32" s="89">
        <f t="shared" si="2"/>
        <v>0</v>
      </c>
      <c r="T32" s="89">
        <f t="shared" si="3"/>
        <v>0</v>
      </c>
      <c r="U32" s="89">
        <f t="shared" si="4"/>
        <v>0</v>
      </c>
      <c r="V32" s="89">
        <f t="shared" si="5"/>
        <v>0</v>
      </c>
      <c r="W32" s="89">
        <f t="shared" si="6"/>
        <v>0</v>
      </c>
      <c r="X32" s="89">
        <f t="shared" si="7"/>
        <v>0</v>
      </c>
      <c r="Y32" s="89">
        <f t="shared" si="8"/>
        <v>0</v>
      </c>
      <c r="Z32" s="89">
        <f t="shared" si="10"/>
        <v>0</v>
      </c>
      <c r="AA32" s="41">
        <f t="shared" si="11"/>
        <v>0</v>
      </c>
      <c r="AB32" s="49"/>
      <c r="AC32" s="50"/>
      <c r="AD32" s="49" t="s">
        <v>1</v>
      </c>
      <c r="AE32" s="50" t="s">
        <v>438</v>
      </c>
      <c r="AF32" s="49"/>
      <c r="AG32" s="50"/>
      <c r="AH32" s="49"/>
      <c r="AI32" s="50"/>
      <c r="AJ32" s="49"/>
      <c r="AK32" s="50"/>
      <c r="AL32" s="49"/>
      <c r="AM32" s="50"/>
      <c r="AN32" s="49"/>
      <c r="AO32" s="50"/>
      <c r="AP32" s="49"/>
      <c r="AQ32" s="50"/>
      <c r="AR32" s="49"/>
      <c r="AS32" s="50"/>
      <c r="AT32" s="49"/>
      <c r="AU32" s="50"/>
      <c r="AV32" s="49" t="s">
        <v>5</v>
      </c>
      <c r="AW32" s="50" t="s">
        <v>602</v>
      </c>
      <c r="AX32" s="49"/>
      <c r="AY32" s="50"/>
      <c r="AZ32" s="49"/>
      <c r="BA32" s="50"/>
      <c r="BB32" s="49"/>
      <c r="BC32" s="50"/>
      <c r="BD32" s="49"/>
      <c r="BE32" s="50"/>
      <c r="BF32" s="49"/>
      <c r="BG32" s="50"/>
      <c r="BH32" s="49"/>
      <c r="BI32" s="50"/>
      <c r="BJ32" s="49"/>
      <c r="BK32" s="50"/>
      <c r="BL32" s="49"/>
      <c r="BM32" s="50"/>
      <c r="BN32" s="49"/>
      <c r="BO32" s="50"/>
      <c r="BP32" s="49"/>
      <c r="BQ32" s="50"/>
      <c r="BR32" s="49"/>
      <c r="BS32" s="50"/>
      <c r="BT32" s="49" t="s">
        <v>5</v>
      </c>
      <c r="BU32" s="50" t="s">
        <v>98</v>
      </c>
      <c r="BV32" s="49"/>
      <c r="BW32" s="50"/>
      <c r="BX32" s="49" t="s">
        <v>5</v>
      </c>
      <c r="BY32" s="50" t="s">
        <v>425</v>
      </c>
      <c r="BZ32" s="49"/>
      <c r="CA32" s="50"/>
      <c r="CB32" s="49"/>
      <c r="CC32" s="50"/>
    </row>
    <row r="33" spans="1:81" s="120" customFormat="1" ht="14.25" customHeight="1" x14ac:dyDescent="0.25">
      <c r="A33" s="79">
        <v>150420</v>
      </c>
      <c r="B33" s="77" t="s">
        <v>1445</v>
      </c>
      <c r="C33" s="98" t="s">
        <v>1435</v>
      </c>
      <c r="D33" s="90" t="s">
        <v>12</v>
      </c>
      <c r="E33" s="79" t="s">
        <v>14</v>
      </c>
      <c r="F33" s="79" t="s">
        <v>71</v>
      </c>
      <c r="G33" s="78" t="s">
        <v>14</v>
      </c>
      <c r="H33" s="121" t="s">
        <v>14</v>
      </c>
      <c r="I33" s="79" t="s">
        <v>14</v>
      </c>
      <c r="J33" s="122">
        <v>6.6</v>
      </c>
      <c r="K33" s="123">
        <v>0</v>
      </c>
      <c r="L33" s="124">
        <v>1</v>
      </c>
      <c r="M33" s="125">
        <v>0</v>
      </c>
      <c r="N33" s="118">
        <v>93.58</v>
      </c>
      <c r="O33" s="118">
        <v>89.47</v>
      </c>
      <c r="P33" s="119">
        <v>0</v>
      </c>
      <c r="Q33" s="87">
        <f t="shared" si="0"/>
        <v>0</v>
      </c>
      <c r="R33" s="88">
        <f t="shared" si="1"/>
        <v>3</v>
      </c>
      <c r="S33" s="89">
        <f t="shared" si="2"/>
        <v>0</v>
      </c>
      <c r="T33" s="89">
        <f t="shared" si="3"/>
        <v>1</v>
      </c>
      <c r="U33" s="89">
        <f t="shared" si="4"/>
        <v>0</v>
      </c>
      <c r="V33" s="89">
        <f t="shared" si="5"/>
        <v>1</v>
      </c>
      <c r="W33" s="89">
        <f t="shared" si="6"/>
        <v>0</v>
      </c>
      <c r="X33" s="89">
        <f t="shared" si="7"/>
        <v>0</v>
      </c>
      <c r="Y33" s="89">
        <f t="shared" si="8"/>
        <v>0</v>
      </c>
      <c r="Z33" s="89">
        <f t="shared" si="10"/>
        <v>0</v>
      </c>
      <c r="AA33" s="41">
        <f t="shared" si="11"/>
        <v>0</v>
      </c>
      <c r="AB33" s="49"/>
      <c r="AC33" s="50"/>
      <c r="AD33" s="49"/>
      <c r="AE33" s="50"/>
      <c r="AF33" s="49"/>
      <c r="AG33" s="50"/>
      <c r="AH33" s="49"/>
      <c r="AI33" s="50"/>
      <c r="AJ33" s="49"/>
      <c r="AK33" s="50"/>
      <c r="AL33" s="49"/>
      <c r="AM33" s="50"/>
      <c r="AN33" s="49"/>
      <c r="AO33" s="50"/>
      <c r="AP33" s="49" t="s">
        <v>5</v>
      </c>
      <c r="AQ33" s="50" t="s">
        <v>428</v>
      </c>
      <c r="AR33" s="49"/>
      <c r="AS33" s="50"/>
      <c r="AT33" s="49"/>
      <c r="AU33" s="50"/>
      <c r="AV33" s="49" t="s">
        <v>5</v>
      </c>
      <c r="AW33" s="50" t="s">
        <v>457</v>
      </c>
      <c r="AX33" s="49"/>
      <c r="AY33" s="50"/>
      <c r="AZ33" s="49"/>
      <c r="BA33" s="50"/>
      <c r="BB33" s="49"/>
      <c r="BC33" s="50"/>
      <c r="BD33" s="49"/>
      <c r="BE33" s="50"/>
      <c r="BF33" s="49"/>
      <c r="BG33" s="50"/>
      <c r="BH33" s="49"/>
      <c r="BI33" s="50"/>
      <c r="BJ33" s="49"/>
      <c r="BK33" s="50"/>
      <c r="BL33" s="49"/>
      <c r="BM33" s="50"/>
      <c r="BN33" s="49"/>
      <c r="BO33" s="50"/>
      <c r="BP33" s="49"/>
      <c r="BQ33" s="50"/>
      <c r="BR33" s="49" t="s">
        <v>31</v>
      </c>
      <c r="BS33" s="50" t="s">
        <v>81</v>
      </c>
      <c r="BT33" s="49"/>
      <c r="BU33" s="50"/>
      <c r="BV33" s="49"/>
      <c r="BW33" s="50"/>
      <c r="BX33" s="49" t="s">
        <v>5</v>
      </c>
      <c r="BY33" s="50" t="s">
        <v>425</v>
      </c>
      <c r="BZ33" s="49"/>
      <c r="CA33" s="50"/>
      <c r="CB33" s="49"/>
      <c r="CC33" s="50"/>
    </row>
    <row r="34" spans="1:81" s="120" customFormat="1" ht="14.25" customHeight="1" x14ac:dyDescent="0.25">
      <c r="A34" s="79">
        <v>150579</v>
      </c>
      <c r="B34" s="77" t="s">
        <v>1446</v>
      </c>
      <c r="C34" s="98" t="s">
        <v>1405</v>
      </c>
      <c r="D34" s="90" t="s">
        <v>12</v>
      </c>
      <c r="E34" s="79" t="s">
        <v>87</v>
      </c>
      <c r="F34" s="79" t="s">
        <v>71</v>
      </c>
      <c r="G34" s="78" t="s">
        <v>14</v>
      </c>
      <c r="H34" s="121" t="s">
        <v>14</v>
      </c>
      <c r="I34" s="79" t="s">
        <v>14</v>
      </c>
      <c r="J34" s="122">
        <v>8.8000000000000007</v>
      </c>
      <c r="K34" s="123">
        <v>0</v>
      </c>
      <c r="L34" s="124">
        <v>0</v>
      </c>
      <c r="M34" s="125">
        <v>0</v>
      </c>
      <c r="N34" s="118">
        <v>100</v>
      </c>
      <c r="O34" s="118">
        <v>100</v>
      </c>
      <c r="P34" s="119">
        <v>5</v>
      </c>
      <c r="Q34" s="87">
        <f t="shared" si="0"/>
        <v>4</v>
      </c>
      <c r="R34" s="88">
        <f t="shared" si="1"/>
        <v>1</v>
      </c>
      <c r="S34" s="89">
        <f t="shared" si="2"/>
        <v>0</v>
      </c>
      <c r="T34" s="89">
        <f t="shared" si="3"/>
        <v>0</v>
      </c>
      <c r="U34" s="89">
        <f t="shared" si="4"/>
        <v>0</v>
      </c>
      <c r="V34" s="89">
        <f t="shared" si="5"/>
        <v>0</v>
      </c>
      <c r="W34" s="89">
        <f t="shared" si="6"/>
        <v>0</v>
      </c>
      <c r="X34" s="89">
        <f t="shared" si="7"/>
        <v>0</v>
      </c>
      <c r="Y34" s="89">
        <f t="shared" si="8"/>
        <v>0</v>
      </c>
      <c r="Z34" s="89">
        <f t="shared" si="10"/>
        <v>0</v>
      </c>
      <c r="AA34" s="41">
        <f t="shared" si="11"/>
        <v>0</v>
      </c>
      <c r="AB34" s="49"/>
      <c r="AC34" s="50"/>
      <c r="AD34" s="49"/>
      <c r="AE34" s="50"/>
      <c r="AF34" s="49"/>
      <c r="AG34" s="50"/>
      <c r="AH34" s="49" t="s">
        <v>1</v>
      </c>
      <c r="AI34" s="50" t="s">
        <v>206</v>
      </c>
      <c r="AJ34" s="49"/>
      <c r="AK34" s="50"/>
      <c r="AL34" s="49"/>
      <c r="AM34" s="50"/>
      <c r="AN34" s="49"/>
      <c r="AO34" s="50"/>
      <c r="AP34" s="49"/>
      <c r="AQ34" s="50"/>
      <c r="AR34" s="49"/>
      <c r="AS34" s="50"/>
      <c r="AT34" s="49"/>
      <c r="AU34" s="50"/>
      <c r="AV34" s="49" t="s">
        <v>1</v>
      </c>
      <c r="AW34" s="50" t="s">
        <v>122</v>
      </c>
      <c r="AX34" s="49"/>
      <c r="AY34" s="50"/>
      <c r="AZ34" s="49" t="s">
        <v>1</v>
      </c>
      <c r="BA34" s="50" t="s">
        <v>422</v>
      </c>
      <c r="BB34" s="49"/>
      <c r="BC34" s="50"/>
      <c r="BD34" s="49"/>
      <c r="BE34" s="50"/>
      <c r="BF34" s="49"/>
      <c r="BG34" s="50"/>
      <c r="BH34" s="49" t="s">
        <v>5</v>
      </c>
      <c r="BI34" s="50" t="s">
        <v>139</v>
      </c>
      <c r="BJ34" s="49"/>
      <c r="BK34" s="50"/>
      <c r="BL34" s="49"/>
      <c r="BM34" s="50"/>
      <c r="BN34" s="49"/>
      <c r="BO34" s="50"/>
      <c r="BP34" s="49"/>
      <c r="BQ34" s="50"/>
      <c r="BR34" s="49"/>
      <c r="BS34" s="50"/>
      <c r="BT34" s="49" t="s">
        <v>1</v>
      </c>
      <c r="BU34" s="50" t="s">
        <v>109</v>
      </c>
      <c r="BV34" s="49"/>
      <c r="BW34" s="50"/>
      <c r="BX34" s="49"/>
      <c r="BY34" s="50"/>
      <c r="BZ34" s="49"/>
      <c r="CA34" s="50"/>
      <c r="CB34" s="49"/>
      <c r="CC34" s="50"/>
    </row>
    <row r="35" spans="1:81" s="120" customFormat="1" ht="14.25" customHeight="1" x14ac:dyDescent="0.25">
      <c r="A35" s="79">
        <v>150398</v>
      </c>
      <c r="B35" s="77" t="s">
        <v>1447</v>
      </c>
      <c r="C35" s="98" t="s">
        <v>1405</v>
      </c>
      <c r="D35" s="90" t="s">
        <v>70</v>
      </c>
      <c r="E35" s="79" t="s">
        <v>14</v>
      </c>
      <c r="F35" s="79" t="s">
        <v>71</v>
      </c>
      <c r="G35" s="78" t="s">
        <v>14</v>
      </c>
      <c r="H35" s="121" t="s">
        <v>14</v>
      </c>
      <c r="I35" s="79" t="s">
        <v>14</v>
      </c>
      <c r="J35" s="122">
        <v>4.0999999999999996</v>
      </c>
      <c r="K35" s="123">
        <v>0</v>
      </c>
      <c r="L35" s="124">
        <v>0</v>
      </c>
      <c r="M35" s="125">
        <v>1</v>
      </c>
      <c r="N35" s="118">
        <v>97.62</v>
      </c>
      <c r="O35" s="118">
        <v>96.97</v>
      </c>
      <c r="P35" s="119">
        <v>0</v>
      </c>
      <c r="Q35" s="87">
        <f t="shared" si="0"/>
        <v>1</v>
      </c>
      <c r="R35" s="88">
        <f t="shared" si="1"/>
        <v>3</v>
      </c>
      <c r="S35" s="89">
        <f t="shared" si="2"/>
        <v>0</v>
      </c>
      <c r="T35" s="89">
        <f t="shared" si="3"/>
        <v>0</v>
      </c>
      <c r="U35" s="89">
        <f t="shared" si="4"/>
        <v>0</v>
      </c>
      <c r="V35" s="89">
        <f t="shared" si="5"/>
        <v>0</v>
      </c>
      <c r="W35" s="89">
        <f t="shared" si="6"/>
        <v>0</v>
      </c>
      <c r="X35" s="89">
        <f t="shared" si="7"/>
        <v>0</v>
      </c>
      <c r="Y35" s="89">
        <f t="shared" si="8"/>
        <v>0</v>
      </c>
      <c r="Z35" s="89">
        <f t="shared" si="10"/>
        <v>0</v>
      </c>
      <c r="AA35" s="41">
        <f t="shared" si="11"/>
        <v>0</v>
      </c>
      <c r="AB35" s="49"/>
      <c r="AC35" s="50"/>
      <c r="AD35" s="49"/>
      <c r="AE35" s="50"/>
      <c r="AF35" s="49"/>
      <c r="AG35" s="50"/>
      <c r="AH35" s="49"/>
      <c r="AI35" s="50"/>
      <c r="AJ35" s="49"/>
      <c r="AK35" s="50"/>
      <c r="AL35" s="49"/>
      <c r="AM35" s="50"/>
      <c r="AN35" s="49"/>
      <c r="AO35" s="50"/>
      <c r="AP35" s="49"/>
      <c r="AQ35" s="50"/>
      <c r="AR35" s="49"/>
      <c r="AS35" s="50"/>
      <c r="AT35" s="49"/>
      <c r="AU35" s="50"/>
      <c r="AV35" s="49" t="s">
        <v>1</v>
      </c>
      <c r="AW35" s="50" t="s">
        <v>495</v>
      </c>
      <c r="AX35" s="49"/>
      <c r="AY35" s="50"/>
      <c r="AZ35" s="49"/>
      <c r="BA35" s="50"/>
      <c r="BB35" s="49"/>
      <c r="BC35" s="50"/>
      <c r="BD35" s="49"/>
      <c r="BE35" s="50"/>
      <c r="BF35" s="49"/>
      <c r="BG35" s="50"/>
      <c r="BH35" s="49"/>
      <c r="BI35" s="50"/>
      <c r="BJ35" s="49"/>
      <c r="BK35" s="50"/>
      <c r="BL35" s="49"/>
      <c r="BM35" s="50"/>
      <c r="BN35" s="49" t="s">
        <v>5</v>
      </c>
      <c r="BO35" s="50" t="s">
        <v>602</v>
      </c>
      <c r="BP35" s="49" t="s">
        <v>5</v>
      </c>
      <c r="BQ35" s="50"/>
      <c r="BR35" s="49"/>
      <c r="BS35" s="50"/>
      <c r="BT35" s="49"/>
      <c r="BU35" s="50"/>
      <c r="BV35" s="49"/>
      <c r="BW35" s="50"/>
      <c r="BX35" s="49"/>
      <c r="BY35" s="50"/>
      <c r="BZ35" s="49" t="s">
        <v>5</v>
      </c>
      <c r="CA35" s="50" t="s">
        <v>420</v>
      </c>
      <c r="CB35" s="49"/>
      <c r="CC35" s="50"/>
    </row>
    <row r="36" spans="1:81" s="120" customFormat="1" ht="14.25" customHeight="1" x14ac:dyDescent="0.25">
      <c r="A36" s="79">
        <v>150530</v>
      </c>
      <c r="B36" s="77" t="s">
        <v>1448</v>
      </c>
      <c r="C36" s="98" t="s">
        <v>1421</v>
      </c>
      <c r="D36" s="90" t="s">
        <v>70</v>
      </c>
      <c r="E36" s="79" t="s">
        <v>14</v>
      </c>
      <c r="F36" s="79" t="s">
        <v>71</v>
      </c>
      <c r="G36" s="78" t="s">
        <v>14</v>
      </c>
      <c r="H36" s="121" t="s">
        <v>14</v>
      </c>
      <c r="I36" s="79" t="s">
        <v>14</v>
      </c>
      <c r="J36" s="122">
        <v>7.9</v>
      </c>
      <c r="K36" s="123">
        <v>0</v>
      </c>
      <c r="L36" s="124">
        <v>0</v>
      </c>
      <c r="M36" s="125">
        <v>0</v>
      </c>
      <c r="N36" s="118">
        <v>100</v>
      </c>
      <c r="O36" s="118">
        <v>100</v>
      </c>
      <c r="P36" s="119">
        <v>0</v>
      </c>
      <c r="Q36" s="87">
        <f t="shared" si="0"/>
        <v>2</v>
      </c>
      <c r="R36" s="88">
        <f t="shared" si="1"/>
        <v>3</v>
      </c>
      <c r="S36" s="89">
        <f t="shared" si="2"/>
        <v>0</v>
      </c>
      <c r="T36" s="89">
        <f t="shared" si="3"/>
        <v>0</v>
      </c>
      <c r="U36" s="89">
        <f t="shared" si="4"/>
        <v>0</v>
      </c>
      <c r="V36" s="89">
        <f t="shared" si="5"/>
        <v>0</v>
      </c>
      <c r="W36" s="89">
        <f t="shared" si="6"/>
        <v>0</v>
      </c>
      <c r="X36" s="89">
        <f t="shared" si="7"/>
        <v>0</v>
      </c>
      <c r="Y36" s="89">
        <f t="shared" si="8"/>
        <v>0</v>
      </c>
      <c r="Z36" s="89">
        <f t="shared" si="10"/>
        <v>0</v>
      </c>
      <c r="AA36" s="41">
        <f t="shared" si="11"/>
        <v>0</v>
      </c>
      <c r="AB36" s="49"/>
      <c r="AC36" s="50"/>
      <c r="AD36" s="49"/>
      <c r="AE36" s="50"/>
      <c r="AF36" s="49"/>
      <c r="AG36" s="50"/>
      <c r="AH36" s="49"/>
      <c r="AI36" s="50"/>
      <c r="AJ36" s="49"/>
      <c r="AK36" s="50"/>
      <c r="AL36" s="49"/>
      <c r="AM36" s="50"/>
      <c r="AN36" s="49"/>
      <c r="AO36" s="50"/>
      <c r="AP36" s="49" t="s">
        <v>5</v>
      </c>
      <c r="AQ36" s="50" t="s">
        <v>428</v>
      </c>
      <c r="AR36" s="49" t="s">
        <v>5</v>
      </c>
      <c r="AS36" s="50" t="s">
        <v>91</v>
      </c>
      <c r="AT36" s="49"/>
      <c r="AU36" s="50"/>
      <c r="AV36" s="49" t="s">
        <v>5</v>
      </c>
      <c r="AW36" s="50" t="s">
        <v>151</v>
      </c>
      <c r="AX36" s="49"/>
      <c r="AY36" s="50"/>
      <c r="AZ36" s="49"/>
      <c r="BA36" s="50"/>
      <c r="BB36" s="49"/>
      <c r="BC36" s="50"/>
      <c r="BD36" s="49"/>
      <c r="BE36" s="50"/>
      <c r="BF36" s="49"/>
      <c r="BG36" s="50"/>
      <c r="BH36" s="49"/>
      <c r="BI36" s="50"/>
      <c r="BJ36" s="49" t="s">
        <v>1</v>
      </c>
      <c r="BK36" s="50" t="s">
        <v>79</v>
      </c>
      <c r="BL36" s="49"/>
      <c r="BM36" s="50"/>
      <c r="BN36" s="49"/>
      <c r="BO36" s="50"/>
      <c r="BP36" s="49"/>
      <c r="BQ36" s="50"/>
      <c r="BR36" s="49"/>
      <c r="BS36" s="50"/>
      <c r="BT36" s="49"/>
      <c r="BU36" s="50"/>
      <c r="BV36" s="49"/>
      <c r="BW36" s="50"/>
      <c r="BX36" s="49" t="s">
        <v>1</v>
      </c>
      <c r="BY36" s="50" t="s">
        <v>425</v>
      </c>
      <c r="BZ36" s="49"/>
      <c r="CA36" s="50"/>
      <c r="CB36" s="49"/>
      <c r="CC36" s="50"/>
    </row>
    <row r="37" spans="1:81" s="120" customFormat="1" ht="14.25" customHeight="1" x14ac:dyDescent="0.25">
      <c r="A37" s="79">
        <v>150567</v>
      </c>
      <c r="B37" s="77" t="s">
        <v>1449</v>
      </c>
      <c r="C37" s="98" t="s">
        <v>1417</v>
      </c>
      <c r="D37" s="90" t="s">
        <v>70</v>
      </c>
      <c r="E37" s="79" t="s">
        <v>14</v>
      </c>
      <c r="F37" s="79" t="s">
        <v>71</v>
      </c>
      <c r="G37" s="78" t="s">
        <v>14</v>
      </c>
      <c r="H37" s="121" t="s">
        <v>14</v>
      </c>
      <c r="I37" s="79" t="s">
        <v>14</v>
      </c>
      <c r="J37" s="122">
        <v>7.3</v>
      </c>
      <c r="K37" s="123">
        <v>0</v>
      </c>
      <c r="L37" s="124">
        <v>0</v>
      </c>
      <c r="M37" s="125">
        <v>0</v>
      </c>
      <c r="N37" s="118">
        <v>81.900000000000006</v>
      </c>
      <c r="O37" s="118">
        <v>97.3</v>
      </c>
      <c r="P37" s="119">
        <v>4</v>
      </c>
      <c r="Q37" s="87">
        <f t="shared" si="0"/>
        <v>0</v>
      </c>
      <c r="R37" s="88">
        <f t="shared" si="1"/>
        <v>4</v>
      </c>
      <c r="S37" s="89">
        <f t="shared" si="2"/>
        <v>0</v>
      </c>
      <c r="T37" s="89">
        <f t="shared" si="3"/>
        <v>0</v>
      </c>
      <c r="U37" s="89">
        <f t="shared" si="4"/>
        <v>0</v>
      </c>
      <c r="V37" s="89">
        <f t="shared" si="5"/>
        <v>0</v>
      </c>
      <c r="W37" s="89">
        <f t="shared" si="6"/>
        <v>0</v>
      </c>
      <c r="X37" s="89">
        <f t="shared" si="7"/>
        <v>0</v>
      </c>
      <c r="Y37" s="89">
        <f t="shared" si="8"/>
        <v>0</v>
      </c>
      <c r="Z37" s="89">
        <f t="shared" si="10"/>
        <v>0</v>
      </c>
      <c r="AA37" s="41">
        <f t="shared" si="11"/>
        <v>0</v>
      </c>
      <c r="AB37" s="49"/>
      <c r="AC37" s="50"/>
      <c r="AD37" s="49" t="s">
        <v>5</v>
      </c>
      <c r="AE37" s="50" t="s">
        <v>133</v>
      </c>
      <c r="AF37" s="49"/>
      <c r="AG37" s="50"/>
      <c r="AH37" s="49"/>
      <c r="AI37" s="50"/>
      <c r="AJ37" s="49"/>
      <c r="AK37" s="50"/>
      <c r="AL37" s="49"/>
      <c r="AM37" s="50"/>
      <c r="AN37" s="49"/>
      <c r="AO37" s="50"/>
      <c r="AP37" s="49"/>
      <c r="AQ37" s="50"/>
      <c r="AR37" s="49"/>
      <c r="AS37" s="50"/>
      <c r="AT37" s="49"/>
      <c r="AU37" s="50"/>
      <c r="AV37" s="49" t="s">
        <v>5</v>
      </c>
      <c r="AW37" s="50" t="s">
        <v>425</v>
      </c>
      <c r="AX37" s="49"/>
      <c r="AY37" s="50"/>
      <c r="AZ37" s="49"/>
      <c r="BA37" s="50"/>
      <c r="BB37" s="49" t="s">
        <v>5</v>
      </c>
      <c r="BC37" s="50" t="s">
        <v>76</v>
      </c>
      <c r="BD37" s="49"/>
      <c r="BE37" s="50"/>
      <c r="BF37" s="49"/>
      <c r="BG37" s="50"/>
      <c r="BH37" s="49"/>
      <c r="BI37" s="50"/>
      <c r="BJ37" s="49"/>
      <c r="BK37" s="50"/>
      <c r="BL37" s="49"/>
      <c r="BM37" s="50"/>
      <c r="BN37" s="49"/>
      <c r="BO37" s="50"/>
      <c r="BP37" s="49"/>
      <c r="BQ37" s="50"/>
      <c r="BR37" s="49" t="s">
        <v>5</v>
      </c>
      <c r="BS37" s="50" t="s">
        <v>81</v>
      </c>
      <c r="BT37" s="49"/>
      <c r="BU37" s="50"/>
      <c r="BV37" s="49"/>
      <c r="BW37" s="50"/>
      <c r="BX37" s="49"/>
      <c r="BY37" s="50"/>
      <c r="BZ37" s="49"/>
      <c r="CA37" s="50"/>
      <c r="CB37" s="49"/>
      <c r="CC37" s="50"/>
    </row>
    <row r="38" spans="1:81" s="120" customFormat="1" ht="14.25" customHeight="1" x14ac:dyDescent="0.25">
      <c r="A38" s="79">
        <v>152111</v>
      </c>
      <c r="B38" s="77" t="s">
        <v>1450</v>
      </c>
      <c r="C38" s="98" t="s">
        <v>1435</v>
      </c>
      <c r="D38" s="90" t="s">
        <v>12</v>
      </c>
      <c r="E38" s="79" t="s">
        <v>14</v>
      </c>
      <c r="F38" s="79" t="s">
        <v>71</v>
      </c>
      <c r="G38" s="78" t="s">
        <v>14</v>
      </c>
      <c r="H38" s="121" t="s">
        <v>14</v>
      </c>
      <c r="I38" s="79" t="s">
        <v>14</v>
      </c>
      <c r="J38" s="122">
        <v>4.3</v>
      </c>
      <c r="K38" s="123">
        <v>2</v>
      </c>
      <c r="L38" s="124">
        <v>0</v>
      </c>
      <c r="M38" s="125">
        <v>0</v>
      </c>
      <c r="N38" s="118">
        <v>98.06</v>
      </c>
      <c r="O38" s="118">
        <v>100</v>
      </c>
      <c r="P38" s="119">
        <v>1</v>
      </c>
      <c r="Q38" s="87">
        <f t="shared" si="0"/>
        <v>1</v>
      </c>
      <c r="R38" s="88">
        <f t="shared" si="1"/>
        <v>3</v>
      </c>
      <c r="S38" s="89">
        <f t="shared" si="2"/>
        <v>0</v>
      </c>
      <c r="T38" s="89">
        <f t="shared" si="3"/>
        <v>0</v>
      </c>
      <c r="U38" s="89">
        <f t="shared" si="4"/>
        <v>0</v>
      </c>
      <c r="V38" s="89">
        <f t="shared" si="5"/>
        <v>0</v>
      </c>
      <c r="W38" s="89">
        <f t="shared" si="6"/>
        <v>0</v>
      </c>
      <c r="X38" s="89">
        <f t="shared" si="7"/>
        <v>0</v>
      </c>
      <c r="Y38" s="89">
        <f t="shared" si="8"/>
        <v>0</v>
      </c>
      <c r="Z38" s="89">
        <f t="shared" si="10"/>
        <v>0</v>
      </c>
      <c r="AA38" s="41">
        <f t="shared" si="11"/>
        <v>0</v>
      </c>
      <c r="AB38" s="49"/>
      <c r="AC38" s="50"/>
      <c r="AD38" s="49"/>
      <c r="AE38" s="50"/>
      <c r="AF38" s="49" t="s">
        <v>5</v>
      </c>
      <c r="AG38" s="50" t="s">
        <v>427</v>
      </c>
      <c r="AH38" s="49"/>
      <c r="AI38" s="50"/>
      <c r="AJ38" s="49"/>
      <c r="AK38" s="50"/>
      <c r="AL38" s="49"/>
      <c r="AM38" s="50"/>
      <c r="AN38" s="49"/>
      <c r="AO38" s="50"/>
      <c r="AP38" s="49"/>
      <c r="AQ38" s="50"/>
      <c r="AR38" s="49"/>
      <c r="AS38" s="50"/>
      <c r="AT38" s="49"/>
      <c r="AU38" s="50"/>
      <c r="AV38" s="49" t="s">
        <v>5</v>
      </c>
      <c r="AW38" s="50" t="s">
        <v>602</v>
      </c>
      <c r="AX38" s="49"/>
      <c r="AY38" s="50"/>
      <c r="AZ38" s="49"/>
      <c r="BA38" s="50"/>
      <c r="BB38" s="49"/>
      <c r="BC38" s="50"/>
      <c r="BD38" s="49"/>
      <c r="BE38" s="50"/>
      <c r="BF38" s="49"/>
      <c r="BG38" s="50"/>
      <c r="BH38" s="49"/>
      <c r="BI38" s="50"/>
      <c r="BJ38" s="49"/>
      <c r="BK38" s="50"/>
      <c r="BL38" s="49"/>
      <c r="BM38" s="50"/>
      <c r="BN38" s="49"/>
      <c r="BO38" s="50"/>
      <c r="BP38" s="49"/>
      <c r="BQ38" s="50"/>
      <c r="BR38" s="49" t="s">
        <v>1</v>
      </c>
      <c r="BS38" s="50" t="s">
        <v>81</v>
      </c>
      <c r="BT38" s="49"/>
      <c r="BU38" s="50"/>
      <c r="BV38" s="49" t="s">
        <v>5</v>
      </c>
      <c r="BW38" s="50" t="s">
        <v>93</v>
      </c>
      <c r="BX38" s="49"/>
      <c r="BY38" s="50"/>
      <c r="BZ38" s="49"/>
      <c r="CA38" s="50"/>
      <c r="CB38" s="49"/>
      <c r="CC38" s="50"/>
    </row>
    <row r="39" spans="1:81" s="120" customFormat="1" ht="14.25" customHeight="1" x14ac:dyDescent="0.25">
      <c r="A39" s="79">
        <v>152160</v>
      </c>
      <c r="B39" s="77" t="s">
        <v>1451</v>
      </c>
      <c r="C39" s="98" t="s">
        <v>1435</v>
      </c>
      <c r="D39" s="90" t="s">
        <v>70</v>
      </c>
      <c r="E39" s="79" t="s">
        <v>14</v>
      </c>
      <c r="F39" s="79" t="s">
        <v>71</v>
      </c>
      <c r="G39" s="78" t="s">
        <v>14</v>
      </c>
      <c r="H39" s="121" t="s">
        <v>14</v>
      </c>
      <c r="I39" s="79" t="s">
        <v>14</v>
      </c>
      <c r="J39" s="122">
        <v>8.5</v>
      </c>
      <c r="K39" s="123">
        <v>1</v>
      </c>
      <c r="L39" s="124">
        <v>0</v>
      </c>
      <c r="M39" s="125">
        <v>0</v>
      </c>
      <c r="N39" s="118">
        <v>100</v>
      </c>
      <c r="O39" s="118">
        <v>100</v>
      </c>
      <c r="P39" s="119">
        <v>1</v>
      </c>
      <c r="Q39" s="87">
        <f t="shared" si="0"/>
        <v>2</v>
      </c>
      <c r="R39" s="88">
        <f t="shared" si="1"/>
        <v>2</v>
      </c>
      <c r="S39" s="89">
        <f t="shared" si="2"/>
        <v>0</v>
      </c>
      <c r="T39" s="89">
        <f t="shared" si="3"/>
        <v>0</v>
      </c>
      <c r="U39" s="89">
        <f t="shared" si="4"/>
        <v>0</v>
      </c>
      <c r="V39" s="89">
        <f t="shared" si="5"/>
        <v>0</v>
      </c>
      <c r="W39" s="89">
        <f t="shared" si="6"/>
        <v>0</v>
      </c>
      <c r="X39" s="89">
        <f t="shared" si="7"/>
        <v>0</v>
      </c>
      <c r="Y39" s="89">
        <f t="shared" si="8"/>
        <v>0</v>
      </c>
      <c r="Z39" s="89">
        <f t="shared" si="10"/>
        <v>0</v>
      </c>
      <c r="AA39" s="41">
        <f t="shared" si="11"/>
        <v>0</v>
      </c>
      <c r="AB39" s="49"/>
      <c r="AC39" s="50"/>
      <c r="AD39" s="49"/>
      <c r="AE39" s="50"/>
      <c r="AF39" s="49"/>
      <c r="AG39" s="50"/>
      <c r="AH39" s="49"/>
      <c r="AI39" s="50"/>
      <c r="AJ39" s="49"/>
      <c r="AK39" s="50"/>
      <c r="AL39" s="49"/>
      <c r="AM39" s="50"/>
      <c r="AN39" s="49"/>
      <c r="AO39" s="50"/>
      <c r="AP39" s="49"/>
      <c r="AQ39" s="50"/>
      <c r="AR39" s="49"/>
      <c r="AS39" s="50"/>
      <c r="AT39" s="49"/>
      <c r="AU39" s="50"/>
      <c r="AV39" s="49" t="s">
        <v>5</v>
      </c>
      <c r="AW39" s="50" t="s">
        <v>457</v>
      </c>
      <c r="AX39" s="49"/>
      <c r="AY39" s="50"/>
      <c r="AZ39" s="49"/>
      <c r="BA39" s="50"/>
      <c r="BB39" s="49"/>
      <c r="BC39" s="50"/>
      <c r="BD39" s="49"/>
      <c r="BE39" s="50"/>
      <c r="BF39" s="49" t="s">
        <v>1</v>
      </c>
      <c r="BG39" s="50" t="s">
        <v>132</v>
      </c>
      <c r="BH39" s="49" t="s">
        <v>5</v>
      </c>
      <c r="BI39" s="50" t="s">
        <v>136</v>
      </c>
      <c r="BJ39" s="49"/>
      <c r="BK39" s="50"/>
      <c r="BL39" s="49" t="s">
        <v>1</v>
      </c>
      <c r="BM39" s="50" t="s">
        <v>95</v>
      </c>
      <c r="BN39" s="49"/>
      <c r="BO39" s="50"/>
      <c r="BP39" s="49"/>
      <c r="BQ39" s="50"/>
      <c r="BR39" s="49"/>
      <c r="BS39" s="50"/>
      <c r="BT39" s="49"/>
      <c r="BU39" s="50"/>
      <c r="BV39" s="49"/>
      <c r="BW39" s="50"/>
      <c r="BX39" s="49"/>
      <c r="BY39" s="50"/>
      <c r="BZ39" s="49"/>
      <c r="CA39" s="50"/>
      <c r="CB39" s="49"/>
      <c r="CC39" s="50"/>
    </row>
    <row r="40" spans="1:81" s="120" customFormat="1" ht="14.25" customHeight="1" x14ac:dyDescent="0.25">
      <c r="A40" s="79">
        <v>150519</v>
      </c>
      <c r="B40" s="77" t="s">
        <v>1452</v>
      </c>
      <c r="C40" s="98" t="s">
        <v>1421</v>
      </c>
      <c r="D40" s="90" t="s">
        <v>12</v>
      </c>
      <c r="E40" s="79" t="s">
        <v>14</v>
      </c>
      <c r="F40" s="79" t="s">
        <v>71</v>
      </c>
      <c r="G40" s="78" t="s">
        <v>14</v>
      </c>
      <c r="H40" s="121" t="s">
        <v>14</v>
      </c>
      <c r="I40" s="79" t="s">
        <v>14</v>
      </c>
      <c r="J40" s="122">
        <v>7.2</v>
      </c>
      <c r="K40" s="123">
        <v>1</v>
      </c>
      <c r="L40" s="124">
        <v>0</v>
      </c>
      <c r="M40" s="125">
        <v>0</v>
      </c>
      <c r="N40" s="118">
        <v>94.44</v>
      </c>
      <c r="O40" s="118">
        <v>91.89</v>
      </c>
      <c r="P40" s="119">
        <v>1</v>
      </c>
      <c r="Q40" s="87">
        <f t="shared" si="0"/>
        <v>0</v>
      </c>
      <c r="R40" s="88">
        <f t="shared" si="1"/>
        <v>4</v>
      </c>
      <c r="S40" s="89">
        <f t="shared" si="2"/>
        <v>0</v>
      </c>
      <c r="T40" s="89">
        <f t="shared" si="3"/>
        <v>0</v>
      </c>
      <c r="U40" s="89">
        <f t="shared" si="4"/>
        <v>0</v>
      </c>
      <c r="V40" s="89">
        <f t="shared" si="5"/>
        <v>0</v>
      </c>
      <c r="W40" s="89">
        <f t="shared" si="6"/>
        <v>0</v>
      </c>
      <c r="X40" s="89">
        <f t="shared" si="7"/>
        <v>0</v>
      </c>
      <c r="Y40" s="89">
        <f t="shared" si="8"/>
        <v>0</v>
      </c>
      <c r="Z40" s="89">
        <f t="shared" si="10"/>
        <v>0</v>
      </c>
      <c r="AA40" s="41">
        <f t="shared" si="11"/>
        <v>0</v>
      </c>
      <c r="AB40" s="49"/>
      <c r="AC40" s="50"/>
      <c r="AD40" s="49"/>
      <c r="AE40" s="50"/>
      <c r="AF40" s="49"/>
      <c r="AG40" s="50"/>
      <c r="AH40" s="49"/>
      <c r="AI40" s="50"/>
      <c r="AJ40" s="49"/>
      <c r="AK40" s="50"/>
      <c r="AL40" s="49"/>
      <c r="AM40" s="50"/>
      <c r="AN40" s="49"/>
      <c r="AO40" s="50"/>
      <c r="AP40" s="49" t="s">
        <v>5</v>
      </c>
      <c r="AQ40" s="50" t="s">
        <v>428</v>
      </c>
      <c r="AR40" s="49"/>
      <c r="AS40" s="50"/>
      <c r="AT40" s="49" t="s">
        <v>5</v>
      </c>
      <c r="AU40" s="50" t="s">
        <v>448</v>
      </c>
      <c r="AV40" s="49" t="s">
        <v>5</v>
      </c>
      <c r="AW40" s="50" t="s">
        <v>151</v>
      </c>
      <c r="AX40" s="49"/>
      <c r="AY40" s="50"/>
      <c r="AZ40" s="49"/>
      <c r="BA40" s="50"/>
      <c r="BB40" s="49"/>
      <c r="BC40" s="50"/>
      <c r="BD40" s="49"/>
      <c r="BE40" s="50"/>
      <c r="BF40" s="49"/>
      <c r="BG40" s="50"/>
      <c r="BH40" s="49"/>
      <c r="BI40" s="50"/>
      <c r="BJ40" s="49"/>
      <c r="BK40" s="50"/>
      <c r="BL40" s="49"/>
      <c r="BM40" s="50"/>
      <c r="BN40" s="49"/>
      <c r="BO40" s="50"/>
      <c r="BP40" s="49"/>
      <c r="BQ40" s="50"/>
      <c r="BR40" s="49"/>
      <c r="BS40" s="50"/>
      <c r="BT40" s="49"/>
      <c r="BU40" s="50"/>
      <c r="BV40" s="49" t="s">
        <v>5</v>
      </c>
      <c r="BW40" s="50" t="s">
        <v>93</v>
      </c>
      <c r="BX40" s="49"/>
      <c r="BY40" s="50"/>
      <c r="BZ40" s="49"/>
      <c r="CA40" s="50"/>
      <c r="CB40" s="49"/>
      <c r="CC40" s="50"/>
    </row>
    <row r="41" spans="1:81" s="120" customFormat="1" ht="14.25" customHeight="1" x14ac:dyDescent="0.25">
      <c r="A41" s="79">
        <v>150550</v>
      </c>
      <c r="B41" s="77" t="s">
        <v>1453</v>
      </c>
      <c r="C41" s="98" t="s">
        <v>1414</v>
      </c>
      <c r="D41" s="90" t="s">
        <v>70</v>
      </c>
      <c r="E41" s="79" t="s">
        <v>87</v>
      </c>
      <c r="F41" s="79" t="s">
        <v>88</v>
      </c>
      <c r="G41" s="78" t="s">
        <v>14</v>
      </c>
      <c r="H41" s="121" t="s">
        <v>14</v>
      </c>
      <c r="I41" s="79" t="s">
        <v>14</v>
      </c>
      <c r="J41" s="122">
        <v>5.8</v>
      </c>
      <c r="K41" s="123">
        <v>0</v>
      </c>
      <c r="L41" s="124">
        <v>0</v>
      </c>
      <c r="M41" s="125">
        <v>0</v>
      </c>
      <c r="N41" s="118">
        <v>86.79</v>
      </c>
      <c r="O41" s="118">
        <v>75</v>
      </c>
      <c r="P41" s="119">
        <v>10</v>
      </c>
      <c r="Q41" s="87">
        <f t="shared" si="0"/>
        <v>1</v>
      </c>
      <c r="R41" s="88">
        <f t="shared" si="1"/>
        <v>3</v>
      </c>
      <c r="S41" s="89">
        <f t="shared" si="2"/>
        <v>0</v>
      </c>
      <c r="T41" s="89">
        <f t="shared" si="3"/>
        <v>0</v>
      </c>
      <c r="U41" s="89">
        <f t="shared" si="4"/>
        <v>0</v>
      </c>
      <c r="V41" s="89">
        <f t="shared" si="5"/>
        <v>0</v>
      </c>
      <c r="W41" s="89">
        <f t="shared" si="6"/>
        <v>0</v>
      </c>
      <c r="X41" s="89">
        <f t="shared" si="7"/>
        <v>0</v>
      </c>
      <c r="Y41" s="89">
        <f t="shared" si="8"/>
        <v>0</v>
      </c>
      <c r="Z41" s="89">
        <f t="shared" si="10"/>
        <v>0</v>
      </c>
      <c r="AA41" s="41">
        <f t="shared" si="11"/>
        <v>0</v>
      </c>
      <c r="AB41" s="49"/>
      <c r="AC41" s="50"/>
      <c r="AD41" s="49" t="s">
        <v>1</v>
      </c>
      <c r="AE41" s="50" t="s">
        <v>433</v>
      </c>
      <c r="AF41" s="49"/>
      <c r="AG41" s="50"/>
      <c r="AH41" s="49"/>
      <c r="AI41" s="50"/>
      <c r="AJ41" s="49"/>
      <c r="AK41" s="50"/>
      <c r="AL41" s="49"/>
      <c r="AM41" s="50"/>
      <c r="AN41" s="49"/>
      <c r="AO41" s="50"/>
      <c r="AP41" s="49" t="s">
        <v>5</v>
      </c>
      <c r="AQ41" s="50" t="s">
        <v>428</v>
      </c>
      <c r="AR41" s="49"/>
      <c r="AS41" s="50"/>
      <c r="AT41" s="49"/>
      <c r="AU41" s="50"/>
      <c r="AV41" s="49" t="s">
        <v>5</v>
      </c>
      <c r="AW41" s="50" t="s">
        <v>476</v>
      </c>
      <c r="AX41" s="49"/>
      <c r="AY41" s="50"/>
      <c r="AZ41" s="49"/>
      <c r="BA41" s="50"/>
      <c r="BB41" s="49"/>
      <c r="BC41" s="50"/>
      <c r="BD41" s="49"/>
      <c r="BE41" s="50"/>
      <c r="BF41" s="49"/>
      <c r="BG41" s="50"/>
      <c r="BH41" s="49"/>
      <c r="BI41" s="50"/>
      <c r="BJ41" s="49"/>
      <c r="BK41" s="50"/>
      <c r="BL41" s="49"/>
      <c r="BM41" s="50"/>
      <c r="BN41" s="49"/>
      <c r="BO41" s="50"/>
      <c r="BP41" s="49"/>
      <c r="BQ41" s="50"/>
      <c r="BR41" s="49"/>
      <c r="BS41" s="50"/>
      <c r="BT41" s="49"/>
      <c r="BU41" s="50"/>
      <c r="BV41" s="49" t="s">
        <v>5</v>
      </c>
      <c r="BW41" s="50" t="s">
        <v>93</v>
      </c>
      <c r="BX41" s="49"/>
      <c r="BY41" s="50"/>
      <c r="BZ41" s="49"/>
      <c r="CA41" s="50"/>
      <c r="CB41" s="49"/>
      <c r="CC41" s="50"/>
    </row>
    <row r="42" spans="1:81" s="120" customFormat="1" ht="14.25" customHeight="1" x14ac:dyDescent="0.25">
      <c r="A42" s="79">
        <v>150455</v>
      </c>
      <c r="B42" s="77" t="s">
        <v>1454</v>
      </c>
      <c r="C42" s="98" t="s">
        <v>1417</v>
      </c>
      <c r="D42" s="90" t="s">
        <v>12</v>
      </c>
      <c r="E42" s="79" t="s">
        <v>14</v>
      </c>
      <c r="F42" s="79" t="s">
        <v>71</v>
      </c>
      <c r="G42" s="78" t="s">
        <v>14</v>
      </c>
      <c r="H42" s="121" t="s">
        <v>14</v>
      </c>
      <c r="I42" s="79" t="s">
        <v>14</v>
      </c>
      <c r="J42" s="122">
        <v>7.7</v>
      </c>
      <c r="K42" s="123">
        <v>1</v>
      </c>
      <c r="L42" s="124">
        <v>0</v>
      </c>
      <c r="M42" s="125">
        <v>0</v>
      </c>
      <c r="N42" s="118">
        <v>97.22</v>
      </c>
      <c r="O42" s="118">
        <v>92.11</v>
      </c>
      <c r="P42" s="119">
        <v>12</v>
      </c>
      <c r="Q42" s="87">
        <f t="shared" si="0"/>
        <v>0</v>
      </c>
      <c r="R42" s="88">
        <f t="shared" si="1"/>
        <v>3</v>
      </c>
      <c r="S42" s="89">
        <f t="shared" si="2"/>
        <v>0</v>
      </c>
      <c r="T42" s="89">
        <f t="shared" si="3"/>
        <v>0</v>
      </c>
      <c r="U42" s="89">
        <f t="shared" si="4"/>
        <v>1</v>
      </c>
      <c r="V42" s="89">
        <f t="shared" si="5"/>
        <v>1</v>
      </c>
      <c r="W42" s="89">
        <f t="shared" si="6"/>
        <v>0</v>
      </c>
      <c r="X42" s="89">
        <f t="shared" si="7"/>
        <v>0</v>
      </c>
      <c r="Y42" s="89">
        <f t="shared" si="8"/>
        <v>0</v>
      </c>
      <c r="Z42" s="89">
        <f t="shared" si="10"/>
        <v>0</v>
      </c>
      <c r="AA42" s="41">
        <f t="shared" si="11"/>
        <v>0</v>
      </c>
      <c r="AB42" s="49"/>
      <c r="AC42" s="50"/>
      <c r="AD42" s="49"/>
      <c r="AE42" s="50"/>
      <c r="AF42" s="49"/>
      <c r="AG42" s="50"/>
      <c r="AH42" s="49"/>
      <c r="AI42" s="50"/>
      <c r="AJ42" s="49"/>
      <c r="AK42" s="50"/>
      <c r="AL42" s="49"/>
      <c r="AM42" s="50"/>
      <c r="AN42" s="49"/>
      <c r="AO42" s="50"/>
      <c r="AP42" s="49" t="s">
        <v>5</v>
      </c>
      <c r="AQ42" s="50" t="s">
        <v>428</v>
      </c>
      <c r="AR42" s="49"/>
      <c r="AS42" s="50"/>
      <c r="AT42" s="49"/>
      <c r="AU42" s="50"/>
      <c r="AV42" s="49" t="s">
        <v>32</v>
      </c>
      <c r="AW42" s="50" t="s">
        <v>425</v>
      </c>
      <c r="AX42" s="49"/>
      <c r="AY42" s="50"/>
      <c r="AZ42" s="49"/>
      <c r="BA42" s="50"/>
      <c r="BB42" s="49"/>
      <c r="BC42" s="50"/>
      <c r="BD42" s="49"/>
      <c r="BE42" s="50"/>
      <c r="BF42" s="49" t="s">
        <v>5</v>
      </c>
      <c r="BG42" s="50" t="s">
        <v>132</v>
      </c>
      <c r="BH42" s="49" t="s">
        <v>5</v>
      </c>
      <c r="BI42" s="50" t="s">
        <v>139</v>
      </c>
      <c r="BJ42" s="49"/>
      <c r="BK42" s="50"/>
      <c r="BL42" s="49"/>
      <c r="BM42" s="50"/>
      <c r="BN42" s="49"/>
      <c r="BO42" s="50"/>
      <c r="BP42" s="49"/>
      <c r="BQ42" s="50"/>
      <c r="BR42" s="49"/>
      <c r="BS42" s="50"/>
      <c r="BT42" s="49"/>
      <c r="BU42" s="50"/>
      <c r="BV42" s="49"/>
      <c r="BW42" s="50"/>
      <c r="BX42" s="49"/>
      <c r="BY42" s="50"/>
      <c r="BZ42" s="49"/>
      <c r="CA42" s="50"/>
      <c r="CB42" s="49"/>
      <c r="CC42" s="50"/>
    </row>
    <row r="43" spans="1:81" s="120" customFormat="1" ht="14.25" customHeight="1" x14ac:dyDescent="0.25">
      <c r="A43" s="79">
        <v>150418</v>
      </c>
      <c r="B43" s="77" t="s">
        <v>1455</v>
      </c>
      <c r="C43" s="98" t="s">
        <v>1440</v>
      </c>
      <c r="D43" s="90" t="s">
        <v>70</v>
      </c>
      <c r="E43" s="79" t="s">
        <v>14</v>
      </c>
      <c r="F43" s="79" t="s">
        <v>71</v>
      </c>
      <c r="G43" s="78" t="s">
        <v>14</v>
      </c>
      <c r="H43" s="121" t="s">
        <v>14</v>
      </c>
      <c r="I43" s="79" t="s">
        <v>14</v>
      </c>
      <c r="J43" s="122">
        <v>6.7</v>
      </c>
      <c r="K43" s="123">
        <v>0</v>
      </c>
      <c r="L43" s="124">
        <v>0</v>
      </c>
      <c r="M43" s="125">
        <v>0</v>
      </c>
      <c r="N43" s="118">
        <v>3.51</v>
      </c>
      <c r="O43" s="118">
        <v>2.44</v>
      </c>
      <c r="P43" s="119">
        <v>0</v>
      </c>
      <c r="Q43" s="87">
        <f t="shared" si="0"/>
        <v>1</v>
      </c>
      <c r="R43" s="88">
        <f t="shared" si="1"/>
        <v>3</v>
      </c>
      <c r="S43" s="89">
        <f t="shared" si="2"/>
        <v>0</v>
      </c>
      <c r="T43" s="89">
        <f t="shared" si="3"/>
        <v>0</v>
      </c>
      <c r="U43" s="89">
        <f t="shared" si="4"/>
        <v>0</v>
      </c>
      <c r="V43" s="89">
        <f t="shared" si="5"/>
        <v>0</v>
      </c>
      <c r="W43" s="89">
        <f t="shared" si="6"/>
        <v>0</v>
      </c>
      <c r="X43" s="89">
        <f t="shared" si="7"/>
        <v>0</v>
      </c>
      <c r="Y43" s="89">
        <f t="shared" si="8"/>
        <v>0</v>
      </c>
      <c r="Z43" s="89">
        <f t="shared" si="10"/>
        <v>0</v>
      </c>
      <c r="AA43" s="41">
        <f t="shared" si="11"/>
        <v>0</v>
      </c>
      <c r="AB43" s="49"/>
      <c r="AC43" s="50"/>
      <c r="AD43" s="49" t="s">
        <v>5</v>
      </c>
      <c r="AE43" s="50" t="s">
        <v>433</v>
      </c>
      <c r="AF43" s="49"/>
      <c r="AG43" s="50"/>
      <c r="AH43" s="49" t="s">
        <v>1</v>
      </c>
      <c r="AI43" s="50" t="s">
        <v>137</v>
      </c>
      <c r="AJ43" s="49"/>
      <c r="AK43" s="50"/>
      <c r="AL43" s="49"/>
      <c r="AM43" s="50"/>
      <c r="AN43" s="49"/>
      <c r="AO43" s="50"/>
      <c r="AP43" s="49"/>
      <c r="AQ43" s="50"/>
      <c r="AR43" s="49"/>
      <c r="AS43" s="50"/>
      <c r="AT43" s="49"/>
      <c r="AU43" s="50"/>
      <c r="AV43" s="49" t="s">
        <v>5</v>
      </c>
      <c r="AW43" s="50" t="s">
        <v>433</v>
      </c>
      <c r="AX43" s="49"/>
      <c r="AY43" s="50"/>
      <c r="AZ43" s="49"/>
      <c r="BA43" s="50"/>
      <c r="BB43" s="49"/>
      <c r="BC43" s="50"/>
      <c r="BD43" s="49"/>
      <c r="BE43" s="50"/>
      <c r="BF43" s="49"/>
      <c r="BG43" s="50"/>
      <c r="BH43" s="49" t="s">
        <v>5</v>
      </c>
      <c r="BI43" s="50" t="s">
        <v>139</v>
      </c>
      <c r="BJ43" s="49"/>
      <c r="BK43" s="50"/>
      <c r="BL43" s="49"/>
      <c r="BM43" s="50"/>
      <c r="BN43" s="49"/>
      <c r="BO43" s="50"/>
      <c r="BP43" s="49"/>
      <c r="BQ43" s="50"/>
      <c r="BR43" s="49"/>
      <c r="BS43" s="50"/>
      <c r="BT43" s="49"/>
      <c r="BU43" s="50"/>
      <c r="BV43" s="49"/>
      <c r="BW43" s="50"/>
      <c r="BX43" s="49"/>
      <c r="BY43" s="50"/>
      <c r="BZ43" s="49"/>
      <c r="CA43" s="50"/>
      <c r="CB43" s="49"/>
      <c r="CC43" s="50"/>
    </row>
    <row r="44" spans="1:81" s="120" customFormat="1" ht="14.25" customHeight="1" x14ac:dyDescent="0.25">
      <c r="A44" s="79">
        <v>152112</v>
      </c>
      <c r="B44" s="77" t="s">
        <v>1456</v>
      </c>
      <c r="C44" s="98" t="s">
        <v>1440</v>
      </c>
      <c r="D44" s="90" t="s">
        <v>70</v>
      </c>
      <c r="E44" s="79" t="s">
        <v>14</v>
      </c>
      <c r="F44" s="79" t="s">
        <v>71</v>
      </c>
      <c r="G44" s="78" t="s">
        <v>14</v>
      </c>
      <c r="H44" s="121" t="s">
        <v>14</v>
      </c>
      <c r="I44" s="79" t="s">
        <v>14</v>
      </c>
      <c r="J44" s="122">
        <v>7.5</v>
      </c>
      <c r="K44" s="123">
        <v>0</v>
      </c>
      <c r="L44" s="124">
        <v>0</v>
      </c>
      <c r="M44" s="125">
        <v>0</v>
      </c>
      <c r="N44" s="118">
        <v>99.08</v>
      </c>
      <c r="O44" s="118">
        <v>97.14</v>
      </c>
      <c r="P44" s="119">
        <v>0</v>
      </c>
      <c r="Q44" s="87">
        <f t="shared" si="0"/>
        <v>1</v>
      </c>
      <c r="R44" s="88">
        <f t="shared" si="1"/>
        <v>3</v>
      </c>
      <c r="S44" s="89">
        <f t="shared" si="2"/>
        <v>0</v>
      </c>
      <c r="T44" s="89">
        <f t="shared" si="3"/>
        <v>0</v>
      </c>
      <c r="U44" s="89">
        <f t="shared" si="4"/>
        <v>0</v>
      </c>
      <c r="V44" s="89">
        <f t="shared" si="5"/>
        <v>0</v>
      </c>
      <c r="W44" s="89">
        <f t="shared" si="6"/>
        <v>0</v>
      </c>
      <c r="X44" s="89">
        <f t="shared" si="7"/>
        <v>0</v>
      </c>
      <c r="Y44" s="89">
        <f t="shared" si="8"/>
        <v>0</v>
      </c>
      <c r="Z44" s="89">
        <f t="shared" si="10"/>
        <v>0</v>
      </c>
      <c r="AA44" s="41">
        <f t="shared" si="11"/>
        <v>0</v>
      </c>
      <c r="AB44" s="49"/>
      <c r="AC44" s="50"/>
      <c r="AD44" s="49"/>
      <c r="AE44" s="50"/>
      <c r="AF44" s="49"/>
      <c r="AG44" s="50"/>
      <c r="AH44" s="49" t="s">
        <v>5</v>
      </c>
      <c r="AI44" s="50" t="s">
        <v>137</v>
      </c>
      <c r="AJ44" s="49"/>
      <c r="AK44" s="50"/>
      <c r="AL44" s="49"/>
      <c r="AM44" s="50"/>
      <c r="AN44" s="49"/>
      <c r="AO44" s="50"/>
      <c r="AP44" s="49"/>
      <c r="AQ44" s="50"/>
      <c r="AR44" s="49"/>
      <c r="AS44" s="50"/>
      <c r="AT44" s="49"/>
      <c r="AU44" s="50"/>
      <c r="AV44" s="49" t="s">
        <v>1</v>
      </c>
      <c r="AW44" s="50" t="s">
        <v>433</v>
      </c>
      <c r="AX44" s="49"/>
      <c r="AY44" s="50"/>
      <c r="AZ44" s="49"/>
      <c r="BA44" s="50"/>
      <c r="BB44" s="49"/>
      <c r="BC44" s="50"/>
      <c r="BD44" s="49"/>
      <c r="BE44" s="50"/>
      <c r="BF44" s="49"/>
      <c r="BG44" s="50"/>
      <c r="BH44" s="49" t="s">
        <v>5</v>
      </c>
      <c r="BI44" s="50" t="s">
        <v>136</v>
      </c>
      <c r="BJ44" s="49"/>
      <c r="BK44" s="50"/>
      <c r="BL44" s="49"/>
      <c r="BM44" s="50"/>
      <c r="BN44" s="49"/>
      <c r="BO44" s="50"/>
      <c r="BP44" s="49"/>
      <c r="BQ44" s="50"/>
      <c r="BR44" s="49"/>
      <c r="BS44" s="50"/>
      <c r="BT44" s="49" t="s">
        <v>5</v>
      </c>
      <c r="BU44" s="50" t="s">
        <v>109</v>
      </c>
      <c r="BV44" s="49"/>
      <c r="BW44" s="50"/>
      <c r="BX44" s="49"/>
      <c r="BY44" s="50"/>
      <c r="BZ44" s="49"/>
      <c r="CA44" s="50"/>
      <c r="CB44" s="49"/>
      <c r="CC44" s="50"/>
    </row>
    <row r="45" spans="1:81" s="120" customFormat="1" ht="14.25" customHeight="1" x14ac:dyDescent="0.25">
      <c r="A45" s="79">
        <v>150458</v>
      </c>
      <c r="B45" s="77" t="s">
        <v>1457</v>
      </c>
      <c r="C45" s="98" t="s">
        <v>1440</v>
      </c>
      <c r="D45" s="90" t="s">
        <v>12</v>
      </c>
      <c r="E45" s="79" t="s">
        <v>14</v>
      </c>
      <c r="F45" s="79" t="s">
        <v>71</v>
      </c>
      <c r="G45" s="78" t="s">
        <v>14</v>
      </c>
      <c r="H45" s="121" t="s">
        <v>14</v>
      </c>
      <c r="I45" s="79" t="s">
        <v>14</v>
      </c>
      <c r="J45" s="122">
        <v>4.5999999999999996</v>
      </c>
      <c r="K45" s="123">
        <v>0</v>
      </c>
      <c r="L45" s="124">
        <v>0</v>
      </c>
      <c r="M45" s="125">
        <v>0</v>
      </c>
      <c r="N45" s="118">
        <v>77.78</v>
      </c>
      <c r="O45" s="118">
        <v>74.36</v>
      </c>
      <c r="P45" s="119">
        <v>2</v>
      </c>
      <c r="Q45" s="87">
        <f t="shared" si="0"/>
        <v>0</v>
      </c>
      <c r="R45" s="88">
        <f t="shared" si="1"/>
        <v>4</v>
      </c>
      <c r="S45" s="89">
        <f t="shared" si="2"/>
        <v>0</v>
      </c>
      <c r="T45" s="89">
        <f t="shared" si="3"/>
        <v>0</v>
      </c>
      <c r="U45" s="89">
        <f t="shared" si="4"/>
        <v>0</v>
      </c>
      <c r="V45" s="89">
        <f t="shared" si="5"/>
        <v>0</v>
      </c>
      <c r="W45" s="89">
        <f t="shared" si="6"/>
        <v>0</v>
      </c>
      <c r="X45" s="89">
        <f t="shared" si="7"/>
        <v>0</v>
      </c>
      <c r="Y45" s="89">
        <f t="shared" si="8"/>
        <v>0</v>
      </c>
      <c r="Z45" s="89">
        <f t="shared" si="10"/>
        <v>0</v>
      </c>
      <c r="AA45" s="41">
        <f t="shared" si="11"/>
        <v>0</v>
      </c>
      <c r="AB45" s="49"/>
      <c r="AC45" s="50"/>
      <c r="AD45" s="49"/>
      <c r="AE45" s="50"/>
      <c r="AF45" s="49"/>
      <c r="AG45" s="50"/>
      <c r="AH45" s="49"/>
      <c r="AI45" s="50"/>
      <c r="AJ45" s="49"/>
      <c r="AK45" s="50"/>
      <c r="AL45" s="49"/>
      <c r="AM45" s="50"/>
      <c r="AN45" s="49"/>
      <c r="AO45" s="50"/>
      <c r="AP45" s="49" t="s">
        <v>5</v>
      </c>
      <c r="AQ45" s="50" t="s">
        <v>428</v>
      </c>
      <c r="AR45" s="49"/>
      <c r="AS45" s="50"/>
      <c r="AT45" s="49"/>
      <c r="AU45" s="50"/>
      <c r="AV45" s="49" t="s">
        <v>5</v>
      </c>
      <c r="AW45" s="50" t="s">
        <v>433</v>
      </c>
      <c r="AX45" s="49"/>
      <c r="AY45" s="50"/>
      <c r="AZ45" s="49"/>
      <c r="BA45" s="50"/>
      <c r="BB45" s="49"/>
      <c r="BC45" s="50"/>
      <c r="BD45" s="49"/>
      <c r="BE45" s="50"/>
      <c r="BF45" s="49"/>
      <c r="BG45" s="50"/>
      <c r="BH45" s="49" t="s">
        <v>5</v>
      </c>
      <c r="BI45" s="50" t="s">
        <v>139</v>
      </c>
      <c r="BJ45" s="49"/>
      <c r="BK45" s="50"/>
      <c r="BL45" s="49"/>
      <c r="BM45" s="50"/>
      <c r="BN45" s="49"/>
      <c r="BO45" s="50"/>
      <c r="BP45" s="49"/>
      <c r="BQ45" s="50"/>
      <c r="BR45" s="49"/>
      <c r="BS45" s="50"/>
      <c r="BT45" s="49" t="s">
        <v>5</v>
      </c>
      <c r="BU45" s="50" t="s">
        <v>98</v>
      </c>
      <c r="BV45" s="49"/>
      <c r="BW45" s="50"/>
      <c r="BX45" s="49"/>
      <c r="BY45" s="50"/>
      <c r="BZ45" s="49"/>
      <c r="CA45" s="50"/>
      <c r="CB45" s="49"/>
      <c r="CC45" s="50"/>
    </row>
    <row r="46" spans="1:81" s="120" customFormat="1" ht="14.25" customHeight="1" x14ac:dyDescent="0.25">
      <c r="A46" s="79">
        <v>150505</v>
      </c>
      <c r="B46" s="77" t="s">
        <v>1458</v>
      </c>
      <c r="C46" s="98" t="s">
        <v>1410</v>
      </c>
      <c r="D46" s="90" t="s">
        <v>12</v>
      </c>
      <c r="E46" s="79" t="s">
        <v>14</v>
      </c>
      <c r="F46" s="79" t="s">
        <v>71</v>
      </c>
      <c r="G46" s="78" t="s">
        <v>14</v>
      </c>
      <c r="H46" s="121" t="s">
        <v>14</v>
      </c>
      <c r="I46" s="79" t="s">
        <v>14</v>
      </c>
      <c r="J46" s="122">
        <v>7</v>
      </c>
      <c r="K46" s="123">
        <v>0</v>
      </c>
      <c r="L46" s="124">
        <v>0</v>
      </c>
      <c r="M46" s="125">
        <v>0</v>
      </c>
      <c r="N46" s="118">
        <v>78.3</v>
      </c>
      <c r="O46" s="118">
        <v>80.56</v>
      </c>
      <c r="P46" s="119">
        <v>0</v>
      </c>
      <c r="Q46" s="87">
        <f t="shared" si="0"/>
        <v>0</v>
      </c>
      <c r="R46" s="88">
        <f t="shared" si="1"/>
        <v>4</v>
      </c>
      <c r="S46" s="89">
        <f t="shared" si="2"/>
        <v>0</v>
      </c>
      <c r="T46" s="89">
        <f t="shared" si="3"/>
        <v>0</v>
      </c>
      <c r="U46" s="89">
        <f t="shared" si="4"/>
        <v>0</v>
      </c>
      <c r="V46" s="89">
        <f t="shared" si="5"/>
        <v>0</v>
      </c>
      <c r="W46" s="89">
        <f t="shared" si="6"/>
        <v>0</v>
      </c>
      <c r="X46" s="89">
        <f t="shared" si="7"/>
        <v>0</v>
      </c>
      <c r="Y46" s="89">
        <f t="shared" si="8"/>
        <v>0</v>
      </c>
      <c r="Z46" s="89">
        <f t="shared" si="10"/>
        <v>0</v>
      </c>
      <c r="AA46" s="41">
        <f t="shared" si="11"/>
        <v>0</v>
      </c>
      <c r="AB46" s="49"/>
      <c r="AC46" s="50"/>
      <c r="AD46" s="49"/>
      <c r="AE46" s="50"/>
      <c r="AF46" s="49"/>
      <c r="AG46" s="50"/>
      <c r="AH46" s="49"/>
      <c r="AI46" s="50"/>
      <c r="AJ46" s="49"/>
      <c r="AK46" s="50"/>
      <c r="AL46" s="49"/>
      <c r="AM46" s="50"/>
      <c r="AN46" s="49"/>
      <c r="AO46" s="50"/>
      <c r="AP46" s="49" t="s">
        <v>5</v>
      </c>
      <c r="AQ46" s="50" t="s">
        <v>428</v>
      </c>
      <c r="AR46" s="49"/>
      <c r="AS46" s="50"/>
      <c r="AT46" s="49"/>
      <c r="AU46" s="50"/>
      <c r="AV46" s="49" t="s">
        <v>5</v>
      </c>
      <c r="AW46" s="50" t="s">
        <v>476</v>
      </c>
      <c r="AX46" s="49"/>
      <c r="AY46" s="50"/>
      <c r="AZ46" s="49"/>
      <c r="BA46" s="50"/>
      <c r="BB46" s="49"/>
      <c r="BC46" s="50"/>
      <c r="BD46" s="49"/>
      <c r="BE46" s="50"/>
      <c r="BF46" s="49" t="s">
        <v>5</v>
      </c>
      <c r="BG46" s="50" t="s">
        <v>132</v>
      </c>
      <c r="BH46" s="49"/>
      <c r="BI46" s="50"/>
      <c r="BJ46" s="49"/>
      <c r="BK46" s="50"/>
      <c r="BL46" s="49"/>
      <c r="BM46" s="50"/>
      <c r="BN46" s="49"/>
      <c r="BO46" s="50"/>
      <c r="BP46" s="49"/>
      <c r="BQ46" s="50"/>
      <c r="BR46" s="49"/>
      <c r="BS46" s="50"/>
      <c r="BT46" s="49"/>
      <c r="BU46" s="50"/>
      <c r="BV46" s="49" t="s">
        <v>5</v>
      </c>
      <c r="BW46" s="50" t="s">
        <v>93</v>
      </c>
      <c r="BX46" s="49"/>
      <c r="BY46" s="50"/>
      <c r="BZ46" s="49"/>
      <c r="CA46" s="50"/>
      <c r="CB46" s="49"/>
      <c r="CC46" s="50"/>
    </row>
    <row r="47" spans="1:81" s="120" customFormat="1" ht="14.25" customHeight="1" x14ac:dyDescent="0.25">
      <c r="A47" s="79">
        <v>160014</v>
      </c>
      <c r="B47" s="77" t="s">
        <v>1459</v>
      </c>
      <c r="C47" s="98" t="s">
        <v>1405</v>
      </c>
      <c r="D47" s="90" t="s">
        <v>12</v>
      </c>
      <c r="E47" s="79" t="s">
        <v>14</v>
      </c>
      <c r="F47" s="79" t="s">
        <v>71</v>
      </c>
      <c r="G47" s="78" t="s">
        <v>14</v>
      </c>
      <c r="H47" s="121" t="s">
        <v>14</v>
      </c>
      <c r="I47" s="79" t="s">
        <v>14</v>
      </c>
      <c r="J47" s="122">
        <v>6.3</v>
      </c>
      <c r="K47" s="123">
        <v>2</v>
      </c>
      <c r="L47" s="124">
        <v>1</v>
      </c>
      <c r="M47" s="125">
        <v>0</v>
      </c>
      <c r="N47" s="118">
        <v>77.88</v>
      </c>
      <c r="O47" s="118">
        <v>66.67</v>
      </c>
      <c r="P47" s="119">
        <v>5</v>
      </c>
      <c r="Q47" s="87">
        <f t="shared" si="0"/>
        <v>0</v>
      </c>
      <c r="R47" s="88">
        <f t="shared" si="1"/>
        <v>2</v>
      </c>
      <c r="S47" s="89">
        <f t="shared" si="2"/>
        <v>0</v>
      </c>
      <c r="T47" s="89">
        <f t="shared" si="3"/>
        <v>0</v>
      </c>
      <c r="U47" s="89">
        <f t="shared" si="4"/>
        <v>2</v>
      </c>
      <c r="V47" s="89">
        <f t="shared" si="5"/>
        <v>2</v>
      </c>
      <c r="W47" s="89">
        <f t="shared" si="6"/>
        <v>0</v>
      </c>
      <c r="X47" s="89">
        <f t="shared" si="7"/>
        <v>0</v>
      </c>
      <c r="Y47" s="89">
        <f t="shared" si="8"/>
        <v>1</v>
      </c>
      <c r="Z47" s="89">
        <f t="shared" si="10"/>
        <v>1</v>
      </c>
      <c r="AA47" s="41">
        <f t="shared" si="11"/>
        <v>0</v>
      </c>
      <c r="AB47" s="49"/>
      <c r="AC47" s="50"/>
      <c r="AD47" s="49"/>
      <c r="AE47" s="50"/>
      <c r="AF47" s="49" t="s">
        <v>5</v>
      </c>
      <c r="AG47" s="50" t="s">
        <v>427</v>
      </c>
      <c r="AH47" s="49"/>
      <c r="AI47" s="50"/>
      <c r="AJ47" s="49"/>
      <c r="AK47" s="50"/>
      <c r="AL47" s="49"/>
      <c r="AM47" s="50"/>
      <c r="AN47" s="49"/>
      <c r="AO47" s="50"/>
      <c r="AP47" s="49"/>
      <c r="AQ47" s="50"/>
      <c r="AR47" s="49"/>
      <c r="AS47" s="50"/>
      <c r="AT47" s="49"/>
      <c r="AU47" s="50"/>
      <c r="AV47" s="49" t="s">
        <v>5</v>
      </c>
      <c r="AW47" s="50" t="s">
        <v>457</v>
      </c>
      <c r="AX47" s="49"/>
      <c r="AY47" s="50"/>
      <c r="AZ47" s="49"/>
      <c r="BA47" s="50"/>
      <c r="BB47" s="49"/>
      <c r="BC47" s="50"/>
      <c r="BD47" s="49"/>
      <c r="BE47" s="50"/>
      <c r="BF47" s="49"/>
      <c r="BG47" s="50"/>
      <c r="BH47" s="49"/>
      <c r="BI47" s="50"/>
      <c r="BJ47" s="49"/>
      <c r="BK47" s="50"/>
      <c r="BL47" s="49"/>
      <c r="BM47" s="50"/>
      <c r="BN47" s="49" t="s">
        <v>32</v>
      </c>
      <c r="BO47" s="50" t="s">
        <v>602</v>
      </c>
      <c r="BP47" s="49" t="s">
        <v>32</v>
      </c>
      <c r="BQ47" s="50"/>
      <c r="BR47" s="49" t="s">
        <v>36</v>
      </c>
      <c r="BS47" s="50" t="s">
        <v>81</v>
      </c>
      <c r="BT47" s="49"/>
      <c r="BU47" s="50"/>
      <c r="BV47" s="49"/>
      <c r="BW47" s="50"/>
      <c r="BX47" s="49"/>
      <c r="BY47" s="50"/>
      <c r="BZ47" s="49"/>
      <c r="CA47" s="50"/>
      <c r="CB47" s="49"/>
      <c r="CC47" s="50"/>
    </row>
    <row r="48" spans="1:81" s="120" customFormat="1" ht="14.25" customHeight="1" x14ac:dyDescent="0.25">
      <c r="A48" s="79">
        <v>150587</v>
      </c>
      <c r="B48" s="77" t="s">
        <v>1460</v>
      </c>
      <c r="C48" s="98" t="s">
        <v>1410</v>
      </c>
      <c r="D48" s="90" t="s">
        <v>70</v>
      </c>
      <c r="E48" s="79" t="s">
        <v>14</v>
      </c>
      <c r="F48" s="79" t="s">
        <v>71</v>
      </c>
      <c r="G48" s="78" t="s">
        <v>14</v>
      </c>
      <c r="H48" s="121" t="s">
        <v>14</v>
      </c>
      <c r="I48" s="79" t="s">
        <v>14</v>
      </c>
      <c r="J48" s="122">
        <v>8.6</v>
      </c>
      <c r="K48" s="123">
        <v>2</v>
      </c>
      <c r="L48" s="124">
        <v>0</v>
      </c>
      <c r="M48" s="125">
        <v>0</v>
      </c>
      <c r="N48" s="118">
        <v>100</v>
      </c>
      <c r="O48" s="118">
        <v>100</v>
      </c>
      <c r="P48" s="119">
        <v>0</v>
      </c>
      <c r="Q48" s="87">
        <f t="shared" si="0"/>
        <v>2</v>
      </c>
      <c r="R48" s="88">
        <f t="shared" si="1"/>
        <v>2</v>
      </c>
      <c r="S48" s="89">
        <f t="shared" si="2"/>
        <v>0</v>
      </c>
      <c r="T48" s="89">
        <f t="shared" si="3"/>
        <v>0</v>
      </c>
      <c r="U48" s="89">
        <f t="shared" si="4"/>
        <v>0</v>
      </c>
      <c r="V48" s="89">
        <f t="shared" si="5"/>
        <v>0</v>
      </c>
      <c r="W48" s="89">
        <f t="shared" si="6"/>
        <v>0</v>
      </c>
      <c r="X48" s="89">
        <f t="shared" si="7"/>
        <v>0</v>
      </c>
      <c r="Y48" s="89">
        <f t="shared" si="8"/>
        <v>0</v>
      </c>
      <c r="Z48" s="89">
        <f t="shared" si="10"/>
        <v>0</v>
      </c>
      <c r="AA48" s="41">
        <f t="shared" si="11"/>
        <v>0</v>
      </c>
      <c r="AB48" s="49"/>
      <c r="AC48" s="50"/>
      <c r="AD48" s="49" t="s">
        <v>1</v>
      </c>
      <c r="AE48" s="50" t="s">
        <v>433</v>
      </c>
      <c r="AF48" s="49"/>
      <c r="AG48" s="50"/>
      <c r="AH48" s="49" t="s">
        <v>1</v>
      </c>
      <c r="AI48" s="50" t="s">
        <v>424</v>
      </c>
      <c r="AJ48" s="49"/>
      <c r="AK48" s="50"/>
      <c r="AL48" s="49"/>
      <c r="AM48" s="50"/>
      <c r="AN48" s="49"/>
      <c r="AO48" s="50"/>
      <c r="AP48" s="49"/>
      <c r="AQ48" s="50"/>
      <c r="AR48" s="49"/>
      <c r="AS48" s="50"/>
      <c r="AT48" s="49"/>
      <c r="AU48" s="50"/>
      <c r="AV48" s="49" t="s">
        <v>5</v>
      </c>
      <c r="AW48" s="50" t="s">
        <v>476</v>
      </c>
      <c r="AX48" s="49"/>
      <c r="AY48" s="50"/>
      <c r="AZ48" s="49"/>
      <c r="BA48" s="50"/>
      <c r="BB48" s="49"/>
      <c r="BC48" s="50"/>
      <c r="BD48" s="49"/>
      <c r="BE48" s="50"/>
      <c r="BF48" s="49"/>
      <c r="BG48" s="50"/>
      <c r="BH48" s="49" t="s">
        <v>5</v>
      </c>
      <c r="BI48" s="50" t="s">
        <v>139</v>
      </c>
      <c r="BJ48" s="49"/>
      <c r="BK48" s="50"/>
      <c r="BL48" s="49"/>
      <c r="BM48" s="50"/>
      <c r="BN48" s="49"/>
      <c r="BO48" s="50"/>
      <c r="BP48" s="49"/>
      <c r="BQ48" s="50"/>
      <c r="BR48" s="49"/>
      <c r="BS48" s="50"/>
      <c r="BT48" s="49"/>
      <c r="BU48" s="50"/>
      <c r="BV48" s="49"/>
      <c r="BW48" s="50"/>
      <c r="BX48" s="49"/>
      <c r="BY48" s="50"/>
      <c r="BZ48" s="49"/>
      <c r="CA48" s="50"/>
      <c r="CB48" s="49"/>
      <c r="CC48" s="50"/>
    </row>
    <row r="49" spans="1:81" s="120" customFormat="1" ht="14.25" customHeight="1" x14ac:dyDescent="0.25">
      <c r="A49" s="79">
        <v>152187</v>
      </c>
      <c r="B49" s="77" t="s">
        <v>1461</v>
      </c>
      <c r="C49" s="98" t="s">
        <v>1414</v>
      </c>
      <c r="D49" s="90" t="s">
        <v>70</v>
      </c>
      <c r="E49" s="79" t="s">
        <v>87</v>
      </c>
      <c r="F49" s="77" t="s">
        <v>503</v>
      </c>
      <c r="G49" s="78" t="s">
        <v>14</v>
      </c>
      <c r="H49" s="121" t="s">
        <v>14</v>
      </c>
      <c r="I49" s="79" t="s">
        <v>14</v>
      </c>
      <c r="J49" s="122">
        <v>4.5999999999999996</v>
      </c>
      <c r="K49" s="123">
        <v>0</v>
      </c>
      <c r="L49" s="124">
        <v>0</v>
      </c>
      <c r="M49" s="125">
        <v>0</v>
      </c>
      <c r="N49" s="118">
        <v>100</v>
      </c>
      <c r="O49" s="118">
        <v>100</v>
      </c>
      <c r="P49" s="119">
        <v>0</v>
      </c>
      <c r="Q49" s="87">
        <f t="shared" si="0"/>
        <v>1</v>
      </c>
      <c r="R49" s="88">
        <f t="shared" si="1"/>
        <v>3</v>
      </c>
      <c r="S49" s="89">
        <f t="shared" si="2"/>
        <v>0</v>
      </c>
      <c r="T49" s="89">
        <f t="shared" si="3"/>
        <v>0</v>
      </c>
      <c r="U49" s="89">
        <f t="shared" si="4"/>
        <v>0</v>
      </c>
      <c r="V49" s="89">
        <f t="shared" si="5"/>
        <v>0</v>
      </c>
      <c r="W49" s="89">
        <f t="shared" si="6"/>
        <v>0</v>
      </c>
      <c r="X49" s="89">
        <f t="shared" si="7"/>
        <v>0</v>
      </c>
      <c r="Y49" s="89">
        <f t="shared" si="8"/>
        <v>0</v>
      </c>
      <c r="Z49" s="89">
        <f t="shared" si="10"/>
        <v>0</v>
      </c>
      <c r="AA49" s="41">
        <f t="shared" si="11"/>
        <v>0</v>
      </c>
      <c r="AB49" s="49"/>
      <c r="AC49" s="50"/>
      <c r="AD49" s="49"/>
      <c r="AE49" s="50"/>
      <c r="AF49" s="49"/>
      <c r="AG49" s="50"/>
      <c r="AH49" s="49"/>
      <c r="AI49" s="50"/>
      <c r="AJ49" s="49"/>
      <c r="AK49" s="50"/>
      <c r="AL49" s="49"/>
      <c r="AM49" s="50"/>
      <c r="AN49" s="49"/>
      <c r="AO49" s="50"/>
      <c r="AP49" s="49"/>
      <c r="AQ49" s="50"/>
      <c r="AR49" s="49"/>
      <c r="AS49" s="50"/>
      <c r="AT49" s="49"/>
      <c r="AU49" s="50"/>
      <c r="AV49" s="49" t="s">
        <v>1</v>
      </c>
      <c r="AW49" s="50" t="s">
        <v>476</v>
      </c>
      <c r="AX49" s="49"/>
      <c r="AY49" s="50"/>
      <c r="AZ49" s="49"/>
      <c r="BA49" s="50"/>
      <c r="BB49" s="49"/>
      <c r="BC49" s="50"/>
      <c r="BD49" s="49" t="s">
        <v>5</v>
      </c>
      <c r="BE49" s="50" t="s">
        <v>436</v>
      </c>
      <c r="BF49" s="49"/>
      <c r="BG49" s="50"/>
      <c r="BH49" s="49"/>
      <c r="BI49" s="50"/>
      <c r="BJ49" s="49"/>
      <c r="BK49" s="50"/>
      <c r="BL49" s="49"/>
      <c r="BM49" s="50"/>
      <c r="BN49" s="49"/>
      <c r="BO49" s="50"/>
      <c r="BP49" s="49"/>
      <c r="BQ49" s="50"/>
      <c r="BR49" s="49"/>
      <c r="BS49" s="50"/>
      <c r="BT49" s="49"/>
      <c r="BU49" s="50"/>
      <c r="BV49" s="49"/>
      <c r="BW49" s="50"/>
      <c r="BX49" s="49" t="s">
        <v>5</v>
      </c>
      <c r="BY49" s="50" t="s">
        <v>425</v>
      </c>
      <c r="BZ49" s="49" t="s">
        <v>5</v>
      </c>
      <c r="CA49" s="50" t="s">
        <v>462</v>
      </c>
      <c r="CB49" s="49"/>
      <c r="CC49" s="50"/>
    </row>
    <row r="50" spans="1:81" s="120" customFormat="1" ht="14.25" customHeight="1" x14ac:dyDescent="0.25">
      <c r="A50" s="79">
        <v>150577</v>
      </c>
      <c r="B50" s="77" t="s">
        <v>1462</v>
      </c>
      <c r="C50" s="98" t="s">
        <v>1419</v>
      </c>
      <c r="D50" s="90" t="s">
        <v>70</v>
      </c>
      <c r="E50" s="79" t="s">
        <v>14</v>
      </c>
      <c r="F50" s="79" t="s">
        <v>71</v>
      </c>
      <c r="G50" s="78" t="s">
        <v>14</v>
      </c>
      <c r="H50" s="121" t="s">
        <v>14</v>
      </c>
      <c r="I50" s="79" t="s">
        <v>14</v>
      </c>
      <c r="J50" s="122">
        <v>8.3000000000000007</v>
      </c>
      <c r="K50" s="123">
        <v>1</v>
      </c>
      <c r="L50" s="124">
        <v>0</v>
      </c>
      <c r="M50" s="125">
        <v>0</v>
      </c>
      <c r="N50" s="118">
        <v>82.88</v>
      </c>
      <c r="O50" s="118">
        <v>100</v>
      </c>
      <c r="P50" s="119">
        <v>0</v>
      </c>
      <c r="Q50" s="87">
        <f t="shared" si="0"/>
        <v>0</v>
      </c>
      <c r="R50" s="88">
        <f t="shared" si="1"/>
        <v>4</v>
      </c>
      <c r="S50" s="89">
        <f t="shared" si="2"/>
        <v>0</v>
      </c>
      <c r="T50" s="89">
        <f t="shared" si="3"/>
        <v>0</v>
      </c>
      <c r="U50" s="89">
        <f t="shared" si="4"/>
        <v>0</v>
      </c>
      <c r="V50" s="89">
        <f t="shared" si="5"/>
        <v>0</v>
      </c>
      <c r="W50" s="89">
        <f t="shared" si="6"/>
        <v>0</v>
      </c>
      <c r="X50" s="89">
        <f t="shared" si="7"/>
        <v>0</v>
      </c>
      <c r="Y50" s="89">
        <f t="shared" si="8"/>
        <v>0</v>
      </c>
      <c r="Z50" s="89">
        <f t="shared" si="10"/>
        <v>0</v>
      </c>
      <c r="AA50" s="41">
        <f t="shared" si="11"/>
        <v>0</v>
      </c>
      <c r="AB50" s="49"/>
      <c r="AC50" s="50"/>
      <c r="AD50" s="49" t="s">
        <v>5</v>
      </c>
      <c r="AE50" s="50" t="s">
        <v>133</v>
      </c>
      <c r="AF50" s="49"/>
      <c r="AG50" s="50"/>
      <c r="AH50" s="49"/>
      <c r="AI50" s="50"/>
      <c r="AJ50" s="49"/>
      <c r="AK50" s="50"/>
      <c r="AL50" s="49"/>
      <c r="AM50" s="50"/>
      <c r="AN50" s="49"/>
      <c r="AO50" s="50"/>
      <c r="AP50" s="49"/>
      <c r="AQ50" s="50"/>
      <c r="AR50" s="49"/>
      <c r="AS50" s="50"/>
      <c r="AT50" s="49"/>
      <c r="AU50" s="50"/>
      <c r="AV50" s="49" t="s">
        <v>5</v>
      </c>
      <c r="AW50" s="50" t="s">
        <v>602</v>
      </c>
      <c r="AX50" s="49"/>
      <c r="AY50" s="50"/>
      <c r="AZ50" s="49"/>
      <c r="BA50" s="50"/>
      <c r="BB50" s="49" t="s">
        <v>5</v>
      </c>
      <c r="BC50" s="50" t="s">
        <v>76</v>
      </c>
      <c r="BD50" s="49"/>
      <c r="BE50" s="50"/>
      <c r="BF50" s="49"/>
      <c r="BG50" s="50"/>
      <c r="BH50" s="49" t="s">
        <v>5</v>
      </c>
      <c r="BI50" s="50" t="s">
        <v>139</v>
      </c>
      <c r="BJ50" s="49"/>
      <c r="BK50" s="50"/>
      <c r="BL50" s="49"/>
      <c r="BM50" s="50"/>
      <c r="BN50" s="49"/>
      <c r="BO50" s="50"/>
      <c r="BP50" s="49"/>
      <c r="BQ50" s="50"/>
      <c r="BR50" s="49"/>
      <c r="BS50" s="50"/>
      <c r="BT50" s="49"/>
      <c r="BU50" s="50"/>
      <c r="BV50" s="49"/>
      <c r="BW50" s="50"/>
      <c r="BX50" s="49"/>
      <c r="BY50" s="50"/>
      <c r="BZ50" s="49"/>
      <c r="CA50" s="50"/>
      <c r="CB50" s="49"/>
      <c r="CC50" s="50"/>
    </row>
    <row r="51" spans="1:81" s="120" customFormat="1" ht="14.25" customHeight="1" x14ac:dyDescent="0.25">
      <c r="A51" s="79">
        <v>152156</v>
      </c>
      <c r="B51" s="77" t="s">
        <v>1463</v>
      </c>
      <c r="C51" s="98" t="s">
        <v>1417</v>
      </c>
      <c r="D51" s="90" t="s">
        <v>12</v>
      </c>
      <c r="E51" s="79" t="s">
        <v>14</v>
      </c>
      <c r="F51" s="79" t="s">
        <v>71</v>
      </c>
      <c r="G51" s="78" t="s">
        <v>14</v>
      </c>
      <c r="H51" s="121" t="s">
        <v>14</v>
      </c>
      <c r="I51" s="79" t="s">
        <v>14</v>
      </c>
      <c r="J51" s="122">
        <v>8.1</v>
      </c>
      <c r="K51" s="123">
        <v>1</v>
      </c>
      <c r="L51" s="124">
        <v>0</v>
      </c>
      <c r="M51" s="125">
        <v>0</v>
      </c>
      <c r="N51" s="118">
        <v>88.46</v>
      </c>
      <c r="O51" s="118">
        <v>88.89</v>
      </c>
      <c r="P51" s="119">
        <v>0</v>
      </c>
      <c r="Q51" s="87">
        <f t="shared" si="0"/>
        <v>0</v>
      </c>
      <c r="R51" s="88">
        <f t="shared" si="1"/>
        <v>4</v>
      </c>
      <c r="S51" s="89">
        <f t="shared" si="2"/>
        <v>0</v>
      </c>
      <c r="T51" s="89">
        <f t="shared" si="3"/>
        <v>0</v>
      </c>
      <c r="U51" s="89">
        <f t="shared" si="4"/>
        <v>0</v>
      </c>
      <c r="V51" s="89">
        <f t="shared" si="5"/>
        <v>0</v>
      </c>
      <c r="W51" s="89">
        <f t="shared" si="6"/>
        <v>0</v>
      </c>
      <c r="X51" s="89">
        <f t="shared" si="7"/>
        <v>0</v>
      </c>
      <c r="Y51" s="89">
        <f t="shared" si="8"/>
        <v>0</v>
      </c>
      <c r="Z51" s="89">
        <f t="shared" si="10"/>
        <v>0</v>
      </c>
      <c r="AA51" s="41">
        <f t="shared" si="11"/>
        <v>0</v>
      </c>
      <c r="AB51" s="49"/>
      <c r="AC51" s="50"/>
      <c r="AD51" s="49"/>
      <c r="AE51" s="50"/>
      <c r="AF51" s="49"/>
      <c r="AG51" s="50"/>
      <c r="AH51" s="49"/>
      <c r="AI51" s="50"/>
      <c r="AJ51" s="49"/>
      <c r="AK51" s="50"/>
      <c r="AL51" s="49"/>
      <c r="AM51" s="50"/>
      <c r="AN51" s="49"/>
      <c r="AO51" s="50"/>
      <c r="AP51" s="49"/>
      <c r="AQ51" s="50"/>
      <c r="AR51" s="49"/>
      <c r="AS51" s="50"/>
      <c r="AT51" s="49" t="s">
        <v>5</v>
      </c>
      <c r="AU51" s="50" t="s">
        <v>448</v>
      </c>
      <c r="AV51" s="49" t="s">
        <v>5</v>
      </c>
      <c r="AW51" s="50" t="s">
        <v>425</v>
      </c>
      <c r="AX51" s="49"/>
      <c r="AY51" s="50"/>
      <c r="AZ51" s="49"/>
      <c r="BA51" s="50"/>
      <c r="BB51" s="49"/>
      <c r="BC51" s="50"/>
      <c r="BD51" s="49"/>
      <c r="BE51" s="50"/>
      <c r="BF51" s="49"/>
      <c r="BG51" s="50"/>
      <c r="BH51" s="49" t="s">
        <v>5</v>
      </c>
      <c r="BI51" s="50" t="s">
        <v>139</v>
      </c>
      <c r="BJ51" s="49"/>
      <c r="BK51" s="50"/>
      <c r="BL51" s="49"/>
      <c r="BM51" s="50"/>
      <c r="BN51" s="49"/>
      <c r="BO51" s="50"/>
      <c r="BP51" s="49"/>
      <c r="BQ51" s="50"/>
      <c r="BR51" s="49"/>
      <c r="BS51" s="50"/>
      <c r="BT51" s="49"/>
      <c r="BU51" s="50"/>
      <c r="BV51" s="49" t="s">
        <v>5</v>
      </c>
      <c r="BW51" s="50" t="s">
        <v>93</v>
      </c>
      <c r="BX51" s="49"/>
      <c r="BY51" s="50"/>
      <c r="BZ51" s="49"/>
      <c r="CA51" s="50"/>
      <c r="CB51" s="49"/>
      <c r="CC51" s="50"/>
    </row>
    <row r="52" spans="1:81" s="120" customFormat="1" ht="14.25" customHeight="1" x14ac:dyDescent="0.25">
      <c r="A52" s="79">
        <v>150426</v>
      </c>
      <c r="B52" s="77" t="s">
        <v>1464</v>
      </c>
      <c r="C52" s="98" t="s">
        <v>1435</v>
      </c>
      <c r="D52" s="90" t="s">
        <v>70</v>
      </c>
      <c r="E52" s="79" t="s">
        <v>87</v>
      </c>
      <c r="F52" s="79" t="s">
        <v>126</v>
      </c>
      <c r="G52" s="78" t="s">
        <v>14</v>
      </c>
      <c r="H52" s="121" t="s">
        <v>14</v>
      </c>
      <c r="I52" s="79" t="s">
        <v>14</v>
      </c>
      <c r="J52" s="122">
        <v>5.4</v>
      </c>
      <c r="K52" s="123">
        <v>0</v>
      </c>
      <c r="L52" s="124">
        <v>0</v>
      </c>
      <c r="M52" s="125">
        <v>0</v>
      </c>
      <c r="N52" s="118">
        <v>100</v>
      </c>
      <c r="O52" s="118">
        <v>100</v>
      </c>
      <c r="P52" s="119">
        <v>0</v>
      </c>
      <c r="Q52" s="87">
        <f t="shared" si="0"/>
        <v>0</v>
      </c>
      <c r="R52" s="88">
        <f t="shared" si="1"/>
        <v>4</v>
      </c>
      <c r="S52" s="89">
        <f t="shared" si="2"/>
        <v>0</v>
      </c>
      <c r="T52" s="89">
        <f t="shared" si="3"/>
        <v>0</v>
      </c>
      <c r="U52" s="89">
        <f t="shared" si="4"/>
        <v>0</v>
      </c>
      <c r="V52" s="89">
        <f t="shared" si="5"/>
        <v>0</v>
      </c>
      <c r="W52" s="89">
        <f t="shared" si="6"/>
        <v>0</v>
      </c>
      <c r="X52" s="89">
        <f t="shared" si="7"/>
        <v>0</v>
      </c>
      <c r="Y52" s="89">
        <f t="shared" si="8"/>
        <v>0</v>
      </c>
      <c r="Z52" s="89">
        <f t="shared" si="10"/>
        <v>0</v>
      </c>
      <c r="AA52" s="41">
        <f t="shared" si="11"/>
        <v>0</v>
      </c>
      <c r="AB52" s="49"/>
      <c r="AC52" s="50"/>
      <c r="AD52" s="49" t="s">
        <v>5</v>
      </c>
      <c r="AE52" s="50" t="s">
        <v>438</v>
      </c>
      <c r="AF52" s="49"/>
      <c r="AG52" s="50"/>
      <c r="AH52" s="49"/>
      <c r="AI52" s="50"/>
      <c r="AJ52" s="49"/>
      <c r="AK52" s="50"/>
      <c r="AL52" s="49"/>
      <c r="AM52" s="50"/>
      <c r="AN52" s="49"/>
      <c r="AO52" s="50"/>
      <c r="AP52" s="49"/>
      <c r="AQ52" s="50"/>
      <c r="AR52" s="49"/>
      <c r="AS52" s="50"/>
      <c r="AT52" s="49"/>
      <c r="AU52" s="50"/>
      <c r="AV52" s="49" t="s">
        <v>5</v>
      </c>
      <c r="AW52" s="50" t="s">
        <v>602</v>
      </c>
      <c r="AX52" s="49"/>
      <c r="AY52" s="50"/>
      <c r="AZ52" s="49"/>
      <c r="BA52" s="50"/>
      <c r="BB52" s="49"/>
      <c r="BC52" s="50"/>
      <c r="BD52" s="49"/>
      <c r="BE52" s="50"/>
      <c r="BF52" s="49"/>
      <c r="BG52" s="50"/>
      <c r="BH52" s="49"/>
      <c r="BI52" s="50"/>
      <c r="BJ52" s="49"/>
      <c r="BK52" s="50"/>
      <c r="BL52" s="49"/>
      <c r="BM52" s="50"/>
      <c r="BN52" s="49"/>
      <c r="BO52" s="50"/>
      <c r="BP52" s="49"/>
      <c r="BQ52" s="50"/>
      <c r="BR52" s="49"/>
      <c r="BS52" s="50"/>
      <c r="BT52" s="49"/>
      <c r="BU52" s="50"/>
      <c r="BV52" s="49"/>
      <c r="BW52" s="50"/>
      <c r="BX52" s="49" t="s">
        <v>5</v>
      </c>
      <c r="BY52" s="50" t="s">
        <v>425</v>
      </c>
      <c r="BZ52" s="49" t="s">
        <v>5</v>
      </c>
      <c r="CA52" s="50" t="s">
        <v>420</v>
      </c>
      <c r="CB52" s="49"/>
      <c r="CC52" s="50"/>
    </row>
    <row r="53" spans="1:81" s="120" customFormat="1" ht="14.25" customHeight="1" x14ac:dyDescent="0.25">
      <c r="A53" s="79">
        <v>150501</v>
      </c>
      <c r="B53" s="77" t="s">
        <v>1465</v>
      </c>
      <c r="C53" s="98" t="s">
        <v>1419</v>
      </c>
      <c r="D53" s="90" t="s">
        <v>12</v>
      </c>
      <c r="E53" s="79" t="s">
        <v>14</v>
      </c>
      <c r="F53" s="79" t="s">
        <v>275</v>
      </c>
      <c r="G53" s="78" t="s">
        <v>14</v>
      </c>
      <c r="H53" s="121" t="s">
        <v>14</v>
      </c>
      <c r="I53" s="79" t="s">
        <v>14</v>
      </c>
      <c r="J53" s="122">
        <v>6.6</v>
      </c>
      <c r="K53" s="123">
        <v>0</v>
      </c>
      <c r="L53" s="124">
        <v>0</v>
      </c>
      <c r="M53" s="125">
        <v>1</v>
      </c>
      <c r="N53" s="118">
        <v>78.260000000000005</v>
      </c>
      <c r="O53" s="118">
        <v>74.36</v>
      </c>
      <c r="P53" s="119">
        <v>1</v>
      </c>
      <c r="Q53" s="87">
        <f t="shared" si="0"/>
        <v>0</v>
      </c>
      <c r="R53" s="88">
        <f t="shared" si="1"/>
        <v>4</v>
      </c>
      <c r="S53" s="89">
        <f t="shared" si="2"/>
        <v>0</v>
      </c>
      <c r="T53" s="89">
        <f t="shared" si="3"/>
        <v>0</v>
      </c>
      <c r="U53" s="89">
        <f t="shared" si="4"/>
        <v>0</v>
      </c>
      <c r="V53" s="89">
        <f t="shared" si="5"/>
        <v>0</v>
      </c>
      <c r="W53" s="89">
        <f t="shared" si="6"/>
        <v>0</v>
      </c>
      <c r="X53" s="89">
        <f t="shared" si="7"/>
        <v>0</v>
      </c>
      <c r="Y53" s="89">
        <f t="shared" si="8"/>
        <v>0</v>
      </c>
      <c r="Z53" s="89">
        <f t="shared" si="10"/>
        <v>0</v>
      </c>
      <c r="AA53" s="41">
        <f t="shared" si="11"/>
        <v>0</v>
      </c>
      <c r="AB53" s="49"/>
      <c r="AC53" s="50"/>
      <c r="AD53" s="49" t="s">
        <v>5</v>
      </c>
      <c r="AE53" s="50" t="s">
        <v>133</v>
      </c>
      <c r="AF53" s="49"/>
      <c r="AG53" s="50"/>
      <c r="AH53" s="49"/>
      <c r="AI53" s="50"/>
      <c r="AJ53" s="49"/>
      <c r="AK53" s="50"/>
      <c r="AL53" s="49"/>
      <c r="AM53" s="50"/>
      <c r="AN53" s="49"/>
      <c r="AO53" s="50"/>
      <c r="AP53" s="49"/>
      <c r="AQ53" s="50"/>
      <c r="AR53" s="49"/>
      <c r="AS53" s="50"/>
      <c r="AT53" s="49"/>
      <c r="AU53" s="50"/>
      <c r="AV53" s="49" t="s">
        <v>5</v>
      </c>
      <c r="AW53" s="50" t="s">
        <v>457</v>
      </c>
      <c r="AX53" s="49"/>
      <c r="AY53" s="50"/>
      <c r="AZ53" s="49"/>
      <c r="BA53" s="50"/>
      <c r="BB53" s="49"/>
      <c r="BC53" s="50"/>
      <c r="BD53" s="49"/>
      <c r="BE53" s="50"/>
      <c r="BF53" s="49"/>
      <c r="BG53" s="50"/>
      <c r="BH53" s="49" t="s">
        <v>5</v>
      </c>
      <c r="BI53" s="50" t="s">
        <v>139</v>
      </c>
      <c r="BJ53" s="49"/>
      <c r="BK53" s="50"/>
      <c r="BL53" s="49"/>
      <c r="BM53" s="50"/>
      <c r="BN53" s="49"/>
      <c r="BO53" s="50"/>
      <c r="BP53" s="49"/>
      <c r="BQ53" s="50"/>
      <c r="BR53" s="49"/>
      <c r="BS53" s="50"/>
      <c r="BT53" s="49"/>
      <c r="BU53" s="50"/>
      <c r="BV53" s="49"/>
      <c r="BW53" s="50"/>
      <c r="BX53" s="49" t="s">
        <v>5</v>
      </c>
      <c r="BY53" s="50" t="s">
        <v>425</v>
      </c>
      <c r="BZ53" s="49"/>
      <c r="CA53" s="50"/>
      <c r="CB53" s="49"/>
      <c r="CC53" s="50"/>
    </row>
    <row r="54" spans="1:81" s="120" customFormat="1" ht="14.25" customHeight="1" x14ac:dyDescent="0.25">
      <c r="A54" s="79">
        <v>152115</v>
      </c>
      <c r="B54" s="77" t="s">
        <v>1466</v>
      </c>
      <c r="C54" s="98" t="s">
        <v>1440</v>
      </c>
      <c r="D54" s="90" t="s">
        <v>70</v>
      </c>
      <c r="E54" s="79" t="s">
        <v>14</v>
      </c>
      <c r="F54" s="79" t="s">
        <v>71</v>
      </c>
      <c r="G54" s="78" t="s">
        <v>14</v>
      </c>
      <c r="H54" s="121" t="s">
        <v>14</v>
      </c>
      <c r="I54" s="79" t="s">
        <v>14</v>
      </c>
      <c r="J54" s="122">
        <v>6.8</v>
      </c>
      <c r="K54" s="123">
        <v>0</v>
      </c>
      <c r="L54" s="124">
        <v>0</v>
      </c>
      <c r="M54" s="125">
        <v>0</v>
      </c>
      <c r="N54" s="118">
        <v>92.38</v>
      </c>
      <c r="O54" s="118">
        <v>91.89</v>
      </c>
      <c r="P54" s="119">
        <v>0</v>
      </c>
      <c r="Q54" s="87">
        <f t="shared" si="0"/>
        <v>2</v>
      </c>
      <c r="R54" s="88">
        <f t="shared" si="1"/>
        <v>2</v>
      </c>
      <c r="S54" s="89">
        <f t="shared" si="2"/>
        <v>0</v>
      </c>
      <c r="T54" s="89">
        <f t="shared" si="3"/>
        <v>0</v>
      </c>
      <c r="U54" s="89">
        <f t="shared" si="4"/>
        <v>0</v>
      </c>
      <c r="V54" s="89">
        <f t="shared" si="5"/>
        <v>0</v>
      </c>
      <c r="W54" s="89">
        <f t="shared" si="6"/>
        <v>0</v>
      </c>
      <c r="X54" s="89">
        <f t="shared" si="7"/>
        <v>0</v>
      </c>
      <c r="Y54" s="89">
        <f t="shared" si="8"/>
        <v>0</v>
      </c>
      <c r="Z54" s="89">
        <f t="shared" si="10"/>
        <v>0</v>
      </c>
      <c r="AA54" s="41">
        <f t="shared" si="11"/>
        <v>0</v>
      </c>
      <c r="AB54" s="49"/>
      <c r="AC54" s="50"/>
      <c r="AD54" s="49" t="s">
        <v>5</v>
      </c>
      <c r="AE54" s="50" t="s">
        <v>438</v>
      </c>
      <c r="AF54" s="49"/>
      <c r="AG54" s="50"/>
      <c r="AH54" s="49"/>
      <c r="AI54" s="50"/>
      <c r="AJ54" s="49"/>
      <c r="AK54" s="50"/>
      <c r="AL54" s="49"/>
      <c r="AM54" s="50"/>
      <c r="AN54" s="49"/>
      <c r="AO54" s="50"/>
      <c r="AP54" s="49"/>
      <c r="AQ54" s="50"/>
      <c r="AR54" s="49"/>
      <c r="AS54" s="50"/>
      <c r="AT54" s="49"/>
      <c r="AU54" s="50"/>
      <c r="AV54" s="49" t="s">
        <v>1</v>
      </c>
      <c r="AW54" s="50" t="s">
        <v>433</v>
      </c>
      <c r="AX54" s="49"/>
      <c r="AY54" s="50"/>
      <c r="AZ54" s="49"/>
      <c r="BA54" s="50"/>
      <c r="BB54" s="49"/>
      <c r="BC54" s="50"/>
      <c r="BD54" s="49"/>
      <c r="BE54" s="50"/>
      <c r="BF54" s="49"/>
      <c r="BG54" s="50"/>
      <c r="BH54" s="49"/>
      <c r="BI54" s="50"/>
      <c r="BJ54" s="49"/>
      <c r="BK54" s="50"/>
      <c r="BL54" s="49"/>
      <c r="BM54" s="50"/>
      <c r="BN54" s="49"/>
      <c r="BO54" s="50"/>
      <c r="BP54" s="49"/>
      <c r="BQ54" s="50"/>
      <c r="BR54" s="49" t="s">
        <v>1</v>
      </c>
      <c r="BS54" s="50" t="s">
        <v>81</v>
      </c>
      <c r="BT54" s="49"/>
      <c r="BU54" s="50"/>
      <c r="BV54" s="49"/>
      <c r="BW54" s="50"/>
      <c r="BX54" s="49" t="s">
        <v>5</v>
      </c>
      <c r="BY54" s="50" t="s">
        <v>425</v>
      </c>
      <c r="BZ54" s="49"/>
      <c r="CA54" s="50"/>
      <c r="CB54" s="49"/>
      <c r="CC54" s="50"/>
    </row>
    <row r="55" spans="1:81" s="120" customFormat="1" ht="14.25" customHeight="1" x14ac:dyDescent="0.25">
      <c r="A55" s="79">
        <v>160019</v>
      </c>
      <c r="B55" s="77" t="s">
        <v>1467</v>
      </c>
      <c r="C55" s="98" t="s">
        <v>1421</v>
      </c>
      <c r="D55" s="90" t="s">
        <v>70</v>
      </c>
      <c r="E55" s="79" t="s">
        <v>87</v>
      </c>
      <c r="F55" s="79" t="s">
        <v>126</v>
      </c>
      <c r="G55" s="78" t="s">
        <v>14</v>
      </c>
      <c r="H55" s="121" t="s">
        <v>14</v>
      </c>
      <c r="I55" s="79" t="s">
        <v>14</v>
      </c>
      <c r="J55" s="122">
        <v>5.5</v>
      </c>
      <c r="K55" s="123">
        <v>0</v>
      </c>
      <c r="L55" s="124">
        <v>0</v>
      </c>
      <c r="M55" s="125">
        <v>0</v>
      </c>
      <c r="N55" s="118">
        <v>88.99</v>
      </c>
      <c r="O55" s="118">
        <v>81.08</v>
      </c>
      <c r="P55" s="119">
        <v>0</v>
      </c>
      <c r="Q55" s="87">
        <f t="shared" si="0"/>
        <v>0</v>
      </c>
      <c r="R55" s="88">
        <f t="shared" si="1"/>
        <v>4</v>
      </c>
      <c r="S55" s="89">
        <f t="shared" si="2"/>
        <v>0</v>
      </c>
      <c r="T55" s="89">
        <f t="shared" si="3"/>
        <v>0</v>
      </c>
      <c r="U55" s="89">
        <f t="shared" si="4"/>
        <v>0</v>
      </c>
      <c r="V55" s="89">
        <f t="shared" si="5"/>
        <v>0</v>
      </c>
      <c r="W55" s="89">
        <f t="shared" si="6"/>
        <v>0</v>
      </c>
      <c r="X55" s="89">
        <f t="shared" si="7"/>
        <v>0</v>
      </c>
      <c r="Y55" s="89">
        <f t="shared" si="8"/>
        <v>0</v>
      </c>
      <c r="Z55" s="89">
        <f t="shared" si="10"/>
        <v>0</v>
      </c>
      <c r="AA55" s="41">
        <f t="shared" si="11"/>
        <v>0</v>
      </c>
      <c r="AB55" s="49"/>
      <c r="AC55" s="50"/>
      <c r="AD55" s="49"/>
      <c r="AE55" s="50"/>
      <c r="AF55" s="49"/>
      <c r="AG55" s="50"/>
      <c r="AH55" s="49"/>
      <c r="AI55" s="50"/>
      <c r="AJ55" s="49"/>
      <c r="AK55" s="50"/>
      <c r="AL55" s="49"/>
      <c r="AM55" s="50"/>
      <c r="AN55" s="49"/>
      <c r="AO55" s="50"/>
      <c r="AP55" s="49"/>
      <c r="AQ55" s="50"/>
      <c r="AR55" s="49"/>
      <c r="AS55" s="50"/>
      <c r="AT55" s="49"/>
      <c r="AU55" s="50"/>
      <c r="AV55" s="49" t="s">
        <v>5</v>
      </c>
      <c r="AW55" s="50" t="s">
        <v>151</v>
      </c>
      <c r="AX55" s="49"/>
      <c r="AY55" s="50"/>
      <c r="AZ55" s="49"/>
      <c r="BA55" s="50"/>
      <c r="BB55" s="49"/>
      <c r="BC55" s="50"/>
      <c r="BD55" s="49" t="s">
        <v>5</v>
      </c>
      <c r="BE55" s="50" t="s">
        <v>436</v>
      </c>
      <c r="BF55" s="49"/>
      <c r="BG55" s="50"/>
      <c r="BH55" s="49"/>
      <c r="BI55" s="50"/>
      <c r="BJ55" s="49"/>
      <c r="BK55" s="50"/>
      <c r="BL55" s="49"/>
      <c r="BM55" s="50"/>
      <c r="BN55" s="49"/>
      <c r="BO55" s="50"/>
      <c r="BP55" s="49"/>
      <c r="BQ55" s="50"/>
      <c r="BR55" s="49"/>
      <c r="BS55" s="50"/>
      <c r="BT55" s="49"/>
      <c r="BU55" s="50"/>
      <c r="BV55" s="49"/>
      <c r="BW55" s="50"/>
      <c r="BX55" s="49" t="s">
        <v>5</v>
      </c>
      <c r="BY55" s="50" t="s">
        <v>425</v>
      </c>
      <c r="BZ55" s="49" t="s">
        <v>5</v>
      </c>
      <c r="CA55" s="50" t="s">
        <v>462</v>
      </c>
      <c r="CB55" s="49"/>
      <c r="CC55" s="50"/>
    </row>
    <row r="56" spans="1:81" s="120" customFormat="1" ht="14.25" customHeight="1" x14ac:dyDescent="0.25">
      <c r="A56" s="79">
        <v>150445</v>
      </c>
      <c r="B56" s="77" t="s">
        <v>1468</v>
      </c>
      <c r="C56" s="98" t="s">
        <v>1435</v>
      </c>
      <c r="D56" s="90" t="s">
        <v>12</v>
      </c>
      <c r="E56" s="79" t="s">
        <v>14</v>
      </c>
      <c r="F56" s="79" t="s">
        <v>71</v>
      </c>
      <c r="G56" s="78" t="s">
        <v>14</v>
      </c>
      <c r="H56" s="121" t="s">
        <v>14</v>
      </c>
      <c r="I56" s="79" t="s">
        <v>14</v>
      </c>
      <c r="J56" s="122">
        <v>7.8</v>
      </c>
      <c r="K56" s="123">
        <v>2</v>
      </c>
      <c r="L56" s="124">
        <v>0</v>
      </c>
      <c r="M56" s="125">
        <v>0</v>
      </c>
      <c r="N56" s="118">
        <v>97.22</v>
      </c>
      <c r="O56" s="118">
        <v>97.3</v>
      </c>
      <c r="P56" s="119">
        <v>1</v>
      </c>
      <c r="Q56" s="87">
        <f t="shared" si="0"/>
        <v>0</v>
      </c>
      <c r="R56" s="88">
        <f t="shared" si="1"/>
        <v>4</v>
      </c>
      <c r="S56" s="89">
        <f t="shared" si="2"/>
        <v>0</v>
      </c>
      <c r="T56" s="89">
        <f t="shared" si="3"/>
        <v>0</v>
      </c>
      <c r="U56" s="89">
        <f t="shared" si="4"/>
        <v>0</v>
      </c>
      <c r="V56" s="89">
        <f t="shared" si="5"/>
        <v>0</v>
      </c>
      <c r="W56" s="89">
        <f t="shared" si="6"/>
        <v>0</v>
      </c>
      <c r="X56" s="89">
        <f t="shared" si="7"/>
        <v>0</v>
      </c>
      <c r="Y56" s="89">
        <f t="shared" si="8"/>
        <v>0</v>
      </c>
      <c r="Z56" s="89">
        <f t="shared" si="10"/>
        <v>0</v>
      </c>
      <c r="AA56" s="41">
        <f t="shared" si="11"/>
        <v>0</v>
      </c>
      <c r="AB56" s="49"/>
      <c r="AC56" s="50"/>
      <c r="AD56" s="49"/>
      <c r="AE56" s="50"/>
      <c r="AF56" s="49"/>
      <c r="AG56" s="50"/>
      <c r="AH56" s="49"/>
      <c r="AI56" s="50"/>
      <c r="AJ56" s="49"/>
      <c r="AK56" s="50"/>
      <c r="AL56" s="49"/>
      <c r="AM56" s="50"/>
      <c r="AN56" s="49"/>
      <c r="AO56" s="50"/>
      <c r="AP56" s="49" t="s">
        <v>5</v>
      </c>
      <c r="AQ56" s="50" t="s">
        <v>428</v>
      </c>
      <c r="AR56" s="49"/>
      <c r="AS56" s="50"/>
      <c r="AT56" s="49"/>
      <c r="AU56" s="50"/>
      <c r="AV56" s="49" t="s">
        <v>5</v>
      </c>
      <c r="AW56" s="50" t="s">
        <v>457</v>
      </c>
      <c r="AX56" s="49"/>
      <c r="AY56" s="50"/>
      <c r="AZ56" s="49"/>
      <c r="BA56" s="50"/>
      <c r="BB56" s="49"/>
      <c r="BC56" s="50"/>
      <c r="BD56" s="49"/>
      <c r="BE56" s="50"/>
      <c r="BF56" s="49"/>
      <c r="BG56" s="50"/>
      <c r="BH56" s="49" t="s">
        <v>5</v>
      </c>
      <c r="BI56" s="50" t="s">
        <v>139</v>
      </c>
      <c r="BJ56" s="49"/>
      <c r="BK56" s="50"/>
      <c r="BL56" s="49"/>
      <c r="BM56" s="50"/>
      <c r="BN56" s="49"/>
      <c r="BO56" s="50"/>
      <c r="BP56" s="49"/>
      <c r="BQ56" s="50"/>
      <c r="BR56" s="49"/>
      <c r="BS56" s="50"/>
      <c r="BT56" s="49" t="s">
        <v>5</v>
      </c>
      <c r="BU56" s="50" t="s">
        <v>109</v>
      </c>
      <c r="BV56" s="49"/>
      <c r="BW56" s="50"/>
      <c r="BX56" s="49"/>
      <c r="BY56" s="50"/>
      <c r="BZ56" s="49"/>
      <c r="CA56" s="50"/>
      <c r="CB56" s="49"/>
      <c r="CC56" s="50"/>
    </row>
    <row r="57" spans="1:81" s="120" customFormat="1" ht="14.25" customHeight="1" x14ac:dyDescent="0.25">
      <c r="A57" s="79">
        <v>152116</v>
      </c>
      <c r="B57" s="77" t="s">
        <v>1469</v>
      </c>
      <c r="C57" s="98" t="s">
        <v>1440</v>
      </c>
      <c r="D57" s="90" t="s">
        <v>70</v>
      </c>
      <c r="E57" s="79" t="s">
        <v>87</v>
      </c>
      <c r="F57" s="79" t="s">
        <v>279</v>
      </c>
      <c r="G57" s="78" t="s">
        <v>14</v>
      </c>
      <c r="H57" s="121" t="s">
        <v>14</v>
      </c>
      <c r="I57" s="79" t="s">
        <v>14</v>
      </c>
      <c r="J57" s="122">
        <v>6.7</v>
      </c>
      <c r="K57" s="123">
        <v>0</v>
      </c>
      <c r="L57" s="124">
        <v>0</v>
      </c>
      <c r="M57" s="125">
        <v>0</v>
      </c>
      <c r="N57" s="118">
        <v>100</v>
      </c>
      <c r="O57" s="118">
        <v>100</v>
      </c>
      <c r="P57" s="119">
        <v>2</v>
      </c>
      <c r="Q57" s="87">
        <f t="shared" si="0"/>
        <v>1</v>
      </c>
      <c r="R57" s="88">
        <f t="shared" si="1"/>
        <v>3</v>
      </c>
      <c r="S57" s="89">
        <f t="shared" si="2"/>
        <v>0</v>
      </c>
      <c r="T57" s="89">
        <f t="shared" si="3"/>
        <v>0</v>
      </c>
      <c r="U57" s="89">
        <f t="shared" si="4"/>
        <v>0</v>
      </c>
      <c r="V57" s="89">
        <f t="shared" si="5"/>
        <v>0</v>
      </c>
      <c r="W57" s="89">
        <f t="shared" si="6"/>
        <v>0</v>
      </c>
      <c r="X57" s="89">
        <f t="shared" si="7"/>
        <v>0</v>
      </c>
      <c r="Y57" s="89">
        <f t="shared" si="8"/>
        <v>0</v>
      </c>
      <c r="Z57" s="89">
        <f t="shared" si="10"/>
        <v>0</v>
      </c>
      <c r="AA57" s="41">
        <f t="shared" si="11"/>
        <v>0</v>
      </c>
      <c r="AB57" s="49"/>
      <c r="AC57" s="50"/>
      <c r="AD57" s="49" t="s">
        <v>5</v>
      </c>
      <c r="AE57" s="50" t="s">
        <v>133</v>
      </c>
      <c r="AF57" s="49"/>
      <c r="AG57" s="50"/>
      <c r="AH57" s="49" t="s">
        <v>5</v>
      </c>
      <c r="AI57" s="50" t="s">
        <v>424</v>
      </c>
      <c r="AJ57" s="49"/>
      <c r="AK57" s="50"/>
      <c r="AL57" s="49"/>
      <c r="AM57" s="50"/>
      <c r="AN57" s="49"/>
      <c r="AO57" s="50"/>
      <c r="AP57" s="49"/>
      <c r="AQ57" s="50"/>
      <c r="AR57" s="49"/>
      <c r="AS57" s="50"/>
      <c r="AT57" s="49"/>
      <c r="AU57" s="50"/>
      <c r="AV57" s="49" t="s">
        <v>1</v>
      </c>
      <c r="AW57" s="50" t="s">
        <v>433</v>
      </c>
      <c r="AX57" s="49"/>
      <c r="AY57" s="50"/>
      <c r="AZ57" s="49"/>
      <c r="BA57" s="50"/>
      <c r="BB57" s="49"/>
      <c r="BC57" s="50"/>
      <c r="BD57" s="49"/>
      <c r="BE57" s="50"/>
      <c r="BF57" s="49"/>
      <c r="BG57" s="50"/>
      <c r="BH57" s="49"/>
      <c r="BI57" s="50"/>
      <c r="BJ57" s="49"/>
      <c r="BK57" s="50"/>
      <c r="BL57" s="49"/>
      <c r="BM57" s="50"/>
      <c r="BN57" s="49"/>
      <c r="BO57" s="50"/>
      <c r="BP57" s="49"/>
      <c r="BQ57" s="50"/>
      <c r="BR57" s="49"/>
      <c r="BS57" s="50"/>
      <c r="BT57" s="49"/>
      <c r="BU57" s="50"/>
      <c r="BV57" s="49"/>
      <c r="BW57" s="50"/>
      <c r="BX57" s="49" t="s">
        <v>5</v>
      </c>
      <c r="BY57" s="50" t="s">
        <v>425</v>
      </c>
      <c r="BZ57" s="49"/>
      <c r="CA57" s="50"/>
      <c r="CB57" s="49"/>
      <c r="CC57" s="50"/>
    </row>
    <row r="58" spans="1:81" s="120" customFormat="1" ht="14.25" customHeight="1" x14ac:dyDescent="0.25">
      <c r="A58" s="79">
        <v>150559</v>
      </c>
      <c r="B58" s="77" t="s">
        <v>1470</v>
      </c>
      <c r="C58" s="98" t="s">
        <v>1405</v>
      </c>
      <c r="D58" s="90" t="s">
        <v>12</v>
      </c>
      <c r="E58" s="79" t="s">
        <v>14</v>
      </c>
      <c r="F58" s="79" t="s">
        <v>71</v>
      </c>
      <c r="G58" s="78" t="s">
        <v>14</v>
      </c>
      <c r="H58" s="121" t="s">
        <v>14</v>
      </c>
      <c r="I58" s="79" t="s">
        <v>14</v>
      </c>
      <c r="J58" s="122">
        <v>6.1</v>
      </c>
      <c r="K58" s="123">
        <v>0</v>
      </c>
      <c r="L58" s="124">
        <v>0</v>
      </c>
      <c r="M58" s="125">
        <v>0</v>
      </c>
      <c r="N58" s="118">
        <v>55.14</v>
      </c>
      <c r="O58" s="118">
        <v>28.57</v>
      </c>
      <c r="P58" s="119">
        <v>6</v>
      </c>
      <c r="Q58" s="87">
        <f t="shared" si="0"/>
        <v>0</v>
      </c>
      <c r="R58" s="88">
        <f t="shared" si="1"/>
        <v>1</v>
      </c>
      <c r="S58" s="89">
        <f t="shared" si="2"/>
        <v>1</v>
      </c>
      <c r="T58" s="89">
        <f t="shared" si="3"/>
        <v>0</v>
      </c>
      <c r="U58" s="89">
        <f t="shared" si="4"/>
        <v>1</v>
      </c>
      <c r="V58" s="89">
        <f t="shared" si="5"/>
        <v>2</v>
      </c>
      <c r="W58" s="89">
        <f t="shared" si="6"/>
        <v>1</v>
      </c>
      <c r="X58" s="89">
        <f t="shared" si="7"/>
        <v>0</v>
      </c>
      <c r="Y58" s="89">
        <f t="shared" si="8"/>
        <v>0</v>
      </c>
      <c r="Z58" s="89">
        <f t="shared" si="10"/>
        <v>1</v>
      </c>
      <c r="AA58" s="41">
        <f t="shared" si="11"/>
        <v>0</v>
      </c>
      <c r="AB58" s="49"/>
      <c r="AC58" s="50"/>
      <c r="AD58" s="49"/>
      <c r="AE58" s="50"/>
      <c r="AF58" s="49"/>
      <c r="AG58" s="50"/>
      <c r="AH58" s="49"/>
      <c r="AI58" s="50"/>
      <c r="AJ58" s="49"/>
      <c r="AK58" s="50"/>
      <c r="AL58" s="49"/>
      <c r="AM58" s="50"/>
      <c r="AN58" s="49"/>
      <c r="AO58" s="50"/>
      <c r="AP58" s="49"/>
      <c r="AQ58" s="50"/>
      <c r="AR58" s="49"/>
      <c r="AS58" s="50"/>
      <c r="AT58" s="49"/>
      <c r="AU58" s="50"/>
      <c r="AV58" s="49" t="s">
        <v>34</v>
      </c>
      <c r="AW58" s="50" t="s">
        <v>602</v>
      </c>
      <c r="AX58" s="49"/>
      <c r="AY58" s="50"/>
      <c r="AZ58" s="49"/>
      <c r="BA58" s="50"/>
      <c r="BB58" s="49"/>
      <c r="BC58" s="50"/>
      <c r="BD58" s="49"/>
      <c r="BE58" s="50"/>
      <c r="BF58" s="49"/>
      <c r="BG58" s="50"/>
      <c r="BH58" s="49" t="s">
        <v>30</v>
      </c>
      <c r="BI58" s="50" t="s">
        <v>139</v>
      </c>
      <c r="BJ58" s="49"/>
      <c r="BK58" s="50"/>
      <c r="BL58" s="49"/>
      <c r="BM58" s="50"/>
      <c r="BN58" s="49"/>
      <c r="BO58" s="50"/>
      <c r="BP58" s="49"/>
      <c r="BQ58" s="50"/>
      <c r="BR58" s="49"/>
      <c r="BS58" s="50"/>
      <c r="BT58" s="49" t="s">
        <v>5</v>
      </c>
      <c r="BU58" s="50" t="s">
        <v>98</v>
      </c>
      <c r="BV58" s="49" t="s">
        <v>32</v>
      </c>
      <c r="BW58" s="50" t="s">
        <v>93</v>
      </c>
      <c r="BX58" s="49"/>
      <c r="BY58" s="50"/>
      <c r="BZ58" s="49"/>
      <c r="CA58" s="50"/>
      <c r="CB58" s="49"/>
      <c r="CC58" s="50"/>
    </row>
    <row r="59" spans="1:81" s="120" customFormat="1" ht="14.25" customHeight="1" x14ac:dyDescent="0.25">
      <c r="A59" s="79">
        <v>152211</v>
      </c>
      <c r="B59" s="77" t="s">
        <v>1471</v>
      </c>
      <c r="C59" s="98" t="s">
        <v>1421</v>
      </c>
      <c r="D59" s="90" t="s">
        <v>70</v>
      </c>
      <c r="E59" s="79" t="s">
        <v>87</v>
      </c>
      <c r="F59" s="79" t="s">
        <v>88</v>
      </c>
      <c r="G59" s="78" t="s">
        <v>14</v>
      </c>
      <c r="H59" s="121" t="s">
        <v>14</v>
      </c>
      <c r="I59" s="79" t="s">
        <v>14</v>
      </c>
      <c r="J59" s="122">
        <v>7.4</v>
      </c>
      <c r="K59" s="123">
        <v>1</v>
      </c>
      <c r="L59" s="124">
        <v>0</v>
      </c>
      <c r="M59" s="125">
        <v>0</v>
      </c>
      <c r="N59" s="118">
        <v>88</v>
      </c>
      <c r="O59" s="118">
        <v>88.24</v>
      </c>
      <c r="P59" s="119">
        <v>0</v>
      </c>
      <c r="Q59" s="87">
        <f t="shared" si="0"/>
        <v>0</v>
      </c>
      <c r="R59" s="88">
        <f t="shared" si="1"/>
        <v>4</v>
      </c>
      <c r="S59" s="89">
        <f t="shared" si="2"/>
        <v>0</v>
      </c>
      <c r="T59" s="89">
        <f t="shared" si="3"/>
        <v>0</v>
      </c>
      <c r="U59" s="89">
        <f t="shared" si="4"/>
        <v>0</v>
      </c>
      <c r="V59" s="89">
        <f t="shared" si="5"/>
        <v>0</v>
      </c>
      <c r="W59" s="89">
        <f t="shared" si="6"/>
        <v>0</v>
      </c>
      <c r="X59" s="89">
        <f t="shared" si="7"/>
        <v>0</v>
      </c>
      <c r="Y59" s="89">
        <f t="shared" si="8"/>
        <v>0</v>
      </c>
      <c r="Z59" s="89">
        <f t="shared" si="10"/>
        <v>0</v>
      </c>
      <c r="AA59" s="41">
        <f t="shared" si="11"/>
        <v>0</v>
      </c>
      <c r="AB59" s="49"/>
      <c r="AC59" s="50"/>
      <c r="AD59" s="49" t="s">
        <v>5</v>
      </c>
      <c r="AE59" s="50" t="s">
        <v>438</v>
      </c>
      <c r="AF59" s="49"/>
      <c r="AG59" s="50"/>
      <c r="AH59" s="49" t="s">
        <v>5</v>
      </c>
      <c r="AI59" s="50" t="s">
        <v>137</v>
      </c>
      <c r="AJ59" s="49"/>
      <c r="AK59" s="50"/>
      <c r="AL59" s="49"/>
      <c r="AM59" s="50"/>
      <c r="AN59" s="49"/>
      <c r="AO59" s="50"/>
      <c r="AP59" s="49"/>
      <c r="AQ59" s="50"/>
      <c r="AR59" s="49"/>
      <c r="AS59" s="50"/>
      <c r="AT59" s="49"/>
      <c r="AU59" s="50"/>
      <c r="AV59" s="49" t="s">
        <v>5</v>
      </c>
      <c r="AW59" s="50" t="s">
        <v>151</v>
      </c>
      <c r="AX59" s="49"/>
      <c r="AY59" s="50"/>
      <c r="AZ59" s="49"/>
      <c r="BA59" s="50"/>
      <c r="BB59" s="49"/>
      <c r="BC59" s="50"/>
      <c r="BD59" s="49"/>
      <c r="BE59" s="50"/>
      <c r="BF59" s="49"/>
      <c r="BG59" s="50"/>
      <c r="BH59" s="49" t="s">
        <v>5</v>
      </c>
      <c r="BI59" s="50" t="s">
        <v>136</v>
      </c>
      <c r="BJ59" s="49"/>
      <c r="BK59" s="50"/>
      <c r="BL59" s="49"/>
      <c r="BM59" s="50"/>
      <c r="BN59" s="49"/>
      <c r="BO59" s="50"/>
      <c r="BP59" s="49"/>
      <c r="BQ59" s="50"/>
      <c r="BR59" s="49"/>
      <c r="BS59" s="50"/>
      <c r="BT59" s="49"/>
      <c r="BU59" s="50"/>
      <c r="BV59" s="49"/>
      <c r="BW59" s="50"/>
      <c r="BX59" s="49"/>
      <c r="BY59" s="50"/>
      <c r="BZ59" s="49"/>
      <c r="CA59" s="50"/>
      <c r="CB59" s="49"/>
      <c r="CC59" s="50"/>
    </row>
    <row r="60" spans="1:81" s="120" customFormat="1" ht="14.25" customHeight="1" x14ac:dyDescent="0.25">
      <c r="A60" s="79">
        <v>150466</v>
      </c>
      <c r="B60" s="77" t="s">
        <v>1472</v>
      </c>
      <c r="C60" s="98" t="s">
        <v>1421</v>
      </c>
      <c r="D60" s="90" t="s">
        <v>12</v>
      </c>
      <c r="E60" s="79" t="s">
        <v>14</v>
      </c>
      <c r="F60" s="79" t="s">
        <v>774</v>
      </c>
      <c r="G60" s="78" t="s">
        <v>14</v>
      </c>
      <c r="H60" s="121" t="s">
        <v>14</v>
      </c>
      <c r="I60" s="79" t="s">
        <v>14</v>
      </c>
      <c r="J60" s="122">
        <v>8.5</v>
      </c>
      <c r="K60" s="123">
        <v>1</v>
      </c>
      <c r="L60" s="124">
        <v>0</v>
      </c>
      <c r="M60" s="125">
        <v>0</v>
      </c>
      <c r="N60" s="118">
        <v>99.24</v>
      </c>
      <c r="O60" s="118">
        <v>97.5</v>
      </c>
      <c r="P60" s="119">
        <v>0</v>
      </c>
      <c r="Q60" s="87">
        <f t="shared" si="0"/>
        <v>2</v>
      </c>
      <c r="R60" s="88">
        <f t="shared" si="1"/>
        <v>3</v>
      </c>
      <c r="S60" s="89">
        <f t="shared" si="2"/>
        <v>0</v>
      </c>
      <c r="T60" s="89">
        <f t="shared" si="3"/>
        <v>0</v>
      </c>
      <c r="U60" s="89">
        <f t="shared" si="4"/>
        <v>0</v>
      </c>
      <c r="V60" s="89">
        <f t="shared" si="5"/>
        <v>0</v>
      </c>
      <c r="W60" s="89">
        <f t="shared" si="6"/>
        <v>0</v>
      </c>
      <c r="X60" s="89">
        <f t="shared" si="7"/>
        <v>0</v>
      </c>
      <c r="Y60" s="89">
        <f t="shared" si="8"/>
        <v>0</v>
      </c>
      <c r="Z60" s="89">
        <f t="shared" si="10"/>
        <v>0</v>
      </c>
      <c r="AA60" s="41">
        <f t="shared" si="11"/>
        <v>0</v>
      </c>
      <c r="AB60" s="49"/>
      <c r="AC60" s="50"/>
      <c r="AD60" s="49" t="s">
        <v>5</v>
      </c>
      <c r="AE60" s="50" t="s">
        <v>438</v>
      </c>
      <c r="AF60" s="49"/>
      <c r="AG60" s="50"/>
      <c r="AH60" s="49" t="s">
        <v>5</v>
      </c>
      <c r="AI60" s="50" t="s">
        <v>137</v>
      </c>
      <c r="AJ60" s="49"/>
      <c r="AK60" s="50"/>
      <c r="AL60" s="49"/>
      <c r="AM60" s="50"/>
      <c r="AN60" s="49"/>
      <c r="AO60" s="50"/>
      <c r="AP60" s="49"/>
      <c r="AQ60" s="50"/>
      <c r="AR60" s="49"/>
      <c r="AS60" s="50"/>
      <c r="AT60" s="49"/>
      <c r="AU60" s="50"/>
      <c r="AV60" s="49" t="s">
        <v>5</v>
      </c>
      <c r="AW60" s="50" t="s">
        <v>151</v>
      </c>
      <c r="AX60" s="49"/>
      <c r="AY60" s="50"/>
      <c r="AZ60" s="49"/>
      <c r="BA60" s="50"/>
      <c r="BB60" s="49"/>
      <c r="BC60" s="50"/>
      <c r="BD60" s="49"/>
      <c r="BE60" s="50"/>
      <c r="BF60" s="49"/>
      <c r="BG60" s="50"/>
      <c r="BH60" s="49" t="s">
        <v>1</v>
      </c>
      <c r="BI60" s="50" t="s">
        <v>139</v>
      </c>
      <c r="BJ60" s="49"/>
      <c r="BK60" s="50"/>
      <c r="BL60" s="49"/>
      <c r="BM60" s="50"/>
      <c r="BN60" s="49"/>
      <c r="BO60" s="50"/>
      <c r="BP60" s="49"/>
      <c r="BQ60" s="50"/>
      <c r="BR60" s="49"/>
      <c r="BS60" s="50"/>
      <c r="BT60" s="49"/>
      <c r="BU60" s="50"/>
      <c r="BV60" s="49"/>
      <c r="BW60" s="50"/>
      <c r="BX60" s="49" t="s">
        <v>1</v>
      </c>
      <c r="BY60" s="50" t="s">
        <v>425</v>
      </c>
      <c r="BZ60" s="49"/>
      <c r="CA60" s="50"/>
      <c r="CB60" s="49"/>
      <c r="CC60" s="50"/>
    </row>
    <row r="61" spans="1:81" s="120" customFormat="1" ht="14.25" customHeight="1" x14ac:dyDescent="0.25">
      <c r="A61" s="79">
        <v>150484</v>
      </c>
      <c r="B61" s="77" t="s">
        <v>1473</v>
      </c>
      <c r="C61" s="98" t="s">
        <v>1414</v>
      </c>
      <c r="D61" s="90" t="s">
        <v>70</v>
      </c>
      <c r="E61" s="79" t="s">
        <v>14</v>
      </c>
      <c r="F61" s="79" t="s">
        <v>71</v>
      </c>
      <c r="G61" s="78" t="s">
        <v>14</v>
      </c>
      <c r="H61" s="121" t="s">
        <v>14</v>
      </c>
      <c r="I61" s="79" t="s">
        <v>14</v>
      </c>
      <c r="J61" s="122">
        <v>8</v>
      </c>
      <c r="K61" s="123">
        <v>0</v>
      </c>
      <c r="L61" s="124">
        <v>0</v>
      </c>
      <c r="M61" s="125">
        <v>0</v>
      </c>
      <c r="N61" s="118">
        <v>81.89</v>
      </c>
      <c r="O61" s="118">
        <v>59.52</v>
      </c>
      <c r="P61" s="119">
        <v>4</v>
      </c>
      <c r="Q61" s="87">
        <f t="shared" si="0"/>
        <v>3</v>
      </c>
      <c r="R61" s="88">
        <f t="shared" si="1"/>
        <v>2</v>
      </c>
      <c r="S61" s="89">
        <f t="shared" si="2"/>
        <v>0</v>
      </c>
      <c r="T61" s="89">
        <f t="shared" si="3"/>
        <v>0</v>
      </c>
      <c r="U61" s="89">
        <f t="shared" si="4"/>
        <v>1</v>
      </c>
      <c r="V61" s="89">
        <f t="shared" si="5"/>
        <v>1</v>
      </c>
      <c r="W61" s="89">
        <f t="shared" si="6"/>
        <v>0</v>
      </c>
      <c r="X61" s="89">
        <f t="shared" si="7"/>
        <v>0</v>
      </c>
      <c r="Y61" s="89">
        <f t="shared" si="8"/>
        <v>0</v>
      </c>
      <c r="Z61" s="89">
        <f t="shared" si="10"/>
        <v>0</v>
      </c>
      <c r="AA61" s="41">
        <f t="shared" si="11"/>
        <v>0</v>
      </c>
      <c r="AB61" s="49"/>
      <c r="AC61" s="50"/>
      <c r="AD61" s="49"/>
      <c r="AE61" s="50"/>
      <c r="AF61" s="49"/>
      <c r="AG61" s="50"/>
      <c r="AH61" s="49"/>
      <c r="AI61" s="50"/>
      <c r="AJ61" s="49"/>
      <c r="AK61" s="50"/>
      <c r="AL61" s="49"/>
      <c r="AM61" s="50"/>
      <c r="AN61" s="49"/>
      <c r="AO61" s="50"/>
      <c r="AP61" s="49" t="s">
        <v>5</v>
      </c>
      <c r="AQ61" s="50" t="s">
        <v>428</v>
      </c>
      <c r="AR61" s="49"/>
      <c r="AS61" s="50"/>
      <c r="AT61" s="49"/>
      <c r="AU61" s="50"/>
      <c r="AV61" s="49" t="s">
        <v>32</v>
      </c>
      <c r="AW61" s="50" t="s">
        <v>457</v>
      </c>
      <c r="AX61" s="49"/>
      <c r="AY61" s="50"/>
      <c r="AZ61" s="49"/>
      <c r="BA61" s="50"/>
      <c r="BB61" s="49"/>
      <c r="BC61" s="50"/>
      <c r="BD61" s="49"/>
      <c r="BE61" s="50"/>
      <c r="BF61" s="49"/>
      <c r="BG61" s="50"/>
      <c r="BH61" s="49"/>
      <c r="BI61" s="50"/>
      <c r="BJ61" s="49" t="s">
        <v>1</v>
      </c>
      <c r="BK61" s="50" t="s">
        <v>79</v>
      </c>
      <c r="BL61" s="49"/>
      <c r="BM61" s="50"/>
      <c r="BN61" s="49" t="s">
        <v>1</v>
      </c>
      <c r="BO61" s="50" t="s">
        <v>602</v>
      </c>
      <c r="BP61" s="49" t="s">
        <v>1</v>
      </c>
      <c r="BQ61" s="50"/>
      <c r="BR61" s="49"/>
      <c r="BS61" s="50"/>
      <c r="BT61" s="49"/>
      <c r="BU61" s="50"/>
      <c r="BV61" s="49" t="s">
        <v>5</v>
      </c>
      <c r="BW61" s="50" t="s">
        <v>93</v>
      </c>
      <c r="BX61" s="49"/>
      <c r="BY61" s="50"/>
      <c r="BZ61" s="49"/>
      <c r="CA61" s="50"/>
      <c r="CB61" s="49"/>
      <c r="CC61" s="50"/>
    </row>
    <row r="62" spans="1:81" s="120" customFormat="1" ht="14.25" customHeight="1" x14ac:dyDescent="0.25">
      <c r="A62" s="79">
        <v>150534</v>
      </c>
      <c r="B62" s="77" t="s">
        <v>1474</v>
      </c>
      <c r="C62" s="98" t="s">
        <v>1410</v>
      </c>
      <c r="D62" s="90" t="s">
        <v>70</v>
      </c>
      <c r="E62" s="79" t="s">
        <v>14</v>
      </c>
      <c r="F62" s="79" t="s">
        <v>71</v>
      </c>
      <c r="G62" s="78" t="s">
        <v>14</v>
      </c>
      <c r="H62" s="121" t="s">
        <v>14</v>
      </c>
      <c r="I62" s="79" t="s">
        <v>14</v>
      </c>
      <c r="J62" s="122">
        <v>7.4</v>
      </c>
      <c r="K62" s="123">
        <v>0</v>
      </c>
      <c r="L62" s="124">
        <v>0</v>
      </c>
      <c r="M62" s="125">
        <v>0</v>
      </c>
      <c r="N62" s="118">
        <v>82.83</v>
      </c>
      <c r="O62" s="118">
        <v>97.22</v>
      </c>
      <c r="P62" s="119">
        <v>1</v>
      </c>
      <c r="Q62" s="87">
        <f t="shared" si="0"/>
        <v>1</v>
      </c>
      <c r="R62" s="88">
        <f t="shared" si="1"/>
        <v>3</v>
      </c>
      <c r="S62" s="89">
        <f t="shared" si="2"/>
        <v>0</v>
      </c>
      <c r="T62" s="89">
        <f t="shared" si="3"/>
        <v>0</v>
      </c>
      <c r="U62" s="89">
        <f t="shared" si="4"/>
        <v>0</v>
      </c>
      <c r="V62" s="89">
        <f t="shared" si="5"/>
        <v>0</v>
      </c>
      <c r="W62" s="89">
        <f t="shared" si="6"/>
        <v>0</v>
      </c>
      <c r="X62" s="89">
        <f t="shared" si="7"/>
        <v>0</v>
      </c>
      <c r="Y62" s="89">
        <f t="shared" si="8"/>
        <v>0</v>
      </c>
      <c r="Z62" s="89">
        <f t="shared" si="10"/>
        <v>0</v>
      </c>
      <c r="AA62" s="41">
        <f t="shared" si="11"/>
        <v>0</v>
      </c>
      <c r="AB62" s="49"/>
      <c r="AC62" s="50"/>
      <c r="AD62" s="49"/>
      <c r="AE62" s="50"/>
      <c r="AF62" s="49"/>
      <c r="AG62" s="50"/>
      <c r="AH62" s="49"/>
      <c r="AI62" s="50"/>
      <c r="AJ62" s="49"/>
      <c r="AK62" s="50"/>
      <c r="AL62" s="49"/>
      <c r="AM62" s="50"/>
      <c r="AN62" s="49"/>
      <c r="AO62" s="50"/>
      <c r="AP62" s="49"/>
      <c r="AQ62" s="50"/>
      <c r="AR62" s="49"/>
      <c r="AS62" s="50"/>
      <c r="AT62" s="49"/>
      <c r="AU62" s="50"/>
      <c r="AV62" s="49" t="s">
        <v>5</v>
      </c>
      <c r="AW62" s="50" t="s">
        <v>602</v>
      </c>
      <c r="AX62" s="49"/>
      <c r="AY62" s="50"/>
      <c r="AZ62" s="49"/>
      <c r="BA62" s="50"/>
      <c r="BB62" s="49" t="s">
        <v>5</v>
      </c>
      <c r="BC62" s="50" t="s">
        <v>76</v>
      </c>
      <c r="BD62" s="49"/>
      <c r="BE62" s="50"/>
      <c r="BF62" s="49"/>
      <c r="BG62" s="50"/>
      <c r="BH62" s="49"/>
      <c r="BI62" s="50"/>
      <c r="BJ62" s="49"/>
      <c r="BK62" s="50"/>
      <c r="BL62" s="49"/>
      <c r="BM62" s="50"/>
      <c r="BN62" s="49"/>
      <c r="BO62" s="50"/>
      <c r="BP62" s="49"/>
      <c r="BQ62" s="50"/>
      <c r="BR62" s="49"/>
      <c r="BS62" s="50"/>
      <c r="BT62" s="49"/>
      <c r="BU62" s="50"/>
      <c r="BV62" s="49" t="s">
        <v>5</v>
      </c>
      <c r="BW62" s="50" t="s">
        <v>93</v>
      </c>
      <c r="BX62" s="49"/>
      <c r="BY62" s="50"/>
      <c r="BZ62" s="49" t="s">
        <v>1</v>
      </c>
      <c r="CA62" s="50" t="s">
        <v>462</v>
      </c>
      <c r="CB62" s="49"/>
      <c r="CC62" s="50"/>
    </row>
    <row r="63" spans="1:81" s="120" customFormat="1" ht="14.25" customHeight="1" x14ac:dyDescent="0.25">
      <c r="A63" s="79">
        <v>152178</v>
      </c>
      <c r="B63" s="77" t="s">
        <v>1475</v>
      </c>
      <c r="C63" s="98" t="s">
        <v>1414</v>
      </c>
      <c r="D63" s="90" t="s">
        <v>70</v>
      </c>
      <c r="E63" s="79" t="s">
        <v>14</v>
      </c>
      <c r="F63" s="79" t="s">
        <v>71</v>
      </c>
      <c r="G63" s="78" t="s">
        <v>14</v>
      </c>
      <c r="H63" s="121" t="s">
        <v>14</v>
      </c>
      <c r="I63" s="79" t="s">
        <v>14</v>
      </c>
      <c r="J63" s="122">
        <v>7.7</v>
      </c>
      <c r="K63" s="123">
        <v>0</v>
      </c>
      <c r="L63" s="124">
        <v>0</v>
      </c>
      <c r="M63" s="125">
        <v>0</v>
      </c>
      <c r="N63" s="118">
        <v>100</v>
      </c>
      <c r="O63" s="118">
        <v>100</v>
      </c>
      <c r="P63" s="119">
        <v>0</v>
      </c>
      <c r="Q63" s="87">
        <f t="shared" si="0"/>
        <v>2</v>
      </c>
      <c r="R63" s="88">
        <f t="shared" si="1"/>
        <v>2</v>
      </c>
      <c r="S63" s="89">
        <f t="shared" si="2"/>
        <v>0</v>
      </c>
      <c r="T63" s="89">
        <f t="shared" si="3"/>
        <v>0</v>
      </c>
      <c r="U63" s="89">
        <f t="shared" si="4"/>
        <v>0</v>
      </c>
      <c r="V63" s="89">
        <f t="shared" si="5"/>
        <v>0</v>
      </c>
      <c r="W63" s="89">
        <f t="shared" si="6"/>
        <v>0</v>
      </c>
      <c r="X63" s="89">
        <f t="shared" si="7"/>
        <v>0</v>
      </c>
      <c r="Y63" s="89">
        <f t="shared" si="8"/>
        <v>0</v>
      </c>
      <c r="Z63" s="89">
        <f t="shared" si="10"/>
        <v>0</v>
      </c>
      <c r="AA63" s="41">
        <f t="shared" si="11"/>
        <v>0</v>
      </c>
      <c r="AB63" s="49"/>
      <c r="AC63" s="50"/>
      <c r="AD63" s="49" t="s">
        <v>5</v>
      </c>
      <c r="AE63" s="50" t="s">
        <v>133</v>
      </c>
      <c r="AF63" s="49"/>
      <c r="AG63" s="50"/>
      <c r="AH63" s="49" t="s">
        <v>5</v>
      </c>
      <c r="AI63" s="50" t="s">
        <v>206</v>
      </c>
      <c r="AJ63" s="49"/>
      <c r="AK63" s="50"/>
      <c r="AL63" s="49"/>
      <c r="AM63" s="50"/>
      <c r="AN63" s="49"/>
      <c r="AO63" s="50"/>
      <c r="AP63" s="49"/>
      <c r="AQ63" s="50"/>
      <c r="AR63" s="49"/>
      <c r="AS63" s="50"/>
      <c r="AT63" s="49" t="s">
        <v>1</v>
      </c>
      <c r="AU63" s="50" t="s">
        <v>151</v>
      </c>
      <c r="AV63" s="49" t="s">
        <v>1</v>
      </c>
      <c r="AW63" s="50" t="s">
        <v>602</v>
      </c>
      <c r="AX63" s="49"/>
      <c r="AY63" s="50"/>
      <c r="AZ63" s="49"/>
      <c r="BA63" s="50"/>
      <c r="BB63" s="49"/>
      <c r="BC63" s="50"/>
      <c r="BD63" s="49"/>
      <c r="BE63" s="50"/>
      <c r="BF63" s="49"/>
      <c r="BG63" s="50"/>
      <c r="BH63" s="49"/>
      <c r="BI63" s="50"/>
      <c r="BJ63" s="49"/>
      <c r="BK63" s="50"/>
      <c r="BL63" s="49"/>
      <c r="BM63" s="50"/>
      <c r="BN63" s="49"/>
      <c r="BO63" s="50"/>
      <c r="BP63" s="49"/>
      <c r="BQ63" s="50"/>
      <c r="BR63" s="49"/>
      <c r="BS63" s="50"/>
      <c r="BT63" s="49"/>
      <c r="BU63" s="50"/>
      <c r="BV63" s="49"/>
      <c r="BW63" s="50"/>
      <c r="BX63" s="49"/>
      <c r="BY63" s="50"/>
      <c r="BZ63" s="49"/>
      <c r="CA63" s="50"/>
      <c r="CB63" s="49"/>
      <c r="CC63" s="50"/>
    </row>
    <row r="64" spans="1:81" s="120" customFormat="1" ht="14.25" customHeight="1" x14ac:dyDescent="0.25">
      <c r="A64" s="79">
        <v>152118</v>
      </c>
      <c r="B64" s="77" t="s">
        <v>1476</v>
      </c>
      <c r="C64" s="98" t="s">
        <v>1421</v>
      </c>
      <c r="D64" s="90" t="s">
        <v>70</v>
      </c>
      <c r="E64" s="79" t="s">
        <v>14</v>
      </c>
      <c r="F64" s="79" t="s">
        <v>71</v>
      </c>
      <c r="G64" s="78" t="s">
        <v>14</v>
      </c>
      <c r="H64" s="121" t="s">
        <v>14</v>
      </c>
      <c r="I64" s="79" t="s">
        <v>14</v>
      </c>
      <c r="J64" s="122">
        <v>5.9</v>
      </c>
      <c r="K64" s="123">
        <v>0</v>
      </c>
      <c r="L64" s="124">
        <v>0</v>
      </c>
      <c r="M64" s="125">
        <v>0</v>
      </c>
      <c r="N64" s="118">
        <v>92.24</v>
      </c>
      <c r="O64" s="118">
        <v>92.5</v>
      </c>
      <c r="P64" s="119">
        <v>0</v>
      </c>
      <c r="Q64" s="87">
        <f t="shared" si="0"/>
        <v>2</v>
      </c>
      <c r="R64" s="88">
        <f t="shared" si="1"/>
        <v>3</v>
      </c>
      <c r="S64" s="89">
        <f t="shared" si="2"/>
        <v>0</v>
      </c>
      <c r="T64" s="89">
        <f t="shared" si="3"/>
        <v>0</v>
      </c>
      <c r="U64" s="89">
        <f t="shared" si="4"/>
        <v>0</v>
      </c>
      <c r="V64" s="89">
        <f t="shared" si="5"/>
        <v>0</v>
      </c>
      <c r="W64" s="89">
        <f t="shared" si="6"/>
        <v>0</v>
      </c>
      <c r="X64" s="89">
        <f t="shared" si="7"/>
        <v>0</v>
      </c>
      <c r="Y64" s="89">
        <f t="shared" si="8"/>
        <v>0</v>
      </c>
      <c r="Z64" s="89">
        <f t="shared" si="10"/>
        <v>0</v>
      </c>
      <c r="AA64" s="41">
        <f t="shared" si="11"/>
        <v>0</v>
      </c>
      <c r="AB64" s="49"/>
      <c r="AC64" s="50"/>
      <c r="AD64" s="49"/>
      <c r="AE64" s="50"/>
      <c r="AF64" s="49"/>
      <c r="AG64" s="50"/>
      <c r="AH64" s="49"/>
      <c r="AI64" s="50"/>
      <c r="AJ64" s="49"/>
      <c r="AK64" s="50"/>
      <c r="AL64" s="49"/>
      <c r="AM64" s="50"/>
      <c r="AN64" s="49"/>
      <c r="AO64" s="50"/>
      <c r="AP64" s="49"/>
      <c r="AQ64" s="50"/>
      <c r="AR64" s="49" t="s">
        <v>5</v>
      </c>
      <c r="AS64" s="50" t="s">
        <v>459</v>
      </c>
      <c r="AT64" s="49" t="s">
        <v>5</v>
      </c>
      <c r="AU64" s="50" t="s">
        <v>448</v>
      </c>
      <c r="AV64" s="49" t="s">
        <v>5</v>
      </c>
      <c r="AW64" s="50" t="s">
        <v>151</v>
      </c>
      <c r="AX64" s="49"/>
      <c r="AY64" s="50"/>
      <c r="AZ64" s="49"/>
      <c r="BA64" s="50"/>
      <c r="BB64" s="49"/>
      <c r="BC64" s="50"/>
      <c r="BD64" s="49"/>
      <c r="BE64" s="50"/>
      <c r="BF64" s="49"/>
      <c r="BG64" s="50"/>
      <c r="BH64" s="49"/>
      <c r="BI64" s="50"/>
      <c r="BJ64" s="49"/>
      <c r="BK64" s="50"/>
      <c r="BL64" s="49"/>
      <c r="BM64" s="50"/>
      <c r="BN64" s="49" t="s">
        <v>1</v>
      </c>
      <c r="BO64" s="50" t="s">
        <v>602</v>
      </c>
      <c r="BP64" s="49" t="s">
        <v>1</v>
      </c>
      <c r="BQ64" s="50"/>
      <c r="BR64" s="49"/>
      <c r="BS64" s="50"/>
      <c r="BT64" s="49"/>
      <c r="BU64" s="50"/>
      <c r="BV64" s="49"/>
      <c r="BW64" s="50"/>
      <c r="BX64" s="49"/>
      <c r="BY64" s="50"/>
      <c r="BZ64" s="49"/>
      <c r="CA64" s="50"/>
      <c r="CB64" s="49"/>
      <c r="CC64" s="50"/>
    </row>
    <row r="65" spans="1:81" s="120" customFormat="1" ht="14.25" customHeight="1" x14ac:dyDescent="0.25">
      <c r="A65" s="79">
        <v>152188</v>
      </c>
      <c r="B65" s="77" t="s">
        <v>1477</v>
      </c>
      <c r="C65" s="98" t="s">
        <v>1410</v>
      </c>
      <c r="D65" s="90" t="s">
        <v>12</v>
      </c>
      <c r="E65" s="79" t="s">
        <v>14</v>
      </c>
      <c r="F65" s="79" t="s">
        <v>115</v>
      </c>
      <c r="G65" s="78" t="s">
        <v>14</v>
      </c>
      <c r="H65" s="121" t="s">
        <v>14</v>
      </c>
      <c r="I65" s="79" t="s">
        <v>14</v>
      </c>
      <c r="J65" s="122">
        <v>6.6</v>
      </c>
      <c r="K65" s="123">
        <v>1</v>
      </c>
      <c r="L65" s="124">
        <v>0</v>
      </c>
      <c r="M65" s="125">
        <v>1</v>
      </c>
      <c r="N65" s="118">
        <v>59.66</v>
      </c>
      <c r="O65" s="118">
        <v>53.49</v>
      </c>
      <c r="P65" s="119">
        <v>2</v>
      </c>
      <c r="Q65" s="87">
        <f t="shared" si="0"/>
        <v>0</v>
      </c>
      <c r="R65" s="88">
        <f t="shared" si="1"/>
        <v>3</v>
      </c>
      <c r="S65" s="89">
        <f t="shared" si="2"/>
        <v>0</v>
      </c>
      <c r="T65" s="89">
        <f t="shared" si="3"/>
        <v>0</v>
      </c>
      <c r="U65" s="89">
        <f t="shared" si="4"/>
        <v>1</v>
      </c>
      <c r="V65" s="89">
        <f t="shared" si="5"/>
        <v>1</v>
      </c>
      <c r="W65" s="89">
        <f t="shared" si="6"/>
        <v>0</v>
      </c>
      <c r="X65" s="89">
        <f t="shared" si="7"/>
        <v>0</v>
      </c>
      <c r="Y65" s="89">
        <f t="shared" si="8"/>
        <v>0</v>
      </c>
      <c r="Z65" s="89">
        <f t="shared" si="10"/>
        <v>0</v>
      </c>
      <c r="AA65" s="41">
        <f t="shared" si="11"/>
        <v>0</v>
      </c>
      <c r="AB65" s="49"/>
      <c r="AC65" s="50"/>
      <c r="AD65" s="49"/>
      <c r="AE65" s="50"/>
      <c r="AF65" s="49" t="s">
        <v>5</v>
      </c>
      <c r="AG65" s="50" t="s">
        <v>427</v>
      </c>
      <c r="AH65" s="49"/>
      <c r="AI65" s="50"/>
      <c r="AJ65" s="49"/>
      <c r="AK65" s="50"/>
      <c r="AL65" s="49"/>
      <c r="AM65" s="50"/>
      <c r="AN65" s="49"/>
      <c r="AO65" s="50"/>
      <c r="AP65" s="49" t="s">
        <v>5</v>
      </c>
      <c r="AQ65" s="50" t="s">
        <v>428</v>
      </c>
      <c r="AR65" s="49"/>
      <c r="AS65" s="50"/>
      <c r="AT65" s="49"/>
      <c r="AU65" s="50"/>
      <c r="AV65" s="49" t="s">
        <v>5</v>
      </c>
      <c r="AW65" s="50" t="s">
        <v>476</v>
      </c>
      <c r="AX65" s="49"/>
      <c r="AY65" s="50"/>
      <c r="AZ65" s="49"/>
      <c r="BA65" s="50"/>
      <c r="BB65" s="49"/>
      <c r="BC65" s="50"/>
      <c r="BD65" s="49"/>
      <c r="BE65" s="50"/>
      <c r="BF65" s="49"/>
      <c r="BG65" s="50"/>
      <c r="BH65" s="49" t="s">
        <v>32</v>
      </c>
      <c r="BI65" s="50" t="s">
        <v>430</v>
      </c>
      <c r="BJ65" s="49"/>
      <c r="BK65" s="50"/>
      <c r="BL65" s="49"/>
      <c r="BM65" s="50"/>
      <c r="BN65" s="49"/>
      <c r="BO65" s="50"/>
      <c r="BP65" s="49"/>
      <c r="BQ65" s="50"/>
      <c r="BR65" s="49"/>
      <c r="BS65" s="50"/>
      <c r="BT65" s="49"/>
      <c r="BU65" s="50"/>
      <c r="BV65" s="49"/>
      <c r="BW65" s="50"/>
      <c r="BX65" s="49"/>
      <c r="BY65" s="50"/>
      <c r="BZ65" s="49"/>
      <c r="CA65" s="50"/>
      <c r="CB65" s="49"/>
      <c r="CC65" s="50"/>
    </row>
    <row r="66" spans="1:81" s="120" customFormat="1" ht="14.25" customHeight="1" x14ac:dyDescent="0.25">
      <c r="A66" s="79">
        <v>152119</v>
      </c>
      <c r="B66" s="77" t="s">
        <v>1478</v>
      </c>
      <c r="C66" s="98" t="s">
        <v>1419</v>
      </c>
      <c r="D66" s="90" t="s">
        <v>12</v>
      </c>
      <c r="E66" s="79" t="s">
        <v>14</v>
      </c>
      <c r="F66" s="77" t="s">
        <v>146</v>
      </c>
      <c r="G66" s="78" t="s">
        <v>14</v>
      </c>
      <c r="H66" s="121" t="s">
        <v>14</v>
      </c>
      <c r="I66" s="79" t="s">
        <v>14</v>
      </c>
      <c r="J66" s="122">
        <v>6.7</v>
      </c>
      <c r="K66" s="123">
        <v>0</v>
      </c>
      <c r="L66" s="124">
        <v>0</v>
      </c>
      <c r="M66" s="125">
        <v>0</v>
      </c>
      <c r="N66" s="118">
        <v>83.96</v>
      </c>
      <c r="O66" s="118">
        <v>100</v>
      </c>
      <c r="P66" s="119">
        <v>0</v>
      </c>
      <c r="Q66" s="87">
        <f t="shared" ref="Q66:Q129" si="12">COUNTIF($AB66:$CT66,"Outstanding")</f>
        <v>1</v>
      </c>
      <c r="R66" s="88">
        <f t="shared" ref="R66:R129" si="13">COUNTIF($AB66:$CT66,"Good")</f>
        <v>3</v>
      </c>
      <c r="S66" s="89">
        <f t="shared" ref="S66:S129" si="14">COUNTIF($AB66:$CT66,"N2Improve - Engagement")</f>
        <v>0</v>
      </c>
      <c r="T66" s="89">
        <f t="shared" ref="T66:T129" si="15">COUNTIF($AB66:$CT66,"N2Improve - Community Conduct")</f>
        <v>0</v>
      </c>
      <c r="U66" s="89">
        <f t="shared" ref="U66:U129" si="16">COUNTIF($AB66:$CT66,"N2Improve - Personal Org.")</f>
        <v>0</v>
      </c>
      <c r="V66" s="89">
        <f t="shared" ref="V66:V129" si="17">SUM(S66:U66)</f>
        <v>0</v>
      </c>
      <c r="W66" s="89">
        <f t="shared" ref="W66:W129" si="18">COUNTIF($AB66:$CT66,"Serious Conc - Engagement")</f>
        <v>0</v>
      </c>
      <c r="X66" s="89">
        <f t="shared" ref="X66:X129" si="19">COUNTIF($AB66:$CT66,"Serious Conc - Comm. Concern")</f>
        <v>0</v>
      </c>
      <c r="Y66" s="89">
        <f t="shared" ref="Y66:Y129" si="20">COUNTIF($AB66:$CT66,"Serious Conc - Personal Org.")</f>
        <v>0</v>
      </c>
      <c r="Z66" s="89">
        <f t="shared" si="10"/>
        <v>0</v>
      </c>
      <c r="AA66" s="41">
        <f t="shared" si="11"/>
        <v>0</v>
      </c>
      <c r="AB66" s="49"/>
      <c r="AC66" s="50"/>
      <c r="AD66" s="49"/>
      <c r="AE66" s="50"/>
      <c r="AF66" s="49"/>
      <c r="AG66" s="50"/>
      <c r="AH66" s="49"/>
      <c r="AI66" s="50"/>
      <c r="AJ66" s="49"/>
      <c r="AK66" s="50"/>
      <c r="AL66" s="49"/>
      <c r="AM66" s="50"/>
      <c r="AN66" s="49"/>
      <c r="AO66" s="50"/>
      <c r="AP66" s="49"/>
      <c r="AQ66" s="50"/>
      <c r="AR66" s="49"/>
      <c r="AS66" s="50"/>
      <c r="AT66" s="49"/>
      <c r="AU66" s="50"/>
      <c r="AV66" s="49" t="s">
        <v>5</v>
      </c>
      <c r="AW66" s="50" t="s">
        <v>457</v>
      </c>
      <c r="AX66" s="49"/>
      <c r="AY66" s="50"/>
      <c r="AZ66" s="49"/>
      <c r="BA66" s="50"/>
      <c r="BB66" s="49" t="s">
        <v>5</v>
      </c>
      <c r="BC66" s="50" t="s">
        <v>76</v>
      </c>
      <c r="BD66" s="49"/>
      <c r="BE66" s="50"/>
      <c r="BF66" s="49"/>
      <c r="BG66" s="50"/>
      <c r="BH66" s="49" t="s">
        <v>1</v>
      </c>
      <c r="BI66" s="50" t="s">
        <v>136</v>
      </c>
      <c r="BJ66" s="49"/>
      <c r="BK66" s="50"/>
      <c r="BL66" s="49"/>
      <c r="BM66" s="50"/>
      <c r="BN66" s="49"/>
      <c r="BO66" s="50"/>
      <c r="BP66" s="49"/>
      <c r="BQ66" s="50"/>
      <c r="BR66" s="49"/>
      <c r="BS66" s="50"/>
      <c r="BT66" s="49" t="s">
        <v>5</v>
      </c>
      <c r="BU66" s="50" t="s">
        <v>109</v>
      </c>
      <c r="BV66" s="49"/>
      <c r="BW66" s="50"/>
      <c r="BX66" s="49"/>
      <c r="BY66" s="50"/>
      <c r="BZ66" s="49"/>
      <c r="CA66" s="50"/>
      <c r="CB66" s="49"/>
      <c r="CC66" s="50"/>
    </row>
    <row r="67" spans="1:81" s="120" customFormat="1" ht="14.25" customHeight="1" x14ac:dyDescent="0.25">
      <c r="A67" s="79">
        <v>152120</v>
      </c>
      <c r="B67" s="77" t="s">
        <v>1479</v>
      </c>
      <c r="C67" s="98" t="s">
        <v>1410</v>
      </c>
      <c r="D67" s="90" t="s">
        <v>12</v>
      </c>
      <c r="E67" s="79" t="s">
        <v>14</v>
      </c>
      <c r="F67" s="79" t="s">
        <v>71</v>
      </c>
      <c r="G67" s="78" t="s">
        <v>14</v>
      </c>
      <c r="H67" s="121" t="s">
        <v>14</v>
      </c>
      <c r="I67" s="79" t="s">
        <v>14</v>
      </c>
      <c r="J67" s="122">
        <v>5.6</v>
      </c>
      <c r="K67" s="123">
        <v>0</v>
      </c>
      <c r="L67" s="124">
        <v>0</v>
      </c>
      <c r="M67" s="125">
        <v>0</v>
      </c>
      <c r="N67" s="118">
        <v>80.19</v>
      </c>
      <c r="O67" s="118">
        <v>78.38</v>
      </c>
      <c r="P67" s="119">
        <v>6</v>
      </c>
      <c r="Q67" s="87">
        <f t="shared" si="12"/>
        <v>1</v>
      </c>
      <c r="R67" s="88">
        <f t="shared" si="13"/>
        <v>2</v>
      </c>
      <c r="S67" s="89">
        <f t="shared" si="14"/>
        <v>0</v>
      </c>
      <c r="T67" s="89">
        <f t="shared" si="15"/>
        <v>0</v>
      </c>
      <c r="U67" s="89">
        <f t="shared" si="16"/>
        <v>1</v>
      </c>
      <c r="V67" s="89">
        <f t="shared" si="17"/>
        <v>1</v>
      </c>
      <c r="W67" s="89">
        <f t="shared" si="18"/>
        <v>0</v>
      </c>
      <c r="X67" s="89">
        <f t="shared" si="19"/>
        <v>0</v>
      </c>
      <c r="Y67" s="89">
        <f t="shared" si="20"/>
        <v>0</v>
      </c>
      <c r="Z67" s="89">
        <f t="shared" ref="Z67:Z130" si="21">SUM(W67:Y67)</f>
        <v>0</v>
      </c>
      <c r="AA67" s="41">
        <f t="shared" ref="AA67:AA130" si="22">COUNTIF(AB67:CC67,"*still*")</f>
        <v>0</v>
      </c>
      <c r="AB67" s="49"/>
      <c r="AC67" s="50"/>
      <c r="AD67" s="49"/>
      <c r="AE67" s="50"/>
      <c r="AF67" s="49"/>
      <c r="AG67" s="50"/>
      <c r="AH67" s="49"/>
      <c r="AI67" s="50"/>
      <c r="AJ67" s="49"/>
      <c r="AK67" s="50"/>
      <c r="AL67" s="49"/>
      <c r="AM67" s="50"/>
      <c r="AN67" s="49"/>
      <c r="AO67" s="50"/>
      <c r="AP67" s="49" t="s">
        <v>5</v>
      </c>
      <c r="AQ67" s="50" t="s">
        <v>428</v>
      </c>
      <c r="AR67" s="49"/>
      <c r="AS67" s="50"/>
      <c r="AT67" s="49"/>
      <c r="AU67" s="50"/>
      <c r="AV67" s="49" t="s">
        <v>32</v>
      </c>
      <c r="AW67" s="50" t="s">
        <v>122</v>
      </c>
      <c r="AX67" s="49"/>
      <c r="AY67" s="50"/>
      <c r="AZ67" s="49"/>
      <c r="BA67" s="50"/>
      <c r="BB67" s="49"/>
      <c r="BC67" s="50"/>
      <c r="BD67" s="49"/>
      <c r="BE67" s="50"/>
      <c r="BF67" s="49" t="s">
        <v>1</v>
      </c>
      <c r="BG67" s="50" t="s">
        <v>77</v>
      </c>
      <c r="BH67" s="49"/>
      <c r="BI67" s="50"/>
      <c r="BJ67" s="49"/>
      <c r="BK67" s="50"/>
      <c r="BL67" s="49"/>
      <c r="BM67" s="50"/>
      <c r="BN67" s="49"/>
      <c r="BO67" s="50"/>
      <c r="BP67" s="49"/>
      <c r="BQ67" s="50"/>
      <c r="BR67" s="49"/>
      <c r="BS67" s="50"/>
      <c r="BT67" s="49"/>
      <c r="BU67" s="50"/>
      <c r="BV67" s="49" t="s">
        <v>5</v>
      </c>
      <c r="BW67" s="50" t="s">
        <v>93</v>
      </c>
      <c r="BX67" s="49"/>
      <c r="BY67" s="50"/>
      <c r="BZ67" s="49"/>
      <c r="CA67" s="50"/>
      <c r="CB67" s="49"/>
      <c r="CC67" s="50"/>
    </row>
    <row r="68" spans="1:81" s="120" customFormat="1" ht="14.25" customHeight="1" x14ac:dyDescent="0.25">
      <c r="A68" s="79">
        <v>152175</v>
      </c>
      <c r="B68" s="77" t="s">
        <v>1480</v>
      </c>
      <c r="C68" s="98" t="s">
        <v>1421</v>
      </c>
      <c r="D68" s="90" t="s">
        <v>70</v>
      </c>
      <c r="E68" s="79" t="s">
        <v>14</v>
      </c>
      <c r="F68" s="79" t="s">
        <v>71</v>
      </c>
      <c r="G68" s="78" t="s">
        <v>14</v>
      </c>
      <c r="H68" s="121" t="s">
        <v>14</v>
      </c>
      <c r="I68" s="79" t="s">
        <v>14</v>
      </c>
      <c r="J68" s="122">
        <v>6.7</v>
      </c>
      <c r="K68" s="123">
        <v>0</v>
      </c>
      <c r="L68" s="124">
        <v>0</v>
      </c>
      <c r="M68" s="125">
        <v>0</v>
      </c>
      <c r="N68" s="118">
        <v>82.86</v>
      </c>
      <c r="O68" s="118">
        <v>97.3</v>
      </c>
      <c r="P68" s="119">
        <v>0</v>
      </c>
      <c r="Q68" s="87">
        <f t="shared" si="12"/>
        <v>0</v>
      </c>
      <c r="R68" s="88">
        <f t="shared" si="13"/>
        <v>5</v>
      </c>
      <c r="S68" s="89">
        <f t="shared" si="14"/>
        <v>0</v>
      </c>
      <c r="T68" s="89">
        <f t="shared" si="15"/>
        <v>0</v>
      </c>
      <c r="U68" s="89">
        <f t="shared" si="16"/>
        <v>0</v>
      </c>
      <c r="V68" s="89">
        <f t="shared" si="17"/>
        <v>0</v>
      </c>
      <c r="W68" s="89">
        <f t="shared" si="18"/>
        <v>0</v>
      </c>
      <c r="X68" s="89">
        <f t="shared" si="19"/>
        <v>0</v>
      </c>
      <c r="Y68" s="89">
        <f t="shared" si="20"/>
        <v>0</v>
      </c>
      <c r="Z68" s="89">
        <f t="shared" si="21"/>
        <v>0</v>
      </c>
      <c r="AA68" s="41">
        <f t="shared" si="22"/>
        <v>0</v>
      </c>
      <c r="AB68" s="49"/>
      <c r="AC68" s="50"/>
      <c r="AD68" s="49"/>
      <c r="AE68" s="50"/>
      <c r="AF68" s="49"/>
      <c r="AG68" s="50"/>
      <c r="AH68" s="49"/>
      <c r="AI68" s="50"/>
      <c r="AJ68" s="49"/>
      <c r="AK68" s="50"/>
      <c r="AL68" s="49"/>
      <c r="AM68" s="50"/>
      <c r="AN68" s="49"/>
      <c r="AO68" s="50"/>
      <c r="AP68" s="49"/>
      <c r="AQ68" s="50"/>
      <c r="AR68" s="49"/>
      <c r="AS68" s="50"/>
      <c r="AT68" s="49"/>
      <c r="AU68" s="50"/>
      <c r="AV68" s="49" t="s">
        <v>5</v>
      </c>
      <c r="AW68" s="50" t="s">
        <v>151</v>
      </c>
      <c r="AX68" s="49"/>
      <c r="AY68" s="50"/>
      <c r="AZ68" s="49"/>
      <c r="BA68" s="50"/>
      <c r="BB68" s="49" t="s">
        <v>5</v>
      </c>
      <c r="BC68" s="50" t="s">
        <v>76</v>
      </c>
      <c r="BD68" s="49"/>
      <c r="BE68" s="50"/>
      <c r="BF68" s="49"/>
      <c r="BG68" s="50"/>
      <c r="BH68" s="49"/>
      <c r="BI68" s="50"/>
      <c r="BJ68" s="49"/>
      <c r="BK68" s="50"/>
      <c r="BL68" s="49"/>
      <c r="BM68" s="50"/>
      <c r="BN68" s="49" t="s">
        <v>5</v>
      </c>
      <c r="BO68" s="50" t="s">
        <v>602</v>
      </c>
      <c r="BP68" s="49" t="s">
        <v>5</v>
      </c>
      <c r="BQ68" s="50"/>
      <c r="BR68" s="49"/>
      <c r="BS68" s="50"/>
      <c r="BT68" s="49"/>
      <c r="BU68" s="50"/>
      <c r="BV68" s="49" t="s">
        <v>5</v>
      </c>
      <c r="BW68" s="50" t="s">
        <v>93</v>
      </c>
      <c r="BX68" s="49"/>
      <c r="BY68" s="50"/>
      <c r="BZ68" s="49"/>
      <c r="CA68" s="50"/>
      <c r="CB68" s="49"/>
      <c r="CC68" s="50"/>
    </row>
    <row r="69" spans="1:81" s="120" customFormat="1" ht="14.25" customHeight="1" x14ac:dyDescent="0.25">
      <c r="A69" s="79">
        <v>150597</v>
      </c>
      <c r="B69" s="77" t="s">
        <v>1481</v>
      </c>
      <c r="C69" s="98" t="s">
        <v>1440</v>
      </c>
      <c r="D69" s="90" t="s">
        <v>12</v>
      </c>
      <c r="E69" s="79" t="s">
        <v>14</v>
      </c>
      <c r="F69" s="79" t="s">
        <v>71</v>
      </c>
      <c r="G69" s="78" t="s">
        <v>14</v>
      </c>
      <c r="H69" s="121" t="s">
        <v>14</v>
      </c>
      <c r="I69" s="79" t="s">
        <v>14</v>
      </c>
      <c r="J69" s="122">
        <v>7</v>
      </c>
      <c r="K69" s="123">
        <v>0</v>
      </c>
      <c r="L69" s="124">
        <v>0</v>
      </c>
      <c r="M69" s="125">
        <v>0</v>
      </c>
      <c r="N69" s="118">
        <v>97.17</v>
      </c>
      <c r="O69" s="118">
        <v>97.3</v>
      </c>
      <c r="P69" s="119">
        <v>0</v>
      </c>
      <c r="Q69" s="87">
        <f t="shared" si="12"/>
        <v>1</v>
      </c>
      <c r="R69" s="88">
        <f t="shared" si="13"/>
        <v>3</v>
      </c>
      <c r="S69" s="89">
        <f t="shared" si="14"/>
        <v>0</v>
      </c>
      <c r="T69" s="89">
        <f t="shared" si="15"/>
        <v>0</v>
      </c>
      <c r="U69" s="89">
        <f t="shared" si="16"/>
        <v>0</v>
      </c>
      <c r="V69" s="89">
        <f t="shared" si="17"/>
        <v>0</v>
      </c>
      <c r="W69" s="89">
        <f t="shared" si="18"/>
        <v>0</v>
      </c>
      <c r="X69" s="89">
        <f t="shared" si="19"/>
        <v>0</v>
      </c>
      <c r="Y69" s="89">
        <f t="shared" si="20"/>
        <v>0</v>
      </c>
      <c r="Z69" s="89">
        <f t="shared" si="21"/>
        <v>0</v>
      </c>
      <c r="AA69" s="41">
        <f t="shared" si="22"/>
        <v>0</v>
      </c>
      <c r="AB69" s="49"/>
      <c r="AC69" s="50"/>
      <c r="AD69" s="49"/>
      <c r="AE69" s="50"/>
      <c r="AF69" s="49"/>
      <c r="AG69" s="50"/>
      <c r="AH69" s="49"/>
      <c r="AI69" s="50"/>
      <c r="AJ69" s="49"/>
      <c r="AK69" s="50"/>
      <c r="AL69" s="49"/>
      <c r="AM69" s="50"/>
      <c r="AN69" s="49"/>
      <c r="AO69" s="50"/>
      <c r="AP69" s="49"/>
      <c r="AQ69" s="50"/>
      <c r="AR69" s="49"/>
      <c r="AS69" s="50"/>
      <c r="AT69" s="49"/>
      <c r="AU69" s="50"/>
      <c r="AV69" s="49" t="s">
        <v>1</v>
      </c>
      <c r="AW69" s="50" t="s">
        <v>433</v>
      </c>
      <c r="AX69" s="49"/>
      <c r="AY69" s="50"/>
      <c r="AZ69" s="49"/>
      <c r="BA69" s="50"/>
      <c r="BB69" s="49"/>
      <c r="BC69" s="50"/>
      <c r="BD69" s="49"/>
      <c r="BE69" s="50"/>
      <c r="BF69" s="49"/>
      <c r="BG69" s="50"/>
      <c r="BH69" s="49" t="s">
        <v>5</v>
      </c>
      <c r="BI69" s="50" t="s">
        <v>136</v>
      </c>
      <c r="BJ69" s="49"/>
      <c r="BK69" s="50"/>
      <c r="BL69" s="49"/>
      <c r="BM69" s="50"/>
      <c r="BN69" s="49"/>
      <c r="BO69" s="50"/>
      <c r="BP69" s="49"/>
      <c r="BQ69" s="50"/>
      <c r="BR69" s="49"/>
      <c r="BS69" s="50"/>
      <c r="BT69" s="49" t="s">
        <v>5</v>
      </c>
      <c r="BU69" s="50" t="s">
        <v>109</v>
      </c>
      <c r="BV69" s="49"/>
      <c r="BW69" s="50"/>
      <c r="BX69" s="49" t="s">
        <v>5</v>
      </c>
      <c r="BY69" s="50" t="s">
        <v>425</v>
      </c>
      <c r="BZ69" s="49"/>
      <c r="CA69" s="50"/>
      <c r="CB69" s="49"/>
      <c r="CC69" s="50"/>
    </row>
    <row r="70" spans="1:81" s="120" customFormat="1" ht="14.25" customHeight="1" x14ac:dyDescent="0.25">
      <c r="A70" s="79">
        <v>160016</v>
      </c>
      <c r="B70" s="77" t="s">
        <v>1482</v>
      </c>
      <c r="C70" s="98" t="s">
        <v>1414</v>
      </c>
      <c r="D70" s="90" t="s">
        <v>12</v>
      </c>
      <c r="E70" s="79" t="s">
        <v>14</v>
      </c>
      <c r="F70" s="79" t="s">
        <v>71</v>
      </c>
      <c r="G70" s="78" t="s">
        <v>14</v>
      </c>
      <c r="H70" s="121" t="s">
        <v>14</v>
      </c>
      <c r="I70" s="79" t="s">
        <v>14</v>
      </c>
      <c r="J70" s="122">
        <v>3.9</v>
      </c>
      <c r="K70" s="123">
        <v>0</v>
      </c>
      <c r="L70" s="124">
        <v>0</v>
      </c>
      <c r="M70" s="125">
        <v>0</v>
      </c>
      <c r="N70" s="118">
        <v>100</v>
      </c>
      <c r="O70" s="118"/>
      <c r="P70" s="119">
        <v>0</v>
      </c>
      <c r="Q70" s="87">
        <f t="shared" si="12"/>
        <v>0</v>
      </c>
      <c r="R70" s="88">
        <f t="shared" si="13"/>
        <v>0</v>
      </c>
      <c r="S70" s="89">
        <f t="shared" si="14"/>
        <v>0</v>
      </c>
      <c r="T70" s="89">
        <f t="shared" si="15"/>
        <v>0</v>
      </c>
      <c r="U70" s="89">
        <f t="shared" si="16"/>
        <v>0</v>
      </c>
      <c r="V70" s="89">
        <f t="shared" si="17"/>
        <v>0</v>
      </c>
      <c r="W70" s="89">
        <f t="shared" si="18"/>
        <v>0</v>
      </c>
      <c r="X70" s="89">
        <f t="shared" si="19"/>
        <v>0</v>
      </c>
      <c r="Y70" s="89">
        <f t="shared" si="20"/>
        <v>0</v>
      </c>
      <c r="Z70" s="89">
        <f t="shared" si="21"/>
        <v>0</v>
      </c>
      <c r="AA70" s="41">
        <f t="shared" si="22"/>
        <v>0</v>
      </c>
      <c r="AB70" s="49"/>
      <c r="AC70" s="50"/>
      <c r="AD70" s="49"/>
      <c r="AE70" s="50"/>
      <c r="AF70" s="49"/>
      <c r="AG70" s="50"/>
      <c r="AH70" s="49"/>
      <c r="AI70" s="50"/>
      <c r="AJ70" s="49"/>
      <c r="AK70" s="50"/>
      <c r="AL70" s="49"/>
      <c r="AM70" s="50"/>
      <c r="AN70" s="49"/>
      <c r="AO70" s="50"/>
      <c r="AP70" s="49"/>
      <c r="AQ70" s="50"/>
      <c r="AR70" s="49"/>
      <c r="AS70" s="50"/>
      <c r="AT70" s="49"/>
      <c r="AU70" s="50"/>
      <c r="AV70" s="49"/>
      <c r="AW70" s="50" t="s">
        <v>1855</v>
      </c>
      <c r="AX70" s="49"/>
      <c r="AY70" s="50"/>
      <c r="AZ70" s="49"/>
      <c r="BA70" s="50"/>
      <c r="BB70" s="49"/>
      <c r="BC70" s="50"/>
      <c r="BD70" s="49"/>
      <c r="BE70" s="50"/>
      <c r="BF70" s="49"/>
      <c r="BG70" s="50"/>
      <c r="BH70" s="49"/>
      <c r="BI70" s="50"/>
      <c r="BJ70" s="49"/>
      <c r="BK70" s="50"/>
      <c r="BL70" s="49"/>
      <c r="BM70" s="50"/>
      <c r="BN70" s="49"/>
      <c r="BO70" s="50"/>
      <c r="BP70" s="49"/>
      <c r="BQ70" s="50"/>
      <c r="BR70" s="49"/>
      <c r="BS70" s="50"/>
      <c r="BT70" s="49"/>
      <c r="BU70" s="50"/>
      <c r="BV70" s="49"/>
      <c r="BW70" s="50"/>
      <c r="BX70" s="49"/>
      <c r="BY70" s="50"/>
      <c r="BZ70" s="49"/>
      <c r="CA70" s="50"/>
      <c r="CB70" s="49"/>
      <c r="CC70" s="50"/>
    </row>
    <row r="71" spans="1:81" s="120" customFormat="1" ht="14.25" customHeight="1" x14ac:dyDescent="0.25">
      <c r="A71" s="79">
        <v>152202</v>
      </c>
      <c r="B71" s="77" t="s">
        <v>1483</v>
      </c>
      <c r="C71" s="98" t="s">
        <v>1435</v>
      </c>
      <c r="D71" s="90" t="s">
        <v>70</v>
      </c>
      <c r="E71" s="79" t="s">
        <v>14</v>
      </c>
      <c r="F71" s="79" t="s">
        <v>88</v>
      </c>
      <c r="G71" s="78" t="s">
        <v>14</v>
      </c>
      <c r="H71" s="121" t="s">
        <v>14</v>
      </c>
      <c r="I71" s="79" t="s">
        <v>14</v>
      </c>
      <c r="J71" s="122">
        <v>7.4</v>
      </c>
      <c r="K71" s="123">
        <v>0</v>
      </c>
      <c r="L71" s="124">
        <v>0</v>
      </c>
      <c r="M71" s="125">
        <v>0</v>
      </c>
      <c r="N71" s="118">
        <v>84.96</v>
      </c>
      <c r="O71" s="118">
        <v>84.21</v>
      </c>
      <c r="P71" s="119">
        <v>1</v>
      </c>
      <c r="Q71" s="87">
        <f t="shared" si="12"/>
        <v>0</v>
      </c>
      <c r="R71" s="88">
        <f t="shared" si="13"/>
        <v>3</v>
      </c>
      <c r="S71" s="89">
        <f t="shared" si="14"/>
        <v>0</v>
      </c>
      <c r="T71" s="89">
        <f t="shared" si="15"/>
        <v>0</v>
      </c>
      <c r="U71" s="89">
        <f t="shared" si="16"/>
        <v>1</v>
      </c>
      <c r="V71" s="89">
        <f t="shared" si="17"/>
        <v>1</v>
      </c>
      <c r="W71" s="89">
        <f t="shared" si="18"/>
        <v>0</v>
      </c>
      <c r="X71" s="89">
        <f t="shared" si="19"/>
        <v>0</v>
      </c>
      <c r="Y71" s="89">
        <f t="shared" si="20"/>
        <v>0</v>
      </c>
      <c r="Z71" s="89">
        <f t="shared" si="21"/>
        <v>0</v>
      </c>
      <c r="AA71" s="41">
        <f t="shared" si="22"/>
        <v>0</v>
      </c>
      <c r="AB71" s="49"/>
      <c r="AC71" s="50"/>
      <c r="AD71" s="49"/>
      <c r="AE71" s="50"/>
      <c r="AF71" s="49"/>
      <c r="AG71" s="50"/>
      <c r="AH71" s="49"/>
      <c r="AI71" s="50"/>
      <c r="AJ71" s="49"/>
      <c r="AK71" s="50"/>
      <c r="AL71" s="49"/>
      <c r="AM71" s="50"/>
      <c r="AN71" s="49"/>
      <c r="AO71" s="50"/>
      <c r="AP71" s="49"/>
      <c r="AQ71" s="50"/>
      <c r="AR71" s="49" t="s">
        <v>32</v>
      </c>
      <c r="AS71" s="50" t="s">
        <v>459</v>
      </c>
      <c r="AT71" s="49" t="s">
        <v>5</v>
      </c>
      <c r="AU71" s="50" t="s">
        <v>151</v>
      </c>
      <c r="AV71" s="49" t="s">
        <v>5</v>
      </c>
      <c r="AW71" s="50" t="s">
        <v>457</v>
      </c>
      <c r="AX71" s="49"/>
      <c r="AY71" s="50"/>
      <c r="AZ71" s="49"/>
      <c r="BA71" s="50"/>
      <c r="BB71" s="49"/>
      <c r="BC71" s="50"/>
      <c r="BD71" s="49"/>
      <c r="BE71" s="50"/>
      <c r="BF71" s="49"/>
      <c r="BG71" s="50"/>
      <c r="BH71" s="49"/>
      <c r="BI71" s="50"/>
      <c r="BJ71" s="49"/>
      <c r="BK71" s="50"/>
      <c r="BL71" s="49"/>
      <c r="BM71" s="50"/>
      <c r="BN71" s="49"/>
      <c r="BO71" s="50"/>
      <c r="BP71" s="49"/>
      <c r="BQ71" s="50"/>
      <c r="BR71" s="49"/>
      <c r="BS71" s="50"/>
      <c r="BT71" s="49"/>
      <c r="BU71" s="50"/>
      <c r="BV71" s="49"/>
      <c r="BW71" s="50"/>
      <c r="BX71" s="49"/>
      <c r="BY71" s="50"/>
      <c r="BZ71" s="49" t="s">
        <v>5</v>
      </c>
      <c r="CA71" s="50" t="s">
        <v>420</v>
      </c>
      <c r="CB71" s="49"/>
      <c r="CC71" s="50"/>
    </row>
    <row r="72" spans="1:81" s="120" customFormat="1" ht="14.25" customHeight="1" x14ac:dyDescent="0.25">
      <c r="A72" s="79">
        <v>150448</v>
      </c>
      <c r="B72" s="77" t="s">
        <v>1484</v>
      </c>
      <c r="C72" s="98" t="s">
        <v>1405</v>
      </c>
      <c r="D72" s="90" t="s">
        <v>70</v>
      </c>
      <c r="E72" s="79" t="s">
        <v>14</v>
      </c>
      <c r="F72" s="79" t="s">
        <v>184</v>
      </c>
      <c r="G72" s="78" t="s">
        <v>14</v>
      </c>
      <c r="H72" s="121" t="s">
        <v>14</v>
      </c>
      <c r="I72" s="79" t="s">
        <v>14</v>
      </c>
      <c r="J72" s="122">
        <v>7.9</v>
      </c>
      <c r="K72" s="123">
        <v>1</v>
      </c>
      <c r="L72" s="124">
        <v>0</v>
      </c>
      <c r="M72" s="125">
        <v>0</v>
      </c>
      <c r="N72" s="118">
        <v>94.5</v>
      </c>
      <c r="O72" s="118">
        <v>94.44</v>
      </c>
      <c r="P72" s="119">
        <v>0</v>
      </c>
      <c r="Q72" s="87">
        <f t="shared" si="12"/>
        <v>2</v>
      </c>
      <c r="R72" s="88">
        <f t="shared" si="13"/>
        <v>2</v>
      </c>
      <c r="S72" s="89">
        <f t="shared" si="14"/>
        <v>0</v>
      </c>
      <c r="T72" s="89">
        <f t="shared" si="15"/>
        <v>0</v>
      </c>
      <c r="U72" s="89">
        <f t="shared" si="16"/>
        <v>0</v>
      </c>
      <c r="V72" s="89">
        <f t="shared" si="17"/>
        <v>0</v>
      </c>
      <c r="W72" s="89">
        <f t="shared" si="18"/>
        <v>0</v>
      </c>
      <c r="X72" s="89">
        <f t="shared" si="19"/>
        <v>0</v>
      </c>
      <c r="Y72" s="89">
        <f t="shared" si="20"/>
        <v>0</v>
      </c>
      <c r="Z72" s="89">
        <f t="shared" si="21"/>
        <v>0</v>
      </c>
      <c r="AA72" s="41">
        <f t="shared" si="22"/>
        <v>0</v>
      </c>
      <c r="AB72" s="49"/>
      <c r="AC72" s="50"/>
      <c r="AD72" s="49" t="s">
        <v>1</v>
      </c>
      <c r="AE72" s="50" t="s">
        <v>433</v>
      </c>
      <c r="AF72" s="49"/>
      <c r="AG72" s="50"/>
      <c r="AH72" s="49" t="s">
        <v>5</v>
      </c>
      <c r="AI72" s="50" t="s">
        <v>206</v>
      </c>
      <c r="AJ72" s="49"/>
      <c r="AK72" s="50"/>
      <c r="AL72" s="49"/>
      <c r="AM72" s="50"/>
      <c r="AN72" s="49"/>
      <c r="AO72" s="50"/>
      <c r="AP72" s="49" t="s">
        <v>5</v>
      </c>
      <c r="AQ72" s="50" t="s">
        <v>428</v>
      </c>
      <c r="AR72" s="49"/>
      <c r="AS72" s="50"/>
      <c r="AT72" s="49"/>
      <c r="AU72" s="50"/>
      <c r="AV72" s="49" t="s">
        <v>1</v>
      </c>
      <c r="AW72" s="50" t="s">
        <v>476</v>
      </c>
      <c r="AX72" s="49"/>
      <c r="AY72" s="50"/>
      <c r="AZ72" s="49"/>
      <c r="BA72" s="50"/>
      <c r="BB72" s="49"/>
      <c r="BC72" s="50"/>
      <c r="BD72" s="49"/>
      <c r="BE72" s="50"/>
      <c r="BF72" s="49"/>
      <c r="BG72" s="50"/>
      <c r="BH72" s="49"/>
      <c r="BI72" s="50"/>
      <c r="BJ72" s="49"/>
      <c r="BK72" s="50"/>
      <c r="BL72" s="49"/>
      <c r="BM72" s="50"/>
      <c r="BN72" s="49"/>
      <c r="BO72" s="50"/>
      <c r="BP72" s="49"/>
      <c r="BQ72" s="50"/>
      <c r="BR72" s="49"/>
      <c r="BS72" s="50"/>
      <c r="BT72" s="49"/>
      <c r="BU72" s="50"/>
      <c r="BV72" s="49"/>
      <c r="BW72" s="50"/>
      <c r="BX72" s="49"/>
      <c r="BY72" s="50"/>
      <c r="BZ72" s="49"/>
      <c r="CA72" s="50"/>
      <c r="CB72" s="49"/>
      <c r="CC72" s="50"/>
    </row>
    <row r="73" spans="1:81" s="120" customFormat="1" ht="14.25" customHeight="1" x14ac:dyDescent="0.25">
      <c r="A73" s="79">
        <v>152722</v>
      </c>
      <c r="B73" s="77" t="s">
        <v>1485</v>
      </c>
      <c r="C73" s="98" t="s">
        <v>1410</v>
      </c>
      <c r="D73" s="90" t="s">
        <v>70</v>
      </c>
      <c r="E73" s="79" t="s">
        <v>14</v>
      </c>
      <c r="F73" s="79" t="s">
        <v>184</v>
      </c>
      <c r="G73" s="78" t="s">
        <v>14</v>
      </c>
      <c r="H73" s="121" t="s">
        <v>14</v>
      </c>
      <c r="I73" s="79" t="s">
        <v>14</v>
      </c>
      <c r="J73" s="122">
        <v>5.0999999999999996</v>
      </c>
      <c r="K73" s="123">
        <v>2</v>
      </c>
      <c r="L73" s="124">
        <v>0</v>
      </c>
      <c r="M73" s="125">
        <v>0</v>
      </c>
      <c r="N73" s="118">
        <v>65.569999999999993</v>
      </c>
      <c r="O73" s="118">
        <v>64.290000000000006</v>
      </c>
      <c r="P73" s="119">
        <v>1</v>
      </c>
      <c r="Q73" s="87">
        <f t="shared" si="12"/>
        <v>0</v>
      </c>
      <c r="R73" s="88">
        <f t="shared" si="13"/>
        <v>3</v>
      </c>
      <c r="S73" s="89">
        <f t="shared" si="14"/>
        <v>1</v>
      </c>
      <c r="T73" s="89">
        <f t="shared" si="15"/>
        <v>0</v>
      </c>
      <c r="U73" s="89">
        <f t="shared" si="16"/>
        <v>0</v>
      </c>
      <c r="V73" s="89">
        <f t="shared" si="17"/>
        <v>1</v>
      </c>
      <c r="W73" s="89">
        <f t="shared" si="18"/>
        <v>0</v>
      </c>
      <c r="X73" s="89">
        <f t="shared" si="19"/>
        <v>0</v>
      </c>
      <c r="Y73" s="89">
        <f t="shared" si="20"/>
        <v>0</v>
      </c>
      <c r="Z73" s="89">
        <f t="shared" si="21"/>
        <v>0</v>
      </c>
      <c r="AA73" s="41">
        <f t="shared" si="22"/>
        <v>0</v>
      </c>
      <c r="AB73" s="49"/>
      <c r="AC73" s="50"/>
      <c r="AD73" s="49"/>
      <c r="AE73" s="50"/>
      <c r="AF73" s="49" t="s">
        <v>5</v>
      </c>
      <c r="AG73" s="50" t="s">
        <v>427</v>
      </c>
      <c r="AH73" s="49"/>
      <c r="AI73" s="50"/>
      <c r="AJ73" s="49"/>
      <c r="AK73" s="50"/>
      <c r="AL73" s="49"/>
      <c r="AM73" s="50"/>
      <c r="AN73" s="49"/>
      <c r="AO73" s="50"/>
      <c r="AP73" s="49"/>
      <c r="AQ73" s="50"/>
      <c r="AR73" s="49"/>
      <c r="AS73" s="50"/>
      <c r="AT73" s="49"/>
      <c r="AU73" s="50"/>
      <c r="AV73" s="49" t="s">
        <v>5</v>
      </c>
      <c r="AW73" s="50" t="s">
        <v>505</v>
      </c>
      <c r="AX73" s="49"/>
      <c r="AY73" s="50"/>
      <c r="AZ73" s="49"/>
      <c r="BA73" s="50"/>
      <c r="BB73" s="49"/>
      <c r="BC73" s="50"/>
      <c r="BD73" s="49" t="s">
        <v>5</v>
      </c>
      <c r="BE73" s="50" t="s">
        <v>436</v>
      </c>
      <c r="BF73" s="49"/>
      <c r="BG73" s="50"/>
      <c r="BH73" s="49"/>
      <c r="BI73" s="50"/>
      <c r="BJ73" s="49"/>
      <c r="BK73" s="50"/>
      <c r="BL73" s="49"/>
      <c r="BM73" s="50"/>
      <c r="BN73" s="49"/>
      <c r="BO73" s="50"/>
      <c r="BP73" s="49"/>
      <c r="BQ73" s="50"/>
      <c r="BR73" s="49"/>
      <c r="BS73" s="50"/>
      <c r="BT73" s="49"/>
      <c r="BU73" s="50"/>
      <c r="BV73" s="49"/>
      <c r="BW73" s="50"/>
      <c r="BX73" s="49" t="s">
        <v>30</v>
      </c>
      <c r="BY73" s="50" t="s">
        <v>425</v>
      </c>
      <c r="BZ73" s="49"/>
      <c r="CA73" s="50"/>
      <c r="CB73" s="49"/>
      <c r="CC73" s="50"/>
    </row>
    <row r="74" spans="1:81" s="120" customFormat="1" ht="14.25" customHeight="1" x14ac:dyDescent="0.25">
      <c r="A74" s="79">
        <v>150535</v>
      </c>
      <c r="B74" s="77" t="s">
        <v>1486</v>
      </c>
      <c r="C74" s="98" t="s">
        <v>1410</v>
      </c>
      <c r="D74" s="90" t="s">
        <v>12</v>
      </c>
      <c r="E74" s="79" t="s">
        <v>14</v>
      </c>
      <c r="F74" s="79" t="s">
        <v>71</v>
      </c>
      <c r="G74" s="78" t="s">
        <v>14</v>
      </c>
      <c r="H74" s="121" t="s">
        <v>14</v>
      </c>
      <c r="I74" s="79" t="s">
        <v>14</v>
      </c>
      <c r="J74" s="122">
        <v>4.4000000000000004</v>
      </c>
      <c r="K74" s="123">
        <v>2</v>
      </c>
      <c r="L74" s="124">
        <v>0</v>
      </c>
      <c r="M74" s="125">
        <v>0</v>
      </c>
      <c r="N74" s="118">
        <v>86.21</v>
      </c>
      <c r="O74" s="118">
        <v>80</v>
      </c>
      <c r="P74" s="119">
        <v>1</v>
      </c>
      <c r="Q74" s="87">
        <f t="shared" si="12"/>
        <v>0</v>
      </c>
      <c r="R74" s="88">
        <f t="shared" si="13"/>
        <v>4</v>
      </c>
      <c r="S74" s="89">
        <f t="shared" si="14"/>
        <v>0</v>
      </c>
      <c r="T74" s="89">
        <f t="shared" si="15"/>
        <v>0</v>
      </c>
      <c r="U74" s="89">
        <f t="shared" si="16"/>
        <v>0</v>
      </c>
      <c r="V74" s="89">
        <f t="shared" si="17"/>
        <v>0</v>
      </c>
      <c r="W74" s="89">
        <f t="shared" si="18"/>
        <v>0</v>
      </c>
      <c r="X74" s="89">
        <f t="shared" si="19"/>
        <v>0</v>
      </c>
      <c r="Y74" s="89">
        <f t="shared" si="20"/>
        <v>0</v>
      </c>
      <c r="Z74" s="89">
        <f t="shared" si="21"/>
        <v>0</v>
      </c>
      <c r="AA74" s="41">
        <f t="shared" si="22"/>
        <v>0</v>
      </c>
      <c r="AB74" s="49"/>
      <c r="AC74" s="50"/>
      <c r="AD74" s="49"/>
      <c r="AE74" s="50"/>
      <c r="AF74" s="49" t="s">
        <v>5</v>
      </c>
      <c r="AG74" s="50" t="s">
        <v>427</v>
      </c>
      <c r="AH74" s="49"/>
      <c r="AI74" s="50"/>
      <c r="AJ74" s="49"/>
      <c r="AK74" s="50"/>
      <c r="AL74" s="49"/>
      <c r="AM74" s="50"/>
      <c r="AN74" s="49"/>
      <c r="AO74" s="50"/>
      <c r="AP74" s="49" t="s">
        <v>5</v>
      </c>
      <c r="AQ74" s="50" t="s">
        <v>428</v>
      </c>
      <c r="AR74" s="49"/>
      <c r="AS74" s="50"/>
      <c r="AT74" s="49"/>
      <c r="AU74" s="50"/>
      <c r="AV74" s="49" t="s">
        <v>5</v>
      </c>
      <c r="AW74" s="50" t="s">
        <v>457</v>
      </c>
      <c r="AX74" s="49"/>
      <c r="AY74" s="50"/>
      <c r="AZ74" s="49"/>
      <c r="BA74" s="50"/>
      <c r="BB74" s="49"/>
      <c r="BC74" s="50"/>
      <c r="BD74" s="49"/>
      <c r="BE74" s="50"/>
      <c r="BF74" s="49"/>
      <c r="BG74" s="50"/>
      <c r="BH74" s="49" t="s">
        <v>5</v>
      </c>
      <c r="BI74" s="50" t="s">
        <v>139</v>
      </c>
      <c r="BJ74" s="49"/>
      <c r="BK74" s="50"/>
      <c r="BL74" s="49"/>
      <c r="BM74" s="50"/>
      <c r="BN74" s="49"/>
      <c r="BO74" s="50"/>
      <c r="BP74" s="49"/>
      <c r="BQ74" s="50"/>
      <c r="BR74" s="49"/>
      <c r="BS74" s="50"/>
      <c r="BT74" s="49"/>
      <c r="BU74" s="50"/>
      <c r="BV74" s="49"/>
      <c r="BW74" s="50"/>
      <c r="BX74" s="49"/>
      <c r="BY74" s="50"/>
      <c r="BZ74" s="49"/>
      <c r="CA74" s="50"/>
      <c r="CB74" s="49"/>
      <c r="CC74" s="50"/>
    </row>
    <row r="75" spans="1:81" s="120" customFormat="1" ht="14.25" customHeight="1" x14ac:dyDescent="0.25">
      <c r="A75" s="79">
        <v>150602</v>
      </c>
      <c r="B75" s="77" t="s">
        <v>1487</v>
      </c>
      <c r="C75" s="98" t="s">
        <v>1408</v>
      </c>
      <c r="D75" s="90" t="s">
        <v>12</v>
      </c>
      <c r="E75" s="79" t="s">
        <v>14</v>
      </c>
      <c r="F75" s="79" t="s">
        <v>71</v>
      </c>
      <c r="G75" s="78" t="s">
        <v>14</v>
      </c>
      <c r="H75" s="121" t="s">
        <v>14</v>
      </c>
      <c r="I75" s="79" t="s">
        <v>14</v>
      </c>
      <c r="J75" s="122">
        <v>6.8</v>
      </c>
      <c r="K75" s="123">
        <v>1</v>
      </c>
      <c r="L75" s="124">
        <v>0</v>
      </c>
      <c r="M75" s="125">
        <v>0</v>
      </c>
      <c r="N75" s="118">
        <v>76.64</v>
      </c>
      <c r="O75" s="118">
        <v>72.97</v>
      </c>
      <c r="P75" s="119">
        <v>0</v>
      </c>
      <c r="Q75" s="87">
        <f t="shared" si="12"/>
        <v>0</v>
      </c>
      <c r="R75" s="88">
        <f t="shared" si="13"/>
        <v>4</v>
      </c>
      <c r="S75" s="89">
        <f t="shared" si="14"/>
        <v>0</v>
      </c>
      <c r="T75" s="89">
        <f t="shared" si="15"/>
        <v>0</v>
      </c>
      <c r="U75" s="89">
        <f t="shared" si="16"/>
        <v>0</v>
      </c>
      <c r="V75" s="89">
        <f t="shared" si="17"/>
        <v>0</v>
      </c>
      <c r="W75" s="89">
        <f t="shared" si="18"/>
        <v>0</v>
      </c>
      <c r="X75" s="89">
        <f t="shared" si="19"/>
        <v>0</v>
      </c>
      <c r="Y75" s="89">
        <f t="shared" si="20"/>
        <v>0</v>
      </c>
      <c r="Z75" s="89">
        <f t="shared" si="21"/>
        <v>0</v>
      </c>
      <c r="AA75" s="41">
        <f t="shared" si="22"/>
        <v>0</v>
      </c>
      <c r="AB75" s="49" t="s">
        <v>5</v>
      </c>
      <c r="AC75" s="50" t="s">
        <v>72</v>
      </c>
      <c r="AD75" s="49"/>
      <c r="AE75" s="50"/>
      <c r="AF75" s="49"/>
      <c r="AG75" s="50"/>
      <c r="AH75" s="49"/>
      <c r="AI75" s="50"/>
      <c r="AJ75" s="49"/>
      <c r="AK75" s="50"/>
      <c r="AL75" s="49"/>
      <c r="AM75" s="50"/>
      <c r="AN75" s="49"/>
      <c r="AO75" s="50"/>
      <c r="AP75" s="49"/>
      <c r="AQ75" s="50"/>
      <c r="AR75" s="49"/>
      <c r="AS75" s="50"/>
      <c r="AT75" s="49" t="s">
        <v>5</v>
      </c>
      <c r="AU75" s="50" t="s">
        <v>448</v>
      </c>
      <c r="AV75" s="49" t="s">
        <v>5</v>
      </c>
      <c r="AW75" s="50" t="s">
        <v>421</v>
      </c>
      <c r="AX75" s="49"/>
      <c r="AY75" s="50"/>
      <c r="AZ75" s="49"/>
      <c r="BA75" s="50"/>
      <c r="BB75" s="49"/>
      <c r="BC75" s="50"/>
      <c r="BD75" s="49"/>
      <c r="BE75" s="50"/>
      <c r="BF75" s="49"/>
      <c r="BG75" s="50"/>
      <c r="BH75" s="49" t="s">
        <v>5</v>
      </c>
      <c r="BI75" s="50" t="s">
        <v>136</v>
      </c>
      <c r="BJ75" s="49"/>
      <c r="BK75" s="50"/>
      <c r="BL75" s="49"/>
      <c r="BM75" s="50"/>
      <c r="BN75" s="49"/>
      <c r="BO75" s="50"/>
      <c r="BP75" s="49"/>
      <c r="BQ75" s="50"/>
      <c r="BR75" s="49"/>
      <c r="BS75" s="50"/>
      <c r="BT75" s="49"/>
      <c r="BU75" s="50"/>
      <c r="BV75" s="49"/>
      <c r="BW75" s="50"/>
      <c r="BX75" s="49"/>
      <c r="BY75" s="50"/>
      <c r="BZ75" s="49"/>
      <c r="CA75" s="50"/>
      <c r="CB75" s="49"/>
      <c r="CC75" s="50"/>
    </row>
    <row r="76" spans="1:81" s="120" customFormat="1" ht="14.25" customHeight="1" x14ac:dyDescent="0.25">
      <c r="A76" s="79">
        <v>150515</v>
      </c>
      <c r="B76" s="77" t="s">
        <v>1488</v>
      </c>
      <c r="C76" s="98" t="s">
        <v>1419</v>
      </c>
      <c r="D76" s="90" t="s">
        <v>12</v>
      </c>
      <c r="E76" s="79" t="s">
        <v>14</v>
      </c>
      <c r="F76" s="79" t="s">
        <v>455</v>
      </c>
      <c r="G76" s="78" t="s">
        <v>14</v>
      </c>
      <c r="H76" s="121" t="s">
        <v>14</v>
      </c>
      <c r="I76" s="79" t="s">
        <v>14</v>
      </c>
      <c r="J76" s="122">
        <v>6</v>
      </c>
      <c r="K76" s="123">
        <v>0</v>
      </c>
      <c r="L76" s="124">
        <v>0</v>
      </c>
      <c r="M76" s="125">
        <v>0</v>
      </c>
      <c r="N76" s="118">
        <v>92.66</v>
      </c>
      <c r="O76" s="118">
        <v>77.78</v>
      </c>
      <c r="P76" s="119">
        <v>12</v>
      </c>
      <c r="Q76" s="87">
        <f t="shared" si="12"/>
        <v>0</v>
      </c>
      <c r="R76" s="88">
        <f t="shared" si="13"/>
        <v>3</v>
      </c>
      <c r="S76" s="89">
        <f t="shared" si="14"/>
        <v>0</v>
      </c>
      <c r="T76" s="89">
        <f t="shared" si="15"/>
        <v>0</v>
      </c>
      <c r="U76" s="89">
        <f t="shared" si="16"/>
        <v>1</v>
      </c>
      <c r="V76" s="89">
        <f t="shared" si="17"/>
        <v>1</v>
      </c>
      <c r="W76" s="89">
        <f t="shared" si="18"/>
        <v>0</v>
      </c>
      <c r="X76" s="89">
        <f t="shared" si="19"/>
        <v>0</v>
      </c>
      <c r="Y76" s="89">
        <f t="shared" si="20"/>
        <v>0</v>
      </c>
      <c r="Z76" s="89">
        <f t="shared" si="21"/>
        <v>0</v>
      </c>
      <c r="AA76" s="41">
        <f t="shared" si="22"/>
        <v>0</v>
      </c>
      <c r="AB76" s="49"/>
      <c r="AC76" s="50"/>
      <c r="AD76" s="49"/>
      <c r="AE76" s="50"/>
      <c r="AF76" s="49"/>
      <c r="AG76" s="50"/>
      <c r="AH76" s="49" t="s">
        <v>5</v>
      </c>
      <c r="AI76" s="50" t="s">
        <v>206</v>
      </c>
      <c r="AJ76" s="49" t="s">
        <v>5</v>
      </c>
      <c r="AK76" s="50" t="s">
        <v>163</v>
      </c>
      <c r="AL76" s="49"/>
      <c r="AM76" s="50"/>
      <c r="AN76" s="49"/>
      <c r="AO76" s="50"/>
      <c r="AP76" s="49"/>
      <c r="AQ76" s="50"/>
      <c r="AR76" s="49"/>
      <c r="AS76" s="50"/>
      <c r="AT76" s="49"/>
      <c r="AU76" s="50"/>
      <c r="AV76" s="49" t="s">
        <v>32</v>
      </c>
      <c r="AW76" s="50" t="s">
        <v>476</v>
      </c>
      <c r="AX76" s="49"/>
      <c r="AY76" s="50"/>
      <c r="AZ76" s="49"/>
      <c r="BA76" s="50"/>
      <c r="BB76" s="49"/>
      <c r="BC76" s="50"/>
      <c r="BD76" s="49"/>
      <c r="BE76" s="50"/>
      <c r="BF76" s="49"/>
      <c r="BG76" s="50"/>
      <c r="BH76" s="49"/>
      <c r="BI76" s="50"/>
      <c r="BJ76" s="49"/>
      <c r="BK76" s="50"/>
      <c r="BL76" s="49"/>
      <c r="BM76" s="50"/>
      <c r="BN76" s="49"/>
      <c r="BO76" s="50"/>
      <c r="BP76" s="49"/>
      <c r="BQ76" s="50"/>
      <c r="BR76" s="49"/>
      <c r="BS76" s="50"/>
      <c r="BT76" s="49" t="s">
        <v>5</v>
      </c>
      <c r="BU76" s="50" t="s">
        <v>98</v>
      </c>
      <c r="BV76" s="49"/>
      <c r="BW76" s="50"/>
      <c r="BX76" s="49"/>
      <c r="BY76" s="50"/>
      <c r="BZ76" s="49"/>
      <c r="CA76" s="50"/>
      <c r="CB76" s="49"/>
      <c r="CC76" s="50"/>
    </row>
    <row r="77" spans="1:81" s="120" customFormat="1" ht="14.25" customHeight="1" x14ac:dyDescent="0.25">
      <c r="A77" s="79">
        <v>150504</v>
      </c>
      <c r="B77" s="77" t="s">
        <v>1489</v>
      </c>
      <c r="C77" s="98" t="s">
        <v>1408</v>
      </c>
      <c r="D77" s="90" t="s">
        <v>12</v>
      </c>
      <c r="E77" s="79" t="s">
        <v>14</v>
      </c>
      <c r="F77" s="79" t="s">
        <v>71</v>
      </c>
      <c r="G77" s="78" t="s">
        <v>14</v>
      </c>
      <c r="H77" s="121" t="s">
        <v>14</v>
      </c>
      <c r="I77" s="79" t="s">
        <v>14</v>
      </c>
      <c r="J77" s="122">
        <v>5.4</v>
      </c>
      <c r="K77" s="123">
        <v>2</v>
      </c>
      <c r="L77" s="124">
        <v>0</v>
      </c>
      <c r="M77" s="125">
        <v>0</v>
      </c>
      <c r="N77" s="118">
        <v>96.23</v>
      </c>
      <c r="O77" s="118">
        <v>97.37</v>
      </c>
      <c r="P77" s="119">
        <v>2</v>
      </c>
      <c r="Q77" s="87">
        <f t="shared" si="12"/>
        <v>0</v>
      </c>
      <c r="R77" s="88">
        <f t="shared" si="13"/>
        <v>4</v>
      </c>
      <c r="S77" s="89">
        <f t="shared" si="14"/>
        <v>0</v>
      </c>
      <c r="T77" s="89">
        <f t="shared" si="15"/>
        <v>0</v>
      </c>
      <c r="U77" s="89">
        <f t="shared" si="16"/>
        <v>0</v>
      </c>
      <c r="V77" s="89">
        <f t="shared" si="17"/>
        <v>0</v>
      </c>
      <c r="W77" s="89">
        <f t="shared" si="18"/>
        <v>0</v>
      </c>
      <c r="X77" s="89">
        <f t="shared" si="19"/>
        <v>0</v>
      </c>
      <c r="Y77" s="89">
        <f t="shared" si="20"/>
        <v>0</v>
      </c>
      <c r="Z77" s="89">
        <f t="shared" si="21"/>
        <v>0</v>
      </c>
      <c r="AA77" s="41">
        <f t="shared" si="22"/>
        <v>0</v>
      </c>
      <c r="AB77" s="49"/>
      <c r="AC77" s="50"/>
      <c r="AD77" s="49"/>
      <c r="AE77" s="50"/>
      <c r="AF77" s="49" t="s">
        <v>5</v>
      </c>
      <c r="AG77" s="50" t="s">
        <v>427</v>
      </c>
      <c r="AH77" s="49"/>
      <c r="AI77" s="50"/>
      <c r="AJ77" s="49"/>
      <c r="AK77" s="50"/>
      <c r="AL77" s="49"/>
      <c r="AM77" s="50"/>
      <c r="AN77" s="49"/>
      <c r="AO77" s="50"/>
      <c r="AP77" s="49" t="s">
        <v>5</v>
      </c>
      <c r="AQ77" s="50" t="s">
        <v>428</v>
      </c>
      <c r="AR77" s="49"/>
      <c r="AS77" s="50"/>
      <c r="AT77" s="49"/>
      <c r="AU77" s="50"/>
      <c r="AV77" s="49" t="s">
        <v>5</v>
      </c>
      <c r="AW77" s="50" t="s">
        <v>421</v>
      </c>
      <c r="AX77" s="49"/>
      <c r="AY77" s="50"/>
      <c r="AZ77" s="49"/>
      <c r="BA77" s="50"/>
      <c r="BB77" s="49"/>
      <c r="BC77" s="50"/>
      <c r="BD77" s="49"/>
      <c r="BE77" s="50"/>
      <c r="BF77" s="49"/>
      <c r="BG77" s="50"/>
      <c r="BH77" s="49"/>
      <c r="BI77" s="50"/>
      <c r="BJ77" s="49"/>
      <c r="BK77" s="50"/>
      <c r="BL77" s="49"/>
      <c r="BM77" s="50"/>
      <c r="BN77" s="49"/>
      <c r="BO77" s="50"/>
      <c r="BP77" s="49"/>
      <c r="BQ77" s="50"/>
      <c r="BR77" s="49" t="s">
        <v>5</v>
      </c>
      <c r="BS77" s="50" t="s">
        <v>81</v>
      </c>
      <c r="BT77" s="49"/>
      <c r="BU77" s="50"/>
      <c r="BV77" s="49"/>
      <c r="BW77" s="50"/>
      <c r="BX77" s="49"/>
      <c r="BY77" s="50"/>
      <c r="BZ77" s="49"/>
      <c r="CA77" s="50"/>
      <c r="CB77" s="49"/>
      <c r="CC77" s="50"/>
    </row>
    <row r="78" spans="1:81" s="120" customFormat="1" ht="14.25" customHeight="1" x14ac:dyDescent="0.25">
      <c r="A78" s="79">
        <v>150574</v>
      </c>
      <c r="B78" s="77" t="s">
        <v>1490</v>
      </c>
      <c r="C78" s="98" t="s">
        <v>1435</v>
      </c>
      <c r="D78" s="90" t="s">
        <v>12</v>
      </c>
      <c r="E78" s="79" t="s">
        <v>14</v>
      </c>
      <c r="F78" s="79" t="s">
        <v>71</v>
      </c>
      <c r="G78" s="78" t="s">
        <v>14</v>
      </c>
      <c r="H78" s="121" t="s">
        <v>14</v>
      </c>
      <c r="I78" s="79" t="s">
        <v>14</v>
      </c>
      <c r="J78" s="122">
        <v>7</v>
      </c>
      <c r="K78" s="123">
        <v>1</v>
      </c>
      <c r="L78" s="124">
        <v>0</v>
      </c>
      <c r="M78" s="125">
        <v>2</v>
      </c>
      <c r="N78" s="118">
        <v>93.81</v>
      </c>
      <c r="O78" s="118">
        <v>94.74</v>
      </c>
      <c r="P78" s="119">
        <v>1</v>
      </c>
      <c r="Q78" s="87">
        <f t="shared" si="12"/>
        <v>0</v>
      </c>
      <c r="R78" s="88">
        <f t="shared" si="13"/>
        <v>3</v>
      </c>
      <c r="S78" s="89">
        <f t="shared" si="14"/>
        <v>0</v>
      </c>
      <c r="T78" s="89">
        <f t="shared" si="15"/>
        <v>0</v>
      </c>
      <c r="U78" s="89">
        <f t="shared" si="16"/>
        <v>1</v>
      </c>
      <c r="V78" s="89">
        <f t="shared" si="17"/>
        <v>1</v>
      </c>
      <c r="W78" s="89">
        <f t="shared" si="18"/>
        <v>0</v>
      </c>
      <c r="X78" s="89">
        <f t="shared" si="19"/>
        <v>0</v>
      </c>
      <c r="Y78" s="89">
        <f t="shared" si="20"/>
        <v>0</v>
      </c>
      <c r="Z78" s="89">
        <f t="shared" si="21"/>
        <v>0</v>
      </c>
      <c r="AA78" s="41">
        <f t="shared" si="22"/>
        <v>0</v>
      </c>
      <c r="AB78" s="49"/>
      <c r="AC78" s="50"/>
      <c r="AD78" s="49"/>
      <c r="AE78" s="50"/>
      <c r="AF78" s="49"/>
      <c r="AG78" s="50"/>
      <c r="AH78" s="49"/>
      <c r="AI78" s="50"/>
      <c r="AJ78" s="49" t="s">
        <v>32</v>
      </c>
      <c r="AK78" s="50" t="s">
        <v>163</v>
      </c>
      <c r="AL78" s="49"/>
      <c r="AM78" s="50"/>
      <c r="AN78" s="49"/>
      <c r="AO78" s="50"/>
      <c r="AP78" s="49" t="s">
        <v>5</v>
      </c>
      <c r="AQ78" s="50" t="s">
        <v>428</v>
      </c>
      <c r="AR78" s="49"/>
      <c r="AS78" s="50"/>
      <c r="AT78" s="49"/>
      <c r="AU78" s="50"/>
      <c r="AV78" s="49" t="s">
        <v>5</v>
      </c>
      <c r="AW78" s="50" t="s">
        <v>476</v>
      </c>
      <c r="AX78" s="49"/>
      <c r="AY78" s="50"/>
      <c r="AZ78" s="49"/>
      <c r="BA78" s="50"/>
      <c r="BB78" s="49"/>
      <c r="BC78" s="50"/>
      <c r="BD78" s="49"/>
      <c r="BE78" s="50"/>
      <c r="BF78" s="49"/>
      <c r="BG78" s="50"/>
      <c r="BH78" s="49" t="s">
        <v>5</v>
      </c>
      <c r="BI78" s="50" t="s">
        <v>139</v>
      </c>
      <c r="BJ78" s="49"/>
      <c r="BK78" s="50"/>
      <c r="BL78" s="49"/>
      <c r="BM78" s="50"/>
      <c r="BN78" s="49"/>
      <c r="BO78" s="50"/>
      <c r="BP78" s="49"/>
      <c r="BQ78" s="50"/>
      <c r="BR78" s="49"/>
      <c r="BS78" s="50"/>
      <c r="BT78" s="49"/>
      <c r="BU78" s="50"/>
      <c r="BV78" s="49"/>
      <c r="BW78" s="50"/>
      <c r="BX78" s="49"/>
      <c r="BY78" s="50"/>
      <c r="BZ78" s="49"/>
      <c r="CA78" s="50"/>
      <c r="CB78" s="49"/>
      <c r="CC78" s="50"/>
    </row>
    <row r="79" spans="1:81" s="120" customFormat="1" ht="14.25" customHeight="1" x14ac:dyDescent="0.25">
      <c r="A79" s="79">
        <v>150539</v>
      </c>
      <c r="B79" s="77" t="s">
        <v>1491</v>
      </c>
      <c r="C79" s="98" t="s">
        <v>1421</v>
      </c>
      <c r="D79" s="90" t="s">
        <v>12</v>
      </c>
      <c r="E79" s="79" t="s">
        <v>14</v>
      </c>
      <c r="F79" s="79" t="s">
        <v>71</v>
      </c>
      <c r="G79" s="78" t="s">
        <v>14</v>
      </c>
      <c r="H79" s="121" t="s">
        <v>14</v>
      </c>
      <c r="I79" s="79" t="s">
        <v>14</v>
      </c>
      <c r="J79" s="122">
        <v>8.1999999999999993</v>
      </c>
      <c r="K79" s="123">
        <v>0</v>
      </c>
      <c r="L79" s="124">
        <v>0</v>
      </c>
      <c r="M79" s="125">
        <v>0</v>
      </c>
      <c r="N79" s="118">
        <v>98.99</v>
      </c>
      <c r="O79" s="118">
        <v>97.14</v>
      </c>
      <c r="P79" s="119">
        <v>1</v>
      </c>
      <c r="Q79" s="87">
        <f t="shared" si="12"/>
        <v>1</v>
      </c>
      <c r="R79" s="88">
        <f t="shared" si="13"/>
        <v>3</v>
      </c>
      <c r="S79" s="89">
        <f t="shared" si="14"/>
        <v>0</v>
      </c>
      <c r="T79" s="89">
        <f t="shared" si="15"/>
        <v>0</v>
      </c>
      <c r="U79" s="89">
        <f t="shared" si="16"/>
        <v>0</v>
      </c>
      <c r="V79" s="89">
        <f t="shared" si="17"/>
        <v>0</v>
      </c>
      <c r="W79" s="89">
        <f t="shared" si="18"/>
        <v>0</v>
      </c>
      <c r="X79" s="89">
        <f t="shared" si="19"/>
        <v>0</v>
      </c>
      <c r="Y79" s="89">
        <f t="shared" si="20"/>
        <v>0</v>
      </c>
      <c r="Z79" s="89">
        <f t="shared" si="21"/>
        <v>0</v>
      </c>
      <c r="AA79" s="41">
        <f t="shared" si="22"/>
        <v>0</v>
      </c>
      <c r="AB79" s="49"/>
      <c r="AC79" s="50"/>
      <c r="AD79" s="49"/>
      <c r="AE79" s="50"/>
      <c r="AF79" s="49"/>
      <c r="AG79" s="50"/>
      <c r="AH79" s="49"/>
      <c r="AI79" s="50"/>
      <c r="AJ79" s="49"/>
      <c r="AK79" s="50"/>
      <c r="AL79" s="49"/>
      <c r="AM79" s="50"/>
      <c r="AN79" s="49"/>
      <c r="AO79" s="50"/>
      <c r="AP79" s="49" t="s">
        <v>5</v>
      </c>
      <c r="AQ79" s="50" t="s">
        <v>428</v>
      </c>
      <c r="AR79" s="49"/>
      <c r="AS79" s="50"/>
      <c r="AT79" s="49"/>
      <c r="AU79" s="50"/>
      <c r="AV79" s="49" t="s">
        <v>5</v>
      </c>
      <c r="AW79" s="50" t="s">
        <v>151</v>
      </c>
      <c r="AX79" s="49"/>
      <c r="AY79" s="50"/>
      <c r="AZ79" s="49"/>
      <c r="BA79" s="50"/>
      <c r="BB79" s="49"/>
      <c r="BC79" s="50"/>
      <c r="BD79" s="49"/>
      <c r="BE79" s="50"/>
      <c r="BF79" s="49" t="s">
        <v>1</v>
      </c>
      <c r="BG79" s="50" t="s">
        <v>77</v>
      </c>
      <c r="BH79" s="49" t="s">
        <v>5</v>
      </c>
      <c r="BI79" s="50" t="s">
        <v>139</v>
      </c>
      <c r="BJ79" s="49"/>
      <c r="BK79" s="50"/>
      <c r="BL79" s="49"/>
      <c r="BM79" s="50"/>
      <c r="BN79" s="49"/>
      <c r="BO79" s="50"/>
      <c r="BP79" s="49"/>
      <c r="BQ79" s="50"/>
      <c r="BR79" s="49"/>
      <c r="BS79" s="50"/>
      <c r="BT79" s="49"/>
      <c r="BU79" s="50"/>
      <c r="BV79" s="49"/>
      <c r="BW79" s="50"/>
      <c r="BX79" s="49"/>
      <c r="BY79" s="50"/>
      <c r="BZ79" s="49"/>
      <c r="CA79" s="50"/>
      <c r="CB79" s="49"/>
      <c r="CC79" s="50"/>
    </row>
    <row r="80" spans="1:81" s="120" customFormat="1" ht="14.25" customHeight="1" x14ac:dyDescent="0.25">
      <c r="A80" s="79">
        <v>152122</v>
      </c>
      <c r="B80" s="77" t="s">
        <v>1492</v>
      </c>
      <c r="C80" s="98" t="s">
        <v>1440</v>
      </c>
      <c r="D80" s="90" t="s">
        <v>70</v>
      </c>
      <c r="E80" s="79" t="s">
        <v>14</v>
      </c>
      <c r="F80" s="79" t="s">
        <v>71</v>
      </c>
      <c r="G80" s="78" t="s">
        <v>14</v>
      </c>
      <c r="H80" s="121" t="s">
        <v>14</v>
      </c>
      <c r="I80" s="79" t="s">
        <v>14</v>
      </c>
      <c r="J80" s="122">
        <v>8.8000000000000007</v>
      </c>
      <c r="K80" s="123">
        <v>1</v>
      </c>
      <c r="L80" s="124">
        <v>0</v>
      </c>
      <c r="M80" s="125">
        <v>0</v>
      </c>
      <c r="N80" s="118">
        <v>88.29</v>
      </c>
      <c r="O80" s="118">
        <v>84.21</v>
      </c>
      <c r="P80" s="119">
        <v>1</v>
      </c>
      <c r="Q80" s="87">
        <f t="shared" si="12"/>
        <v>3</v>
      </c>
      <c r="R80" s="88">
        <f t="shared" si="13"/>
        <v>1</v>
      </c>
      <c r="S80" s="89">
        <f t="shared" si="14"/>
        <v>0</v>
      </c>
      <c r="T80" s="89">
        <f t="shared" si="15"/>
        <v>0</v>
      </c>
      <c r="U80" s="89">
        <f t="shared" si="16"/>
        <v>0</v>
      </c>
      <c r="V80" s="89">
        <f t="shared" si="17"/>
        <v>0</v>
      </c>
      <c r="W80" s="89">
        <f t="shared" si="18"/>
        <v>0</v>
      </c>
      <c r="X80" s="89">
        <f t="shared" si="19"/>
        <v>0</v>
      </c>
      <c r="Y80" s="89">
        <f t="shared" si="20"/>
        <v>0</v>
      </c>
      <c r="Z80" s="89">
        <f t="shared" si="21"/>
        <v>0</v>
      </c>
      <c r="AA80" s="41">
        <f t="shared" si="22"/>
        <v>0</v>
      </c>
      <c r="AB80" s="49"/>
      <c r="AC80" s="50"/>
      <c r="AD80" s="49"/>
      <c r="AE80" s="50"/>
      <c r="AF80" s="49"/>
      <c r="AG80" s="50"/>
      <c r="AH80" s="49"/>
      <c r="AI80" s="50"/>
      <c r="AJ80" s="49" t="s">
        <v>1</v>
      </c>
      <c r="AK80" s="50" t="s">
        <v>163</v>
      </c>
      <c r="AL80" s="49"/>
      <c r="AM80" s="50"/>
      <c r="AN80" s="49"/>
      <c r="AO80" s="50"/>
      <c r="AP80" s="49"/>
      <c r="AQ80" s="50"/>
      <c r="AR80" s="49"/>
      <c r="AS80" s="50"/>
      <c r="AT80" s="49"/>
      <c r="AU80" s="50"/>
      <c r="AV80" s="49" t="s">
        <v>1</v>
      </c>
      <c r="AW80" s="50" t="s">
        <v>433</v>
      </c>
      <c r="AX80" s="49"/>
      <c r="AY80" s="50"/>
      <c r="AZ80" s="49"/>
      <c r="BA80" s="50"/>
      <c r="BB80" s="49"/>
      <c r="BC80" s="50"/>
      <c r="BD80" s="49"/>
      <c r="BE80" s="50"/>
      <c r="BF80" s="49"/>
      <c r="BG80" s="50"/>
      <c r="BH80" s="49" t="s">
        <v>5</v>
      </c>
      <c r="BI80" s="50" t="s">
        <v>139</v>
      </c>
      <c r="BJ80" s="49"/>
      <c r="BK80" s="50"/>
      <c r="BL80" s="49"/>
      <c r="BM80" s="50"/>
      <c r="BN80" s="49"/>
      <c r="BO80" s="50"/>
      <c r="BP80" s="49"/>
      <c r="BQ80" s="50"/>
      <c r="BR80" s="49"/>
      <c r="BS80" s="50"/>
      <c r="BT80" s="49" t="s">
        <v>1</v>
      </c>
      <c r="BU80" s="50" t="s">
        <v>98</v>
      </c>
      <c r="BV80" s="49"/>
      <c r="BW80" s="50"/>
      <c r="BX80" s="49"/>
      <c r="BY80" s="50"/>
      <c r="BZ80" s="49"/>
      <c r="CA80" s="50"/>
      <c r="CB80" s="49"/>
      <c r="CC80" s="50"/>
    </row>
    <row r="81" spans="1:81" s="120" customFormat="1" ht="14.25" customHeight="1" x14ac:dyDescent="0.25">
      <c r="A81" s="79">
        <v>150396</v>
      </c>
      <c r="B81" s="77" t="s">
        <v>1493</v>
      </c>
      <c r="C81" s="98" t="s">
        <v>1417</v>
      </c>
      <c r="D81" s="90" t="s">
        <v>70</v>
      </c>
      <c r="E81" s="79" t="s">
        <v>14</v>
      </c>
      <c r="F81" s="79" t="s">
        <v>71</v>
      </c>
      <c r="G81" s="78" t="s">
        <v>14</v>
      </c>
      <c r="H81" s="121" t="s">
        <v>14</v>
      </c>
      <c r="I81" s="79" t="s">
        <v>14</v>
      </c>
      <c r="J81" s="122">
        <v>8.1</v>
      </c>
      <c r="K81" s="123">
        <v>0</v>
      </c>
      <c r="L81" s="124">
        <v>0</v>
      </c>
      <c r="M81" s="125">
        <v>0</v>
      </c>
      <c r="N81" s="118">
        <v>84.55</v>
      </c>
      <c r="O81" s="118">
        <v>100</v>
      </c>
      <c r="P81" s="119">
        <v>0</v>
      </c>
      <c r="Q81" s="87">
        <f t="shared" si="12"/>
        <v>1</v>
      </c>
      <c r="R81" s="88">
        <f t="shared" si="13"/>
        <v>3</v>
      </c>
      <c r="S81" s="89">
        <f t="shared" si="14"/>
        <v>0</v>
      </c>
      <c r="T81" s="89">
        <f t="shared" si="15"/>
        <v>0</v>
      </c>
      <c r="U81" s="89">
        <f t="shared" si="16"/>
        <v>0</v>
      </c>
      <c r="V81" s="89">
        <f t="shared" si="17"/>
        <v>0</v>
      </c>
      <c r="W81" s="89">
        <f t="shared" si="18"/>
        <v>0</v>
      </c>
      <c r="X81" s="89">
        <f t="shared" si="19"/>
        <v>0</v>
      </c>
      <c r="Y81" s="89">
        <f t="shared" si="20"/>
        <v>0</v>
      </c>
      <c r="Z81" s="89">
        <f t="shared" si="21"/>
        <v>0</v>
      </c>
      <c r="AA81" s="41">
        <f t="shared" si="22"/>
        <v>0</v>
      </c>
      <c r="AB81" s="49"/>
      <c r="AC81" s="50"/>
      <c r="AD81" s="49"/>
      <c r="AE81" s="50"/>
      <c r="AF81" s="49"/>
      <c r="AG81" s="50"/>
      <c r="AH81" s="49"/>
      <c r="AI81" s="50"/>
      <c r="AJ81" s="49"/>
      <c r="AK81" s="50"/>
      <c r="AL81" s="49"/>
      <c r="AM81" s="50"/>
      <c r="AN81" s="49"/>
      <c r="AO81" s="50"/>
      <c r="AP81" s="49"/>
      <c r="AQ81" s="50"/>
      <c r="AR81" s="49" t="s">
        <v>5</v>
      </c>
      <c r="AS81" s="50" t="s">
        <v>91</v>
      </c>
      <c r="AT81" s="49"/>
      <c r="AU81" s="50"/>
      <c r="AV81" s="49" t="s">
        <v>5</v>
      </c>
      <c r="AW81" s="50" t="s">
        <v>425</v>
      </c>
      <c r="AX81" s="49"/>
      <c r="AY81" s="50"/>
      <c r="AZ81" s="49"/>
      <c r="BA81" s="50"/>
      <c r="BB81" s="49" t="s">
        <v>5</v>
      </c>
      <c r="BC81" s="50" t="s">
        <v>76</v>
      </c>
      <c r="BD81" s="49"/>
      <c r="BE81" s="50"/>
      <c r="BF81" s="49" t="s">
        <v>1</v>
      </c>
      <c r="BG81" s="50" t="s">
        <v>77</v>
      </c>
      <c r="BH81" s="49"/>
      <c r="BI81" s="50"/>
      <c r="BJ81" s="49"/>
      <c r="BK81" s="50"/>
      <c r="BL81" s="49"/>
      <c r="BM81" s="50"/>
      <c r="BN81" s="49"/>
      <c r="BO81" s="50"/>
      <c r="BP81" s="49"/>
      <c r="BQ81" s="50"/>
      <c r="BR81" s="49"/>
      <c r="BS81" s="50"/>
      <c r="BT81" s="49"/>
      <c r="BU81" s="50"/>
      <c r="BV81" s="49"/>
      <c r="BW81" s="50"/>
      <c r="BX81" s="49"/>
      <c r="BY81" s="50"/>
      <c r="BZ81" s="49"/>
      <c r="CA81" s="50"/>
      <c r="CB81" s="49"/>
      <c r="CC81" s="50"/>
    </row>
    <row r="82" spans="1:81" s="120" customFormat="1" ht="14.25" customHeight="1" x14ac:dyDescent="0.25">
      <c r="A82" s="79">
        <v>150551</v>
      </c>
      <c r="B82" s="77" t="s">
        <v>1494</v>
      </c>
      <c r="C82" s="98" t="s">
        <v>1440</v>
      </c>
      <c r="D82" s="90" t="s">
        <v>70</v>
      </c>
      <c r="E82" s="79" t="s">
        <v>14</v>
      </c>
      <c r="F82" s="79" t="s">
        <v>71</v>
      </c>
      <c r="G82" s="78" t="s">
        <v>14</v>
      </c>
      <c r="H82" s="121" t="s">
        <v>14</v>
      </c>
      <c r="I82" s="79" t="s">
        <v>14</v>
      </c>
      <c r="J82" s="122">
        <v>7.8</v>
      </c>
      <c r="K82" s="123">
        <v>0</v>
      </c>
      <c r="L82" s="124">
        <v>0</v>
      </c>
      <c r="M82" s="125">
        <v>0</v>
      </c>
      <c r="N82" s="118">
        <v>81.819999999999993</v>
      </c>
      <c r="O82" s="118">
        <v>81.58</v>
      </c>
      <c r="P82" s="119">
        <v>1</v>
      </c>
      <c r="Q82" s="87">
        <f t="shared" si="12"/>
        <v>3</v>
      </c>
      <c r="R82" s="88">
        <f t="shared" si="13"/>
        <v>1</v>
      </c>
      <c r="S82" s="89">
        <f t="shared" si="14"/>
        <v>0</v>
      </c>
      <c r="T82" s="89">
        <f t="shared" si="15"/>
        <v>0</v>
      </c>
      <c r="U82" s="89">
        <f t="shared" si="16"/>
        <v>0</v>
      </c>
      <c r="V82" s="89">
        <f t="shared" si="17"/>
        <v>0</v>
      </c>
      <c r="W82" s="89">
        <f t="shared" si="18"/>
        <v>0</v>
      </c>
      <c r="X82" s="89">
        <f t="shared" si="19"/>
        <v>0</v>
      </c>
      <c r="Y82" s="89">
        <f t="shared" si="20"/>
        <v>0</v>
      </c>
      <c r="Z82" s="89">
        <f t="shared" si="21"/>
        <v>0</v>
      </c>
      <c r="AA82" s="41">
        <f t="shared" si="22"/>
        <v>0</v>
      </c>
      <c r="AB82" s="49"/>
      <c r="AC82" s="50"/>
      <c r="AD82" s="49"/>
      <c r="AE82" s="50"/>
      <c r="AF82" s="49"/>
      <c r="AG82" s="50"/>
      <c r="AH82" s="49"/>
      <c r="AI82" s="50"/>
      <c r="AJ82" s="49" t="s">
        <v>1</v>
      </c>
      <c r="AK82" s="50" t="s">
        <v>163</v>
      </c>
      <c r="AL82" s="49"/>
      <c r="AM82" s="50"/>
      <c r="AN82" s="49"/>
      <c r="AO82" s="50"/>
      <c r="AP82" s="49"/>
      <c r="AQ82" s="50"/>
      <c r="AR82" s="49"/>
      <c r="AS82" s="50"/>
      <c r="AT82" s="49"/>
      <c r="AU82" s="50"/>
      <c r="AV82" s="49" t="s">
        <v>1</v>
      </c>
      <c r="AW82" s="50" t="s">
        <v>433</v>
      </c>
      <c r="AX82" s="49"/>
      <c r="AY82" s="50"/>
      <c r="AZ82" s="49"/>
      <c r="BA82" s="50"/>
      <c r="BB82" s="49"/>
      <c r="BC82" s="50"/>
      <c r="BD82" s="49"/>
      <c r="BE82" s="50"/>
      <c r="BF82" s="49"/>
      <c r="BG82" s="50"/>
      <c r="BH82" s="49" t="s">
        <v>5</v>
      </c>
      <c r="BI82" s="50" t="s">
        <v>139</v>
      </c>
      <c r="BJ82" s="49"/>
      <c r="BK82" s="50"/>
      <c r="BL82" s="49"/>
      <c r="BM82" s="50"/>
      <c r="BN82" s="49"/>
      <c r="BO82" s="50"/>
      <c r="BP82" s="49"/>
      <c r="BQ82" s="50"/>
      <c r="BR82" s="49"/>
      <c r="BS82" s="50"/>
      <c r="BT82" s="49" t="s">
        <v>1</v>
      </c>
      <c r="BU82" s="50" t="s">
        <v>98</v>
      </c>
      <c r="BV82" s="49"/>
      <c r="BW82" s="50"/>
      <c r="BX82" s="49"/>
      <c r="BY82" s="50"/>
      <c r="BZ82" s="49"/>
      <c r="CA82" s="50"/>
      <c r="CB82" s="49"/>
      <c r="CC82" s="50"/>
    </row>
    <row r="83" spans="1:81" s="120" customFormat="1" ht="14.25" customHeight="1" x14ac:dyDescent="0.25">
      <c r="A83" s="79">
        <v>152173</v>
      </c>
      <c r="B83" s="77" t="s">
        <v>1495</v>
      </c>
      <c r="C83" s="98" t="s">
        <v>1421</v>
      </c>
      <c r="D83" s="90" t="s">
        <v>70</v>
      </c>
      <c r="E83" s="79" t="s">
        <v>14</v>
      </c>
      <c r="F83" s="79" t="s">
        <v>71</v>
      </c>
      <c r="G83" s="78" t="s">
        <v>14</v>
      </c>
      <c r="H83" s="121" t="s">
        <v>14</v>
      </c>
      <c r="I83" s="79" t="s">
        <v>14</v>
      </c>
      <c r="J83" s="122">
        <v>7.8</v>
      </c>
      <c r="K83" s="123">
        <v>0</v>
      </c>
      <c r="L83" s="124">
        <v>0</v>
      </c>
      <c r="M83" s="125">
        <v>1</v>
      </c>
      <c r="N83" s="118">
        <v>82.42</v>
      </c>
      <c r="O83" s="118">
        <v>100</v>
      </c>
      <c r="P83" s="119">
        <v>0</v>
      </c>
      <c r="Q83" s="87">
        <f t="shared" si="12"/>
        <v>0</v>
      </c>
      <c r="R83" s="88">
        <f t="shared" si="13"/>
        <v>3</v>
      </c>
      <c r="S83" s="89">
        <f t="shared" si="14"/>
        <v>0</v>
      </c>
      <c r="T83" s="89">
        <f t="shared" si="15"/>
        <v>0</v>
      </c>
      <c r="U83" s="89">
        <f t="shared" si="16"/>
        <v>1</v>
      </c>
      <c r="V83" s="89">
        <f t="shared" si="17"/>
        <v>1</v>
      </c>
      <c r="W83" s="89">
        <f t="shared" si="18"/>
        <v>0</v>
      </c>
      <c r="X83" s="89">
        <f t="shared" si="19"/>
        <v>0</v>
      </c>
      <c r="Y83" s="89">
        <f t="shared" si="20"/>
        <v>0</v>
      </c>
      <c r="Z83" s="89">
        <f t="shared" si="21"/>
        <v>0</v>
      </c>
      <c r="AA83" s="41">
        <f t="shared" si="22"/>
        <v>0</v>
      </c>
      <c r="AB83" s="49"/>
      <c r="AC83" s="50"/>
      <c r="AD83" s="49" t="s">
        <v>32</v>
      </c>
      <c r="AE83" s="50"/>
      <c r="AF83" s="49"/>
      <c r="AG83" s="50"/>
      <c r="AH83" s="49"/>
      <c r="AI83" s="50"/>
      <c r="AJ83" s="49"/>
      <c r="AK83" s="50"/>
      <c r="AL83" s="49"/>
      <c r="AM83" s="50"/>
      <c r="AN83" s="49"/>
      <c r="AO83" s="50"/>
      <c r="AP83" s="49"/>
      <c r="AQ83" s="50"/>
      <c r="AR83" s="49"/>
      <c r="AS83" s="50"/>
      <c r="AT83" s="49"/>
      <c r="AU83" s="50"/>
      <c r="AV83" s="49" t="s">
        <v>5</v>
      </c>
      <c r="AW83" s="50" t="s">
        <v>151</v>
      </c>
      <c r="AX83" s="49"/>
      <c r="AY83" s="50"/>
      <c r="AZ83" s="49"/>
      <c r="BA83" s="50"/>
      <c r="BB83" s="49" t="s">
        <v>5</v>
      </c>
      <c r="BC83" s="50" t="s">
        <v>76</v>
      </c>
      <c r="BD83" s="49"/>
      <c r="BE83" s="50"/>
      <c r="BF83" s="49"/>
      <c r="BG83" s="50"/>
      <c r="BH83" s="49"/>
      <c r="BI83" s="50"/>
      <c r="BJ83" s="49"/>
      <c r="BK83" s="50"/>
      <c r="BL83" s="49"/>
      <c r="BM83" s="50"/>
      <c r="BN83" s="49"/>
      <c r="BO83" s="50"/>
      <c r="BP83" s="49"/>
      <c r="BQ83" s="50"/>
      <c r="BR83" s="49"/>
      <c r="BS83" s="50"/>
      <c r="BT83" s="49"/>
      <c r="BU83" s="50"/>
      <c r="BV83" s="49"/>
      <c r="BW83" s="50"/>
      <c r="BX83" s="49"/>
      <c r="BY83" s="50"/>
      <c r="BZ83" s="49" t="s">
        <v>5</v>
      </c>
      <c r="CA83" s="50" t="s">
        <v>462</v>
      </c>
      <c r="CB83" s="49"/>
      <c r="CC83" s="50"/>
    </row>
    <row r="84" spans="1:81" s="120" customFormat="1" ht="14.25" customHeight="1" x14ac:dyDescent="0.25">
      <c r="A84" s="79">
        <v>150498</v>
      </c>
      <c r="B84" s="77" t="s">
        <v>1496</v>
      </c>
      <c r="C84" s="98" t="s">
        <v>1417</v>
      </c>
      <c r="D84" s="90" t="s">
        <v>12</v>
      </c>
      <c r="E84" s="79" t="s">
        <v>14</v>
      </c>
      <c r="F84" s="79" t="s">
        <v>220</v>
      </c>
      <c r="G84" s="78" t="s">
        <v>14</v>
      </c>
      <c r="H84" s="121" t="s">
        <v>14</v>
      </c>
      <c r="I84" s="79" t="s">
        <v>14</v>
      </c>
      <c r="J84" s="122">
        <v>5.5</v>
      </c>
      <c r="K84" s="123">
        <v>1</v>
      </c>
      <c r="L84" s="124">
        <v>0</v>
      </c>
      <c r="M84" s="125">
        <v>1</v>
      </c>
      <c r="N84" s="118">
        <v>95.73</v>
      </c>
      <c r="O84" s="118">
        <v>90</v>
      </c>
      <c r="P84" s="119">
        <v>10</v>
      </c>
      <c r="Q84" s="87">
        <f t="shared" si="12"/>
        <v>0</v>
      </c>
      <c r="R84" s="88">
        <f t="shared" si="13"/>
        <v>1</v>
      </c>
      <c r="S84" s="89">
        <f t="shared" si="14"/>
        <v>2</v>
      </c>
      <c r="T84" s="89">
        <f t="shared" si="15"/>
        <v>0</v>
      </c>
      <c r="U84" s="89">
        <f t="shared" si="16"/>
        <v>1</v>
      </c>
      <c r="V84" s="89">
        <f t="shared" si="17"/>
        <v>3</v>
      </c>
      <c r="W84" s="89">
        <f t="shared" si="18"/>
        <v>0</v>
      </c>
      <c r="X84" s="89">
        <f t="shared" si="19"/>
        <v>0</v>
      </c>
      <c r="Y84" s="89">
        <f t="shared" si="20"/>
        <v>0</v>
      </c>
      <c r="Z84" s="89">
        <f t="shared" si="21"/>
        <v>0</v>
      </c>
      <c r="AA84" s="41">
        <f t="shared" si="22"/>
        <v>0</v>
      </c>
      <c r="AB84" s="49"/>
      <c r="AC84" s="50"/>
      <c r="AD84" s="49"/>
      <c r="AE84" s="50"/>
      <c r="AF84" s="49" t="s">
        <v>30</v>
      </c>
      <c r="AG84" s="50" t="s">
        <v>427</v>
      </c>
      <c r="AH84" s="49"/>
      <c r="AI84" s="50"/>
      <c r="AJ84" s="49"/>
      <c r="AK84" s="50"/>
      <c r="AL84" s="49"/>
      <c r="AM84" s="50"/>
      <c r="AN84" s="49"/>
      <c r="AO84" s="50"/>
      <c r="AP84" s="49" t="s">
        <v>5</v>
      </c>
      <c r="AQ84" s="50" t="s">
        <v>428</v>
      </c>
      <c r="AR84" s="49"/>
      <c r="AS84" s="50"/>
      <c r="AT84" s="49"/>
      <c r="AU84" s="50"/>
      <c r="AV84" s="49" t="s">
        <v>32</v>
      </c>
      <c r="AW84" s="50" t="s">
        <v>425</v>
      </c>
      <c r="AX84" s="49"/>
      <c r="AY84" s="50"/>
      <c r="AZ84" s="49"/>
      <c r="BA84" s="50"/>
      <c r="BB84" s="49"/>
      <c r="BC84" s="50"/>
      <c r="BD84" s="49"/>
      <c r="BE84" s="50"/>
      <c r="BF84" s="49"/>
      <c r="BG84" s="50"/>
      <c r="BH84" s="49" t="s">
        <v>30</v>
      </c>
      <c r="BI84" s="50" t="s">
        <v>139</v>
      </c>
      <c r="BJ84" s="49"/>
      <c r="BK84" s="50"/>
      <c r="BL84" s="49"/>
      <c r="BM84" s="50"/>
      <c r="BN84" s="49"/>
      <c r="BO84" s="50"/>
      <c r="BP84" s="49"/>
      <c r="BQ84" s="50"/>
      <c r="BR84" s="49"/>
      <c r="BS84" s="50"/>
      <c r="BT84" s="49"/>
      <c r="BU84" s="50"/>
      <c r="BV84" s="49"/>
      <c r="BW84" s="50"/>
      <c r="BX84" s="49"/>
      <c r="BY84" s="50"/>
      <c r="BZ84" s="49"/>
      <c r="CA84" s="50"/>
      <c r="CB84" s="49"/>
      <c r="CC84" s="50"/>
    </row>
    <row r="85" spans="1:81" s="120" customFormat="1" ht="14.25" customHeight="1" x14ac:dyDescent="0.25">
      <c r="A85" s="79">
        <v>150568</v>
      </c>
      <c r="B85" s="77" t="s">
        <v>1497</v>
      </c>
      <c r="C85" s="98" t="s">
        <v>1440</v>
      </c>
      <c r="D85" s="90" t="s">
        <v>12</v>
      </c>
      <c r="E85" s="79" t="s">
        <v>14</v>
      </c>
      <c r="F85" s="79" t="s">
        <v>71</v>
      </c>
      <c r="G85" s="78" t="s">
        <v>14</v>
      </c>
      <c r="H85" s="121" t="s">
        <v>14</v>
      </c>
      <c r="I85" s="79" t="s">
        <v>14</v>
      </c>
      <c r="J85" s="122">
        <v>6.5</v>
      </c>
      <c r="K85" s="123">
        <v>0</v>
      </c>
      <c r="L85" s="124">
        <v>0</v>
      </c>
      <c r="M85" s="125">
        <v>0</v>
      </c>
      <c r="N85" s="118">
        <v>99.08</v>
      </c>
      <c r="O85" s="118">
        <v>97.22</v>
      </c>
      <c r="P85" s="119">
        <v>0</v>
      </c>
      <c r="Q85" s="87">
        <f t="shared" si="12"/>
        <v>3</v>
      </c>
      <c r="R85" s="88">
        <f t="shared" si="13"/>
        <v>2</v>
      </c>
      <c r="S85" s="89">
        <f t="shared" si="14"/>
        <v>0</v>
      </c>
      <c r="T85" s="89">
        <f t="shared" si="15"/>
        <v>0</v>
      </c>
      <c r="U85" s="89">
        <f t="shared" si="16"/>
        <v>0</v>
      </c>
      <c r="V85" s="89">
        <f t="shared" si="17"/>
        <v>0</v>
      </c>
      <c r="W85" s="89">
        <f t="shared" si="18"/>
        <v>0</v>
      </c>
      <c r="X85" s="89">
        <f t="shared" si="19"/>
        <v>0</v>
      </c>
      <c r="Y85" s="89">
        <f t="shared" si="20"/>
        <v>0</v>
      </c>
      <c r="Z85" s="89">
        <f t="shared" si="21"/>
        <v>0</v>
      </c>
      <c r="AA85" s="41">
        <f t="shared" si="22"/>
        <v>0</v>
      </c>
      <c r="AB85" s="49"/>
      <c r="AC85" s="50"/>
      <c r="AD85" s="49"/>
      <c r="AE85" s="50"/>
      <c r="AF85" s="49"/>
      <c r="AG85" s="50"/>
      <c r="AH85" s="49"/>
      <c r="AI85" s="50"/>
      <c r="AJ85" s="49"/>
      <c r="AK85" s="50"/>
      <c r="AL85" s="49"/>
      <c r="AM85" s="50"/>
      <c r="AN85" s="49"/>
      <c r="AO85" s="50"/>
      <c r="AP85" s="49" t="s">
        <v>5</v>
      </c>
      <c r="AQ85" s="50" t="s">
        <v>428</v>
      </c>
      <c r="AR85" s="49"/>
      <c r="AS85" s="50"/>
      <c r="AT85" s="49"/>
      <c r="AU85" s="50"/>
      <c r="AV85" s="49" t="s">
        <v>1</v>
      </c>
      <c r="AW85" s="50" t="s">
        <v>433</v>
      </c>
      <c r="AX85" s="49"/>
      <c r="AY85" s="50"/>
      <c r="AZ85" s="49"/>
      <c r="BA85" s="50"/>
      <c r="BB85" s="49"/>
      <c r="BC85" s="50"/>
      <c r="BD85" s="49"/>
      <c r="BE85" s="50"/>
      <c r="BF85" s="49"/>
      <c r="BG85" s="50"/>
      <c r="BH85" s="49" t="s">
        <v>5</v>
      </c>
      <c r="BI85" s="50" t="s">
        <v>139</v>
      </c>
      <c r="BJ85" s="49"/>
      <c r="BK85" s="50"/>
      <c r="BL85" s="49"/>
      <c r="BM85" s="50"/>
      <c r="BN85" s="49" t="s">
        <v>1</v>
      </c>
      <c r="BO85" s="50" t="s">
        <v>602</v>
      </c>
      <c r="BP85" s="49" t="s">
        <v>1</v>
      </c>
      <c r="BQ85" s="50"/>
      <c r="BR85" s="49"/>
      <c r="BS85" s="50"/>
      <c r="BT85" s="49"/>
      <c r="BU85" s="50"/>
      <c r="BV85" s="49"/>
      <c r="BW85" s="50"/>
      <c r="BX85" s="49"/>
      <c r="BY85" s="50"/>
      <c r="BZ85" s="49"/>
      <c r="CA85" s="50"/>
      <c r="CB85" s="49"/>
      <c r="CC85" s="50"/>
    </row>
    <row r="86" spans="1:81" s="120" customFormat="1" ht="14.25" customHeight="1" x14ac:dyDescent="0.25">
      <c r="A86" s="79">
        <v>152124</v>
      </c>
      <c r="B86" s="77" t="s">
        <v>1498</v>
      </c>
      <c r="C86" s="98" t="s">
        <v>1408</v>
      </c>
      <c r="D86" s="90" t="s">
        <v>12</v>
      </c>
      <c r="E86" s="79" t="s">
        <v>14</v>
      </c>
      <c r="F86" s="79" t="s">
        <v>126</v>
      </c>
      <c r="G86" s="78" t="s">
        <v>14</v>
      </c>
      <c r="H86" s="121" t="s">
        <v>14</v>
      </c>
      <c r="I86" s="79" t="s">
        <v>14</v>
      </c>
      <c r="J86" s="122">
        <v>6.6</v>
      </c>
      <c r="K86" s="123">
        <v>1</v>
      </c>
      <c r="L86" s="124">
        <v>0</v>
      </c>
      <c r="M86" s="125">
        <v>0</v>
      </c>
      <c r="N86" s="118">
        <v>94.39</v>
      </c>
      <c r="O86" s="118">
        <v>91.67</v>
      </c>
      <c r="P86" s="119">
        <v>2</v>
      </c>
      <c r="Q86" s="87">
        <f t="shared" si="12"/>
        <v>0</v>
      </c>
      <c r="R86" s="88">
        <f t="shared" si="13"/>
        <v>4</v>
      </c>
      <c r="S86" s="89">
        <f t="shared" si="14"/>
        <v>0</v>
      </c>
      <c r="T86" s="89">
        <f t="shared" si="15"/>
        <v>0</v>
      </c>
      <c r="U86" s="89">
        <f t="shared" si="16"/>
        <v>0</v>
      </c>
      <c r="V86" s="89">
        <f t="shared" si="17"/>
        <v>0</v>
      </c>
      <c r="W86" s="89">
        <f t="shared" si="18"/>
        <v>0</v>
      </c>
      <c r="X86" s="89">
        <f t="shared" si="19"/>
        <v>0</v>
      </c>
      <c r="Y86" s="89">
        <f t="shared" si="20"/>
        <v>0</v>
      </c>
      <c r="Z86" s="89">
        <f t="shared" si="21"/>
        <v>0</v>
      </c>
      <c r="AA86" s="41">
        <f t="shared" si="22"/>
        <v>0</v>
      </c>
      <c r="AB86" s="49"/>
      <c r="AC86" s="50"/>
      <c r="AD86" s="49" t="s">
        <v>5</v>
      </c>
      <c r="AE86" s="50" t="s">
        <v>438</v>
      </c>
      <c r="AF86" s="49"/>
      <c r="AG86" s="50"/>
      <c r="AH86" s="49" t="s">
        <v>5</v>
      </c>
      <c r="AI86" s="50" t="s">
        <v>137</v>
      </c>
      <c r="AJ86" s="49"/>
      <c r="AK86" s="50"/>
      <c r="AL86" s="49"/>
      <c r="AM86" s="50"/>
      <c r="AN86" s="49"/>
      <c r="AO86" s="50"/>
      <c r="AP86" s="49"/>
      <c r="AQ86" s="50"/>
      <c r="AR86" s="49"/>
      <c r="AS86" s="50"/>
      <c r="AT86" s="49"/>
      <c r="AU86" s="50"/>
      <c r="AV86" s="49" t="s">
        <v>5</v>
      </c>
      <c r="AW86" s="50" t="s">
        <v>421</v>
      </c>
      <c r="AX86" s="49"/>
      <c r="AY86" s="50"/>
      <c r="AZ86" s="49"/>
      <c r="BA86" s="50"/>
      <c r="BB86" s="49"/>
      <c r="BC86" s="50"/>
      <c r="BD86" s="49"/>
      <c r="BE86" s="50"/>
      <c r="BF86" s="49"/>
      <c r="BG86" s="50"/>
      <c r="BH86" s="49" t="s">
        <v>5</v>
      </c>
      <c r="BI86" s="50" t="s">
        <v>136</v>
      </c>
      <c r="BJ86" s="49"/>
      <c r="BK86" s="50"/>
      <c r="BL86" s="49"/>
      <c r="BM86" s="50"/>
      <c r="BN86" s="49"/>
      <c r="BO86" s="50"/>
      <c r="BP86" s="49"/>
      <c r="BQ86" s="50"/>
      <c r="BR86" s="49"/>
      <c r="BS86" s="50"/>
      <c r="BT86" s="49"/>
      <c r="BU86" s="50"/>
      <c r="BV86" s="49"/>
      <c r="BW86" s="50"/>
      <c r="BX86" s="49"/>
      <c r="BY86" s="50"/>
      <c r="BZ86" s="49"/>
      <c r="CA86" s="50"/>
      <c r="CB86" s="49"/>
      <c r="CC86" s="50"/>
    </row>
    <row r="87" spans="1:81" s="120" customFormat="1" ht="14.25" customHeight="1" x14ac:dyDescent="0.25">
      <c r="A87" s="79">
        <v>152169</v>
      </c>
      <c r="B87" s="77" t="s">
        <v>1499</v>
      </c>
      <c r="C87" s="98" t="s">
        <v>1417</v>
      </c>
      <c r="D87" s="90" t="s">
        <v>70</v>
      </c>
      <c r="E87" s="79" t="s">
        <v>14</v>
      </c>
      <c r="F87" s="79" t="s">
        <v>71</v>
      </c>
      <c r="G87" s="78" t="s">
        <v>14</v>
      </c>
      <c r="H87" s="121" t="s">
        <v>14</v>
      </c>
      <c r="I87" s="79" t="s">
        <v>14</v>
      </c>
      <c r="J87" s="122">
        <v>6.9</v>
      </c>
      <c r="K87" s="123">
        <v>1</v>
      </c>
      <c r="L87" s="124">
        <v>0</v>
      </c>
      <c r="M87" s="125">
        <v>0</v>
      </c>
      <c r="N87" s="118">
        <v>99.01</v>
      </c>
      <c r="O87" s="118">
        <v>97.14</v>
      </c>
      <c r="P87" s="119">
        <v>4</v>
      </c>
      <c r="Q87" s="87">
        <f t="shared" si="12"/>
        <v>0</v>
      </c>
      <c r="R87" s="88">
        <f t="shared" si="13"/>
        <v>5</v>
      </c>
      <c r="S87" s="89">
        <f t="shared" si="14"/>
        <v>0</v>
      </c>
      <c r="T87" s="89">
        <f t="shared" si="15"/>
        <v>0</v>
      </c>
      <c r="U87" s="89">
        <f t="shared" si="16"/>
        <v>0</v>
      </c>
      <c r="V87" s="89">
        <f t="shared" si="17"/>
        <v>0</v>
      </c>
      <c r="W87" s="89">
        <f t="shared" si="18"/>
        <v>0</v>
      </c>
      <c r="X87" s="89">
        <f t="shared" si="19"/>
        <v>0</v>
      </c>
      <c r="Y87" s="89">
        <f t="shared" si="20"/>
        <v>0</v>
      </c>
      <c r="Z87" s="89">
        <f t="shared" si="21"/>
        <v>0</v>
      </c>
      <c r="AA87" s="41">
        <f t="shared" si="22"/>
        <v>0</v>
      </c>
      <c r="AB87" s="49"/>
      <c r="AC87" s="50"/>
      <c r="AD87" s="49"/>
      <c r="AE87" s="50"/>
      <c r="AF87" s="49"/>
      <c r="AG87" s="50"/>
      <c r="AH87" s="49"/>
      <c r="AI87" s="50"/>
      <c r="AJ87" s="49"/>
      <c r="AK87" s="50"/>
      <c r="AL87" s="49"/>
      <c r="AM87" s="50"/>
      <c r="AN87" s="49"/>
      <c r="AO87" s="50"/>
      <c r="AP87" s="49"/>
      <c r="AQ87" s="50"/>
      <c r="AR87" s="49"/>
      <c r="AS87" s="50"/>
      <c r="AT87" s="49" t="s">
        <v>5</v>
      </c>
      <c r="AU87" s="50" t="s">
        <v>448</v>
      </c>
      <c r="AV87" s="49" t="s">
        <v>5</v>
      </c>
      <c r="AW87" s="50" t="s">
        <v>425</v>
      </c>
      <c r="AX87" s="49"/>
      <c r="AY87" s="50"/>
      <c r="AZ87" s="49"/>
      <c r="BA87" s="50"/>
      <c r="BB87" s="49"/>
      <c r="BC87" s="50"/>
      <c r="BD87" s="49"/>
      <c r="BE87" s="50"/>
      <c r="BF87" s="49"/>
      <c r="BG87" s="50"/>
      <c r="BH87" s="49"/>
      <c r="BI87" s="50"/>
      <c r="BJ87" s="49"/>
      <c r="BK87" s="50"/>
      <c r="BL87" s="49"/>
      <c r="BM87" s="50"/>
      <c r="BN87" s="49" t="s">
        <v>5</v>
      </c>
      <c r="BO87" s="50" t="s">
        <v>602</v>
      </c>
      <c r="BP87" s="49" t="s">
        <v>5</v>
      </c>
      <c r="BQ87" s="50"/>
      <c r="BR87" s="49"/>
      <c r="BS87" s="50"/>
      <c r="BT87" s="49"/>
      <c r="BU87" s="50"/>
      <c r="BV87" s="49" t="s">
        <v>5</v>
      </c>
      <c r="BW87" s="50" t="s">
        <v>93</v>
      </c>
      <c r="BX87" s="49"/>
      <c r="BY87" s="50"/>
      <c r="BZ87" s="49"/>
      <c r="CA87" s="50"/>
      <c r="CB87" s="49"/>
      <c r="CC87" s="50"/>
    </row>
    <row r="88" spans="1:81" s="120" customFormat="1" ht="14.25" customHeight="1" x14ac:dyDescent="0.25">
      <c r="A88" s="79">
        <v>150437</v>
      </c>
      <c r="B88" s="77" t="s">
        <v>1500</v>
      </c>
      <c r="C88" s="98" t="s">
        <v>1414</v>
      </c>
      <c r="D88" s="90" t="s">
        <v>70</v>
      </c>
      <c r="E88" s="79" t="s">
        <v>14</v>
      </c>
      <c r="F88" s="79" t="s">
        <v>71</v>
      </c>
      <c r="G88" s="78" t="s">
        <v>14</v>
      </c>
      <c r="H88" s="121" t="s">
        <v>14</v>
      </c>
      <c r="I88" s="79" t="s">
        <v>14</v>
      </c>
      <c r="J88" s="122">
        <v>6.9</v>
      </c>
      <c r="K88" s="123">
        <v>0</v>
      </c>
      <c r="L88" s="124">
        <v>0</v>
      </c>
      <c r="M88" s="125">
        <v>0</v>
      </c>
      <c r="N88" s="118">
        <v>80.58</v>
      </c>
      <c r="O88" s="118">
        <v>77.14</v>
      </c>
      <c r="P88" s="119">
        <v>3</v>
      </c>
      <c r="Q88" s="87">
        <f t="shared" si="12"/>
        <v>0</v>
      </c>
      <c r="R88" s="88">
        <f t="shared" si="13"/>
        <v>4</v>
      </c>
      <c r="S88" s="89">
        <f t="shared" si="14"/>
        <v>0</v>
      </c>
      <c r="T88" s="89">
        <f t="shared" si="15"/>
        <v>0</v>
      </c>
      <c r="U88" s="89">
        <f t="shared" si="16"/>
        <v>0</v>
      </c>
      <c r="V88" s="89">
        <f t="shared" si="17"/>
        <v>0</v>
      </c>
      <c r="W88" s="89">
        <f t="shared" si="18"/>
        <v>0</v>
      </c>
      <c r="X88" s="89">
        <f t="shared" si="19"/>
        <v>0</v>
      </c>
      <c r="Y88" s="89">
        <f t="shared" si="20"/>
        <v>0</v>
      </c>
      <c r="Z88" s="89">
        <f t="shared" si="21"/>
        <v>0</v>
      </c>
      <c r="AA88" s="41">
        <f t="shared" si="22"/>
        <v>0</v>
      </c>
      <c r="AB88" s="49" t="s">
        <v>5</v>
      </c>
      <c r="AC88" s="50" t="s">
        <v>72</v>
      </c>
      <c r="AD88" s="49"/>
      <c r="AE88" s="50"/>
      <c r="AF88" s="49"/>
      <c r="AG88" s="50"/>
      <c r="AH88" s="49"/>
      <c r="AI88" s="50"/>
      <c r="AJ88" s="49"/>
      <c r="AK88" s="50"/>
      <c r="AL88" s="49"/>
      <c r="AM88" s="50"/>
      <c r="AN88" s="49"/>
      <c r="AO88" s="50"/>
      <c r="AP88" s="49"/>
      <c r="AQ88" s="50"/>
      <c r="AR88" s="49"/>
      <c r="AS88" s="50"/>
      <c r="AT88" s="49"/>
      <c r="AU88" s="50"/>
      <c r="AV88" s="49" t="s">
        <v>5</v>
      </c>
      <c r="AW88" s="50" t="s">
        <v>602</v>
      </c>
      <c r="AX88" s="49"/>
      <c r="AY88" s="50"/>
      <c r="AZ88" s="49"/>
      <c r="BA88" s="50"/>
      <c r="BB88" s="49"/>
      <c r="BC88" s="50"/>
      <c r="BD88" s="49"/>
      <c r="BE88" s="50"/>
      <c r="BF88" s="49"/>
      <c r="BG88" s="50"/>
      <c r="BH88" s="49"/>
      <c r="BI88" s="50"/>
      <c r="BJ88" s="49"/>
      <c r="BK88" s="50"/>
      <c r="BL88" s="49"/>
      <c r="BM88" s="50"/>
      <c r="BN88" s="49"/>
      <c r="BO88" s="50"/>
      <c r="BP88" s="49"/>
      <c r="BQ88" s="50"/>
      <c r="BR88" s="49"/>
      <c r="BS88" s="50"/>
      <c r="BT88" s="49"/>
      <c r="BU88" s="50"/>
      <c r="BV88" s="49"/>
      <c r="BW88" s="50"/>
      <c r="BX88" s="49" t="s">
        <v>5</v>
      </c>
      <c r="BY88" s="50" t="s">
        <v>425</v>
      </c>
      <c r="BZ88" s="49" t="s">
        <v>5</v>
      </c>
      <c r="CA88" s="50" t="s">
        <v>420</v>
      </c>
      <c r="CB88" s="49"/>
      <c r="CC88" s="50"/>
    </row>
    <row r="89" spans="1:81" s="120" customFormat="1" ht="14.25" customHeight="1" x14ac:dyDescent="0.25">
      <c r="A89" s="79">
        <v>150521</v>
      </c>
      <c r="B89" s="77" t="s">
        <v>1501</v>
      </c>
      <c r="C89" s="98" t="s">
        <v>1408</v>
      </c>
      <c r="D89" s="90" t="s">
        <v>70</v>
      </c>
      <c r="E89" s="79" t="s">
        <v>14</v>
      </c>
      <c r="F89" s="79" t="s">
        <v>115</v>
      </c>
      <c r="G89" s="78" t="s">
        <v>14</v>
      </c>
      <c r="H89" s="121" t="s">
        <v>14</v>
      </c>
      <c r="I89" s="79" t="s">
        <v>14</v>
      </c>
      <c r="J89" s="122">
        <v>6.1</v>
      </c>
      <c r="K89" s="123">
        <v>1</v>
      </c>
      <c r="L89" s="124">
        <v>0</v>
      </c>
      <c r="M89" s="125">
        <v>0</v>
      </c>
      <c r="N89" s="118">
        <v>57.66</v>
      </c>
      <c r="O89" s="118">
        <v>47.37</v>
      </c>
      <c r="P89" s="119">
        <v>3</v>
      </c>
      <c r="Q89" s="87">
        <f t="shared" si="12"/>
        <v>1</v>
      </c>
      <c r="R89" s="88">
        <f t="shared" si="13"/>
        <v>1</v>
      </c>
      <c r="S89" s="89">
        <f t="shared" si="14"/>
        <v>1</v>
      </c>
      <c r="T89" s="89">
        <f t="shared" si="15"/>
        <v>0</v>
      </c>
      <c r="U89" s="89">
        <f t="shared" si="16"/>
        <v>2</v>
      </c>
      <c r="V89" s="89">
        <f t="shared" si="17"/>
        <v>3</v>
      </c>
      <c r="W89" s="89">
        <f t="shared" si="18"/>
        <v>0</v>
      </c>
      <c r="X89" s="89">
        <f t="shared" si="19"/>
        <v>0</v>
      </c>
      <c r="Y89" s="89">
        <f t="shared" si="20"/>
        <v>0</v>
      </c>
      <c r="Z89" s="89">
        <f t="shared" si="21"/>
        <v>0</v>
      </c>
      <c r="AA89" s="41">
        <f t="shared" si="22"/>
        <v>0</v>
      </c>
      <c r="AB89" s="49"/>
      <c r="AC89" s="50"/>
      <c r="AD89" s="49" t="s">
        <v>1</v>
      </c>
      <c r="AE89" s="50" t="s">
        <v>433</v>
      </c>
      <c r="AF89" s="49"/>
      <c r="AG89" s="50"/>
      <c r="AH89" s="49" t="s">
        <v>5</v>
      </c>
      <c r="AI89" s="50" t="s">
        <v>206</v>
      </c>
      <c r="AJ89" s="49"/>
      <c r="AK89" s="50"/>
      <c r="AL89" s="49"/>
      <c r="AM89" s="50"/>
      <c r="AN89" s="49"/>
      <c r="AO89" s="50"/>
      <c r="AP89" s="49"/>
      <c r="AQ89" s="50"/>
      <c r="AR89" s="49"/>
      <c r="AS89" s="50"/>
      <c r="AT89" s="49"/>
      <c r="AU89" s="50"/>
      <c r="AV89" s="49" t="s">
        <v>30</v>
      </c>
      <c r="AW89" s="50" t="s">
        <v>421</v>
      </c>
      <c r="AX89" s="49"/>
      <c r="AY89" s="50"/>
      <c r="AZ89" s="49"/>
      <c r="BA89" s="50"/>
      <c r="BB89" s="49"/>
      <c r="BC89" s="50"/>
      <c r="BD89" s="49"/>
      <c r="BE89" s="50"/>
      <c r="BF89" s="49"/>
      <c r="BG89" s="50"/>
      <c r="BH89" s="49"/>
      <c r="BI89" s="50"/>
      <c r="BJ89" s="49"/>
      <c r="BK89" s="50"/>
      <c r="BL89" s="49"/>
      <c r="BM89" s="50"/>
      <c r="BN89" s="49" t="s">
        <v>32</v>
      </c>
      <c r="BO89" s="50" t="s">
        <v>602</v>
      </c>
      <c r="BP89" s="49" t="s">
        <v>32</v>
      </c>
      <c r="BQ89" s="50"/>
      <c r="BR89" s="49"/>
      <c r="BS89" s="50"/>
      <c r="BT89" s="49"/>
      <c r="BU89" s="50"/>
      <c r="BV89" s="49"/>
      <c r="BW89" s="50"/>
      <c r="BX89" s="49"/>
      <c r="BY89" s="50"/>
      <c r="BZ89" s="49"/>
      <c r="CA89" s="50"/>
      <c r="CB89" s="49"/>
      <c r="CC89" s="50"/>
    </row>
    <row r="90" spans="1:81" s="120" customFormat="1" ht="14.25" customHeight="1" x14ac:dyDescent="0.25">
      <c r="A90" s="79">
        <v>152189</v>
      </c>
      <c r="B90" s="77" t="s">
        <v>1502</v>
      </c>
      <c r="C90" s="98" t="s">
        <v>1419</v>
      </c>
      <c r="D90" s="90" t="s">
        <v>70</v>
      </c>
      <c r="E90" s="79" t="s">
        <v>87</v>
      </c>
      <c r="F90" s="79" t="s">
        <v>115</v>
      </c>
      <c r="G90" s="78" t="s">
        <v>14</v>
      </c>
      <c r="H90" s="121" t="s">
        <v>14</v>
      </c>
      <c r="I90" s="79" t="s">
        <v>14</v>
      </c>
      <c r="J90" s="122">
        <v>8.1999999999999993</v>
      </c>
      <c r="K90" s="123">
        <v>0</v>
      </c>
      <c r="L90" s="124">
        <v>0</v>
      </c>
      <c r="M90" s="125">
        <v>0</v>
      </c>
      <c r="N90" s="118">
        <v>76.7</v>
      </c>
      <c r="O90" s="118">
        <v>89.19</v>
      </c>
      <c r="P90" s="119">
        <v>3</v>
      </c>
      <c r="Q90" s="87">
        <f t="shared" si="12"/>
        <v>0</v>
      </c>
      <c r="R90" s="88">
        <f t="shared" si="13"/>
        <v>4</v>
      </c>
      <c r="S90" s="89">
        <f t="shared" si="14"/>
        <v>0</v>
      </c>
      <c r="T90" s="89">
        <f t="shared" si="15"/>
        <v>0</v>
      </c>
      <c r="U90" s="89">
        <f t="shared" si="16"/>
        <v>0</v>
      </c>
      <c r="V90" s="89">
        <f t="shared" si="17"/>
        <v>0</v>
      </c>
      <c r="W90" s="89">
        <f t="shared" si="18"/>
        <v>0</v>
      </c>
      <c r="X90" s="89">
        <f t="shared" si="19"/>
        <v>0</v>
      </c>
      <c r="Y90" s="89">
        <f t="shared" si="20"/>
        <v>0</v>
      </c>
      <c r="Z90" s="89">
        <f t="shared" si="21"/>
        <v>0</v>
      </c>
      <c r="AA90" s="41">
        <f t="shared" si="22"/>
        <v>0</v>
      </c>
      <c r="AB90" s="49"/>
      <c r="AC90" s="50"/>
      <c r="AD90" s="49" t="s">
        <v>5</v>
      </c>
      <c r="AE90" s="50" t="s">
        <v>133</v>
      </c>
      <c r="AF90" s="49"/>
      <c r="AG90" s="50"/>
      <c r="AH90" s="49" t="s">
        <v>5</v>
      </c>
      <c r="AI90" s="50" t="s">
        <v>424</v>
      </c>
      <c r="AJ90" s="49"/>
      <c r="AK90" s="50"/>
      <c r="AL90" s="49"/>
      <c r="AM90" s="50"/>
      <c r="AN90" s="49"/>
      <c r="AO90" s="50"/>
      <c r="AP90" s="49"/>
      <c r="AQ90" s="50"/>
      <c r="AR90" s="49"/>
      <c r="AS90" s="50"/>
      <c r="AT90" s="49"/>
      <c r="AU90" s="50"/>
      <c r="AV90" s="49" t="s">
        <v>5</v>
      </c>
      <c r="AW90" s="50" t="s">
        <v>602</v>
      </c>
      <c r="AX90" s="49"/>
      <c r="AY90" s="50"/>
      <c r="AZ90" s="49"/>
      <c r="BA90" s="50"/>
      <c r="BB90" s="49" t="s">
        <v>5</v>
      </c>
      <c r="BC90" s="50" t="s">
        <v>76</v>
      </c>
      <c r="BD90" s="49"/>
      <c r="BE90" s="50"/>
      <c r="BF90" s="49"/>
      <c r="BG90" s="50"/>
      <c r="BH90" s="49"/>
      <c r="BI90" s="50"/>
      <c r="BJ90" s="49"/>
      <c r="BK90" s="50"/>
      <c r="BL90" s="49"/>
      <c r="BM90" s="50"/>
      <c r="BN90" s="49"/>
      <c r="BO90" s="50"/>
      <c r="BP90" s="49"/>
      <c r="BQ90" s="50"/>
      <c r="BR90" s="49"/>
      <c r="BS90" s="50"/>
      <c r="BT90" s="49"/>
      <c r="BU90" s="50"/>
      <c r="BV90" s="49"/>
      <c r="BW90" s="50"/>
      <c r="BX90" s="49"/>
      <c r="BY90" s="50"/>
      <c r="BZ90" s="49"/>
      <c r="CA90" s="50"/>
      <c r="CB90" s="49"/>
      <c r="CC90" s="50"/>
    </row>
    <row r="91" spans="1:81" s="120" customFormat="1" ht="14.25" customHeight="1" x14ac:dyDescent="0.25">
      <c r="A91" s="79">
        <v>152126</v>
      </c>
      <c r="B91" s="77" t="s">
        <v>1503</v>
      </c>
      <c r="C91" s="98" t="s">
        <v>1410</v>
      </c>
      <c r="D91" s="90" t="s">
        <v>70</v>
      </c>
      <c r="E91" s="79" t="s">
        <v>14</v>
      </c>
      <c r="F91" s="79" t="s">
        <v>88</v>
      </c>
      <c r="G91" s="78" t="s">
        <v>14</v>
      </c>
      <c r="H91" s="121" t="s">
        <v>14</v>
      </c>
      <c r="I91" s="79" t="s">
        <v>14</v>
      </c>
      <c r="J91" s="122">
        <v>7.3</v>
      </c>
      <c r="K91" s="123">
        <v>2</v>
      </c>
      <c r="L91" s="124">
        <v>0</v>
      </c>
      <c r="M91" s="125">
        <v>0</v>
      </c>
      <c r="N91" s="118">
        <v>98.21</v>
      </c>
      <c r="O91" s="118">
        <v>100</v>
      </c>
      <c r="P91" s="119">
        <v>4</v>
      </c>
      <c r="Q91" s="87">
        <f t="shared" si="12"/>
        <v>1</v>
      </c>
      <c r="R91" s="88">
        <f t="shared" si="13"/>
        <v>3</v>
      </c>
      <c r="S91" s="89">
        <f t="shared" si="14"/>
        <v>0</v>
      </c>
      <c r="T91" s="89">
        <f t="shared" si="15"/>
        <v>0</v>
      </c>
      <c r="U91" s="89">
        <f t="shared" si="16"/>
        <v>0</v>
      </c>
      <c r="V91" s="89">
        <f t="shared" si="17"/>
        <v>0</v>
      </c>
      <c r="W91" s="89">
        <f t="shared" si="18"/>
        <v>0</v>
      </c>
      <c r="X91" s="89">
        <f t="shared" si="19"/>
        <v>0</v>
      </c>
      <c r="Y91" s="89">
        <f t="shared" si="20"/>
        <v>0</v>
      </c>
      <c r="Z91" s="89">
        <f t="shared" si="21"/>
        <v>0</v>
      </c>
      <c r="AA91" s="41">
        <f t="shared" si="22"/>
        <v>0</v>
      </c>
      <c r="AB91" s="49"/>
      <c r="AC91" s="50"/>
      <c r="AD91" s="49" t="s">
        <v>5</v>
      </c>
      <c r="AE91" s="50" t="s">
        <v>438</v>
      </c>
      <c r="AF91" s="49"/>
      <c r="AG91" s="50"/>
      <c r="AH91" s="49" t="s">
        <v>5</v>
      </c>
      <c r="AI91" s="50" t="s">
        <v>137</v>
      </c>
      <c r="AJ91" s="49"/>
      <c r="AK91" s="50"/>
      <c r="AL91" s="49"/>
      <c r="AM91" s="50"/>
      <c r="AN91" s="49"/>
      <c r="AO91" s="50"/>
      <c r="AP91" s="49"/>
      <c r="AQ91" s="50"/>
      <c r="AR91" s="49"/>
      <c r="AS91" s="50"/>
      <c r="AT91" s="49"/>
      <c r="AU91" s="50"/>
      <c r="AV91" s="49" t="s">
        <v>1</v>
      </c>
      <c r="AW91" s="50" t="s">
        <v>715</v>
      </c>
      <c r="AX91" s="49"/>
      <c r="AY91" s="50"/>
      <c r="AZ91" s="49"/>
      <c r="BA91" s="50"/>
      <c r="BB91" s="49"/>
      <c r="BC91" s="50"/>
      <c r="BD91" s="49"/>
      <c r="BE91" s="50"/>
      <c r="BF91" s="49"/>
      <c r="BG91" s="50"/>
      <c r="BH91" s="49"/>
      <c r="BI91" s="50"/>
      <c r="BJ91" s="49"/>
      <c r="BK91" s="50"/>
      <c r="BL91" s="49"/>
      <c r="BM91" s="50"/>
      <c r="BN91" s="49"/>
      <c r="BO91" s="50"/>
      <c r="BP91" s="49"/>
      <c r="BQ91" s="50"/>
      <c r="BR91" s="49"/>
      <c r="BS91" s="50"/>
      <c r="BT91" s="49"/>
      <c r="BU91" s="50"/>
      <c r="BV91" s="49"/>
      <c r="BW91" s="50"/>
      <c r="BX91" s="49"/>
      <c r="BY91" s="50"/>
      <c r="BZ91" s="49"/>
      <c r="CA91" s="50"/>
      <c r="CB91" s="49" t="s">
        <v>5</v>
      </c>
      <c r="CC91" s="50" t="s">
        <v>421</v>
      </c>
    </row>
    <row r="92" spans="1:81" s="120" customFormat="1" ht="14.25" customHeight="1" x14ac:dyDescent="0.25">
      <c r="A92" s="79">
        <v>150422</v>
      </c>
      <c r="B92" s="77" t="s">
        <v>1504</v>
      </c>
      <c r="C92" s="98" t="s">
        <v>1414</v>
      </c>
      <c r="D92" s="90" t="s">
        <v>12</v>
      </c>
      <c r="E92" s="79" t="s">
        <v>14</v>
      </c>
      <c r="F92" s="79" t="s">
        <v>126</v>
      </c>
      <c r="G92" s="78" t="s">
        <v>14</v>
      </c>
      <c r="H92" s="121" t="s">
        <v>14</v>
      </c>
      <c r="I92" s="79" t="s">
        <v>14</v>
      </c>
      <c r="J92" s="122">
        <v>5.6</v>
      </c>
      <c r="K92" s="123">
        <v>1</v>
      </c>
      <c r="L92" s="124">
        <v>0</v>
      </c>
      <c r="M92" s="125">
        <v>0</v>
      </c>
      <c r="N92" s="118">
        <v>100</v>
      </c>
      <c r="O92" s="118">
        <v>100</v>
      </c>
      <c r="P92" s="119">
        <v>0</v>
      </c>
      <c r="Q92" s="87">
        <f t="shared" si="12"/>
        <v>1</v>
      </c>
      <c r="R92" s="88">
        <f t="shared" si="13"/>
        <v>3</v>
      </c>
      <c r="S92" s="89">
        <f t="shared" si="14"/>
        <v>0</v>
      </c>
      <c r="T92" s="89">
        <f t="shared" si="15"/>
        <v>0</v>
      </c>
      <c r="U92" s="89">
        <f t="shared" si="16"/>
        <v>0</v>
      </c>
      <c r="V92" s="89">
        <f t="shared" si="17"/>
        <v>0</v>
      </c>
      <c r="W92" s="89">
        <f t="shared" si="18"/>
        <v>0</v>
      </c>
      <c r="X92" s="89">
        <f t="shared" si="19"/>
        <v>0</v>
      </c>
      <c r="Y92" s="89">
        <f t="shared" si="20"/>
        <v>0</v>
      </c>
      <c r="Z92" s="89">
        <f t="shared" si="21"/>
        <v>0</v>
      </c>
      <c r="AA92" s="41">
        <f t="shared" si="22"/>
        <v>0</v>
      </c>
      <c r="AB92" s="49"/>
      <c r="AC92" s="50"/>
      <c r="AD92" s="49" t="s">
        <v>5</v>
      </c>
      <c r="AE92" s="50" t="s">
        <v>133</v>
      </c>
      <c r="AF92" s="49"/>
      <c r="AG92" s="50"/>
      <c r="AH92" s="49" t="s">
        <v>5</v>
      </c>
      <c r="AI92" s="50" t="s">
        <v>206</v>
      </c>
      <c r="AJ92" s="49"/>
      <c r="AK92" s="50"/>
      <c r="AL92" s="49"/>
      <c r="AM92" s="50"/>
      <c r="AN92" s="49"/>
      <c r="AO92" s="50"/>
      <c r="AP92" s="49"/>
      <c r="AQ92" s="50"/>
      <c r="AR92" s="49"/>
      <c r="AS92" s="50"/>
      <c r="AT92" s="49"/>
      <c r="AU92" s="50"/>
      <c r="AV92" s="49" t="s">
        <v>1</v>
      </c>
      <c r="AW92" s="50" t="s">
        <v>131</v>
      </c>
      <c r="AX92" s="49"/>
      <c r="AY92" s="50"/>
      <c r="AZ92" s="49"/>
      <c r="BA92" s="50"/>
      <c r="BB92" s="49"/>
      <c r="BC92" s="50"/>
      <c r="BD92" s="49"/>
      <c r="BE92" s="50"/>
      <c r="BF92" s="49"/>
      <c r="BG92" s="50"/>
      <c r="BH92" s="49" t="s">
        <v>5</v>
      </c>
      <c r="BI92" s="50" t="s">
        <v>139</v>
      </c>
      <c r="BJ92" s="49"/>
      <c r="BK92" s="50"/>
      <c r="BL92" s="49"/>
      <c r="BM92" s="50"/>
      <c r="BN92" s="49"/>
      <c r="BO92" s="50"/>
      <c r="BP92" s="49"/>
      <c r="BQ92" s="50"/>
      <c r="BR92" s="49"/>
      <c r="BS92" s="50"/>
      <c r="BT92" s="49"/>
      <c r="BU92" s="50"/>
      <c r="BV92" s="49"/>
      <c r="BW92" s="50"/>
      <c r="BX92" s="49"/>
      <c r="BY92" s="50"/>
      <c r="BZ92" s="49"/>
      <c r="CA92" s="50"/>
      <c r="CB92" s="49"/>
      <c r="CC92" s="50"/>
    </row>
    <row r="93" spans="1:81" s="120" customFormat="1" ht="14.25" customHeight="1" x14ac:dyDescent="0.25">
      <c r="A93" s="79">
        <v>150569</v>
      </c>
      <c r="B93" s="77" t="s">
        <v>1505</v>
      </c>
      <c r="C93" s="98" t="s">
        <v>1410</v>
      </c>
      <c r="D93" s="90" t="s">
        <v>12</v>
      </c>
      <c r="E93" s="79" t="s">
        <v>14</v>
      </c>
      <c r="F93" s="79" t="s">
        <v>508</v>
      </c>
      <c r="G93" s="78" t="s">
        <v>14</v>
      </c>
      <c r="H93" s="121" t="s">
        <v>14</v>
      </c>
      <c r="I93" s="79" t="s">
        <v>14</v>
      </c>
      <c r="J93" s="122">
        <v>7.8</v>
      </c>
      <c r="K93" s="123">
        <v>0</v>
      </c>
      <c r="L93" s="124">
        <v>0</v>
      </c>
      <c r="M93" s="125">
        <v>0</v>
      </c>
      <c r="N93" s="118">
        <v>99.08</v>
      </c>
      <c r="O93" s="118">
        <v>100</v>
      </c>
      <c r="P93" s="119">
        <v>1</v>
      </c>
      <c r="Q93" s="87">
        <f t="shared" si="12"/>
        <v>1</v>
      </c>
      <c r="R93" s="88">
        <f t="shared" si="13"/>
        <v>3</v>
      </c>
      <c r="S93" s="89">
        <f t="shared" si="14"/>
        <v>0</v>
      </c>
      <c r="T93" s="89">
        <f t="shared" si="15"/>
        <v>0</v>
      </c>
      <c r="U93" s="89">
        <f t="shared" si="16"/>
        <v>0</v>
      </c>
      <c r="V93" s="89">
        <f t="shared" si="17"/>
        <v>0</v>
      </c>
      <c r="W93" s="89">
        <f t="shared" si="18"/>
        <v>0</v>
      </c>
      <c r="X93" s="89">
        <f t="shared" si="19"/>
        <v>0</v>
      </c>
      <c r="Y93" s="89">
        <f t="shared" si="20"/>
        <v>0</v>
      </c>
      <c r="Z93" s="89">
        <f t="shared" si="21"/>
        <v>0</v>
      </c>
      <c r="AA93" s="41">
        <f t="shared" si="22"/>
        <v>0</v>
      </c>
      <c r="AB93" s="49"/>
      <c r="AC93" s="50"/>
      <c r="AD93" s="49"/>
      <c r="AE93" s="50"/>
      <c r="AF93" s="49"/>
      <c r="AG93" s="50"/>
      <c r="AH93" s="49" t="s">
        <v>5</v>
      </c>
      <c r="AI93" s="50" t="s">
        <v>206</v>
      </c>
      <c r="AJ93" s="49"/>
      <c r="AK93" s="50"/>
      <c r="AL93" s="49"/>
      <c r="AM93" s="50"/>
      <c r="AN93" s="49"/>
      <c r="AO93" s="50"/>
      <c r="AP93" s="49"/>
      <c r="AQ93" s="50"/>
      <c r="AR93" s="49"/>
      <c r="AS93" s="50"/>
      <c r="AT93" s="49"/>
      <c r="AU93" s="50"/>
      <c r="AV93" s="49" t="s">
        <v>1</v>
      </c>
      <c r="AW93" s="50" t="s">
        <v>476</v>
      </c>
      <c r="AX93" s="49"/>
      <c r="AY93" s="50"/>
      <c r="AZ93" s="49"/>
      <c r="BA93" s="50"/>
      <c r="BB93" s="49"/>
      <c r="BC93" s="50"/>
      <c r="BD93" s="49"/>
      <c r="BE93" s="50"/>
      <c r="BF93" s="49"/>
      <c r="BG93" s="50"/>
      <c r="BH93" s="49" t="s">
        <v>5</v>
      </c>
      <c r="BI93" s="50" t="s">
        <v>139</v>
      </c>
      <c r="BJ93" s="49"/>
      <c r="BK93" s="50"/>
      <c r="BL93" s="49"/>
      <c r="BM93" s="50"/>
      <c r="BN93" s="49"/>
      <c r="BO93" s="50"/>
      <c r="BP93" s="49"/>
      <c r="BQ93" s="50"/>
      <c r="BR93" s="49"/>
      <c r="BS93" s="50"/>
      <c r="BT93" s="49" t="s">
        <v>5</v>
      </c>
      <c r="BU93" s="50" t="s">
        <v>109</v>
      </c>
      <c r="BV93" s="49"/>
      <c r="BW93" s="50"/>
      <c r="BX93" s="49"/>
      <c r="BY93" s="50"/>
      <c r="BZ93" s="49"/>
      <c r="CA93" s="50"/>
      <c r="CB93" s="49"/>
      <c r="CC93" s="50"/>
    </row>
    <row r="94" spans="1:81" s="120" customFormat="1" ht="14.25" customHeight="1" x14ac:dyDescent="0.25">
      <c r="A94" s="79">
        <v>152127</v>
      </c>
      <c r="B94" s="77" t="s">
        <v>1506</v>
      </c>
      <c r="C94" s="98" t="s">
        <v>1408</v>
      </c>
      <c r="D94" s="90" t="s">
        <v>70</v>
      </c>
      <c r="E94" s="79" t="s">
        <v>14</v>
      </c>
      <c r="F94" s="79" t="s">
        <v>279</v>
      </c>
      <c r="G94" s="78" t="s">
        <v>14</v>
      </c>
      <c r="H94" s="121" t="s">
        <v>14</v>
      </c>
      <c r="I94" s="79" t="s">
        <v>14</v>
      </c>
      <c r="J94" s="122">
        <v>7.1</v>
      </c>
      <c r="K94" s="123">
        <v>2</v>
      </c>
      <c r="L94" s="124">
        <v>0</v>
      </c>
      <c r="M94" s="125">
        <v>0</v>
      </c>
      <c r="N94" s="118">
        <v>97.32</v>
      </c>
      <c r="O94" s="118">
        <v>97.3</v>
      </c>
      <c r="P94" s="119">
        <v>0</v>
      </c>
      <c r="Q94" s="87">
        <f t="shared" si="12"/>
        <v>0</v>
      </c>
      <c r="R94" s="88">
        <f t="shared" si="13"/>
        <v>4</v>
      </c>
      <c r="S94" s="89">
        <f t="shared" si="14"/>
        <v>0</v>
      </c>
      <c r="T94" s="89">
        <f t="shared" si="15"/>
        <v>0</v>
      </c>
      <c r="U94" s="89">
        <f t="shared" si="16"/>
        <v>0</v>
      </c>
      <c r="V94" s="89">
        <f t="shared" si="17"/>
        <v>0</v>
      </c>
      <c r="W94" s="89">
        <f t="shared" si="18"/>
        <v>0</v>
      </c>
      <c r="X94" s="89">
        <f t="shared" si="19"/>
        <v>0</v>
      </c>
      <c r="Y94" s="89">
        <f t="shared" si="20"/>
        <v>0</v>
      </c>
      <c r="Z94" s="89">
        <f t="shared" si="21"/>
        <v>0</v>
      </c>
      <c r="AA94" s="41">
        <f t="shared" si="22"/>
        <v>0</v>
      </c>
      <c r="AB94" s="49"/>
      <c r="AC94" s="50"/>
      <c r="AD94" s="49"/>
      <c r="AE94" s="50"/>
      <c r="AF94" s="49"/>
      <c r="AG94" s="50"/>
      <c r="AH94" s="49"/>
      <c r="AI94" s="50"/>
      <c r="AJ94" s="49"/>
      <c r="AK94" s="50"/>
      <c r="AL94" s="49"/>
      <c r="AM94" s="50"/>
      <c r="AN94" s="49"/>
      <c r="AO94" s="50"/>
      <c r="AP94" s="49"/>
      <c r="AQ94" s="50"/>
      <c r="AR94" s="49" t="s">
        <v>5</v>
      </c>
      <c r="AS94" s="50" t="s">
        <v>459</v>
      </c>
      <c r="AT94" s="49" t="s">
        <v>5</v>
      </c>
      <c r="AU94" s="50" t="s">
        <v>448</v>
      </c>
      <c r="AV94" s="49" t="s">
        <v>5</v>
      </c>
      <c r="AW94" s="50" t="s">
        <v>421</v>
      </c>
      <c r="AX94" s="49"/>
      <c r="AY94" s="50"/>
      <c r="AZ94" s="49"/>
      <c r="BA94" s="50"/>
      <c r="BB94" s="49"/>
      <c r="BC94" s="50"/>
      <c r="BD94" s="49"/>
      <c r="BE94" s="50"/>
      <c r="BF94" s="49"/>
      <c r="BG94" s="50"/>
      <c r="BH94" s="49"/>
      <c r="BI94" s="50"/>
      <c r="BJ94" s="49"/>
      <c r="BK94" s="50"/>
      <c r="BL94" s="49"/>
      <c r="BM94" s="50"/>
      <c r="BN94" s="49"/>
      <c r="BO94" s="50"/>
      <c r="BP94" s="49"/>
      <c r="BQ94" s="50"/>
      <c r="BR94" s="49"/>
      <c r="BS94" s="50"/>
      <c r="BT94" s="49"/>
      <c r="BU94" s="50"/>
      <c r="BV94" s="49"/>
      <c r="BW94" s="50"/>
      <c r="BX94" s="49"/>
      <c r="BY94" s="50"/>
      <c r="BZ94" s="49" t="s">
        <v>5</v>
      </c>
      <c r="CA94" s="50" t="s">
        <v>420</v>
      </c>
      <c r="CB94" s="49"/>
      <c r="CC94" s="50"/>
    </row>
    <row r="95" spans="1:81" s="120" customFormat="1" ht="14.25" customHeight="1" x14ac:dyDescent="0.25">
      <c r="A95" s="79">
        <v>150401</v>
      </c>
      <c r="B95" s="77" t="s">
        <v>1507</v>
      </c>
      <c r="C95" s="98" t="s">
        <v>1419</v>
      </c>
      <c r="D95" s="90" t="s">
        <v>70</v>
      </c>
      <c r="E95" s="79" t="s">
        <v>14</v>
      </c>
      <c r="F95" s="79" t="s">
        <v>71</v>
      </c>
      <c r="G95" s="78" t="s">
        <v>14</v>
      </c>
      <c r="H95" s="121" t="s">
        <v>14</v>
      </c>
      <c r="I95" s="79" t="s">
        <v>14</v>
      </c>
      <c r="J95" s="122">
        <v>6.1</v>
      </c>
      <c r="K95" s="123">
        <v>2</v>
      </c>
      <c r="L95" s="124">
        <v>0</v>
      </c>
      <c r="M95" s="125">
        <v>0</v>
      </c>
      <c r="N95" s="118">
        <v>94.34</v>
      </c>
      <c r="O95" s="118">
        <v>91.89</v>
      </c>
      <c r="P95" s="119">
        <v>0</v>
      </c>
      <c r="Q95" s="87">
        <f t="shared" si="12"/>
        <v>0</v>
      </c>
      <c r="R95" s="88">
        <f t="shared" si="13"/>
        <v>4</v>
      </c>
      <c r="S95" s="89">
        <f t="shared" si="14"/>
        <v>0</v>
      </c>
      <c r="T95" s="89">
        <f t="shared" si="15"/>
        <v>0</v>
      </c>
      <c r="U95" s="89">
        <f t="shared" si="16"/>
        <v>0</v>
      </c>
      <c r="V95" s="89">
        <f t="shared" si="17"/>
        <v>0</v>
      </c>
      <c r="W95" s="89">
        <f t="shared" si="18"/>
        <v>0</v>
      </c>
      <c r="X95" s="89">
        <f t="shared" si="19"/>
        <v>0</v>
      </c>
      <c r="Y95" s="89">
        <f t="shared" si="20"/>
        <v>0</v>
      </c>
      <c r="Z95" s="89">
        <f t="shared" si="21"/>
        <v>0</v>
      </c>
      <c r="AA95" s="41">
        <f t="shared" si="22"/>
        <v>0</v>
      </c>
      <c r="AB95" s="49"/>
      <c r="AC95" s="50"/>
      <c r="AD95" s="49"/>
      <c r="AE95" s="50"/>
      <c r="AF95" s="49"/>
      <c r="AG95" s="50"/>
      <c r="AH95" s="49"/>
      <c r="AI95" s="50"/>
      <c r="AJ95" s="49"/>
      <c r="AK95" s="50"/>
      <c r="AL95" s="49"/>
      <c r="AM95" s="50"/>
      <c r="AN95" s="49"/>
      <c r="AO95" s="50"/>
      <c r="AP95" s="49" t="s">
        <v>5</v>
      </c>
      <c r="AQ95" s="50" t="s">
        <v>428</v>
      </c>
      <c r="AR95" s="49"/>
      <c r="AS95" s="50"/>
      <c r="AT95" s="49"/>
      <c r="AU95" s="50"/>
      <c r="AV95" s="49" t="s">
        <v>5</v>
      </c>
      <c r="AW95" s="50" t="s">
        <v>122</v>
      </c>
      <c r="AX95" s="49"/>
      <c r="AY95" s="50"/>
      <c r="AZ95" s="49"/>
      <c r="BA95" s="50"/>
      <c r="BB95" s="49"/>
      <c r="BC95" s="50"/>
      <c r="BD95" s="49"/>
      <c r="BE95" s="50"/>
      <c r="BF95" s="49"/>
      <c r="BG95" s="50"/>
      <c r="BH95" s="49"/>
      <c r="BI95" s="50"/>
      <c r="BJ95" s="49"/>
      <c r="BK95" s="50"/>
      <c r="BL95" s="49"/>
      <c r="BM95" s="50"/>
      <c r="BN95" s="49"/>
      <c r="BO95" s="50"/>
      <c r="BP95" s="49"/>
      <c r="BQ95" s="50"/>
      <c r="BR95" s="49"/>
      <c r="BS95" s="50"/>
      <c r="BT95" s="49"/>
      <c r="BU95" s="50"/>
      <c r="BV95" s="49" t="s">
        <v>5</v>
      </c>
      <c r="BW95" s="50" t="s">
        <v>93</v>
      </c>
      <c r="BX95" s="49"/>
      <c r="BY95" s="50"/>
      <c r="BZ95" s="49"/>
      <c r="CA95" s="50"/>
      <c r="CB95" s="49" t="s">
        <v>5</v>
      </c>
      <c r="CC95" s="50" t="s">
        <v>421</v>
      </c>
    </row>
    <row r="96" spans="1:81" s="120" customFormat="1" ht="14.25" customHeight="1" x14ac:dyDescent="0.25">
      <c r="A96" s="79">
        <v>150509</v>
      </c>
      <c r="B96" s="77" t="s">
        <v>1508</v>
      </c>
      <c r="C96" s="98" t="s">
        <v>1408</v>
      </c>
      <c r="D96" s="90" t="s">
        <v>12</v>
      </c>
      <c r="E96" s="79" t="s">
        <v>87</v>
      </c>
      <c r="F96" s="79" t="s">
        <v>71</v>
      </c>
      <c r="G96" s="78" t="s">
        <v>14</v>
      </c>
      <c r="H96" s="121" t="s">
        <v>14</v>
      </c>
      <c r="I96" s="79" t="s">
        <v>14</v>
      </c>
      <c r="J96" s="122">
        <v>6</v>
      </c>
      <c r="K96" s="123">
        <v>1</v>
      </c>
      <c r="L96" s="124">
        <v>0</v>
      </c>
      <c r="M96" s="125">
        <v>0</v>
      </c>
      <c r="N96" s="118">
        <v>100</v>
      </c>
      <c r="O96" s="118">
        <v>100</v>
      </c>
      <c r="P96" s="119">
        <v>0</v>
      </c>
      <c r="Q96" s="87">
        <f t="shared" si="12"/>
        <v>0</v>
      </c>
      <c r="R96" s="88">
        <f t="shared" si="13"/>
        <v>4</v>
      </c>
      <c r="S96" s="89">
        <f t="shared" si="14"/>
        <v>0</v>
      </c>
      <c r="T96" s="89">
        <f t="shared" si="15"/>
        <v>0</v>
      </c>
      <c r="U96" s="89">
        <f t="shared" si="16"/>
        <v>0</v>
      </c>
      <c r="V96" s="89">
        <f t="shared" si="17"/>
        <v>0</v>
      </c>
      <c r="W96" s="89">
        <f t="shared" si="18"/>
        <v>0</v>
      </c>
      <c r="X96" s="89">
        <f t="shared" si="19"/>
        <v>0</v>
      </c>
      <c r="Y96" s="89">
        <f t="shared" si="20"/>
        <v>0</v>
      </c>
      <c r="Z96" s="89">
        <f t="shared" si="21"/>
        <v>0</v>
      </c>
      <c r="AA96" s="41">
        <f t="shared" si="22"/>
        <v>0</v>
      </c>
      <c r="AB96" s="49"/>
      <c r="AC96" s="50"/>
      <c r="AD96" s="49"/>
      <c r="AE96" s="50"/>
      <c r="AF96" s="49"/>
      <c r="AG96" s="50"/>
      <c r="AH96" s="49"/>
      <c r="AI96" s="50"/>
      <c r="AJ96" s="49" t="s">
        <v>5</v>
      </c>
      <c r="AK96" s="50" t="s">
        <v>163</v>
      </c>
      <c r="AL96" s="49"/>
      <c r="AM96" s="50"/>
      <c r="AN96" s="49"/>
      <c r="AO96" s="50"/>
      <c r="AP96" s="49"/>
      <c r="AQ96" s="50"/>
      <c r="AR96" s="49"/>
      <c r="AS96" s="50"/>
      <c r="AT96" s="49"/>
      <c r="AU96" s="50"/>
      <c r="AV96" s="49" t="s">
        <v>5</v>
      </c>
      <c r="AW96" s="50" t="s">
        <v>421</v>
      </c>
      <c r="AX96" s="49"/>
      <c r="AY96" s="50"/>
      <c r="AZ96" s="49"/>
      <c r="BA96" s="50"/>
      <c r="BB96" s="49"/>
      <c r="BC96" s="50"/>
      <c r="BD96" s="49"/>
      <c r="BE96" s="50"/>
      <c r="BF96" s="49" t="s">
        <v>5</v>
      </c>
      <c r="BG96" s="50" t="s">
        <v>132</v>
      </c>
      <c r="BH96" s="49"/>
      <c r="BI96" s="50"/>
      <c r="BJ96" s="49"/>
      <c r="BK96" s="50"/>
      <c r="BL96" s="49"/>
      <c r="BM96" s="50"/>
      <c r="BN96" s="49"/>
      <c r="BO96" s="50"/>
      <c r="BP96" s="49"/>
      <c r="BQ96" s="50"/>
      <c r="BR96" s="49"/>
      <c r="BS96" s="50"/>
      <c r="BT96" s="49"/>
      <c r="BU96" s="50"/>
      <c r="BV96" s="49" t="s">
        <v>5</v>
      </c>
      <c r="BW96" s="50" t="s">
        <v>93</v>
      </c>
      <c r="BX96" s="49"/>
      <c r="BY96" s="50"/>
      <c r="BZ96" s="49"/>
      <c r="CA96" s="50"/>
      <c r="CB96" s="49"/>
      <c r="CC96" s="50"/>
    </row>
    <row r="97" spans="1:81" s="120" customFormat="1" ht="14.25" customHeight="1" x14ac:dyDescent="0.25">
      <c r="A97" s="79">
        <v>152162</v>
      </c>
      <c r="B97" s="77" t="s">
        <v>1509</v>
      </c>
      <c r="C97" s="98" t="s">
        <v>1440</v>
      </c>
      <c r="D97" s="90" t="s">
        <v>12</v>
      </c>
      <c r="E97" s="79" t="s">
        <v>14</v>
      </c>
      <c r="F97" s="79" t="s">
        <v>115</v>
      </c>
      <c r="G97" s="78" t="s">
        <v>14</v>
      </c>
      <c r="H97" s="121" t="s">
        <v>14</v>
      </c>
      <c r="I97" s="79" t="s">
        <v>14</v>
      </c>
      <c r="J97" s="122">
        <v>6.4</v>
      </c>
      <c r="K97" s="123">
        <v>0</v>
      </c>
      <c r="L97" s="124">
        <v>0</v>
      </c>
      <c r="M97" s="125">
        <v>0</v>
      </c>
      <c r="N97" s="118">
        <v>78.180000000000007</v>
      </c>
      <c r="O97" s="118">
        <v>87.5</v>
      </c>
      <c r="P97" s="119">
        <v>3</v>
      </c>
      <c r="Q97" s="87">
        <f t="shared" si="12"/>
        <v>0</v>
      </c>
      <c r="R97" s="88">
        <f t="shared" si="13"/>
        <v>3</v>
      </c>
      <c r="S97" s="89">
        <f t="shared" si="14"/>
        <v>1</v>
      </c>
      <c r="T97" s="89">
        <f t="shared" si="15"/>
        <v>0</v>
      </c>
      <c r="U97" s="89">
        <f t="shared" si="16"/>
        <v>0</v>
      </c>
      <c r="V97" s="89">
        <f t="shared" si="17"/>
        <v>1</v>
      </c>
      <c r="W97" s="89">
        <f t="shared" si="18"/>
        <v>0</v>
      </c>
      <c r="X97" s="89">
        <f t="shared" si="19"/>
        <v>0</v>
      </c>
      <c r="Y97" s="89">
        <f t="shared" si="20"/>
        <v>0</v>
      </c>
      <c r="Z97" s="89">
        <f t="shared" si="21"/>
        <v>0</v>
      </c>
      <c r="AA97" s="41">
        <f t="shared" si="22"/>
        <v>0</v>
      </c>
      <c r="AB97" s="49"/>
      <c r="AC97" s="50"/>
      <c r="AD97" s="49" t="s">
        <v>5</v>
      </c>
      <c r="AE97" s="50" t="s">
        <v>133</v>
      </c>
      <c r="AF97" s="49"/>
      <c r="AG97" s="50"/>
      <c r="AH97" s="49" t="s">
        <v>30</v>
      </c>
      <c r="AI97" s="50" t="s">
        <v>424</v>
      </c>
      <c r="AJ97" s="49"/>
      <c r="AK97" s="50"/>
      <c r="AL97" s="49"/>
      <c r="AM97" s="50"/>
      <c r="AN97" s="49"/>
      <c r="AO97" s="50"/>
      <c r="AP97" s="49"/>
      <c r="AQ97" s="50"/>
      <c r="AR97" s="49"/>
      <c r="AS97" s="50"/>
      <c r="AT97" s="49"/>
      <c r="AU97" s="50"/>
      <c r="AV97" s="49" t="s">
        <v>5</v>
      </c>
      <c r="AW97" s="50" t="s">
        <v>433</v>
      </c>
      <c r="AX97" s="49"/>
      <c r="AY97" s="50"/>
      <c r="AZ97" s="49"/>
      <c r="BA97" s="50"/>
      <c r="BB97" s="49" t="s">
        <v>5</v>
      </c>
      <c r="BC97" s="50" t="s">
        <v>76</v>
      </c>
      <c r="BD97" s="49"/>
      <c r="BE97" s="50"/>
      <c r="BF97" s="49"/>
      <c r="BG97" s="50"/>
      <c r="BH97" s="49"/>
      <c r="BI97" s="50"/>
      <c r="BJ97" s="49"/>
      <c r="BK97" s="50"/>
      <c r="BL97" s="49"/>
      <c r="BM97" s="50"/>
      <c r="BN97" s="49"/>
      <c r="BO97" s="50"/>
      <c r="BP97" s="49"/>
      <c r="BQ97" s="50"/>
      <c r="BR97" s="49"/>
      <c r="BS97" s="50"/>
      <c r="BT97" s="49"/>
      <c r="BU97" s="50"/>
      <c r="BV97" s="49"/>
      <c r="BW97" s="50"/>
      <c r="BX97" s="49"/>
      <c r="BY97" s="50"/>
      <c r="BZ97" s="49"/>
      <c r="CA97" s="50"/>
      <c r="CB97" s="49"/>
      <c r="CC97" s="50"/>
    </row>
    <row r="98" spans="1:81" s="120" customFormat="1" ht="14.25" customHeight="1" x14ac:dyDescent="0.25">
      <c r="A98" s="79">
        <v>150414</v>
      </c>
      <c r="B98" s="77" t="s">
        <v>1510</v>
      </c>
      <c r="C98" s="98" t="s">
        <v>1435</v>
      </c>
      <c r="D98" s="90" t="s">
        <v>12</v>
      </c>
      <c r="E98" s="79" t="s">
        <v>14</v>
      </c>
      <c r="F98" s="79" t="s">
        <v>71</v>
      </c>
      <c r="G98" s="78" t="s">
        <v>14</v>
      </c>
      <c r="H98" s="121" t="s">
        <v>14</v>
      </c>
      <c r="I98" s="79" t="s">
        <v>14</v>
      </c>
      <c r="J98" s="122">
        <v>7.2</v>
      </c>
      <c r="K98" s="123">
        <v>1</v>
      </c>
      <c r="L98" s="124">
        <v>0</v>
      </c>
      <c r="M98" s="125">
        <v>0</v>
      </c>
      <c r="N98" s="118">
        <v>99.08</v>
      </c>
      <c r="O98" s="118">
        <v>100</v>
      </c>
      <c r="P98" s="119">
        <v>0</v>
      </c>
      <c r="Q98" s="87">
        <f t="shared" si="12"/>
        <v>1</v>
      </c>
      <c r="R98" s="88">
        <f t="shared" si="13"/>
        <v>3</v>
      </c>
      <c r="S98" s="89">
        <f t="shared" si="14"/>
        <v>0</v>
      </c>
      <c r="T98" s="89">
        <f t="shared" si="15"/>
        <v>0</v>
      </c>
      <c r="U98" s="89">
        <f t="shared" si="16"/>
        <v>0</v>
      </c>
      <c r="V98" s="89">
        <f t="shared" si="17"/>
        <v>0</v>
      </c>
      <c r="W98" s="89">
        <f t="shared" si="18"/>
        <v>0</v>
      </c>
      <c r="X98" s="89">
        <f t="shared" si="19"/>
        <v>0</v>
      </c>
      <c r="Y98" s="89">
        <f t="shared" si="20"/>
        <v>0</v>
      </c>
      <c r="Z98" s="89">
        <f t="shared" si="21"/>
        <v>0</v>
      </c>
      <c r="AA98" s="41">
        <f t="shared" si="22"/>
        <v>0</v>
      </c>
      <c r="AB98" s="49"/>
      <c r="AC98" s="50"/>
      <c r="AD98" s="49"/>
      <c r="AE98" s="50"/>
      <c r="AF98" s="49"/>
      <c r="AG98" s="50"/>
      <c r="AH98" s="49"/>
      <c r="AI98" s="50"/>
      <c r="AJ98" s="49" t="s">
        <v>5</v>
      </c>
      <c r="AK98" s="50" t="s">
        <v>163</v>
      </c>
      <c r="AL98" s="49"/>
      <c r="AM98" s="50"/>
      <c r="AN98" s="49"/>
      <c r="AO98" s="50"/>
      <c r="AP98" s="49"/>
      <c r="AQ98" s="50"/>
      <c r="AR98" s="49"/>
      <c r="AS98" s="50"/>
      <c r="AT98" s="49"/>
      <c r="AU98" s="50"/>
      <c r="AV98" s="49" t="s">
        <v>5</v>
      </c>
      <c r="AW98" s="50" t="s">
        <v>476</v>
      </c>
      <c r="AX98" s="49"/>
      <c r="AY98" s="50"/>
      <c r="AZ98" s="49"/>
      <c r="BA98" s="50"/>
      <c r="BB98" s="49"/>
      <c r="BC98" s="50"/>
      <c r="BD98" s="49"/>
      <c r="BE98" s="50"/>
      <c r="BF98" s="49"/>
      <c r="BG98" s="50"/>
      <c r="BH98" s="49" t="s">
        <v>5</v>
      </c>
      <c r="BI98" s="50" t="s">
        <v>139</v>
      </c>
      <c r="BJ98" s="49"/>
      <c r="BK98" s="50"/>
      <c r="BL98" s="49"/>
      <c r="BM98" s="50"/>
      <c r="BN98" s="49"/>
      <c r="BO98" s="50"/>
      <c r="BP98" s="49"/>
      <c r="BQ98" s="50"/>
      <c r="BR98" s="49"/>
      <c r="BS98" s="50"/>
      <c r="BT98" s="49" t="s">
        <v>1</v>
      </c>
      <c r="BU98" s="50" t="s">
        <v>98</v>
      </c>
      <c r="BV98" s="49"/>
      <c r="BW98" s="50"/>
      <c r="BX98" s="49"/>
      <c r="BY98" s="50"/>
      <c r="BZ98" s="49"/>
      <c r="CA98" s="50"/>
      <c r="CB98" s="49"/>
      <c r="CC98" s="50"/>
    </row>
    <row r="99" spans="1:81" s="120" customFormat="1" ht="14.25" customHeight="1" x14ac:dyDescent="0.25">
      <c r="A99" s="79">
        <v>150581</v>
      </c>
      <c r="B99" s="77" t="s">
        <v>1511</v>
      </c>
      <c r="C99" s="98" t="s">
        <v>1419</v>
      </c>
      <c r="D99" s="90" t="s">
        <v>12</v>
      </c>
      <c r="E99" s="79" t="s">
        <v>14</v>
      </c>
      <c r="F99" s="79" t="s">
        <v>88</v>
      </c>
      <c r="G99" s="78" t="s">
        <v>14</v>
      </c>
      <c r="H99" s="121" t="s">
        <v>14</v>
      </c>
      <c r="I99" s="79" t="s">
        <v>14</v>
      </c>
      <c r="J99" s="122">
        <v>6.3</v>
      </c>
      <c r="K99" s="123">
        <v>1</v>
      </c>
      <c r="L99" s="124">
        <v>0</v>
      </c>
      <c r="M99" s="125">
        <v>0</v>
      </c>
      <c r="N99" s="118">
        <v>100</v>
      </c>
      <c r="O99" s="118">
        <v>100</v>
      </c>
      <c r="P99" s="119">
        <v>18</v>
      </c>
      <c r="Q99" s="87">
        <f t="shared" si="12"/>
        <v>0</v>
      </c>
      <c r="R99" s="88">
        <f t="shared" si="13"/>
        <v>3</v>
      </c>
      <c r="S99" s="89">
        <f t="shared" si="14"/>
        <v>0</v>
      </c>
      <c r="T99" s="89">
        <f t="shared" si="15"/>
        <v>0</v>
      </c>
      <c r="U99" s="89">
        <f t="shared" si="16"/>
        <v>1</v>
      </c>
      <c r="V99" s="89">
        <f t="shared" si="17"/>
        <v>1</v>
      </c>
      <c r="W99" s="89">
        <f t="shared" si="18"/>
        <v>0</v>
      </c>
      <c r="X99" s="89">
        <f t="shared" si="19"/>
        <v>0</v>
      </c>
      <c r="Y99" s="89">
        <f t="shared" si="20"/>
        <v>0</v>
      </c>
      <c r="Z99" s="89">
        <f t="shared" si="21"/>
        <v>0</v>
      </c>
      <c r="AA99" s="41">
        <f t="shared" si="22"/>
        <v>0</v>
      </c>
      <c r="AB99" s="49"/>
      <c r="AC99" s="50"/>
      <c r="AD99" s="49"/>
      <c r="AE99" s="50"/>
      <c r="AF99" s="49"/>
      <c r="AG99" s="50"/>
      <c r="AH99" s="49"/>
      <c r="AI99" s="50"/>
      <c r="AJ99" s="49"/>
      <c r="AK99" s="50"/>
      <c r="AL99" s="49"/>
      <c r="AM99" s="50"/>
      <c r="AN99" s="49"/>
      <c r="AO99" s="50"/>
      <c r="AP99" s="49" t="s">
        <v>5</v>
      </c>
      <c r="AQ99" s="50" t="s">
        <v>428</v>
      </c>
      <c r="AR99" s="49"/>
      <c r="AS99" s="50"/>
      <c r="AT99" s="49"/>
      <c r="AU99" s="50"/>
      <c r="AV99" s="49" t="s">
        <v>32</v>
      </c>
      <c r="AW99" s="50" t="s">
        <v>476</v>
      </c>
      <c r="AX99" s="49"/>
      <c r="AY99" s="50"/>
      <c r="AZ99" s="49"/>
      <c r="BA99" s="50"/>
      <c r="BB99" s="49"/>
      <c r="BC99" s="50"/>
      <c r="BD99" s="49"/>
      <c r="BE99" s="50"/>
      <c r="BF99" s="49"/>
      <c r="BG99" s="50"/>
      <c r="BH99" s="49" t="s">
        <v>5</v>
      </c>
      <c r="BI99" s="50" t="s">
        <v>139</v>
      </c>
      <c r="BJ99" s="49"/>
      <c r="BK99" s="50"/>
      <c r="BL99" s="49"/>
      <c r="BM99" s="50"/>
      <c r="BN99" s="49"/>
      <c r="BO99" s="50"/>
      <c r="BP99" s="49"/>
      <c r="BQ99" s="50"/>
      <c r="BR99" s="49"/>
      <c r="BS99" s="50"/>
      <c r="BT99" s="49" t="s">
        <v>5</v>
      </c>
      <c r="BU99" s="50" t="s">
        <v>109</v>
      </c>
      <c r="BV99" s="49"/>
      <c r="BW99" s="50"/>
      <c r="BX99" s="49"/>
      <c r="BY99" s="50"/>
      <c r="BZ99" s="49"/>
      <c r="CA99" s="50"/>
      <c r="CB99" s="49"/>
      <c r="CC99" s="50"/>
    </row>
    <row r="100" spans="1:81" s="120" customFormat="1" ht="14.25" customHeight="1" x14ac:dyDescent="0.25">
      <c r="A100" s="79">
        <v>150543</v>
      </c>
      <c r="B100" s="77" t="s">
        <v>1512</v>
      </c>
      <c r="C100" s="98" t="s">
        <v>1417</v>
      </c>
      <c r="D100" s="90" t="s">
        <v>70</v>
      </c>
      <c r="E100" s="79" t="s">
        <v>14</v>
      </c>
      <c r="F100" s="79" t="s">
        <v>88</v>
      </c>
      <c r="G100" s="78" t="s">
        <v>14</v>
      </c>
      <c r="H100" s="121" t="s">
        <v>14</v>
      </c>
      <c r="I100" s="79" t="s">
        <v>14</v>
      </c>
      <c r="J100" s="122">
        <v>5.0999999999999996</v>
      </c>
      <c r="K100" s="123">
        <v>0</v>
      </c>
      <c r="L100" s="124">
        <v>0</v>
      </c>
      <c r="M100" s="125">
        <v>0</v>
      </c>
      <c r="N100" s="118">
        <v>100</v>
      </c>
      <c r="O100" s="118">
        <v>100</v>
      </c>
      <c r="P100" s="119">
        <v>11</v>
      </c>
      <c r="Q100" s="87">
        <f t="shared" si="12"/>
        <v>0</v>
      </c>
      <c r="R100" s="88">
        <f t="shared" si="13"/>
        <v>3</v>
      </c>
      <c r="S100" s="89">
        <f t="shared" si="14"/>
        <v>1</v>
      </c>
      <c r="T100" s="89">
        <f t="shared" si="15"/>
        <v>0</v>
      </c>
      <c r="U100" s="89">
        <f t="shared" si="16"/>
        <v>0</v>
      </c>
      <c r="V100" s="89">
        <f t="shared" si="17"/>
        <v>1</v>
      </c>
      <c r="W100" s="89">
        <f t="shared" si="18"/>
        <v>0</v>
      </c>
      <c r="X100" s="89">
        <f t="shared" si="19"/>
        <v>0</v>
      </c>
      <c r="Y100" s="89">
        <f t="shared" si="20"/>
        <v>0</v>
      </c>
      <c r="Z100" s="89">
        <f t="shared" si="21"/>
        <v>0</v>
      </c>
      <c r="AA100" s="41">
        <f t="shared" si="22"/>
        <v>0</v>
      </c>
      <c r="AB100" s="49"/>
      <c r="AC100" s="50"/>
      <c r="AD100" s="49" t="s">
        <v>5</v>
      </c>
      <c r="AE100" s="50" t="s">
        <v>133</v>
      </c>
      <c r="AF100" s="49"/>
      <c r="AG100" s="50"/>
      <c r="AH100" s="49"/>
      <c r="AI100" s="50"/>
      <c r="AJ100" s="49"/>
      <c r="AK100" s="50"/>
      <c r="AL100" s="49"/>
      <c r="AM100" s="50"/>
      <c r="AN100" s="49"/>
      <c r="AO100" s="50"/>
      <c r="AP100" s="49" t="s">
        <v>5</v>
      </c>
      <c r="AQ100" s="50" t="s">
        <v>428</v>
      </c>
      <c r="AR100" s="49"/>
      <c r="AS100" s="50"/>
      <c r="AT100" s="49"/>
      <c r="AU100" s="50"/>
      <c r="AV100" s="49" t="s">
        <v>30</v>
      </c>
      <c r="AW100" s="50" t="s">
        <v>425</v>
      </c>
      <c r="AX100" s="49"/>
      <c r="AY100" s="50"/>
      <c r="AZ100" s="49"/>
      <c r="BA100" s="50"/>
      <c r="BB100" s="49"/>
      <c r="BC100" s="50"/>
      <c r="BD100" s="49"/>
      <c r="BE100" s="50"/>
      <c r="BF100" s="49" t="s">
        <v>5</v>
      </c>
      <c r="BG100" s="50" t="s">
        <v>77</v>
      </c>
      <c r="BH100" s="49"/>
      <c r="BI100" s="50"/>
      <c r="BJ100" s="49"/>
      <c r="BK100" s="50"/>
      <c r="BL100" s="49"/>
      <c r="BM100" s="50"/>
      <c r="BN100" s="49"/>
      <c r="BO100" s="50"/>
      <c r="BP100" s="49"/>
      <c r="BQ100" s="50"/>
      <c r="BR100" s="49"/>
      <c r="BS100" s="50"/>
      <c r="BT100" s="49"/>
      <c r="BU100" s="50"/>
      <c r="BV100" s="49"/>
      <c r="BW100" s="50"/>
      <c r="BX100" s="49"/>
      <c r="BY100" s="50"/>
      <c r="BZ100" s="49"/>
      <c r="CA100" s="50"/>
      <c r="CB100" s="49"/>
      <c r="CC100" s="50"/>
    </row>
    <row r="101" spans="1:81" s="120" customFormat="1" ht="14.25" customHeight="1" x14ac:dyDescent="0.25">
      <c r="A101" s="79">
        <v>160025</v>
      </c>
      <c r="B101" s="77" t="s">
        <v>1513</v>
      </c>
      <c r="C101" s="98" t="s">
        <v>1435</v>
      </c>
      <c r="D101" s="90" t="s">
        <v>12</v>
      </c>
      <c r="E101" s="79" t="s">
        <v>14</v>
      </c>
      <c r="F101" s="79" t="s">
        <v>71</v>
      </c>
      <c r="G101" s="78" t="s">
        <v>14</v>
      </c>
      <c r="H101" s="121" t="s">
        <v>14</v>
      </c>
      <c r="I101" s="79" t="s">
        <v>14</v>
      </c>
      <c r="J101" s="122">
        <v>5.7</v>
      </c>
      <c r="K101" s="123">
        <v>0</v>
      </c>
      <c r="L101" s="124">
        <v>1</v>
      </c>
      <c r="M101" s="125">
        <v>0</v>
      </c>
      <c r="N101" s="118">
        <v>67.62</v>
      </c>
      <c r="O101" s="118">
        <v>76.319999999999993</v>
      </c>
      <c r="P101" s="119">
        <v>1</v>
      </c>
      <c r="Q101" s="87">
        <f t="shared" si="12"/>
        <v>0</v>
      </c>
      <c r="R101" s="88">
        <f t="shared" si="13"/>
        <v>3</v>
      </c>
      <c r="S101" s="89">
        <f t="shared" si="14"/>
        <v>0</v>
      </c>
      <c r="T101" s="89">
        <f t="shared" si="15"/>
        <v>0</v>
      </c>
      <c r="U101" s="89">
        <f t="shared" si="16"/>
        <v>1</v>
      </c>
      <c r="V101" s="89">
        <f t="shared" si="17"/>
        <v>1</v>
      </c>
      <c r="W101" s="89">
        <f t="shared" si="18"/>
        <v>0</v>
      </c>
      <c r="X101" s="89">
        <f t="shared" si="19"/>
        <v>0</v>
      </c>
      <c r="Y101" s="89">
        <f t="shared" si="20"/>
        <v>0</v>
      </c>
      <c r="Z101" s="89">
        <f t="shared" si="21"/>
        <v>0</v>
      </c>
      <c r="AA101" s="41">
        <f t="shared" si="22"/>
        <v>0</v>
      </c>
      <c r="AB101" s="49"/>
      <c r="AC101" s="50"/>
      <c r="AD101" s="49"/>
      <c r="AE101" s="50"/>
      <c r="AF101" s="49" t="s">
        <v>5</v>
      </c>
      <c r="AG101" s="50" t="s">
        <v>427</v>
      </c>
      <c r="AH101" s="49"/>
      <c r="AI101" s="50"/>
      <c r="AJ101" s="49"/>
      <c r="AK101" s="50"/>
      <c r="AL101" s="49"/>
      <c r="AM101" s="50"/>
      <c r="AN101" s="49"/>
      <c r="AO101" s="50"/>
      <c r="AP101" s="49"/>
      <c r="AQ101" s="50"/>
      <c r="AR101" s="49"/>
      <c r="AS101" s="50"/>
      <c r="AT101" s="49"/>
      <c r="AU101" s="50"/>
      <c r="AV101" s="49" t="s">
        <v>32</v>
      </c>
      <c r="AW101" s="50" t="s">
        <v>602</v>
      </c>
      <c r="AX101" s="49"/>
      <c r="AY101" s="50"/>
      <c r="AZ101" s="49"/>
      <c r="BA101" s="50"/>
      <c r="BB101" s="49" t="s">
        <v>5</v>
      </c>
      <c r="BC101" s="50" t="s">
        <v>76</v>
      </c>
      <c r="BD101" s="49"/>
      <c r="BE101" s="50"/>
      <c r="BF101" s="49"/>
      <c r="BG101" s="50"/>
      <c r="BH101" s="49"/>
      <c r="BI101" s="50"/>
      <c r="BJ101" s="49"/>
      <c r="BK101" s="50"/>
      <c r="BL101" s="49"/>
      <c r="BM101" s="50"/>
      <c r="BN101" s="49"/>
      <c r="BO101" s="50"/>
      <c r="BP101" s="49"/>
      <c r="BQ101" s="50"/>
      <c r="BR101" s="49" t="s">
        <v>5</v>
      </c>
      <c r="BS101" s="50" t="s">
        <v>81</v>
      </c>
      <c r="BT101" s="49"/>
      <c r="BU101" s="50"/>
      <c r="BV101" s="49"/>
      <c r="BW101" s="50"/>
      <c r="BX101" s="49"/>
      <c r="BY101" s="50"/>
      <c r="BZ101" s="49"/>
      <c r="CA101" s="50"/>
      <c r="CB101" s="49"/>
      <c r="CC101" s="50"/>
    </row>
    <row r="102" spans="1:81" s="120" customFormat="1" ht="14.25" customHeight="1" x14ac:dyDescent="0.25">
      <c r="A102" s="79">
        <v>150442</v>
      </c>
      <c r="B102" s="77" t="s">
        <v>1514</v>
      </c>
      <c r="C102" s="98" t="s">
        <v>1440</v>
      </c>
      <c r="D102" s="90" t="s">
        <v>70</v>
      </c>
      <c r="E102" s="79" t="s">
        <v>14</v>
      </c>
      <c r="F102" s="79" t="s">
        <v>71</v>
      </c>
      <c r="G102" s="78" t="s">
        <v>14</v>
      </c>
      <c r="H102" s="121" t="s">
        <v>14</v>
      </c>
      <c r="I102" s="79" t="s">
        <v>14</v>
      </c>
      <c r="J102" s="122">
        <v>8.1999999999999993</v>
      </c>
      <c r="K102" s="123">
        <v>0</v>
      </c>
      <c r="L102" s="124">
        <v>0</v>
      </c>
      <c r="M102" s="125">
        <v>0</v>
      </c>
      <c r="N102" s="118">
        <v>94.9</v>
      </c>
      <c r="O102" s="118">
        <v>96.97</v>
      </c>
      <c r="P102" s="119">
        <v>0</v>
      </c>
      <c r="Q102" s="87">
        <f t="shared" si="12"/>
        <v>2</v>
      </c>
      <c r="R102" s="88">
        <f t="shared" si="13"/>
        <v>2</v>
      </c>
      <c r="S102" s="89">
        <f t="shared" si="14"/>
        <v>0</v>
      </c>
      <c r="T102" s="89">
        <f t="shared" si="15"/>
        <v>0</v>
      </c>
      <c r="U102" s="89">
        <f t="shared" si="16"/>
        <v>0</v>
      </c>
      <c r="V102" s="89">
        <f t="shared" si="17"/>
        <v>0</v>
      </c>
      <c r="W102" s="89">
        <f t="shared" si="18"/>
        <v>0</v>
      </c>
      <c r="X102" s="89">
        <f t="shared" si="19"/>
        <v>0</v>
      </c>
      <c r="Y102" s="89">
        <f t="shared" si="20"/>
        <v>0</v>
      </c>
      <c r="Z102" s="89">
        <f t="shared" si="21"/>
        <v>0</v>
      </c>
      <c r="AA102" s="41">
        <f t="shared" si="22"/>
        <v>0</v>
      </c>
      <c r="AB102" s="49" t="s">
        <v>5</v>
      </c>
      <c r="AC102" s="50" t="s">
        <v>72</v>
      </c>
      <c r="AD102" s="49"/>
      <c r="AE102" s="50"/>
      <c r="AF102" s="49"/>
      <c r="AG102" s="50"/>
      <c r="AH102" s="49"/>
      <c r="AI102" s="50"/>
      <c r="AJ102" s="49"/>
      <c r="AK102" s="50"/>
      <c r="AL102" s="49"/>
      <c r="AM102" s="50"/>
      <c r="AN102" s="49"/>
      <c r="AO102" s="50"/>
      <c r="AP102" s="49" t="s">
        <v>5</v>
      </c>
      <c r="AQ102" s="50" t="s">
        <v>428</v>
      </c>
      <c r="AR102" s="49"/>
      <c r="AS102" s="50"/>
      <c r="AT102" s="49"/>
      <c r="AU102" s="50"/>
      <c r="AV102" s="49" t="s">
        <v>1</v>
      </c>
      <c r="AW102" s="50" t="s">
        <v>433</v>
      </c>
      <c r="AX102" s="49"/>
      <c r="AY102" s="50"/>
      <c r="AZ102" s="49"/>
      <c r="BA102" s="50"/>
      <c r="BB102" s="49"/>
      <c r="BC102" s="50"/>
      <c r="BD102" s="49"/>
      <c r="BE102" s="50"/>
      <c r="BF102" s="49"/>
      <c r="BG102" s="50"/>
      <c r="BH102" s="49"/>
      <c r="BI102" s="50"/>
      <c r="BJ102" s="49"/>
      <c r="BK102" s="50"/>
      <c r="BL102" s="49"/>
      <c r="BM102" s="50"/>
      <c r="BN102" s="49"/>
      <c r="BO102" s="50"/>
      <c r="BP102" s="49"/>
      <c r="BQ102" s="50"/>
      <c r="BR102" s="49"/>
      <c r="BS102" s="50"/>
      <c r="BT102" s="49"/>
      <c r="BU102" s="50"/>
      <c r="BV102" s="49"/>
      <c r="BW102" s="50"/>
      <c r="BX102" s="49" t="s">
        <v>1</v>
      </c>
      <c r="BY102" s="50" t="s">
        <v>425</v>
      </c>
      <c r="BZ102" s="49"/>
      <c r="CA102" s="50"/>
      <c r="CB102" s="49"/>
      <c r="CC102" s="50"/>
    </row>
    <row r="103" spans="1:81" s="120" customFormat="1" ht="14.25" customHeight="1" x14ac:dyDescent="0.25">
      <c r="A103" s="79">
        <v>152129</v>
      </c>
      <c r="B103" s="77" t="s">
        <v>1515</v>
      </c>
      <c r="C103" s="98" t="s">
        <v>1410</v>
      </c>
      <c r="D103" s="90" t="s">
        <v>12</v>
      </c>
      <c r="E103" s="79" t="s">
        <v>14</v>
      </c>
      <c r="F103" s="79" t="s">
        <v>220</v>
      </c>
      <c r="G103" s="78" t="s">
        <v>14</v>
      </c>
      <c r="H103" s="121" t="s">
        <v>14</v>
      </c>
      <c r="I103" s="79" t="s">
        <v>14</v>
      </c>
      <c r="J103" s="122">
        <v>6.2</v>
      </c>
      <c r="K103" s="123">
        <v>0</v>
      </c>
      <c r="L103" s="124">
        <v>0</v>
      </c>
      <c r="M103" s="125">
        <v>0</v>
      </c>
      <c r="N103" s="118">
        <v>100</v>
      </c>
      <c r="O103" s="118">
        <v>100</v>
      </c>
      <c r="P103" s="119">
        <v>1</v>
      </c>
      <c r="Q103" s="87">
        <f t="shared" si="12"/>
        <v>0</v>
      </c>
      <c r="R103" s="88">
        <f t="shared" si="13"/>
        <v>4</v>
      </c>
      <c r="S103" s="89">
        <f t="shared" si="14"/>
        <v>0</v>
      </c>
      <c r="T103" s="89">
        <f t="shared" si="15"/>
        <v>0</v>
      </c>
      <c r="U103" s="89">
        <f t="shared" si="16"/>
        <v>0</v>
      </c>
      <c r="V103" s="89">
        <f t="shared" si="17"/>
        <v>0</v>
      </c>
      <c r="W103" s="89">
        <f t="shared" si="18"/>
        <v>0</v>
      </c>
      <c r="X103" s="89">
        <f t="shared" si="19"/>
        <v>0</v>
      </c>
      <c r="Y103" s="89">
        <f t="shared" si="20"/>
        <v>0</v>
      </c>
      <c r="Z103" s="89">
        <f t="shared" si="21"/>
        <v>0</v>
      </c>
      <c r="AA103" s="41">
        <f t="shared" si="22"/>
        <v>0</v>
      </c>
      <c r="AB103" s="49"/>
      <c r="AC103" s="50"/>
      <c r="AD103" s="49"/>
      <c r="AE103" s="50"/>
      <c r="AF103" s="49"/>
      <c r="AG103" s="50"/>
      <c r="AH103" s="49" t="s">
        <v>5</v>
      </c>
      <c r="AI103" s="50" t="s">
        <v>137</v>
      </c>
      <c r="AJ103" s="49"/>
      <c r="AK103" s="50"/>
      <c r="AL103" s="49"/>
      <c r="AM103" s="50"/>
      <c r="AN103" s="49"/>
      <c r="AO103" s="50"/>
      <c r="AP103" s="49"/>
      <c r="AQ103" s="50"/>
      <c r="AR103" s="49"/>
      <c r="AS103" s="50"/>
      <c r="AT103" s="49"/>
      <c r="AU103" s="50"/>
      <c r="AV103" s="49" t="s">
        <v>5</v>
      </c>
      <c r="AW103" s="50" t="s">
        <v>476</v>
      </c>
      <c r="AX103" s="49"/>
      <c r="AY103" s="50"/>
      <c r="AZ103" s="49"/>
      <c r="BA103" s="50"/>
      <c r="BB103" s="49"/>
      <c r="BC103" s="50"/>
      <c r="BD103" s="49"/>
      <c r="BE103" s="50"/>
      <c r="BF103" s="49"/>
      <c r="BG103" s="50"/>
      <c r="BH103" s="49" t="s">
        <v>5</v>
      </c>
      <c r="BI103" s="50" t="s">
        <v>422</v>
      </c>
      <c r="BJ103" s="49"/>
      <c r="BK103" s="50"/>
      <c r="BL103" s="49"/>
      <c r="BM103" s="50"/>
      <c r="BN103" s="49"/>
      <c r="BO103" s="50"/>
      <c r="BP103" s="49"/>
      <c r="BQ103" s="50"/>
      <c r="BR103" s="49"/>
      <c r="BS103" s="50"/>
      <c r="BT103" s="49" t="s">
        <v>5</v>
      </c>
      <c r="BU103" s="50" t="s">
        <v>109</v>
      </c>
      <c r="BV103" s="49"/>
      <c r="BW103" s="50"/>
      <c r="BX103" s="49"/>
      <c r="BY103" s="50"/>
      <c r="BZ103" s="49"/>
      <c r="CA103" s="50"/>
      <c r="CB103" s="49"/>
      <c r="CC103" s="50"/>
    </row>
    <row r="104" spans="1:81" s="120" customFormat="1" ht="14.25" customHeight="1" x14ac:dyDescent="0.25">
      <c r="A104" s="79">
        <v>152214</v>
      </c>
      <c r="B104" s="77" t="s">
        <v>1516</v>
      </c>
      <c r="C104" s="98" t="s">
        <v>1421</v>
      </c>
      <c r="D104" s="90" t="s">
        <v>12</v>
      </c>
      <c r="E104" s="79" t="s">
        <v>87</v>
      </c>
      <c r="F104" s="77" t="s">
        <v>445</v>
      </c>
      <c r="G104" s="78" t="s">
        <v>14</v>
      </c>
      <c r="H104" s="121" t="s">
        <v>14</v>
      </c>
      <c r="I104" s="79" t="s">
        <v>14</v>
      </c>
      <c r="J104" s="122">
        <v>4.4000000000000004</v>
      </c>
      <c r="K104" s="123">
        <v>0</v>
      </c>
      <c r="L104" s="124">
        <v>0</v>
      </c>
      <c r="M104" s="125">
        <v>0</v>
      </c>
      <c r="N104" s="118">
        <v>32.69</v>
      </c>
      <c r="O104" s="118">
        <v>43.24</v>
      </c>
      <c r="P104" s="119">
        <v>8</v>
      </c>
      <c r="Q104" s="87">
        <f t="shared" si="12"/>
        <v>0</v>
      </c>
      <c r="R104" s="88">
        <f t="shared" si="13"/>
        <v>0</v>
      </c>
      <c r="S104" s="89">
        <f t="shared" si="14"/>
        <v>0</v>
      </c>
      <c r="T104" s="89">
        <f t="shared" si="15"/>
        <v>1</v>
      </c>
      <c r="U104" s="89">
        <f t="shared" si="16"/>
        <v>2</v>
      </c>
      <c r="V104" s="89">
        <f t="shared" si="17"/>
        <v>3</v>
      </c>
      <c r="W104" s="89">
        <f t="shared" si="18"/>
        <v>0</v>
      </c>
      <c r="X104" s="89">
        <f t="shared" si="19"/>
        <v>0</v>
      </c>
      <c r="Y104" s="89">
        <f t="shared" si="20"/>
        <v>1</v>
      </c>
      <c r="Z104" s="89">
        <f t="shared" si="21"/>
        <v>1</v>
      </c>
      <c r="AA104" s="41">
        <f t="shared" si="22"/>
        <v>0</v>
      </c>
      <c r="AB104" s="49"/>
      <c r="AC104" s="50"/>
      <c r="AD104" s="49"/>
      <c r="AE104" s="50"/>
      <c r="AF104" s="49" t="s">
        <v>31</v>
      </c>
      <c r="AG104" s="50" t="s">
        <v>427</v>
      </c>
      <c r="AH104" s="49"/>
      <c r="AI104" s="50"/>
      <c r="AJ104" s="49"/>
      <c r="AK104" s="50"/>
      <c r="AL104" s="49"/>
      <c r="AM104" s="50"/>
      <c r="AN104" s="49"/>
      <c r="AO104" s="50"/>
      <c r="AP104" s="49"/>
      <c r="AQ104" s="50"/>
      <c r="AR104" s="49"/>
      <c r="AS104" s="50"/>
      <c r="AT104" s="49"/>
      <c r="AU104" s="50"/>
      <c r="AV104" s="49" t="s">
        <v>32</v>
      </c>
      <c r="AW104" s="50" t="s">
        <v>151</v>
      </c>
      <c r="AX104" s="49"/>
      <c r="AY104" s="50"/>
      <c r="AZ104" s="49"/>
      <c r="BA104" s="50"/>
      <c r="BB104" s="49" t="s">
        <v>36</v>
      </c>
      <c r="BC104" s="50" t="s">
        <v>76</v>
      </c>
      <c r="BD104" s="49"/>
      <c r="BE104" s="50"/>
      <c r="BF104" s="49"/>
      <c r="BG104" s="50"/>
      <c r="BH104" s="49"/>
      <c r="BI104" s="50"/>
      <c r="BJ104" s="49"/>
      <c r="BK104" s="50"/>
      <c r="BL104" s="49"/>
      <c r="BM104" s="50"/>
      <c r="BN104" s="49"/>
      <c r="BO104" s="50"/>
      <c r="BP104" s="49"/>
      <c r="BQ104" s="50"/>
      <c r="BR104" s="49"/>
      <c r="BS104" s="50"/>
      <c r="BT104" s="49"/>
      <c r="BU104" s="50"/>
      <c r="BV104" s="49"/>
      <c r="BW104" s="50"/>
      <c r="BX104" s="49"/>
      <c r="BY104" s="50"/>
      <c r="BZ104" s="49" t="s">
        <v>32</v>
      </c>
      <c r="CA104" s="50" t="s">
        <v>420</v>
      </c>
      <c r="CB104" s="49"/>
      <c r="CC104" s="50"/>
    </row>
    <row r="105" spans="1:81" s="120" customFormat="1" ht="14.25" customHeight="1" x14ac:dyDescent="0.25">
      <c r="A105" s="79">
        <v>150595</v>
      </c>
      <c r="B105" s="77" t="s">
        <v>1517</v>
      </c>
      <c r="C105" s="98" t="s">
        <v>1421</v>
      </c>
      <c r="D105" s="90" t="s">
        <v>12</v>
      </c>
      <c r="E105" s="79" t="s">
        <v>14</v>
      </c>
      <c r="F105" s="79" t="s">
        <v>71</v>
      </c>
      <c r="G105" s="78" t="s">
        <v>14</v>
      </c>
      <c r="H105" s="121" t="s">
        <v>14</v>
      </c>
      <c r="I105" s="79" t="s">
        <v>14</v>
      </c>
      <c r="J105" s="122">
        <v>7.2</v>
      </c>
      <c r="K105" s="123">
        <v>0</v>
      </c>
      <c r="L105" s="124">
        <v>0</v>
      </c>
      <c r="M105" s="125">
        <v>0</v>
      </c>
      <c r="N105" s="118">
        <v>95.54</v>
      </c>
      <c r="O105" s="118">
        <v>89.74</v>
      </c>
      <c r="P105" s="119">
        <v>3</v>
      </c>
      <c r="Q105" s="87">
        <f t="shared" si="12"/>
        <v>0</v>
      </c>
      <c r="R105" s="88">
        <f t="shared" si="13"/>
        <v>4</v>
      </c>
      <c r="S105" s="89">
        <f t="shared" si="14"/>
        <v>0</v>
      </c>
      <c r="T105" s="89">
        <f t="shared" si="15"/>
        <v>0</v>
      </c>
      <c r="U105" s="89">
        <f t="shared" si="16"/>
        <v>0</v>
      </c>
      <c r="V105" s="89">
        <f t="shared" si="17"/>
        <v>0</v>
      </c>
      <c r="W105" s="89">
        <f t="shared" si="18"/>
        <v>0</v>
      </c>
      <c r="X105" s="89">
        <f t="shared" si="19"/>
        <v>0</v>
      </c>
      <c r="Y105" s="89">
        <f t="shared" si="20"/>
        <v>0</v>
      </c>
      <c r="Z105" s="89">
        <f t="shared" si="21"/>
        <v>0</v>
      </c>
      <c r="AA105" s="41">
        <f t="shared" si="22"/>
        <v>0</v>
      </c>
      <c r="AB105" s="49"/>
      <c r="AC105" s="50"/>
      <c r="AD105" s="49"/>
      <c r="AE105" s="50"/>
      <c r="AF105" s="49"/>
      <c r="AG105" s="50"/>
      <c r="AH105" s="49"/>
      <c r="AI105" s="50"/>
      <c r="AJ105" s="49"/>
      <c r="AK105" s="50"/>
      <c r="AL105" s="49"/>
      <c r="AM105" s="50"/>
      <c r="AN105" s="49"/>
      <c r="AO105" s="50"/>
      <c r="AP105" s="49" t="s">
        <v>5</v>
      </c>
      <c r="AQ105" s="50" t="s">
        <v>428</v>
      </c>
      <c r="AR105" s="49"/>
      <c r="AS105" s="50"/>
      <c r="AT105" s="49"/>
      <c r="AU105" s="50"/>
      <c r="AV105" s="49" t="s">
        <v>5</v>
      </c>
      <c r="AW105" s="50" t="s">
        <v>151</v>
      </c>
      <c r="AX105" s="49"/>
      <c r="AY105" s="50"/>
      <c r="AZ105" s="49"/>
      <c r="BA105" s="50"/>
      <c r="BB105" s="49"/>
      <c r="BC105" s="50"/>
      <c r="BD105" s="49"/>
      <c r="BE105" s="50"/>
      <c r="BF105" s="49"/>
      <c r="BG105" s="50"/>
      <c r="BH105" s="49" t="s">
        <v>5</v>
      </c>
      <c r="BI105" s="50" t="s">
        <v>139</v>
      </c>
      <c r="BJ105" s="49"/>
      <c r="BK105" s="50"/>
      <c r="BL105" s="49"/>
      <c r="BM105" s="50"/>
      <c r="BN105" s="49"/>
      <c r="BO105" s="50"/>
      <c r="BP105" s="49"/>
      <c r="BQ105" s="50"/>
      <c r="BR105" s="49"/>
      <c r="BS105" s="50"/>
      <c r="BT105" s="49" t="s">
        <v>5</v>
      </c>
      <c r="BU105" s="50" t="s">
        <v>98</v>
      </c>
      <c r="BV105" s="49"/>
      <c r="BW105" s="50"/>
      <c r="BX105" s="49"/>
      <c r="BY105" s="50"/>
      <c r="BZ105" s="49"/>
      <c r="CA105" s="50"/>
      <c r="CB105" s="49"/>
      <c r="CC105" s="50"/>
    </row>
    <row r="106" spans="1:81" s="120" customFormat="1" ht="14.25" customHeight="1" x14ac:dyDescent="0.25">
      <c r="A106" s="79">
        <v>150439</v>
      </c>
      <c r="B106" s="77" t="s">
        <v>1518</v>
      </c>
      <c r="C106" s="98" t="s">
        <v>1414</v>
      </c>
      <c r="D106" s="90" t="s">
        <v>70</v>
      </c>
      <c r="E106" s="79" t="s">
        <v>87</v>
      </c>
      <c r="F106" s="79" t="s">
        <v>115</v>
      </c>
      <c r="G106" s="78" t="s">
        <v>14</v>
      </c>
      <c r="H106" s="121" t="s">
        <v>14</v>
      </c>
      <c r="I106" s="79" t="s">
        <v>14</v>
      </c>
      <c r="J106" s="122">
        <v>6.4</v>
      </c>
      <c r="K106" s="123">
        <v>2</v>
      </c>
      <c r="L106" s="124">
        <v>0</v>
      </c>
      <c r="M106" s="125">
        <v>0</v>
      </c>
      <c r="N106" s="118">
        <v>81.900000000000006</v>
      </c>
      <c r="O106" s="118">
        <v>97.3</v>
      </c>
      <c r="P106" s="119">
        <v>0</v>
      </c>
      <c r="Q106" s="87">
        <f t="shared" si="12"/>
        <v>1</v>
      </c>
      <c r="R106" s="88">
        <f t="shared" si="13"/>
        <v>3</v>
      </c>
      <c r="S106" s="89">
        <f t="shared" si="14"/>
        <v>0</v>
      </c>
      <c r="T106" s="89">
        <f t="shared" si="15"/>
        <v>0</v>
      </c>
      <c r="U106" s="89">
        <f t="shared" si="16"/>
        <v>0</v>
      </c>
      <c r="V106" s="89">
        <f t="shared" si="17"/>
        <v>0</v>
      </c>
      <c r="W106" s="89">
        <f t="shared" si="18"/>
        <v>0</v>
      </c>
      <c r="X106" s="89">
        <f t="shared" si="19"/>
        <v>0</v>
      </c>
      <c r="Y106" s="89">
        <f t="shared" si="20"/>
        <v>0</v>
      </c>
      <c r="Z106" s="89">
        <f t="shared" si="21"/>
        <v>0</v>
      </c>
      <c r="AA106" s="41">
        <f t="shared" si="22"/>
        <v>0</v>
      </c>
      <c r="AB106" s="49"/>
      <c r="AC106" s="50"/>
      <c r="AD106" s="49" t="s">
        <v>5</v>
      </c>
      <c r="AE106" s="50" t="s">
        <v>433</v>
      </c>
      <c r="AF106" s="49" t="s">
        <v>5</v>
      </c>
      <c r="AG106" s="50" t="s">
        <v>427</v>
      </c>
      <c r="AH106" s="49"/>
      <c r="AI106" s="50"/>
      <c r="AJ106" s="49"/>
      <c r="AK106" s="50"/>
      <c r="AL106" s="49"/>
      <c r="AM106" s="50"/>
      <c r="AN106" s="49"/>
      <c r="AO106" s="50"/>
      <c r="AP106" s="49"/>
      <c r="AQ106" s="50"/>
      <c r="AR106" s="49"/>
      <c r="AS106" s="50"/>
      <c r="AT106" s="49"/>
      <c r="AU106" s="50"/>
      <c r="AV106" s="49" t="s">
        <v>1</v>
      </c>
      <c r="AW106" s="50" t="s">
        <v>476</v>
      </c>
      <c r="AX106" s="49"/>
      <c r="AY106" s="50"/>
      <c r="AZ106" s="49"/>
      <c r="BA106" s="50"/>
      <c r="BB106" s="49" t="s">
        <v>5</v>
      </c>
      <c r="BC106" s="50" t="s">
        <v>76</v>
      </c>
      <c r="BD106" s="49"/>
      <c r="BE106" s="50"/>
      <c r="BF106" s="49"/>
      <c r="BG106" s="50"/>
      <c r="BH106" s="49"/>
      <c r="BI106" s="50"/>
      <c r="BJ106" s="49"/>
      <c r="BK106" s="50"/>
      <c r="BL106" s="49"/>
      <c r="BM106" s="50"/>
      <c r="BN106" s="49"/>
      <c r="BO106" s="50"/>
      <c r="BP106" s="49"/>
      <c r="BQ106" s="50"/>
      <c r="BR106" s="49"/>
      <c r="BS106" s="50"/>
      <c r="BT106" s="49"/>
      <c r="BU106" s="50"/>
      <c r="BV106" s="49"/>
      <c r="BW106" s="50"/>
      <c r="BX106" s="49"/>
      <c r="BY106" s="50"/>
      <c r="BZ106" s="49"/>
      <c r="CA106" s="50"/>
      <c r="CB106" s="49"/>
      <c r="CC106" s="50"/>
    </row>
    <row r="107" spans="1:81" s="120" customFormat="1" ht="14.25" customHeight="1" x14ac:dyDescent="0.25">
      <c r="A107" s="79">
        <v>160017</v>
      </c>
      <c r="B107" s="77" t="s">
        <v>1519</v>
      </c>
      <c r="C107" s="98" t="s">
        <v>1408</v>
      </c>
      <c r="D107" s="90" t="s">
        <v>12</v>
      </c>
      <c r="E107" s="79" t="s">
        <v>14</v>
      </c>
      <c r="F107" s="79" t="s">
        <v>115</v>
      </c>
      <c r="G107" s="78" t="s">
        <v>14</v>
      </c>
      <c r="H107" s="121" t="s">
        <v>14</v>
      </c>
      <c r="I107" s="79" t="s">
        <v>14</v>
      </c>
      <c r="J107" s="122">
        <v>8.4</v>
      </c>
      <c r="K107" s="123">
        <v>1</v>
      </c>
      <c r="L107" s="124">
        <v>0</v>
      </c>
      <c r="M107" s="125">
        <v>0</v>
      </c>
      <c r="N107" s="118">
        <v>99.1</v>
      </c>
      <c r="O107" s="118">
        <v>97.37</v>
      </c>
      <c r="P107" s="119">
        <v>9</v>
      </c>
      <c r="Q107" s="87">
        <f t="shared" si="12"/>
        <v>2</v>
      </c>
      <c r="R107" s="88">
        <f t="shared" si="13"/>
        <v>2</v>
      </c>
      <c r="S107" s="89">
        <f t="shared" si="14"/>
        <v>0</v>
      </c>
      <c r="T107" s="89">
        <f t="shared" si="15"/>
        <v>0</v>
      </c>
      <c r="U107" s="89">
        <f t="shared" si="16"/>
        <v>0</v>
      </c>
      <c r="V107" s="89">
        <f t="shared" si="17"/>
        <v>0</v>
      </c>
      <c r="W107" s="89">
        <f t="shared" si="18"/>
        <v>0</v>
      </c>
      <c r="X107" s="89">
        <f t="shared" si="19"/>
        <v>0</v>
      </c>
      <c r="Y107" s="89">
        <f t="shared" si="20"/>
        <v>0</v>
      </c>
      <c r="Z107" s="89">
        <f t="shared" si="21"/>
        <v>0</v>
      </c>
      <c r="AA107" s="41">
        <f t="shared" si="22"/>
        <v>0</v>
      </c>
      <c r="AB107" s="49"/>
      <c r="AC107" s="50"/>
      <c r="AD107" s="49" t="s">
        <v>1</v>
      </c>
      <c r="AE107" s="50" t="s">
        <v>433</v>
      </c>
      <c r="AF107" s="49"/>
      <c r="AG107" s="50"/>
      <c r="AH107" s="49" t="s">
        <v>5</v>
      </c>
      <c r="AI107" s="50" t="s">
        <v>137</v>
      </c>
      <c r="AJ107" s="49"/>
      <c r="AK107" s="50"/>
      <c r="AL107" s="49"/>
      <c r="AM107" s="50"/>
      <c r="AN107" s="49"/>
      <c r="AO107" s="50"/>
      <c r="AP107" s="49"/>
      <c r="AQ107" s="50"/>
      <c r="AR107" s="49"/>
      <c r="AS107" s="50"/>
      <c r="AT107" s="49"/>
      <c r="AU107" s="50"/>
      <c r="AV107" s="49" t="s">
        <v>1</v>
      </c>
      <c r="AW107" s="50" t="s">
        <v>421</v>
      </c>
      <c r="AX107" s="49"/>
      <c r="AY107" s="50"/>
      <c r="AZ107" s="49"/>
      <c r="BA107" s="50"/>
      <c r="BB107" s="49"/>
      <c r="BC107" s="50"/>
      <c r="BD107" s="49"/>
      <c r="BE107" s="50"/>
      <c r="BF107" s="49"/>
      <c r="BG107" s="50"/>
      <c r="BH107" s="49"/>
      <c r="BI107" s="50"/>
      <c r="BJ107" s="49"/>
      <c r="BK107" s="50"/>
      <c r="BL107" s="49"/>
      <c r="BM107" s="50"/>
      <c r="BN107" s="49"/>
      <c r="BO107" s="50"/>
      <c r="BP107" s="49"/>
      <c r="BQ107" s="50"/>
      <c r="BR107" s="49"/>
      <c r="BS107" s="50"/>
      <c r="BT107" s="49"/>
      <c r="BU107" s="50"/>
      <c r="BV107" s="49"/>
      <c r="BW107" s="50"/>
      <c r="BX107" s="49" t="s">
        <v>5</v>
      </c>
      <c r="BY107" s="50" t="s">
        <v>425</v>
      </c>
      <c r="BZ107" s="49"/>
      <c r="CA107" s="50"/>
      <c r="CB107" s="49"/>
      <c r="CC107" s="50"/>
    </row>
    <row r="108" spans="1:81" s="120" customFormat="1" ht="14.25" customHeight="1" x14ac:dyDescent="0.25">
      <c r="A108" s="79">
        <v>100353</v>
      </c>
      <c r="B108" s="77" t="s">
        <v>1520</v>
      </c>
      <c r="C108" s="98" t="s">
        <v>1417</v>
      </c>
      <c r="D108" s="90" t="s">
        <v>12</v>
      </c>
      <c r="E108" s="79" t="s">
        <v>14</v>
      </c>
      <c r="F108" s="79" t="s">
        <v>115</v>
      </c>
      <c r="G108" s="78" t="s">
        <v>14</v>
      </c>
      <c r="H108" s="121" t="s">
        <v>14</v>
      </c>
      <c r="I108" s="79" t="s">
        <v>14</v>
      </c>
      <c r="J108" s="122">
        <v>7</v>
      </c>
      <c r="K108" s="123">
        <v>2</v>
      </c>
      <c r="L108" s="124">
        <v>0</v>
      </c>
      <c r="M108" s="125">
        <v>0</v>
      </c>
      <c r="N108" s="118">
        <v>91.26</v>
      </c>
      <c r="O108" s="118">
        <v>75</v>
      </c>
      <c r="P108" s="119">
        <v>8</v>
      </c>
      <c r="Q108" s="87">
        <f t="shared" si="12"/>
        <v>0</v>
      </c>
      <c r="R108" s="88">
        <f t="shared" si="13"/>
        <v>2</v>
      </c>
      <c r="S108" s="89">
        <f t="shared" si="14"/>
        <v>1</v>
      </c>
      <c r="T108" s="89">
        <f t="shared" si="15"/>
        <v>0</v>
      </c>
      <c r="U108" s="89">
        <f t="shared" si="16"/>
        <v>1</v>
      </c>
      <c r="V108" s="89">
        <f t="shared" si="17"/>
        <v>2</v>
      </c>
      <c r="W108" s="89">
        <f t="shared" si="18"/>
        <v>0</v>
      </c>
      <c r="X108" s="89">
        <f t="shared" si="19"/>
        <v>0</v>
      </c>
      <c r="Y108" s="89">
        <f t="shared" si="20"/>
        <v>0</v>
      </c>
      <c r="Z108" s="89">
        <f t="shared" si="21"/>
        <v>0</v>
      </c>
      <c r="AA108" s="41">
        <f t="shared" si="22"/>
        <v>0</v>
      </c>
      <c r="AB108" s="49"/>
      <c r="AC108" s="50"/>
      <c r="AD108" s="49"/>
      <c r="AE108" s="50"/>
      <c r="AF108" s="49" t="s">
        <v>30</v>
      </c>
      <c r="AG108" s="50" t="s">
        <v>427</v>
      </c>
      <c r="AH108" s="49"/>
      <c r="AI108" s="50"/>
      <c r="AJ108" s="49"/>
      <c r="AK108" s="50"/>
      <c r="AL108" s="49"/>
      <c r="AM108" s="50"/>
      <c r="AN108" s="49"/>
      <c r="AO108" s="50"/>
      <c r="AP108" s="49" t="s">
        <v>5</v>
      </c>
      <c r="AQ108" s="50" t="s">
        <v>428</v>
      </c>
      <c r="AR108" s="49"/>
      <c r="AS108" s="50"/>
      <c r="AT108" s="49"/>
      <c r="AU108" s="50"/>
      <c r="AV108" s="49" t="s">
        <v>32</v>
      </c>
      <c r="AW108" s="50" t="s">
        <v>425</v>
      </c>
      <c r="AX108" s="49"/>
      <c r="AY108" s="50"/>
      <c r="AZ108" s="49"/>
      <c r="BA108" s="50"/>
      <c r="BB108" s="49"/>
      <c r="BC108" s="50"/>
      <c r="BD108" s="49"/>
      <c r="BE108" s="50"/>
      <c r="BF108" s="49"/>
      <c r="BG108" s="50"/>
      <c r="BH108" s="49" t="s">
        <v>5</v>
      </c>
      <c r="BI108" s="50" t="s">
        <v>139</v>
      </c>
      <c r="BJ108" s="49"/>
      <c r="BK108" s="50"/>
      <c r="BL108" s="49"/>
      <c r="BM108" s="50"/>
      <c r="BN108" s="49"/>
      <c r="BO108" s="50"/>
      <c r="BP108" s="49"/>
      <c r="BQ108" s="50"/>
      <c r="BR108" s="49"/>
      <c r="BS108" s="50"/>
      <c r="BT108" s="49"/>
      <c r="BU108" s="50"/>
      <c r="BV108" s="49"/>
      <c r="BW108" s="50"/>
      <c r="BX108" s="49"/>
      <c r="BY108" s="50"/>
      <c r="BZ108" s="49"/>
      <c r="CA108" s="50"/>
      <c r="CB108" s="49"/>
      <c r="CC108" s="50"/>
    </row>
    <row r="109" spans="1:81" s="120" customFormat="1" ht="14.25" customHeight="1" x14ac:dyDescent="0.25">
      <c r="A109" s="79">
        <v>150743</v>
      </c>
      <c r="B109" s="77" t="s">
        <v>1521</v>
      </c>
      <c r="C109" s="98" t="s">
        <v>1440</v>
      </c>
      <c r="D109" s="90" t="s">
        <v>12</v>
      </c>
      <c r="E109" s="79" t="s">
        <v>14</v>
      </c>
      <c r="F109" s="79" t="s">
        <v>1094</v>
      </c>
      <c r="G109" s="78" t="s">
        <v>14</v>
      </c>
      <c r="H109" s="121" t="s">
        <v>14</v>
      </c>
      <c r="I109" s="79" t="s">
        <v>14</v>
      </c>
      <c r="J109" s="122">
        <v>7</v>
      </c>
      <c r="K109" s="123">
        <v>0</v>
      </c>
      <c r="L109" s="124">
        <v>0</v>
      </c>
      <c r="M109" s="125">
        <v>0</v>
      </c>
      <c r="N109" s="118">
        <v>76.42</v>
      </c>
      <c r="O109" s="118">
        <v>78.38</v>
      </c>
      <c r="P109" s="119">
        <v>0</v>
      </c>
      <c r="Q109" s="87">
        <f t="shared" si="12"/>
        <v>0</v>
      </c>
      <c r="R109" s="88">
        <f t="shared" si="13"/>
        <v>4</v>
      </c>
      <c r="S109" s="89">
        <f t="shared" si="14"/>
        <v>0</v>
      </c>
      <c r="T109" s="89">
        <f t="shared" si="15"/>
        <v>0</v>
      </c>
      <c r="U109" s="89">
        <f t="shared" si="16"/>
        <v>0</v>
      </c>
      <c r="V109" s="89">
        <f t="shared" si="17"/>
        <v>0</v>
      </c>
      <c r="W109" s="89">
        <f t="shared" si="18"/>
        <v>0</v>
      </c>
      <c r="X109" s="89">
        <f t="shared" si="19"/>
        <v>0</v>
      </c>
      <c r="Y109" s="89">
        <f t="shared" si="20"/>
        <v>0</v>
      </c>
      <c r="Z109" s="89">
        <f t="shared" si="21"/>
        <v>0</v>
      </c>
      <c r="AA109" s="41">
        <f t="shared" si="22"/>
        <v>0</v>
      </c>
      <c r="AB109" s="49"/>
      <c r="AC109" s="50"/>
      <c r="AD109" s="49"/>
      <c r="AE109" s="50"/>
      <c r="AF109" s="49"/>
      <c r="AG109" s="50"/>
      <c r="AH109" s="49"/>
      <c r="AI109" s="50"/>
      <c r="AJ109" s="49"/>
      <c r="AK109" s="50"/>
      <c r="AL109" s="49"/>
      <c r="AM109" s="50"/>
      <c r="AN109" s="49"/>
      <c r="AO109" s="50"/>
      <c r="AP109" s="49" t="s">
        <v>5</v>
      </c>
      <c r="AQ109" s="50" t="s">
        <v>428</v>
      </c>
      <c r="AR109" s="49"/>
      <c r="AS109" s="50"/>
      <c r="AT109" s="49"/>
      <c r="AU109" s="50"/>
      <c r="AV109" s="49" t="s">
        <v>5</v>
      </c>
      <c r="AW109" s="50" t="s">
        <v>433</v>
      </c>
      <c r="AX109" s="49"/>
      <c r="AY109" s="50"/>
      <c r="AZ109" s="49"/>
      <c r="BA109" s="50"/>
      <c r="BB109" s="49" t="s">
        <v>5</v>
      </c>
      <c r="BC109" s="50" t="s">
        <v>76</v>
      </c>
      <c r="BD109" s="49"/>
      <c r="BE109" s="50"/>
      <c r="BF109" s="49" t="s">
        <v>5</v>
      </c>
      <c r="BG109" s="50" t="s">
        <v>77</v>
      </c>
      <c r="BH109" s="49"/>
      <c r="BI109" s="50"/>
      <c r="BJ109" s="49"/>
      <c r="BK109" s="50"/>
      <c r="BL109" s="49"/>
      <c r="BM109" s="50"/>
      <c r="BN109" s="49"/>
      <c r="BO109" s="50"/>
      <c r="BP109" s="49"/>
      <c r="BQ109" s="50"/>
      <c r="BR109" s="49"/>
      <c r="BS109" s="50"/>
      <c r="BT109" s="49"/>
      <c r="BU109" s="50"/>
      <c r="BV109" s="49"/>
      <c r="BW109" s="50"/>
      <c r="BX109" s="49"/>
      <c r="BY109" s="50"/>
      <c r="BZ109" s="49"/>
      <c r="CA109" s="50"/>
      <c r="CB109" s="49"/>
      <c r="CC109" s="50"/>
    </row>
    <row r="110" spans="1:81" s="120" customFormat="1" ht="14.25" customHeight="1" x14ac:dyDescent="0.25">
      <c r="A110" s="79">
        <v>150397</v>
      </c>
      <c r="B110" s="77" t="s">
        <v>1522</v>
      </c>
      <c r="C110" s="98" t="s">
        <v>1417</v>
      </c>
      <c r="D110" s="90" t="s">
        <v>70</v>
      </c>
      <c r="E110" s="79" t="s">
        <v>14</v>
      </c>
      <c r="F110" s="79" t="s">
        <v>71</v>
      </c>
      <c r="G110" s="78" t="s">
        <v>14</v>
      </c>
      <c r="H110" s="121" t="s">
        <v>14</v>
      </c>
      <c r="I110" s="79" t="s">
        <v>14</v>
      </c>
      <c r="J110" s="122">
        <v>6.5</v>
      </c>
      <c r="K110" s="123">
        <v>0</v>
      </c>
      <c r="L110" s="124">
        <v>0</v>
      </c>
      <c r="M110" s="125">
        <v>0</v>
      </c>
      <c r="N110" s="118">
        <v>98.95</v>
      </c>
      <c r="O110" s="118">
        <v>97.37</v>
      </c>
      <c r="P110" s="119">
        <v>1</v>
      </c>
      <c r="Q110" s="87">
        <f t="shared" si="12"/>
        <v>3</v>
      </c>
      <c r="R110" s="88">
        <f t="shared" si="13"/>
        <v>1</v>
      </c>
      <c r="S110" s="89">
        <f t="shared" si="14"/>
        <v>0</v>
      </c>
      <c r="T110" s="89">
        <f t="shared" si="15"/>
        <v>0</v>
      </c>
      <c r="U110" s="89">
        <f t="shared" si="16"/>
        <v>1</v>
      </c>
      <c r="V110" s="89">
        <f t="shared" si="17"/>
        <v>1</v>
      </c>
      <c r="W110" s="89">
        <f t="shared" si="18"/>
        <v>0</v>
      </c>
      <c r="X110" s="89">
        <f t="shared" si="19"/>
        <v>0</v>
      </c>
      <c r="Y110" s="89">
        <f t="shared" si="20"/>
        <v>0</v>
      </c>
      <c r="Z110" s="89">
        <f t="shared" si="21"/>
        <v>0</v>
      </c>
      <c r="AA110" s="41">
        <f t="shared" si="22"/>
        <v>0</v>
      </c>
      <c r="AB110" s="49"/>
      <c r="AC110" s="50"/>
      <c r="AD110" s="49"/>
      <c r="AE110" s="50"/>
      <c r="AF110" s="49"/>
      <c r="AG110" s="50"/>
      <c r="AH110" s="49"/>
      <c r="AI110" s="50"/>
      <c r="AJ110" s="49"/>
      <c r="AK110" s="50"/>
      <c r="AL110" s="49"/>
      <c r="AM110" s="50"/>
      <c r="AN110" s="49" t="s">
        <v>1</v>
      </c>
      <c r="AO110" s="50" t="s">
        <v>1406</v>
      </c>
      <c r="AP110" s="49"/>
      <c r="AQ110" s="50"/>
      <c r="AR110" s="49"/>
      <c r="AS110" s="50"/>
      <c r="AT110" s="49" t="s">
        <v>32</v>
      </c>
      <c r="AU110" s="50" t="s">
        <v>151</v>
      </c>
      <c r="AV110" s="49" t="s">
        <v>5</v>
      </c>
      <c r="AW110" s="50" t="s">
        <v>425</v>
      </c>
      <c r="AX110" s="49"/>
      <c r="AY110" s="50"/>
      <c r="AZ110" s="49"/>
      <c r="BA110" s="50"/>
      <c r="BB110" s="49"/>
      <c r="BC110" s="50"/>
      <c r="BD110" s="49"/>
      <c r="BE110" s="50"/>
      <c r="BF110" s="49"/>
      <c r="BG110" s="50"/>
      <c r="BH110" s="49"/>
      <c r="BI110" s="50"/>
      <c r="BJ110" s="49"/>
      <c r="BK110" s="50"/>
      <c r="BL110" s="49"/>
      <c r="BM110" s="50"/>
      <c r="BN110" s="49" t="s">
        <v>1</v>
      </c>
      <c r="BO110" s="50" t="s">
        <v>602</v>
      </c>
      <c r="BP110" s="49" t="s">
        <v>1</v>
      </c>
      <c r="BQ110" s="50"/>
      <c r="BR110" s="49"/>
      <c r="BS110" s="50"/>
      <c r="BT110" s="49"/>
      <c r="BU110" s="50"/>
      <c r="BV110" s="49"/>
      <c r="BW110" s="50"/>
      <c r="BX110" s="49"/>
      <c r="BY110" s="50"/>
      <c r="BZ110" s="49"/>
      <c r="CA110" s="50"/>
      <c r="CB110" s="49"/>
      <c r="CC110" s="50"/>
    </row>
    <row r="111" spans="1:81" s="120" customFormat="1" ht="14.25" customHeight="1" x14ac:dyDescent="0.25">
      <c r="A111" s="79">
        <v>152131</v>
      </c>
      <c r="B111" s="77" t="s">
        <v>1523</v>
      </c>
      <c r="C111" s="98" t="s">
        <v>1421</v>
      </c>
      <c r="D111" s="90" t="s">
        <v>70</v>
      </c>
      <c r="E111" s="79" t="s">
        <v>14</v>
      </c>
      <c r="F111" s="79" t="s">
        <v>88</v>
      </c>
      <c r="G111" s="78" t="s">
        <v>14</v>
      </c>
      <c r="H111" s="121" t="s">
        <v>14</v>
      </c>
      <c r="I111" s="79" t="s">
        <v>14</v>
      </c>
      <c r="J111" s="122">
        <v>4.4000000000000004</v>
      </c>
      <c r="K111" s="123">
        <v>1</v>
      </c>
      <c r="L111" s="124">
        <v>0</v>
      </c>
      <c r="M111" s="125">
        <v>0</v>
      </c>
      <c r="N111" s="118">
        <v>84.76</v>
      </c>
      <c r="O111" s="118">
        <v>77.78</v>
      </c>
      <c r="P111" s="119">
        <v>0</v>
      </c>
      <c r="Q111" s="87">
        <f t="shared" si="12"/>
        <v>0</v>
      </c>
      <c r="R111" s="88">
        <f t="shared" si="13"/>
        <v>3</v>
      </c>
      <c r="S111" s="89">
        <f t="shared" si="14"/>
        <v>1</v>
      </c>
      <c r="T111" s="89">
        <f t="shared" si="15"/>
        <v>0</v>
      </c>
      <c r="U111" s="89">
        <f t="shared" si="16"/>
        <v>0</v>
      </c>
      <c r="V111" s="89">
        <f t="shared" si="17"/>
        <v>1</v>
      </c>
      <c r="W111" s="89">
        <f t="shared" si="18"/>
        <v>0</v>
      </c>
      <c r="X111" s="89">
        <f t="shared" si="19"/>
        <v>0</v>
      </c>
      <c r="Y111" s="89">
        <f t="shared" si="20"/>
        <v>0</v>
      </c>
      <c r="Z111" s="89">
        <f t="shared" si="21"/>
        <v>0</v>
      </c>
      <c r="AA111" s="41">
        <f t="shared" si="22"/>
        <v>0</v>
      </c>
      <c r="AB111" s="49"/>
      <c r="AC111" s="50"/>
      <c r="AD111" s="49"/>
      <c r="AE111" s="50"/>
      <c r="AF111" s="49" t="s">
        <v>5</v>
      </c>
      <c r="AG111" s="50" t="s">
        <v>427</v>
      </c>
      <c r="AH111" s="49"/>
      <c r="AI111" s="50"/>
      <c r="AJ111" s="49"/>
      <c r="AK111" s="50"/>
      <c r="AL111" s="49"/>
      <c r="AM111" s="50"/>
      <c r="AN111" s="49"/>
      <c r="AO111" s="50"/>
      <c r="AP111" s="49"/>
      <c r="AQ111" s="50"/>
      <c r="AR111" s="49"/>
      <c r="AS111" s="50"/>
      <c r="AT111" s="49"/>
      <c r="AU111" s="50"/>
      <c r="AV111" s="49" t="s">
        <v>5</v>
      </c>
      <c r="AW111" s="50" t="s">
        <v>151</v>
      </c>
      <c r="AX111" s="49"/>
      <c r="AY111" s="50"/>
      <c r="AZ111" s="49"/>
      <c r="BA111" s="50"/>
      <c r="BB111" s="49"/>
      <c r="BC111" s="50"/>
      <c r="BD111" s="49"/>
      <c r="BE111" s="50"/>
      <c r="BF111" s="49"/>
      <c r="BG111" s="50"/>
      <c r="BH111" s="49"/>
      <c r="BI111" s="50"/>
      <c r="BJ111" s="49"/>
      <c r="BK111" s="50"/>
      <c r="BL111" s="49"/>
      <c r="BM111" s="50"/>
      <c r="BN111" s="49"/>
      <c r="BO111" s="50"/>
      <c r="BP111" s="49"/>
      <c r="BQ111" s="50"/>
      <c r="BR111" s="49"/>
      <c r="BS111" s="50"/>
      <c r="BT111" s="49"/>
      <c r="BU111" s="50"/>
      <c r="BV111" s="49" t="s">
        <v>5</v>
      </c>
      <c r="BW111" s="50" t="s">
        <v>93</v>
      </c>
      <c r="BX111" s="49"/>
      <c r="BY111" s="50"/>
      <c r="BZ111" s="49" t="s">
        <v>30</v>
      </c>
      <c r="CA111" s="50" t="s">
        <v>462</v>
      </c>
      <c r="CB111" s="49"/>
      <c r="CC111" s="50"/>
    </row>
    <row r="112" spans="1:81" s="120" customFormat="1" ht="14.25" customHeight="1" x14ac:dyDescent="0.25">
      <c r="A112" s="79">
        <v>152161</v>
      </c>
      <c r="B112" s="77" t="s">
        <v>1524</v>
      </c>
      <c r="C112" s="98" t="s">
        <v>1435</v>
      </c>
      <c r="D112" s="90" t="s">
        <v>70</v>
      </c>
      <c r="E112" s="79" t="s">
        <v>14</v>
      </c>
      <c r="F112" s="79" t="s">
        <v>88</v>
      </c>
      <c r="G112" s="78" t="s">
        <v>14</v>
      </c>
      <c r="H112" s="121" t="s">
        <v>14</v>
      </c>
      <c r="I112" s="79" t="s">
        <v>14</v>
      </c>
      <c r="J112" s="122">
        <v>5.8</v>
      </c>
      <c r="K112" s="123">
        <v>2</v>
      </c>
      <c r="L112" s="124">
        <v>0</v>
      </c>
      <c r="M112" s="125">
        <v>0</v>
      </c>
      <c r="N112" s="118">
        <v>80</v>
      </c>
      <c r="O112" s="118">
        <v>94.87</v>
      </c>
      <c r="P112" s="119">
        <v>0</v>
      </c>
      <c r="Q112" s="87">
        <f t="shared" si="12"/>
        <v>1</v>
      </c>
      <c r="R112" s="88">
        <f t="shared" si="13"/>
        <v>4</v>
      </c>
      <c r="S112" s="89">
        <f t="shared" si="14"/>
        <v>0</v>
      </c>
      <c r="T112" s="89">
        <f t="shared" si="15"/>
        <v>0</v>
      </c>
      <c r="U112" s="89">
        <f t="shared" si="16"/>
        <v>0</v>
      </c>
      <c r="V112" s="89">
        <f t="shared" si="17"/>
        <v>0</v>
      </c>
      <c r="W112" s="89">
        <f t="shared" si="18"/>
        <v>0</v>
      </c>
      <c r="X112" s="89">
        <f t="shared" si="19"/>
        <v>0</v>
      </c>
      <c r="Y112" s="89">
        <f t="shared" si="20"/>
        <v>0</v>
      </c>
      <c r="Z112" s="89">
        <f t="shared" si="21"/>
        <v>0</v>
      </c>
      <c r="AA112" s="41">
        <f t="shared" si="22"/>
        <v>0</v>
      </c>
      <c r="AB112" s="49"/>
      <c r="AC112" s="50"/>
      <c r="AD112" s="49"/>
      <c r="AE112" s="50"/>
      <c r="AF112" s="49"/>
      <c r="AG112" s="50"/>
      <c r="AH112" s="49"/>
      <c r="AI112" s="50"/>
      <c r="AJ112" s="49"/>
      <c r="AK112" s="50"/>
      <c r="AL112" s="49"/>
      <c r="AM112" s="50"/>
      <c r="AN112" s="49"/>
      <c r="AO112" s="50"/>
      <c r="AP112" s="49"/>
      <c r="AQ112" s="50"/>
      <c r="AR112" s="49"/>
      <c r="AS112" s="50"/>
      <c r="AT112" s="49"/>
      <c r="AU112" s="50"/>
      <c r="AV112" s="49" t="s">
        <v>5</v>
      </c>
      <c r="AW112" s="50" t="s">
        <v>82</v>
      </c>
      <c r="AX112" s="49"/>
      <c r="AY112" s="50"/>
      <c r="AZ112" s="49" t="s">
        <v>1</v>
      </c>
      <c r="BA112" s="50" t="s">
        <v>422</v>
      </c>
      <c r="BB112" s="49" t="s">
        <v>5</v>
      </c>
      <c r="BC112" s="50" t="s">
        <v>76</v>
      </c>
      <c r="BD112" s="49"/>
      <c r="BE112" s="50"/>
      <c r="BF112" s="49"/>
      <c r="BG112" s="50"/>
      <c r="BH112" s="49" t="s">
        <v>5</v>
      </c>
      <c r="BI112" s="50" t="s">
        <v>139</v>
      </c>
      <c r="BJ112" s="49"/>
      <c r="BK112" s="50"/>
      <c r="BL112" s="49"/>
      <c r="BM112" s="50"/>
      <c r="BN112" s="49"/>
      <c r="BO112" s="50"/>
      <c r="BP112" s="49"/>
      <c r="BQ112" s="50"/>
      <c r="BR112" s="49"/>
      <c r="BS112" s="50"/>
      <c r="BT112" s="49" t="s">
        <v>5</v>
      </c>
      <c r="BU112" s="50" t="s">
        <v>98</v>
      </c>
      <c r="BV112" s="49"/>
      <c r="BW112" s="50"/>
      <c r="BX112" s="49"/>
      <c r="BY112" s="50"/>
      <c r="BZ112" s="49"/>
      <c r="CA112" s="50"/>
      <c r="CB112" s="49"/>
      <c r="CC112" s="50"/>
    </row>
    <row r="113" spans="1:81" s="120" customFormat="1" ht="14.25" customHeight="1" x14ac:dyDescent="0.25">
      <c r="A113" s="79">
        <v>150516</v>
      </c>
      <c r="B113" s="77" t="s">
        <v>1525</v>
      </c>
      <c r="C113" s="98" t="s">
        <v>1414</v>
      </c>
      <c r="D113" s="90" t="s">
        <v>12</v>
      </c>
      <c r="E113" s="79" t="s">
        <v>14</v>
      </c>
      <c r="F113" s="79" t="s">
        <v>71</v>
      </c>
      <c r="G113" s="78" t="s">
        <v>14</v>
      </c>
      <c r="H113" s="121" t="s">
        <v>14</v>
      </c>
      <c r="I113" s="79" t="s">
        <v>14</v>
      </c>
      <c r="J113" s="122">
        <v>7.8</v>
      </c>
      <c r="K113" s="123">
        <v>1</v>
      </c>
      <c r="L113" s="124">
        <v>0</v>
      </c>
      <c r="M113" s="125">
        <v>0</v>
      </c>
      <c r="N113" s="118">
        <v>99.07</v>
      </c>
      <c r="O113" s="118">
        <v>97.3</v>
      </c>
      <c r="P113" s="119">
        <v>0</v>
      </c>
      <c r="Q113" s="87">
        <f t="shared" si="12"/>
        <v>1</v>
      </c>
      <c r="R113" s="88">
        <f t="shared" si="13"/>
        <v>3</v>
      </c>
      <c r="S113" s="89">
        <f t="shared" si="14"/>
        <v>0</v>
      </c>
      <c r="T113" s="89">
        <f t="shared" si="15"/>
        <v>0</v>
      </c>
      <c r="U113" s="89">
        <f t="shared" si="16"/>
        <v>0</v>
      </c>
      <c r="V113" s="89">
        <f t="shared" si="17"/>
        <v>0</v>
      </c>
      <c r="W113" s="89">
        <f t="shared" si="18"/>
        <v>0</v>
      </c>
      <c r="X113" s="89">
        <f t="shared" si="19"/>
        <v>0</v>
      </c>
      <c r="Y113" s="89">
        <f t="shared" si="20"/>
        <v>0</v>
      </c>
      <c r="Z113" s="89">
        <f t="shared" si="21"/>
        <v>0</v>
      </c>
      <c r="AA113" s="41">
        <f t="shared" si="22"/>
        <v>0</v>
      </c>
      <c r="AB113" s="49"/>
      <c r="AC113" s="50"/>
      <c r="AD113" s="49"/>
      <c r="AE113" s="50"/>
      <c r="AF113" s="49" t="s">
        <v>5</v>
      </c>
      <c r="AG113" s="50" t="s">
        <v>427</v>
      </c>
      <c r="AH113" s="49"/>
      <c r="AI113" s="50"/>
      <c r="AJ113" s="49"/>
      <c r="AK113" s="50"/>
      <c r="AL113" s="49"/>
      <c r="AM113" s="50"/>
      <c r="AN113" s="49"/>
      <c r="AO113" s="50"/>
      <c r="AP113" s="49" t="s">
        <v>5</v>
      </c>
      <c r="AQ113" s="50" t="s">
        <v>428</v>
      </c>
      <c r="AR113" s="49"/>
      <c r="AS113" s="50"/>
      <c r="AT113" s="49"/>
      <c r="AU113" s="50"/>
      <c r="AV113" s="49" t="s">
        <v>1</v>
      </c>
      <c r="AW113" s="50" t="s">
        <v>131</v>
      </c>
      <c r="AX113" s="49"/>
      <c r="AY113" s="50"/>
      <c r="AZ113" s="49"/>
      <c r="BA113" s="50"/>
      <c r="BB113" s="49"/>
      <c r="BC113" s="50"/>
      <c r="BD113" s="49"/>
      <c r="BE113" s="50"/>
      <c r="BF113" s="49"/>
      <c r="BG113" s="50"/>
      <c r="BH113" s="49" t="s">
        <v>5</v>
      </c>
      <c r="BI113" s="50" t="s">
        <v>139</v>
      </c>
      <c r="BJ113" s="49"/>
      <c r="BK113" s="50"/>
      <c r="BL113" s="49"/>
      <c r="BM113" s="50"/>
      <c r="BN113" s="49"/>
      <c r="BO113" s="50"/>
      <c r="BP113" s="49"/>
      <c r="BQ113" s="50"/>
      <c r="BR113" s="49"/>
      <c r="BS113" s="50"/>
      <c r="BT113" s="49"/>
      <c r="BU113" s="50"/>
      <c r="BV113" s="49"/>
      <c r="BW113" s="50"/>
      <c r="BX113" s="49"/>
      <c r="BY113" s="50"/>
      <c r="BZ113" s="49"/>
      <c r="CA113" s="50"/>
      <c r="CB113" s="49"/>
      <c r="CC113" s="50"/>
    </row>
    <row r="114" spans="1:81" s="120" customFormat="1" ht="14.25" customHeight="1" x14ac:dyDescent="0.25">
      <c r="A114" s="79">
        <v>150405</v>
      </c>
      <c r="B114" s="77" t="s">
        <v>1526</v>
      </c>
      <c r="C114" s="98" t="s">
        <v>1410</v>
      </c>
      <c r="D114" s="90" t="s">
        <v>70</v>
      </c>
      <c r="E114" s="79" t="s">
        <v>87</v>
      </c>
      <c r="F114" s="79" t="s">
        <v>88</v>
      </c>
      <c r="G114" s="78" t="s">
        <v>14</v>
      </c>
      <c r="H114" s="121" t="s">
        <v>14</v>
      </c>
      <c r="I114" s="79" t="s">
        <v>14</v>
      </c>
      <c r="J114" s="122">
        <v>4.9000000000000004</v>
      </c>
      <c r="K114" s="123">
        <v>0</v>
      </c>
      <c r="L114" s="124">
        <v>0</v>
      </c>
      <c r="M114" s="125">
        <v>1</v>
      </c>
      <c r="N114" s="118">
        <v>95.54</v>
      </c>
      <c r="O114" s="118">
        <v>91.89</v>
      </c>
      <c r="P114" s="119">
        <v>7</v>
      </c>
      <c r="Q114" s="87">
        <f t="shared" si="12"/>
        <v>0</v>
      </c>
      <c r="R114" s="88">
        <f t="shared" si="13"/>
        <v>2</v>
      </c>
      <c r="S114" s="89">
        <f t="shared" si="14"/>
        <v>1</v>
      </c>
      <c r="T114" s="89">
        <f t="shared" si="15"/>
        <v>0</v>
      </c>
      <c r="U114" s="89">
        <f t="shared" si="16"/>
        <v>1</v>
      </c>
      <c r="V114" s="89">
        <f t="shared" si="17"/>
        <v>2</v>
      </c>
      <c r="W114" s="89">
        <f t="shared" si="18"/>
        <v>0</v>
      </c>
      <c r="X114" s="89">
        <f t="shared" si="19"/>
        <v>0</v>
      </c>
      <c r="Y114" s="89">
        <f t="shared" si="20"/>
        <v>0</v>
      </c>
      <c r="Z114" s="89">
        <f t="shared" si="21"/>
        <v>0</v>
      </c>
      <c r="AA114" s="41">
        <f t="shared" si="22"/>
        <v>0</v>
      </c>
      <c r="AB114" s="49"/>
      <c r="AC114" s="50"/>
      <c r="AD114" s="49"/>
      <c r="AE114" s="50"/>
      <c r="AF114" s="49"/>
      <c r="AG114" s="50"/>
      <c r="AH114" s="49"/>
      <c r="AI114" s="50"/>
      <c r="AJ114" s="49"/>
      <c r="AK114" s="50"/>
      <c r="AL114" s="49"/>
      <c r="AM114" s="50"/>
      <c r="AN114" s="49"/>
      <c r="AO114" s="50"/>
      <c r="AP114" s="49"/>
      <c r="AQ114" s="50"/>
      <c r="AR114" s="49"/>
      <c r="AS114" s="50"/>
      <c r="AT114" s="49"/>
      <c r="AU114" s="50"/>
      <c r="AV114" s="49" t="s">
        <v>5</v>
      </c>
      <c r="AW114" s="50" t="s">
        <v>495</v>
      </c>
      <c r="AX114" s="49"/>
      <c r="AY114" s="50"/>
      <c r="AZ114" s="49"/>
      <c r="BA114" s="50"/>
      <c r="BB114" s="49"/>
      <c r="BC114" s="50"/>
      <c r="BD114" s="49" t="s">
        <v>5</v>
      </c>
      <c r="BE114" s="50" t="s">
        <v>436</v>
      </c>
      <c r="BF114" s="49"/>
      <c r="BG114" s="50"/>
      <c r="BH114" s="49"/>
      <c r="BI114" s="50"/>
      <c r="BJ114" s="49"/>
      <c r="BK114" s="50"/>
      <c r="BL114" s="49"/>
      <c r="BM114" s="50"/>
      <c r="BN114" s="49"/>
      <c r="BO114" s="50"/>
      <c r="BP114" s="49"/>
      <c r="BQ114" s="50"/>
      <c r="BR114" s="49"/>
      <c r="BS114" s="50"/>
      <c r="BT114" s="49"/>
      <c r="BU114" s="50"/>
      <c r="BV114" s="49"/>
      <c r="BW114" s="50"/>
      <c r="BX114" s="49" t="s">
        <v>32</v>
      </c>
      <c r="BY114" s="50" t="s">
        <v>425</v>
      </c>
      <c r="BZ114" s="49" t="s">
        <v>30</v>
      </c>
      <c r="CA114" s="50" t="s">
        <v>420</v>
      </c>
      <c r="CB114" s="49"/>
      <c r="CC114" s="50"/>
    </row>
    <row r="115" spans="1:81" s="120" customFormat="1" ht="14.25" customHeight="1" x14ac:dyDescent="0.25">
      <c r="A115" s="79">
        <v>152132</v>
      </c>
      <c r="B115" s="77" t="s">
        <v>1527</v>
      </c>
      <c r="C115" s="98" t="s">
        <v>1417</v>
      </c>
      <c r="D115" s="90" t="s">
        <v>70</v>
      </c>
      <c r="E115" s="79" t="s">
        <v>14</v>
      </c>
      <c r="F115" s="79" t="s">
        <v>71</v>
      </c>
      <c r="G115" s="78" t="s">
        <v>14</v>
      </c>
      <c r="H115" s="121" t="s">
        <v>14</v>
      </c>
      <c r="I115" s="79" t="s">
        <v>14</v>
      </c>
      <c r="J115" s="122">
        <v>7.8</v>
      </c>
      <c r="K115" s="123">
        <v>1</v>
      </c>
      <c r="L115" s="124">
        <v>0</v>
      </c>
      <c r="M115" s="125">
        <v>0</v>
      </c>
      <c r="N115" s="118">
        <v>100</v>
      </c>
      <c r="O115" s="118">
        <v>100</v>
      </c>
      <c r="P115" s="119">
        <v>0</v>
      </c>
      <c r="Q115" s="87">
        <f t="shared" si="12"/>
        <v>2</v>
      </c>
      <c r="R115" s="88">
        <f t="shared" si="13"/>
        <v>2</v>
      </c>
      <c r="S115" s="89">
        <f t="shared" si="14"/>
        <v>0</v>
      </c>
      <c r="T115" s="89">
        <f t="shared" si="15"/>
        <v>0</v>
      </c>
      <c r="U115" s="89">
        <f t="shared" si="16"/>
        <v>0</v>
      </c>
      <c r="V115" s="89">
        <f t="shared" si="17"/>
        <v>0</v>
      </c>
      <c r="W115" s="89">
        <f t="shared" si="18"/>
        <v>0</v>
      </c>
      <c r="X115" s="89">
        <f t="shared" si="19"/>
        <v>0</v>
      </c>
      <c r="Y115" s="89">
        <f t="shared" si="20"/>
        <v>0</v>
      </c>
      <c r="Z115" s="89">
        <f t="shared" si="21"/>
        <v>0</v>
      </c>
      <c r="AA115" s="41">
        <f t="shared" si="22"/>
        <v>0</v>
      </c>
      <c r="AB115" s="49"/>
      <c r="AC115" s="50"/>
      <c r="AD115" s="49" t="s">
        <v>1</v>
      </c>
      <c r="AE115" s="50" t="s">
        <v>433</v>
      </c>
      <c r="AF115" s="49"/>
      <c r="AG115" s="50"/>
      <c r="AH115" s="49" t="s">
        <v>1</v>
      </c>
      <c r="AI115" s="50" t="s">
        <v>424</v>
      </c>
      <c r="AJ115" s="49"/>
      <c r="AK115" s="50"/>
      <c r="AL115" s="49"/>
      <c r="AM115" s="50"/>
      <c r="AN115" s="49"/>
      <c r="AO115" s="50"/>
      <c r="AP115" s="49"/>
      <c r="AQ115" s="50"/>
      <c r="AR115" s="49"/>
      <c r="AS115" s="50"/>
      <c r="AT115" s="49"/>
      <c r="AU115" s="50"/>
      <c r="AV115" s="49" t="s">
        <v>5</v>
      </c>
      <c r="AW115" s="50" t="s">
        <v>425</v>
      </c>
      <c r="AX115" s="49"/>
      <c r="AY115" s="50"/>
      <c r="AZ115" s="49"/>
      <c r="BA115" s="50"/>
      <c r="BB115" s="49"/>
      <c r="BC115" s="50"/>
      <c r="BD115" s="49"/>
      <c r="BE115" s="50"/>
      <c r="BF115" s="49"/>
      <c r="BG115" s="50"/>
      <c r="BH115" s="49" t="s">
        <v>5</v>
      </c>
      <c r="BI115" s="50" t="s">
        <v>139</v>
      </c>
      <c r="BJ115" s="49"/>
      <c r="BK115" s="50"/>
      <c r="BL115" s="49"/>
      <c r="BM115" s="50"/>
      <c r="BN115" s="49"/>
      <c r="BO115" s="50"/>
      <c r="BP115" s="49"/>
      <c r="BQ115" s="50"/>
      <c r="BR115" s="49"/>
      <c r="BS115" s="50"/>
      <c r="BT115" s="49"/>
      <c r="BU115" s="50"/>
      <c r="BV115" s="49"/>
      <c r="BW115" s="50"/>
      <c r="BX115" s="49"/>
      <c r="BY115" s="50"/>
      <c r="BZ115" s="49"/>
      <c r="CA115" s="50"/>
      <c r="CB115" s="49"/>
      <c r="CC115" s="50"/>
    </row>
    <row r="116" spans="1:81" s="120" customFormat="1" ht="14.25" customHeight="1" x14ac:dyDescent="0.25">
      <c r="A116" s="79">
        <v>150528</v>
      </c>
      <c r="B116" s="77" t="s">
        <v>1528</v>
      </c>
      <c r="C116" s="98" t="s">
        <v>1410</v>
      </c>
      <c r="D116" s="90" t="s">
        <v>12</v>
      </c>
      <c r="E116" s="79" t="s">
        <v>14</v>
      </c>
      <c r="F116" s="79" t="s">
        <v>71</v>
      </c>
      <c r="G116" s="78" t="s">
        <v>14</v>
      </c>
      <c r="H116" s="121" t="s">
        <v>14</v>
      </c>
      <c r="I116" s="79" t="s">
        <v>14</v>
      </c>
      <c r="J116" s="122">
        <v>6.2</v>
      </c>
      <c r="K116" s="123">
        <v>1</v>
      </c>
      <c r="L116" s="124">
        <v>0</v>
      </c>
      <c r="M116" s="125">
        <v>0</v>
      </c>
      <c r="N116" s="118">
        <v>100</v>
      </c>
      <c r="O116" s="118">
        <v>100</v>
      </c>
      <c r="P116" s="119">
        <v>6</v>
      </c>
      <c r="Q116" s="87">
        <f t="shared" si="12"/>
        <v>0</v>
      </c>
      <c r="R116" s="88">
        <f t="shared" si="13"/>
        <v>3</v>
      </c>
      <c r="S116" s="89">
        <f t="shared" si="14"/>
        <v>0</v>
      </c>
      <c r="T116" s="89">
        <f t="shared" si="15"/>
        <v>0</v>
      </c>
      <c r="U116" s="89">
        <f t="shared" si="16"/>
        <v>1</v>
      </c>
      <c r="V116" s="89">
        <f t="shared" si="17"/>
        <v>1</v>
      </c>
      <c r="W116" s="89">
        <f t="shared" si="18"/>
        <v>0</v>
      </c>
      <c r="X116" s="89">
        <f t="shared" si="19"/>
        <v>0</v>
      </c>
      <c r="Y116" s="89">
        <f t="shared" si="20"/>
        <v>0</v>
      </c>
      <c r="Z116" s="89">
        <f t="shared" si="21"/>
        <v>0</v>
      </c>
      <c r="AA116" s="41">
        <f t="shared" si="22"/>
        <v>0</v>
      </c>
      <c r="AB116" s="49"/>
      <c r="AC116" s="50"/>
      <c r="AD116" s="49" t="s">
        <v>5</v>
      </c>
      <c r="AE116" s="50" t="s">
        <v>438</v>
      </c>
      <c r="AF116" s="49"/>
      <c r="AG116" s="50"/>
      <c r="AH116" s="49"/>
      <c r="AI116" s="50"/>
      <c r="AJ116" s="49"/>
      <c r="AK116" s="50"/>
      <c r="AL116" s="49"/>
      <c r="AM116" s="50"/>
      <c r="AN116" s="49"/>
      <c r="AO116" s="50"/>
      <c r="AP116" s="49"/>
      <c r="AQ116" s="50"/>
      <c r="AR116" s="49"/>
      <c r="AS116" s="50"/>
      <c r="AT116" s="49"/>
      <c r="AU116" s="50"/>
      <c r="AV116" s="49" t="s">
        <v>5</v>
      </c>
      <c r="AW116" s="50" t="s">
        <v>602</v>
      </c>
      <c r="AX116" s="49"/>
      <c r="AY116" s="50"/>
      <c r="AZ116" s="49"/>
      <c r="BA116" s="50"/>
      <c r="BB116" s="49"/>
      <c r="BC116" s="50"/>
      <c r="BD116" s="49"/>
      <c r="BE116" s="50"/>
      <c r="BF116" s="49"/>
      <c r="BG116" s="50"/>
      <c r="BH116" s="49"/>
      <c r="BI116" s="50"/>
      <c r="BJ116" s="49"/>
      <c r="BK116" s="50"/>
      <c r="BL116" s="49"/>
      <c r="BM116" s="50"/>
      <c r="BN116" s="49"/>
      <c r="BO116" s="50"/>
      <c r="BP116" s="49"/>
      <c r="BQ116" s="50"/>
      <c r="BR116" s="49" t="s">
        <v>5</v>
      </c>
      <c r="BS116" s="50" t="s">
        <v>81</v>
      </c>
      <c r="BT116" s="49"/>
      <c r="BU116" s="50"/>
      <c r="BV116" s="49"/>
      <c r="BW116" s="50"/>
      <c r="BX116" s="49" t="s">
        <v>32</v>
      </c>
      <c r="BY116" s="50" t="s">
        <v>425</v>
      </c>
      <c r="BZ116" s="49"/>
      <c r="CA116" s="50"/>
      <c r="CB116" s="49"/>
      <c r="CC116" s="50"/>
    </row>
    <row r="117" spans="1:81" s="120" customFormat="1" ht="14.25" customHeight="1" x14ac:dyDescent="0.25">
      <c r="A117" s="79">
        <v>152157</v>
      </c>
      <c r="B117" s="77" t="s">
        <v>1529</v>
      </c>
      <c r="C117" s="98" t="s">
        <v>1440</v>
      </c>
      <c r="D117" s="90" t="s">
        <v>12</v>
      </c>
      <c r="E117" s="79" t="s">
        <v>14</v>
      </c>
      <c r="F117" s="79" t="s">
        <v>71</v>
      </c>
      <c r="G117" s="78" t="s">
        <v>14</v>
      </c>
      <c r="H117" s="121" t="s">
        <v>14</v>
      </c>
      <c r="I117" s="79" t="s">
        <v>14</v>
      </c>
      <c r="J117" s="122">
        <v>8.1999999999999993</v>
      </c>
      <c r="K117" s="123">
        <v>0</v>
      </c>
      <c r="L117" s="124">
        <v>0</v>
      </c>
      <c r="M117" s="125">
        <v>0</v>
      </c>
      <c r="N117" s="118">
        <v>91.82</v>
      </c>
      <c r="O117" s="118">
        <v>89.47</v>
      </c>
      <c r="P117" s="119">
        <v>1</v>
      </c>
      <c r="Q117" s="87">
        <f t="shared" si="12"/>
        <v>2</v>
      </c>
      <c r="R117" s="88">
        <f t="shared" si="13"/>
        <v>2</v>
      </c>
      <c r="S117" s="89">
        <f t="shared" si="14"/>
        <v>0</v>
      </c>
      <c r="T117" s="89">
        <f t="shared" si="15"/>
        <v>0</v>
      </c>
      <c r="U117" s="89">
        <f t="shared" si="16"/>
        <v>0</v>
      </c>
      <c r="V117" s="89">
        <f t="shared" si="17"/>
        <v>0</v>
      </c>
      <c r="W117" s="89">
        <f t="shared" si="18"/>
        <v>0</v>
      </c>
      <c r="X117" s="89">
        <f t="shared" si="19"/>
        <v>0</v>
      </c>
      <c r="Y117" s="89">
        <f t="shared" si="20"/>
        <v>0</v>
      </c>
      <c r="Z117" s="89">
        <f t="shared" si="21"/>
        <v>0</v>
      </c>
      <c r="AA117" s="41">
        <f t="shared" si="22"/>
        <v>0</v>
      </c>
      <c r="AB117" s="49" t="s">
        <v>1</v>
      </c>
      <c r="AC117" s="50" t="s">
        <v>72</v>
      </c>
      <c r="AD117" s="49"/>
      <c r="AE117" s="50"/>
      <c r="AF117" s="49"/>
      <c r="AG117" s="50"/>
      <c r="AH117" s="49"/>
      <c r="AI117" s="50"/>
      <c r="AJ117" s="49"/>
      <c r="AK117" s="50"/>
      <c r="AL117" s="49"/>
      <c r="AM117" s="50"/>
      <c r="AN117" s="49"/>
      <c r="AO117" s="50"/>
      <c r="AP117" s="49"/>
      <c r="AQ117" s="50"/>
      <c r="AR117" s="49"/>
      <c r="AS117" s="50"/>
      <c r="AT117" s="49"/>
      <c r="AU117" s="50"/>
      <c r="AV117" s="49" t="s">
        <v>1</v>
      </c>
      <c r="AW117" s="50" t="s">
        <v>433</v>
      </c>
      <c r="AX117" s="49"/>
      <c r="AY117" s="50"/>
      <c r="AZ117" s="49"/>
      <c r="BA117" s="50"/>
      <c r="BB117" s="49"/>
      <c r="BC117" s="50"/>
      <c r="BD117" s="49"/>
      <c r="BE117" s="50"/>
      <c r="BF117" s="49"/>
      <c r="BG117" s="50"/>
      <c r="BH117" s="49" t="s">
        <v>5</v>
      </c>
      <c r="BI117" s="50" t="s">
        <v>139</v>
      </c>
      <c r="BJ117" s="49"/>
      <c r="BK117" s="50"/>
      <c r="BL117" s="49"/>
      <c r="BM117" s="50"/>
      <c r="BN117" s="49"/>
      <c r="BO117" s="50"/>
      <c r="BP117" s="49"/>
      <c r="BQ117" s="50"/>
      <c r="BR117" s="49"/>
      <c r="BS117" s="50"/>
      <c r="BT117" s="49" t="s">
        <v>5</v>
      </c>
      <c r="BU117" s="50" t="s">
        <v>98</v>
      </c>
      <c r="BV117" s="49"/>
      <c r="BW117" s="50"/>
      <c r="BX117" s="49"/>
      <c r="BY117" s="50"/>
      <c r="BZ117" s="49"/>
      <c r="CA117" s="50"/>
      <c r="CB117" s="49"/>
      <c r="CC117" s="50"/>
    </row>
    <row r="118" spans="1:81" s="120" customFormat="1" ht="14.25" customHeight="1" x14ac:dyDescent="0.25">
      <c r="A118" s="79">
        <v>152133</v>
      </c>
      <c r="B118" s="77" t="s">
        <v>1530</v>
      </c>
      <c r="C118" s="98" t="s">
        <v>1410</v>
      </c>
      <c r="D118" s="90" t="s">
        <v>70</v>
      </c>
      <c r="E118" s="79" t="s">
        <v>14</v>
      </c>
      <c r="F118" s="79" t="s">
        <v>88</v>
      </c>
      <c r="G118" s="78" t="s">
        <v>14</v>
      </c>
      <c r="H118" s="121" t="s">
        <v>14</v>
      </c>
      <c r="I118" s="79" t="s">
        <v>14</v>
      </c>
      <c r="J118" s="122">
        <v>4.8</v>
      </c>
      <c r="K118" s="123">
        <v>1</v>
      </c>
      <c r="L118" s="124">
        <v>0</v>
      </c>
      <c r="M118" s="125">
        <v>0</v>
      </c>
      <c r="N118" s="118">
        <v>58.88</v>
      </c>
      <c r="O118" s="118">
        <v>55.56</v>
      </c>
      <c r="P118" s="119">
        <v>2</v>
      </c>
      <c r="Q118" s="87">
        <f t="shared" si="12"/>
        <v>0</v>
      </c>
      <c r="R118" s="88">
        <f t="shared" si="13"/>
        <v>3</v>
      </c>
      <c r="S118" s="89">
        <f t="shared" si="14"/>
        <v>0</v>
      </c>
      <c r="T118" s="89">
        <f t="shared" si="15"/>
        <v>0</v>
      </c>
      <c r="U118" s="89">
        <f t="shared" si="16"/>
        <v>1</v>
      </c>
      <c r="V118" s="89">
        <f t="shared" si="17"/>
        <v>1</v>
      </c>
      <c r="W118" s="89">
        <f t="shared" si="18"/>
        <v>0</v>
      </c>
      <c r="X118" s="89">
        <f t="shared" si="19"/>
        <v>0</v>
      </c>
      <c r="Y118" s="89">
        <f t="shared" si="20"/>
        <v>0</v>
      </c>
      <c r="Z118" s="89">
        <f t="shared" si="21"/>
        <v>0</v>
      </c>
      <c r="AA118" s="41">
        <f t="shared" si="22"/>
        <v>0</v>
      </c>
      <c r="AB118" s="49"/>
      <c r="AC118" s="50"/>
      <c r="AD118" s="49"/>
      <c r="AE118" s="50"/>
      <c r="AF118" s="49" t="s">
        <v>5</v>
      </c>
      <c r="AG118" s="50" t="s">
        <v>427</v>
      </c>
      <c r="AH118" s="49"/>
      <c r="AI118" s="50"/>
      <c r="AJ118" s="49"/>
      <c r="AK118" s="50"/>
      <c r="AL118" s="49"/>
      <c r="AM118" s="50"/>
      <c r="AN118" s="49"/>
      <c r="AO118" s="50"/>
      <c r="AP118" s="49"/>
      <c r="AQ118" s="50"/>
      <c r="AR118" s="49"/>
      <c r="AS118" s="50"/>
      <c r="AT118" s="49" t="s">
        <v>32</v>
      </c>
      <c r="AU118" s="50" t="s">
        <v>151</v>
      </c>
      <c r="AV118" s="49" t="s">
        <v>5</v>
      </c>
      <c r="AW118" s="50" t="s">
        <v>476</v>
      </c>
      <c r="AX118" s="49"/>
      <c r="AY118" s="50"/>
      <c r="AZ118" s="49"/>
      <c r="BA118" s="50"/>
      <c r="BB118" s="49"/>
      <c r="BC118" s="50"/>
      <c r="BD118" s="49" t="s">
        <v>5</v>
      </c>
      <c r="BE118" s="50" t="s">
        <v>436</v>
      </c>
      <c r="BF118" s="49"/>
      <c r="BG118" s="50"/>
      <c r="BH118" s="49"/>
      <c r="BI118" s="50"/>
      <c r="BJ118" s="49"/>
      <c r="BK118" s="50"/>
      <c r="BL118" s="49"/>
      <c r="BM118" s="50"/>
      <c r="BN118" s="49"/>
      <c r="BO118" s="50"/>
      <c r="BP118" s="49"/>
      <c r="BQ118" s="50"/>
      <c r="BR118" s="49"/>
      <c r="BS118" s="50"/>
      <c r="BT118" s="49"/>
      <c r="BU118" s="50"/>
      <c r="BV118" s="49"/>
      <c r="BW118" s="50"/>
      <c r="BX118" s="49"/>
      <c r="BY118" s="50"/>
      <c r="BZ118" s="49"/>
      <c r="CA118" s="50"/>
      <c r="CB118" s="49"/>
      <c r="CC118" s="50"/>
    </row>
    <row r="119" spans="1:81" s="120" customFormat="1" ht="14.25" customHeight="1" x14ac:dyDescent="0.25">
      <c r="A119" s="79">
        <v>152134</v>
      </c>
      <c r="B119" s="77" t="s">
        <v>1531</v>
      </c>
      <c r="C119" s="98" t="s">
        <v>1421</v>
      </c>
      <c r="D119" s="90" t="s">
        <v>70</v>
      </c>
      <c r="E119" s="79" t="s">
        <v>14</v>
      </c>
      <c r="F119" s="79" t="s">
        <v>71</v>
      </c>
      <c r="G119" s="78" t="s">
        <v>14</v>
      </c>
      <c r="H119" s="121" t="s">
        <v>14</v>
      </c>
      <c r="I119" s="79" t="s">
        <v>14</v>
      </c>
      <c r="J119" s="122">
        <v>8.6</v>
      </c>
      <c r="K119" s="123">
        <v>0</v>
      </c>
      <c r="L119" s="124">
        <v>0</v>
      </c>
      <c r="M119" s="125">
        <v>0</v>
      </c>
      <c r="N119" s="118">
        <v>84.26</v>
      </c>
      <c r="O119" s="118">
        <v>100</v>
      </c>
      <c r="P119" s="119">
        <v>0</v>
      </c>
      <c r="Q119" s="87">
        <f t="shared" si="12"/>
        <v>2</v>
      </c>
      <c r="R119" s="88">
        <f t="shared" si="13"/>
        <v>2</v>
      </c>
      <c r="S119" s="89">
        <f t="shared" si="14"/>
        <v>0</v>
      </c>
      <c r="T119" s="89">
        <f t="shared" si="15"/>
        <v>0</v>
      </c>
      <c r="U119" s="89">
        <f t="shared" si="16"/>
        <v>0</v>
      </c>
      <c r="V119" s="89">
        <f t="shared" si="17"/>
        <v>0</v>
      </c>
      <c r="W119" s="89">
        <f t="shared" si="18"/>
        <v>0</v>
      </c>
      <c r="X119" s="89">
        <f t="shared" si="19"/>
        <v>0</v>
      </c>
      <c r="Y119" s="89">
        <f t="shared" si="20"/>
        <v>0</v>
      </c>
      <c r="Z119" s="89">
        <f t="shared" si="21"/>
        <v>0</v>
      </c>
      <c r="AA119" s="41">
        <f t="shared" si="22"/>
        <v>0</v>
      </c>
      <c r="AB119" s="49"/>
      <c r="AC119" s="50"/>
      <c r="AD119" s="49" t="s">
        <v>1</v>
      </c>
      <c r="AE119" s="50" t="s">
        <v>433</v>
      </c>
      <c r="AF119" s="49"/>
      <c r="AG119" s="50"/>
      <c r="AH119" s="49"/>
      <c r="AI119" s="50"/>
      <c r="AJ119" s="49"/>
      <c r="AK119" s="50"/>
      <c r="AL119" s="49"/>
      <c r="AM119" s="50"/>
      <c r="AN119" s="49"/>
      <c r="AO119" s="50"/>
      <c r="AP119" s="49"/>
      <c r="AQ119" s="50"/>
      <c r="AR119" s="49"/>
      <c r="AS119" s="50"/>
      <c r="AT119" s="49"/>
      <c r="AU119" s="50"/>
      <c r="AV119" s="49" t="s">
        <v>5</v>
      </c>
      <c r="AW119" s="50" t="s">
        <v>151</v>
      </c>
      <c r="AX119" s="49"/>
      <c r="AY119" s="50"/>
      <c r="AZ119" s="49"/>
      <c r="BA119" s="50"/>
      <c r="BB119" s="49" t="s">
        <v>5</v>
      </c>
      <c r="BC119" s="50" t="s">
        <v>76</v>
      </c>
      <c r="BD119" s="49"/>
      <c r="BE119" s="50"/>
      <c r="BF119" s="49"/>
      <c r="BG119" s="50"/>
      <c r="BH119" s="49"/>
      <c r="BI119" s="50"/>
      <c r="BJ119" s="49"/>
      <c r="BK119" s="50"/>
      <c r="BL119" s="49"/>
      <c r="BM119" s="50"/>
      <c r="BN119" s="49"/>
      <c r="BO119" s="50"/>
      <c r="BP119" s="49"/>
      <c r="BQ119" s="50"/>
      <c r="BR119" s="49"/>
      <c r="BS119" s="50"/>
      <c r="BT119" s="49"/>
      <c r="BU119" s="50"/>
      <c r="BV119" s="49"/>
      <c r="BW119" s="50"/>
      <c r="BX119" s="49" t="s">
        <v>1</v>
      </c>
      <c r="BY119" s="50" t="s">
        <v>425</v>
      </c>
      <c r="BZ119" s="49"/>
      <c r="CA119" s="50"/>
      <c r="CB119" s="49"/>
      <c r="CC119" s="50"/>
    </row>
    <row r="120" spans="1:81" s="120" customFormat="1" ht="14.25" customHeight="1" x14ac:dyDescent="0.25">
      <c r="A120" s="79">
        <v>150538</v>
      </c>
      <c r="B120" s="77" t="s">
        <v>1532</v>
      </c>
      <c r="C120" s="98" t="s">
        <v>1408</v>
      </c>
      <c r="D120" s="90" t="s">
        <v>12</v>
      </c>
      <c r="E120" s="79" t="s">
        <v>14</v>
      </c>
      <c r="F120" s="79" t="s">
        <v>71</v>
      </c>
      <c r="G120" s="78" t="s">
        <v>14</v>
      </c>
      <c r="H120" s="121" t="s">
        <v>14</v>
      </c>
      <c r="I120" s="79" t="s">
        <v>14</v>
      </c>
      <c r="J120" s="122">
        <v>7.4</v>
      </c>
      <c r="K120" s="123">
        <v>2</v>
      </c>
      <c r="L120" s="124">
        <v>0</v>
      </c>
      <c r="M120" s="125">
        <v>0</v>
      </c>
      <c r="N120" s="118">
        <v>77.89</v>
      </c>
      <c r="O120" s="118">
        <v>60.61</v>
      </c>
      <c r="P120" s="119">
        <v>1</v>
      </c>
      <c r="Q120" s="87">
        <f t="shared" si="12"/>
        <v>0</v>
      </c>
      <c r="R120" s="88">
        <f t="shared" si="13"/>
        <v>3</v>
      </c>
      <c r="S120" s="89">
        <f t="shared" si="14"/>
        <v>1</v>
      </c>
      <c r="T120" s="89">
        <f t="shared" si="15"/>
        <v>0</v>
      </c>
      <c r="U120" s="89">
        <f t="shared" si="16"/>
        <v>0</v>
      </c>
      <c r="V120" s="89">
        <f t="shared" si="17"/>
        <v>1</v>
      </c>
      <c r="W120" s="89">
        <f t="shared" si="18"/>
        <v>0</v>
      </c>
      <c r="X120" s="89">
        <f t="shared" si="19"/>
        <v>0</v>
      </c>
      <c r="Y120" s="89">
        <f t="shared" si="20"/>
        <v>0</v>
      </c>
      <c r="Z120" s="89">
        <f t="shared" si="21"/>
        <v>0</v>
      </c>
      <c r="AA120" s="41">
        <f t="shared" si="22"/>
        <v>0</v>
      </c>
      <c r="AB120" s="49"/>
      <c r="AC120" s="50"/>
      <c r="AD120" s="49"/>
      <c r="AE120" s="50"/>
      <c r="AF120" s="49" t="s">
        <v>30</v>
      </c>
      <c r="AG120" s="50" t="s">
        <v>427</v>
      </c>
      <c r="AH120" s="49"/>
      <c r="AI120" s="50"/>
      <c r="AJ120" s="49"/>
      <c r="AK120" s="50"/>
      <c r="AL120" s="49"/>
      <c r="AM120" s="50"/>
      <c r="AN120" s="49"/>
      <c r="AO120" s="50"/>
      <c r="AP120" s="49" t="s">
        <v>5</v>
      </c>
      <c r="AQ120" s="50" t="s">
        <v>428</v>
      </c>
      <c r="AR120" s="49"/>
      <c r="AS120" s="50"/>
      <c r="AT120" s="49"/>
      <c r="AU120" s="50"/>
      <c r="AV120" s="49" t="s">
        <v>5</v>
      </c>
      <c r="AW120" s="50" t="s">
        <v>421</v>
      </c>
      <c r="AX120" s="49"/>
      <c r="AY120" s="50"/>
      <c r="AZ120" s="49"/>
      <c r="BA120" s="50"/>
      <c r="BB120" s="49"/>
      <c r="BC120" s="50"/>
      <c r="BD120" s="49"/>
      <c r="BE120" s="50"/>
      <c r="BF120" s="49"/>
      <c r="BG120" s="50"/>
      <c r="BH120" s="49" t="s">
        <v>5</v>
      </c>
      <c r="BI120" s="50" t="s">
        <v>139</v>
      </c>
      <c r="BJ120" s="49"/>
      <c r="BK120" s="50"/>
      <c r="BL120" s="49"/>
      <c r="BM120" s="50"/>
      <c r="BN120" s="49"/>
      <c r="BO120" s="50"/>
      <c r="BP120" s="49"/>
      <c r="BQ120" s="50"/>
      <c r="BR120" s="49"/>
      <c r="BS120" s="50"/>
      <c r="BT120" s="49"/>
      <c r="BU120" s="50"/>
      <c r="BV120" s="49"/>
      <c r="BW120" s="50"/>
      <c r="BX120" s="49"/>
      <c r="BY120" s="50"/>
      <c r="BZ120" s="49"/>
      <c r="CA120" s="50"/>
      <c r="CB120" s="49"/>
      <c r="CC120" s="50"/>
    </row>
    <row r="121" spans="1:81" s="120" customFormat="1" ht="14.25" customHeight="1" x14ac:dyDescent="0.25">
      <c r="A121" s="79">
        <v>150544</v>
      </c>
      <c r="B121" s="77" t="s">
        <v>1533</v>
      </c>
      <c r="C121" s="98" t="s">
        <v>1435</v>
      </c>
      <c r="D121" s="90" t="s">
        <v>12</v>
      </c>
      <c r="E121" s="79" t="s">
        <v>14</v>
      </c>
      <c r="F121" s="79" t="s">
        <v>88</v>
      </c>
      <c r="G121" s="78" t="s">
        <v>14</v>
      </c>
      <c r="H121" s="121" t="s">
        <v>14</v>
      </c>
      <c r="I121" s="79" t="s">
        <v>14</v>
      </c>
      <c r="J121" s="122">
        <v>6.7</v>
      </c>
      <c r="K121" s="123">
        <v>0</v>
      </c>
      <c r="L121" s="124">
        <v>0</v>
      </c>
      <c r="M121" s="125">
        <v>0</v>
      </c>
      <c r="N121" s="118">
        <v>99.08</v>
      </c>
      <c r="O121" s="118">
        <v>97.22</v>
      </c>
      <c r="P121" s="119">
        <v>6</v>
      </c>
      <c r="Q121" s="87">
        <f t="shared" si="12"/>
        <v>0</v>
      </c>
      <c r="R121" s="88">
        <f t="shared" si="13"/>
        <v>3</v>
      </c>
      <c r="S121" s="89">
        <f t="shared" si="14"/>
        <v>0</v>
      </c>
      <c r="T121" s="89">
        <f t="shared" si="15"/>
        <v>0</v>
      </c>
      <c r="U121" s="89">
        <f t="shared" si="16"/>
        <v>1</v>
      </c>
      <c r="V121" s="89">
        <f t="shared" si="17"/>
        <v>1</v>
      </c>
      <c r="W121" s="89">
        <f t="shared" si="18"/>
        <v>0</v>
      </c>
      <c r="X121" s="89">
        <f t="shared" si="19"/>
        <v>0</v>
      </c>
      <c r="Y121" s="89">
        <f t="shared" si="20"/>
        <v>0</v>
      </c>
      <c r="Z121" s="89">
        <f t="shared" si="21"/>
        <v>0</v>
      </c>
      <c r="AA121" s="41">
        <f t="shared" si="22"/>
        <v>0</v>
      </c>
      <c r="AB121" s="49"/>
      <c r="AC121" s="50"/>
      <c r="AD121" s="49" t="s">
        <v>5</v>
      </c>
      <c r="AE121" s="50" t="s">
        <v>133</v>
      </c>
      <c r="AF121" s="49"/>
      <c r="AG121" s="50"/>
      <c r="AH121" s="49"/>
      <c r="AI121" s="50"/>
      <c r="AJ121" s="49"/>
      <c r="AK121" s="50"/>
      <c r="AL121" s="49"/>
      <c r="AM121" s="50"/>
      <c r="AN121" s="49"/>
      <c r="AO121" s="50"/>
      <c r="AP121" s="49" t="s">
        <v>5</v>
      </c>
      <c r="AQ121" s="50" t="s">
        <v>428</v>
      </c>
      <c r="AR121" s="49"/>
      <c r="AS121" s="50"/>
      <c r="AT121" s="49"/>
      <c r="AU121" s="50"/>
      <c r="AV121" s="49" t="s">
        <v>32</v>
      </c>
      <c r="AW121" s="50" t="s">
        <v>715</v>
      </c>
      <c r="AX121" s="49"/>
      <c r="AY121" s="50"/>
      <c r="AZ121" s="49"/>
      <c r="BA121" s="50"/>
      <c r="BB121" s="49"/>
      <c r="BC121" s="50"/>
      <c r="BD121" s="49"/>
      <c r="BE121" s="50"/>
      <c r="BF121" s="49"/>
      <c r="BG121" s="50"/>
      <c r="BH121" s="49" t="s">
        <v>5</v>
      </c>
      <c r="BI121" s="50" t="s">
        <v>139</v>
      </c>
      <c r="BJ121" s="49"/>
      <c r="BK121" s="50"/>
      <c r="BL121" s="49"/>
      <c r="BM121" s="50"/>
      <c r="BN121" s="49"/>
      <c r="BO121" s="50"/>
      <c r="BP121" s="49"/>
      <c r="BQ121" s="50"/>
      <c r="BR121" s="49"/>
      <c r="BS121" s="50"/>
      <c r="BT121" s="49"/>
      <c r="BU121" s="50"/>
      <c r="BV121" s="49"/>
      <c r="BW121" s="50"/>
      <c r="BX121" s="49"/>
      <c r="BY121" s="50"/>
      <c r="BZ121" s="49"/>
      <c r="CA121" s="50"/>
      <c r="CB121" s="49"/>
      <c r="CC121" s="50"/>
    </row>
    <row r="122" spans="1:81" s="120" customFormat="1" ht="14.25" customHeight="1" x14ac:dyDescent="0.25">
      <c r="A122" s="79">
        <v>150563</v>
      </c>
      <c r="B122" s="77" t="s">
        <v>1534</v>
      </c>
      <c r="C122" s="98" t="s">
        <v>1405</v>
      </c>
      <c r="D122" s="90" t="s">
        <v>12</v>
      </c>
      <c r="E122" s="79" t="s">
        <v>14</v>
      </c>
      <c r="F122" s="79" t="s">
        <v>71</v>
      </c>
      <c r="G122" s="78" t="s">
        <v>14</v>
      </c>
      <c r="H122" s="121" t="s">
        <v>14</v>
      </c>
      <c r="I122" s="79" t="s">
        <v>14</v>
      </c>
      <c r="J122" s="122">
        <v>6</v>
      </c>
      <c r="K122" s="123">
        <v>0</v>
      </c>
      <c r="L122" s="124">
        <v>0</v>
      </c>
      <c r="M122" s="125">
        <v>0</v>
      </c>
      <c r="N122" s="118">
        <v>100</v>
      </c>
      <c r="O122" s="118">
        <v>100</v>
      </c>
      <c r="P122" s="119">
        <v>0</v>
      </c>
      <c r="Q122" s="87">
        <f t="shared" si="12"/>
        <v>1</v>
      </c>
      <c r="R122" s="88">
        <f t="shared" si="13"/>
        <v>2</v>
      </c>
      <c r="S122" s="89">
        <f t="shared" si="14"/>
        <v>0</v>
      </c>
      <c r="T122" s="89">
        <f t="shared" si="15"/>
        <v>0</v>
      </c>
      <c r="U122" s="89">
        <f t="shared" si="16"/>
        <v>1</v>
      </c>
      <c r="V122" s="89">
        <f t="shared" si="17"/>
        <v>1</v>
      </c>
      <c r="W122" s="89">
        <f t="shared" si="18"/>
        <v>0</v>
      </c>
      <c r="X122" s="89">
        <f t="shared" si="19"/>
        <v>0</v>
      </c>
      <c r="Y122" s="89">
        <f t="shared" si="20"/>
        <v>0</v>
      </c>
      <c r="Z122" s="89">
        <f t="shared" si="21"/>
        <v>0</v>
      </c>
      <c r="AA122" s="41">
        <f t="shared" si="22"/>
        <v>0</v>
      </c>
      <c r="AB122" s="49"/>
      <c r="AC122" s="50"/>
      <c r="AD122" s="49" t="s">
        <v>5</v>
      </c>
      <c r="AE122" s="50" t="s">
        <v>433</v>
      </c>
      <c r="AF122" s="49"/>
      <c r="AG122" s="50"/>
      <c r="AH122" s="49"/>
      <c r="AI122" s="50"/>
      <c r="AJ122" s="49"/>
      <c r="AK122" s="50"/>
      <c r="AL122" s="49"/>
      <c r="AM122" s="50"/>
      <c r="AN122" s="49"/>
      <c r="AO122" s="50"/>
      <c r="AP122" s="49"/>
      <c r="AQ122" s="50"/>
      <c r="AR122" s="49"/>
      <c r="AS122" s="50"/>
      <c r="AT122" s="49"/>
      <c r="AU122" s="50"/>
      <c r="AV122" s="49" t="s">
        <v>1</v>
      </c>
      <c r="AW122" s="50" t="s">
        <v>495</v>
      </c>
      <c r="AX122" s="49"/>
      <c r="AY122" s="50"/>
      <c r="AZ122" s="49"/>
      <c r="BA122" s="50"/>
      <c r="BB122" s="49"/>
      <c r="BC122" s="50"/>
      <c r="BD122" s="49"/>
      <c r="BE122" s="50"/>
      <c r="BF122" s="49"/>
      <c r="BG122" s="50"/>
      <c r="BH122" s="49"/>
      <c r="BI122" s="50"/>
      <c r="BJ122" s="49"/>
      <c r="BK122" s="50"/>
      <c r="BL122" s="49"/>
      <c r="BM122" s="50"/>
      <c r="BN122" s="49"/>
      <c r="BO122" s="50"/>
      <c r="BP122" s="49"/>
      <c r="BQ122" s="50"/>
      <c r="BR122" s="49"/>
      <c r="BS122" s="50"/>
      <c r="BT122" s="49"/>
      <c r="BU122" s="50"/>
      <c r="BV122" s="49"/>
      <c r="BW122" s="50"/>
      <c r="BX122" s="49" t="s">
        <v>32</v>
      </c>
      <c r="BY122" s="50" t="s">
        <v>425</v>
      </c>
      <c r="BZ122" s="49" t="s">
        <v>5</v>
      </c>
      <c r="CA122" s="50" t="s">
        <v>420</v>
      </c>
      <c r="CB122" s="49"/>
      <c r="CC122" s="50"/>
    </row>
    <row r="123" spans="1:81" s="120" customFormat="1" ht="14.25" customHeight="1" x14ac:dyDescent="0.25">
      <c r="A123" s="79">
        <v>150423</v>
      </c>
      <c r="B123" s="77" t="s">
        <v>1535</v>
      </c>
      <c r="C123" s="98" t="s">
        <v>1417</v>
      </c>
      <c r="D123" s="90" t="s">
        <v>70</v>
      </c>
      <c r="E123" s="79" t="s">
        <v>14</v>
      </c>
      <c r="F123" s="79" t="s">
        <v>71</v>
      </c>
      <c r="G123" s="78" t="s">
        <v>14</v>
      </c>
      <c r="H123" s="121" t="s">
        <v>14</v>
      </c>
      <c r="I123" s="79" t="s">
        <v>14</v>
      </c>
      <c r="J123" s="122">
        <v>7.2</v>
      </c>
      <c r="K123" s="123">
        <v>1</v>
      </c>
      <c r="L123" s="124">
        <v>0</v>
      </c>
      <c r="M123" s="125">
        <v>0</v>
      </c>
      <c r="N123" s="118">
        <v>100</v>
      </c>
      <c r="O123" s="118">
        <v>100</v>
      </c>
      <c r="P123" s="119">
        <v>1</v>
      </c>
      <c r="Q123" s="87">
        <f t="shared" si="12"/>
        <v>2</v>
      </c>
      <c r="R123" s="88">
        <f t="shared" si="13"/>
        <v>3</v>
      </c>
      <c r="S123" s="89">
        <f t="shared" si="14"/>
        <v>0</v>
      </c>
      <c r="T123" s="89">
        <f t="shared" si="15"/>
        <v>0</v>
      </c>
      <c r="U123" s="89">
        <f t="shared" si="16"/>
        <v>0</v>
      </c>
      <c r="V123" s="89">
        <f t="shared" si="17"/>
        <v>0</v>
      </c>
      <c r="W123" s="89">
        <f t="shared" si="18"/>
        <v>0</v>
      </c>
      <c r="X123" s="89">
        <f t="shared" si="19"/>
        <v>0</v>
      </c>
      <c r="Y123" s="89">
        <f t="shared" si="20"/>
        <v>0</v>
      </c>
      <c r="Z123" s="89">
        <f t="shared" si="21"/>
        <v>0</v>
      </c>
      <c r="AA123" s="41">
        <f t="shared" si="22"/>
        <v>0</v>
      </c>
      <c r="AB123" s="49"/>
      <c r="AC123" s="50"/>
      <c r="AD123" s="49"/>
      <c r="AE123" s="50"/>
      <c r="AF123" s="49"/>
      <c r="AG123" s="50"/>
      <c r="AH123" s="49"/>
      <c r="AI123" s="50"/>
      <c r="AJ123" s="49"/>
      <c r="AK123" s="50"/>
      <c r="AL123" s="49"/>
      <c r="AM123" s="50"/>
      <c r="AN123" s="49"/>
      <c r="AO123" s="50"/>
      <c r="AP123" s="49"/>
      <c r="AQ123" s="50"/>
      <c r="AR123" s="49"/>
      <c r="AS123" s="50"/>
      <c r="AT123" s="49" t="s">
        <v>5</v>
      </c>
      <c r="AU123" s="50" t="s">
        <v>448</v>
      </c>
      <c r="AV123" s="49" t="s">
        <v>5</v>
      </c>
      <c r="AW123" s="50" t="s">
        <v>425</v>
      </c>
      <c r="AX123" s="49"/>
      <c r="AY123" s="50"/>
      <c r="AZ123" s="49"/>
      <c r="BA123" s="50"/>
      <c r="BB123" s="49"/>
      <c r="BC123" s="50"/>
      <c r="BD123" s="49"/>
      <c r="BE123" s="50"/>
      <c r="BF123" s="49"/>
      <c r="BG123" s="50"/>
      <c r="BH123" s="49"/>
      <c r="BI123" s="50"/>
      <c r="BJ123" s="49"/>
      <c r="BK123" s="50"/>
      <c r="BL123" s="49"/>
      <c r="BM123" s="50"/>
      <c r="BN123" s="49" t="s">
        <v>1</v>
      </c>
      <c r="BO123" s="50" t="s">
        <v>602</v>
      </c>
      <c r="BP123" s="49" t="s">
        <v>1</v>
      </c>
      <c r="BQ123" s="50"/>
      <c r="BR123" s="49"/>
      <c r="BS123" s="50"/>
      <c r="BT123" s="49"/>
      <c r="BU123" s="50"/>
      <c r="BV123" s="49" t="s">
        <v>5</v>
      </c>
      <c r="BW123" s="50" t="s">
        <v>93</v>
      </c>
      <c r="BX123" s="49"/>
      <c r="BY123" s="50"/>
      <c r="BZ123" s="49"/>
      <c r="CA123" s="50"/>
      <c r="CB123" s="49"/>
      <c r="CC123" s="50"/>
    </row>
    <row r="124" spans="1:81" s="120" customFormat="1" ht="14.25" customHeight="1" x14ac:dyDescent="0.25">
      <c r="A124" s="79">
        <v>150594</v>
      </c>
      <c r="B124" s="77" t="s">
        <v>1536</v>
      </c>
      <c r="C124" s="98" t="s">
        <v>1419</v>
      </c>
      <c r="D124" s="90" t="s">
        <v>12</v>
      </c>
      <c r="E124" s="79" t="s">
        <v>14</v>
      </c>
      <c r="F124" s="79" t="s">
        <v>88</v>
      </c>
      <c r="G124" s="78" t="s">
        <v>14</v>
      </c>
      <c r="H124" s="121" t="s">
        <v>14</v>
      </c>
      <c r="I124" s="79" t="s">
        <v>14</v>
      </c>
      <c r="J124" s="122">
        <v>6.8</v>
      </c>
      <c r="K124" s="123">
        <v>2</v>
      </c>
      <c r="L124" s="124">
        <v>0</v>
      </c>
      <c r="M124" s="125">
        <v>0</v>
      </c>
      <c r="N124" s="118">
        <v>100</v>
      </c>
      <c r="O124" s="118">
        <v>100</v>
      </c>
      <c r="P124" s="119">
        <v>20</v>
      </c>
      <c r="Q124" s="87">
        <f t="shared" si="12"/>
        <v>1</v>
      </c>
      <c r="R124" s="88">
        <f t="shared" si="13"/>
        <v>2</v>
      </c>
      <c r="S124" s="89">
        <f t="shared" si="14"/>
        <v>0</v>
      </c>
      <c r="T124" s="89">
        <f t="shared" si="15"/>
        <v>0</v>
      </c>
      <c r="U124" s="89">
        <f t="shared" si="16"/>
        <v>1</v>
      </c>
      <c r="V124" s="89">
        <f t="shared" si="17"/>
        <v>1</v>
      </c>
      <c r="W124" s="89">
        <f t="shared" si="18"/>
        <v>0</v>
      </c>
      <c r="X124" s="89">
        <f t="shared" si="19"/>
        <v>0</v>
      </c>
      <c r="Y124" s="89">
        <f t="shared" si="20"/>
        <v>0</v>
      </c>
      <c r="Z124" s="89">
        <f t="shared" si="21"/>
        <v>0</v>
      </c>
      <c r="AA124" s="41">
        <f t="shared" si="22"/>
        <v>0</v>
      </c>
      <c r="AB124" s="49"/>
      <c r="AC124" s="50"/>
      <c r="AD124" s="49"/>
      <c r="AE124" s="50"/>
      <c r="AF124" s="49" t="s">
        <v>1</v>
      </c>
      <c r="AG124" s="50" t="s">
        <v>427</v>
      </c>
      <c r="AH124" s="49"/>
      <c r="AI124" s="50"/>
      <c r="AJ124" s="49"/>
      <c r="AK124" s="50"/>
      <c r="AL124" s="49"/>
      <c r="AM124" s="50"/>
      <c r="AN124" s="49"/>
      <c r="AO124" s="50"/>
      <c r="AP124" s="49" t="s">
        <v>5</v>
      </c>
      <c r="AQ124" s="50" t="s">
        <v>428</v>
      </c>
      <c r="AR124" s="49"/>
      <c r="AS124" s="50"/>
      <c r="AT124" s="49"/>
      <c r="AU124" s="50"/>
      <c r="AV124" s="49" t="s">
        <v>32</v>
      </c>
      <c r="AW124" s="50" t="s">
        <v>715</v>
      </c>
      <c r="AX124" s="49"/>
      <c r="AY124" s="50"/>
      <c r="AZ124" s="49"/>
      <c r="BA124" s="50"/>
      <c r="BB124" s="49"/>
      <c r="BC124" s="50"/>
      <c r="BD124" s="49"/>
      <c r="BE124" s="50"/>
      <c r="BF124" s="49"/>
      <c r="BG124" s="50"/>
      <c r="BH124" s="49"/>
      <c r="BI124" s="50"/>
      <c r="BJ124" s="49"/>
      <c r="BK124" s="50"/>
      <c r="BL124" s="49"/>
      <c r="BM124" s="50"/>
      <c r="BN124" s="49"/>
      <c r="BO124" s="50"/>
      <c r="BP124" s="49"/>
      <c r="BQ124" s="50"/>
      <c r="BR124" s="49"/>
      <c r="BS124" s="50"/>
      <c r="BT124" s="49"/>
      <c r="BU124" s="50"/>
      <c r="BV124" s="49"/>
      <c r="BW124" s="50"/>
      <c r="BX124" s="49" t="s">
        <v>5</v>
      </c>
      <c r="BY124" s="50" t="s">
        <v>425</v>
      </c>
      <c r="BZ124" s="49"/>
      <c r="CA124" s="50"/>
      <c r="CB124" s="49"/>
      <c r="CC124" s="50"/>
    </row>
    <row r="125" spans="1:81" s="120" customFormat="1" ht="14.25" customHeight="1" x14ac:dyDescent="0.25">
      <c r="A125" s="79">
        <v>150463</v>
      </c>
      <c r="B125" s="77" t="s">
        <v>1537</v>
      </c>
      <c r="C125" s="98" t="s">
        <v>1419</v>
      </c>
      <c r="D125" s="90" t="s">
        <v>70</v>
      </c>
      <c r="E125" s="79" t="s">
        <v>14</v>
      </c>
      <c r="F125" s="79" t="s">
        <v>508</v>
      </c>
      <c r="G125" s="78" t="s">
        <v>14</v>
      </c>
      <c r="H125" s="121" t="s">
        <v>14</v>
      </c>
      <c r="I125" s="79" t="s">
        <v>14</v>
      </c>
      <c r="J125" s="122">
        <v>6</v>
      </c>
      <c r="K125" s="123">
        <v>1</v>
      </c>
      <c r="L125" s="124">
        <v>0</v>
      </c>
      <c r="M125" s="125">
        <v>0</v>
      </c>
      <c r="N125" s="118">
        <v>100</v>
      </c>
      <c r="O125" s="118">
        <v>100</v>
      </c>
      <c r="P125" s="119">
        <v>2</v>
      </c>
      <c r="Q125" s="87">
        <f t="shared" si="12"/>
        <v>1</v>
      </c>
      <c r="R125" s="88">
        <f t="shared" si="13"/>
        <v>3</v>
      </c>
      <c r="S125" s="89">
        <f t="shared" si="14"/>
        <v>0</v>
      </c>
      <c r="T125" s="89">
        <f t="shared" si="15"/>
        <v>0</v>
      </c>
      <c r="U125" s="89">
        <f t="shared" si="16"/>
        <v>0</v>
      </c>
      <c r="V125" s="89">
        <f t="shared" si="17"/>
        <v>0</v>
      </c>
      <c r="W125" s="89">
        <f t="shared" si="18"/>
        <v>0</v>
      </c>
      <c r="X125" s="89">
        <f t="shared" si="19"/>
        <v>0</v>
      </c>
      <c r="Y125" s="89">
        <f t="shared" si="20"/>
        <v>0</v>
      </c>
      <c r="Z125" s="89">
        <f t="shared" si="21"/>
        <v>0</v>
      </c>
      <c r="AA125" s="41">
        <f t="shared" si="22"/>
        <v>0</v>
      </c>
      <c r="AB125" s="49"/>
      <c r="AC125" s="50"/>
      <c r="AD125" s="49"/>
      <c r="AE125" s="50"/>
      <c r="AF125" s="49"/>
      <c r="AG125" s="50"/>
      <c r="AH125" s="49"/>
      <c r="AI125" s="50"/>
      <c r="AJ125" s="49"/>
      <c r="AK125" s="50"/>
      <c r="AL125" s="49"/>
      <c r="AM125" s="50"/>
      <c r="AN125" s="49"/>
      <c r="AO125" s="50"/>
      <c r="AP125" s="49"/>
      <c r="AQ125" s="50"/>
      <c r="AR125" s="49"/>
      <c r="AS125" s="50"/>
      <c r="AT125" s="49" t="s">
        <v>5</v>
      </c>
      <c r="AU125" s="50" t="s">
        <v>448</v>
      </c>
      <c r="AV125" s="49" t="s">
        <v>5</v>
      </c>
      <c r="AW125" s="50" t="s">
        <v>495</v>
      </c>
      <c r="AX125" s="49"/>
      <c r="AY125" s="50"/>
      <c r="AZ125" s="49"/>
      <c r="BA125" s="50"/>
      <c r="BB125" s="49"/>
      <c r="BC125" s="50"/>
      <c r="BD125" s="49"/>
      <c r="BE125" s="50"/>
      <c r="BF125" s="49" t="s">
        <v>1</v>
      </c>
      <c r="BG125" s="50" t="s">
        <v>77</v>
      </c>
      <c r="BH125" s="49"/>
      <c r="BI125" s="50"/>
      <c r="BJ125" s="49"/>
      <c r="BK125" s="50"/>
      <c r="BL125" s="49"/>
      <c r="BM125" s="50"/>
      <c r="BN125" s="49"/>
      <c r="BO125" s="50"/>
      <c r="BP125" s="49"/>
      <c r="BQ125" s="50"/>
      <c r="BR125" s="49"/>
      <c r="BS125" s="50"/>
      <c r="BT125" s="49"/>
      <c r="BU125" s="50"/>
      <c r="BV125" s="49" t="s">
        <v>5</v>
      </c>
      <c r="BW125" s="50" t="s">
        <v>93</v>
      </c>
      <c r="BX125" s="49"/>
      <c r="BY125" s="50"/>
      <c r="BZ125" s="49"/>
      <c r="CA125" s="50"/>
      <c r="CB125" s="49"/>
      <c r="CC125" s="50"/>
    </row>
    <row r="126" spans="1:81" s="120" customFormat="1" ht="14.25" customHeight="1" x14ac:dyDescent="0.25">
      <c r="A126" s="79">
        <v>150511</v>
      </c>
      <c r="B126" s="77" t="s">
        <v>1538</v>
      </c>
      <c r="C126" s="98" t="s">
        <v>1417</v>
      </c>
      <c r="D126" s="90" t="s">
        <v>12</v>
      </c>
      <c r="E126" s="79" t="s">
        <v>14</v>
      </c>
      <c r="F126" s="79" t="s">
        <v>508</v>
      </c>
      <c r="G126" s="78" t="s">
        <v>14</v>
      </c>
      <c r="H126" s="121" t="s">
        <v>14</v>
      </c>
      <c r="I126" s="79" t="s">
        <v>14</v>
      </c>
      <c r="J126" s="122">
        <v>5.7</v>
      </c>
      <c r="K126" s="123">
        <v>0</v>
      </c>
      <c r="L126" s="124">
        <v>0</v>
      </c>
      <c r="M126" s="125">
        <v>1</v>
      </c>
      <c r="N126" s="118">
        <v>96.33</v>
      </c>
      <c r="O126" s="118">
        <v>94.74</v>
      </c>
      <c r="P126" s="119">
        <v>4</v>
      </c>
      <c r="Q126" s="87">
        <f t="shared" si="12"/>
        <v>1</v>
      </c>
      <c r="R126" s="88">
        <f t="shared" si="13"/>
        <v>3</v>
      </c>
      <c r="S126" s="89">
        <f t="shared" si="14"/>
        <v>0</v>
      </c>
      <c r="T126" s="89">
        <f t="shared" si="15"/>
        <v>0</v>
      </c>
      <c r="U126" s="89">
        <f t="shared" si="16"/>
        <v>0</v>
      </c>
      <c r="V126" s="89">
        <f t="shared" si="17"/>
        <v>0</v>
      </c>
      <c r="W126" s="89">
        <f t="shared" si="18"/>
        <v>0</v>
      </c>
      <c r="X126" s="89">
        <f t="shared" si="19"/>
        <v>0</v>
      </c>
      <c r="Y126" s="89">
        <f t="shared" si="20"/>
        <v>0</v>
      </c>
      <c r="Z126" s="89">
        <f t="shared" si="21"/>
        <v>0</v>
      </c>
      <c r="AA126" s="41">
        <f t="shared" si="22"/>
        <v>0</v>
      </c>
      <c r="AB126" s="49"/>
      <c r="AC126" s="50"/>
      <c r="AD126" s="49" t="s">
        <v>5</v>
      </c>
      <c r="AE126" s="50" t="s">
        <v>433</v>
      </c>
      <c r="AF126" s="49"/>
      <c r="AG126" s="50"/>
      <c r="AH126" s="49"/>
      <c r="AI126" s="50"/>
      <c r="AJ126" s="49"/>
      <c r="AK126" s="50"/>
      <c r="AL126" s="49"/>
      <c r="AM126" s="50"/>
      <c r="AN126" s="49"/>
      <c r="AO126" s="50"/>
      <c r="AP126" s="49"/>
      <c r="AQ126" s="50"/>
      <c r="AR126" s="49"/>
      <c r="AS126" s="50"/>
      <c r="AT126" s="49"/>
      <c r="AU126" s="50"/>
      <c r="AV126" s="49" t="s">
        <v>5</v>
      </c>
      <c r="AW126" s="50" t="s">
        <v>425</v>
      </c>
      <c r="AX126" s="49"/>
      <c r="AY126" s="50"/>
      <c r="AZ126" s="49"/>
      <c r="BA126" s="50"/>
      <c r="BB126" s="49"/>
      <c r="BC126" s="50"/>
      <c r="BD126" s="49"/>
      <c r="BE126" s="50"/>
      <c r="BF126" s="49"/>
      <c r="BG126" s="50"/>
      <c r="BH126" s="49" t="s">
        <v>5</v>
      </c>
      <c r="BI126" s="50" t="s">
        <v>139</v>
      </c>
      <c r="BJ126" s="49"/>
      <c r="BK126" s="50"/>
      <c r="BL126" s="49"/>
      <c r="BM126" s="50"/>
      <c r="BN126" s="49"/>
      <c r="BO126" s="50"/>
      <c r="BP126" s="49"/>
      <c r="BQ126" s="50"/>
      <c r="BR126" s="49"/>
      <c r="BS126" s="50"/>
      <c r="BT126" s="49" t="s">
        <v>1</v>
      </c>
      <c r="BU126" s="50" t="s">
        <v>98</v>
      </c>
      <c r="BV126" s="49"/>
      <c r="BW126" s="50"/>
      <c r="BX126" s="49"/>
      <c r="BY126" s="50"/>
      <c r="BZ126" s="49"/>
      <c r="CA126" s="50"/>
      <c r="CB126" s="49"/>
      <c r="CC126" s="50"/>
    </row>
    <row r="127" spans="1:81" s="120" customFormat="1" ht="14.25" customHeight="1" x14ac:dyDescent="0.25">
      <c r="A127" s="79">
        <v>150436</v>
      </c>
      <c r="B127" s="77" t="s">
        <v>1539</v>
      </c>
      <c r="C127" s="98" t="s">
        <v>1440</v>
      </c>
      <c r="D127" s="90" t="s">
        <v>12</v>
      </c>
      <c r="E127" s="79" t="s">
        <v>14</v>
      </c>
      <c r="F127" s="79" t="s">
        <v>71</v>
      </c>
      <c r="G127" s="78" t="s">
        <v>14</v>
      </c>
      <c r="H127" s="121" t="s">
        <v>14</v>
      </c>
      <c r="I127" s="79" t="s">
        <v>14</v>
      </c>
      <c r="J127" s="122">
        <v>5.6</v>
      </c>
      <c r="K127" s="123">
        <v>0</v>
      </c>
      <c r="L127" s="124">
        <v>0</v>
      </c>
      <c r="M127" s="125">
        <v>0</v>
      </c>
      <c r="N127" s="118">
        <v>82.41</v>
      </c>
      <c r="O127" s="118">
        <v>67.569999999999993</v>
      </c>
      <c r="P127" s="119">
        <v>6</v>
      </c>
      <c r="Q127" s="87">
        <f t="shared" si="12"/>
        <v>0</v>
      </c>
      <c r="R127" s="88">
        <f t="shared" si="13"/>
        <v>2</v>
      </c>
      <c r="S127" s="89">
        <f t="shared" si="14"/>
        <v>0</v>
      </c>
      <c r="T127" s="89">
        <f t="shared" si="15"/>
        <v>0</v>
      </c>
      <c r="U127" s="89">
        <f t="shared" si="16"/>
        <v>2</v>
      </c>
      <c r="V127" s="89">
        <f t="shared" si="17"/>
        <v>2</v>
      </c>
      <c r="W127" s="89">
        <f t="shared" si="18"/>
        <v>0</v>
      </c>
      <c r="X127" s="89">
        <f t="shared" si="19"/>
        <v>0</v>
      </c>
      <c r="Y127" s="89">
        <f t="shared" si="20"/>
        <v>0</v>
      </c>
      <c r="Z127" s="89">
        <f t="shared" si="21"/>
        <v>0</v>
      </c>
      <c r="AA127" s="41">
        <f t="shared" si="22"/>
        <v>0</v>
      </c>
      <c r="AB127" s="49"/>
      <c r="AC127" s="50"/>
      <c r="AD127" s="49"/>
      <c r="AE127" s="50"/>
      <c r="AF127" s="49"/>
      <c r="AG127" s="50"/>
      <c r="AH127" s="49"/>
      <c r="AI127" s="50"/>
      <c r="AJ127" s="49"/>
      <c r="AK127" s="50"/>
      <c r="AL127" s="49"/>
      <c r="AM127" s="50"/>
      <c r="AN127" s="49"/>
      <c r="AO127" s="50"/>
      <c r="AP127" s="49" t="s">
        <v>5</v>
      </c>
      <c r="AQ127" s="50" t="s">
        <v>428</v>
      </c>
      <c r="AR127" s="49"/>
      <c r="AS127" s="50"/>
      <c r="AT127" s="49"/>
      <c r="AU127" s="50"/>
      <c r="AV127" s="49" t="s">
        <v>5</v>
      </c>
      <c r="AW127" s="50" t="s">
        <v>433</v>
      </c>
      <c r="AX127" s="49"/>
      <c r="AY127" s="50"/>
      <c r="AZ127" s="49"/>
      <c r="BA127" s="50"/>
      <c r="BB127" s="49"/>
      <c r="BC127" s="50"/>
      <c r="BD127" s="49"/>
      <c r="BE127" s="50"/>
      <c r="BF127" s="49"/>
      <c r="BG127" s="50"/>
      <c r="BH127" s="49"/>
      <c r="BI127" s="50"/>
      <c r="BJ127" s="49"/>
      <c r="BK127" s="50"/>
      <c r="BL127" s="49"/>
      <c r="BM127" s="50"/>
      <c r="BN127" s="49"/>
      <c r="BO127" s="50"/>
      <c r="BP127" s="49"/>
      <c r="BQ127" s="50"/>
      <c r="BR127" s="49"/>
      <c r="BS127" s="50"/>
      <c r="BT127" s="49"/>
      <c r="BU127" s="50"/>
      <c r="BV127" s="49"/>
      <c r="BW127" s="50"/>
      <c r="BX127" s="49" t="s">
        <v>32</v>
      </c>
      <c r="BY127" s="50" t="s">
        <v>425</v>
      </c>
      <c r="BZ127" s="49" t="s">
        <v>32</v>
      </c>
      <c r="CA127" s="50" t="s">
        <v>420</v>
      </c>
      <c r="CB127" s="49"/>
      <c r="CC127" s="50"/>
    </row>
    <row r="128" spans="1:81" s="120" customFormat="1" ht="14.25" customHeight="1" x14ac:dyDescent="0.25">
      <c r="A128" s="79">
        <v>150592</v>
      </c>
      <c r="B128" s="77" t="s">
        <v>1540</v>
      </c>
      <c r="C128" s="98" t="s">
        <v>1405</v>
      </c>
      <c r="D128" s="90" t="s">
        <v>70</v>
      </c>
      <c r="E128" s="79" t="s">
        <v>14</v>
      </c>
      <c r="F128" s="79" t="s">
        <v>71</v>
      </c>
      <c r="G128" s="78" t="s">
        <v>14</v>
      </c>
      <c r="H128" s="121" t="s">
        <v>14</v>
      </c>
      <c r="I128" s="79" t="s">
        <v>14</v>
      </c>
      <c r="J128" s="122">
        <v>8.4</v>
      </c>
      <c r="K128" s="123">
        <v>0</v>
      </c>
      <c r="L128" s="124">
        <v>0</v>
      </c>
      <c r="M128" s="125">
        <v>0</v>
      </c>
      <c r="N128" s="118">
        <v>89.47</v>
      </c>
      <c r="O128" s="118">
        <v>89.19</v>
      </c>
      <c r="P128" s="119">
        <v>0</v>
      </c>
      <c r="Q128" s="87">
        <f t="shared" si="12"/>
        <v>3</v>
      </c>
      <c r="R128" s="88">
        <f t="shared" si="13"/>
        <v>1</v>
      </c>
      <c r="S128" s="89">
        <f t="shared" si="14"/>
        <v>0</v>
      </c>
      <c r="T128" s="89">
        <f t="shared" si="15"/>
        <v>0</v>
      </c>
      <c r="U128" s="89">
        <f t="shared" si="16"/>
        <v>0</v>
      </c>
      <c r="V128" s="89">
        <f t="shared" si="17"/>
        <v>0</v>
      </c>
      <c r="W128" s="89">
        <f t="shared" si="18"/>
        <v>0</v>
      </c>
      <c r="X128" s="89">
        <f t="shared" si="19"/>
        <v>0</v>
      </c>
      <c r="Y128" s="89">
        <f t="shared" si="20"/>
        <v>0</v>
      </c>
      <c r="Z128" s="89">
        <f t="shared" si="21"/>
        <v>0</v>
      </c>
      <c r="AA128" s="41">
        <f t="shared" si="22"/>
        <v>0</v>
      </c>
      <c r="AB128" s="49"/>
      <c r="AC128" s="50"/>
      <c r="AD128" s="49" t="s">
        <v>5</v>
      </c>
      <c r="AE128" s="50" t="s">
        <v>438</v>
      </c>
      <c r="AF128" s="49"/>
      <c r="AG128" s="50"/>
      <c r="AH128" s="49" t="s">
        <v>1</v>
      </c>
      <c r="AI128" s="50" t="s">
        <v>424</v>
      </c>
      <c r="AJ128" s="49"/>
      <c r="AK128" s="50"/>
      <c r="AL128" s="49"/>
      <c r="AM128" s="50"/>
      <c r="AN128" s="49" t="s">
        <v>1</v>
      </c>
      <c r="AO128" s="50" t="s">
        <v>1406</v>
      </c>
      <c r="AP128" s="49"/>
      <c r="AQ128" s="50"/>
      <c r="AR128" s="49"/>
      <c r="AS128" s="50"/>
      <c r="AT128" s="49"/>
      <c r="AU128" s="50"/>
      <c r="AV128" s="49" t="s">
        <v>1</v>
      </c>
      <c r="AW128" s="50" t="s">
        <v>82</v>
      </c>
      <c r="AX128" s="49"/>
      <c r="AY128" s="50"/>
      <c r="AZ128" s="49"/>
      <c r="BA128" s="50"/>
      <c r="BB128" s="49"/>
      <c r="BC128" s="50"/>
      <c r="BD128" s="49"/>
      <c r="BE128" s="50"/>
      <c r="BF128" s="49"/>
      <c r="BG128" s="50"/>
      <c r="BH128" s="49"/>
      <c r="BI128" s="50"/>
      <c r="BJ128" s="49"/>
      <c r="BK128" s="50"/>
      <c r="BL128" s="49"/>
      <c r="BM128" s="50"/>
      <c r="BN128" s="49"/>
      <c r="BO128" s="50"/>
      <c r="BP128" s="49"/>
      <c r="BQ128" s="50"/>
      <c r="BR128" s="49"/>
      <c r="BS128" s="50"/>
      <c r="BT128" s="49"/>
      <c r="BU128" s="50"/>
      <c r="BV128" s="49"/>
      <c r="BW128" s="50"/>
      <c r="BX128" s="49"/>
      <c r="BY128" s="50"/>
      <c r="BZ128" s="49"/>
      <c r="CA128" s="50"/>
      <c r="CB128" s="49"/>
      <c r="CC128" s="50"/>
    </row>
    <row r="129" spans="1:81" s="120" customFormat="1" ht="14.25" customHeight="1" x14ac:dyDescent="0.25">
      <c r="A129" s="79">
        <v>150578</v>
      </c>
      <c r="B129" s="77" t="s">
        <v>1541</v>
      </c>
      <c r="C129" s="98" t="s">
        <v>1440</v>
      </c>
      <c r="D129" s="90" t="s">
        <v>70</v>
      </c>
      <c r="E129" s="79" t="s">
        <v>14</v>
      </c>
      <c r="F129" s="79" t="s">
        <v>184</v>
      </c>
      <c r="G129" s="78" t="s">
        <v>14</v>
      </c>
      <c r="H129" s="121" t="s">
        <v>14</v>
      </c>
      <c r="I129" s="79" t="s">
        <v>14</v>
      </c>
      <c r="J129" s="122">
        <v>8.6</v>
      </c>
      <c r="K129" s="123">
        <v>0</v>
      </c>
      <c r="L129" s="124">
        <v>0</v>
      </c>
      <c r="M129" s="125">
        <v>0</v>
      </c>
      <c r="N129" s="118">
        <v>100</v>
      </c>
      <c r="O129" s="118">
        <v>100</v>
      </c>
      <c r="P129" s="119">
        <v>0</v>
      </c>
      <c r="Q129" s="87">
        <f t="shared" si="12"/>
        <v>5</v>
      </c>
      <c r="R129" s="88">
        <f t="shared" si="13"/>
        <v>0</v>
      </c>
      <c r="S129" s="89">
        <f t="shared" si="14"/>
        <v>0</v>
      </c>
      <c r="T129" s="89">
        <f t="shared" si="15"/>
        <v>0</v>
      </c>
      <c r="U129" s="89">
        <f t="shared" si="16"/>
        <v>0</v>
      </c>
      <c r="V129" s="89">
        <f t="shared" si="17"/>
        <v>0</v>
      </c>
      <c r="W129" s="89">
        <f t="shared" si="18"/>
        <v>0</v>
      </c>
      <c r="X129" s="89">
        <f t="shared" si="19"/>
        <v>0</v>
      </c>
      <c r="Y129" s="89">
        <f t="shared" si="20"/>
        <v>0</v>
      </c>
      <c r="Z129" s="89">
        <f t="shared" si="21"/>
        <v>0</v>
      </c>
      <c r="AA129" s="41">
        <f t="shared" si="22"/>
        <v>0</v>
      </c>
      <c r="AB129" s="49"/>
      <c r="AC129" s="50"/>
      <c r="AD129" s="49"/>
      <c r="AE129" s="50"/>
      <c r="AF129" s="49"/>
      <c r="AG129" s="50"/>
      <c r="AH129" s="49" t="s">
        <v>1</v>
      </c>
      <c r="AI129" s="50" t="s">
        <v>206</v>
      </c>
      <c r="AJ129" s="49" t="s">
        <v>1</v>
      </c>
      <c r="AK129" s="50" t="s">
        <v>163</v>
      </c>
      <c r="AL129" s="49"/>
      <c r="AM129" s="50"/>
      <c r="AN129" s="49"/>
      <c r="AO129" s="50"/>
      <c r="AP129" s="49"/>
      <c r="AQ129" s="50"/>
      <c r="AR129" s="49"/>
      <c r="AS129" s="50"/>
      <c r="AT129" s="49"/>
      <c r="AU129" s="50"/>
      <c r="AV129" s="49" t="s">
        <v>1</v>
      </c>
      <c r="AW129" s="50" t="s">
        <v>433</v>
      </c>
      <c r="AX129" s="49"/>
      <c r="AY129" s="50"/>
      <c r="AZ129" s="49"/>
      <c r="BA129" s="50"/>
      <c r="BB129" s="49"/>
      <c r="BC129" s="50"/>
      <c r="BD129" s="49"/>
      <c r="BE129" s="50"/>
      <c r="BF129" s="49"/>
      <c r="BG129" s="50"/>
      <c r="BH129" s="49"/>
      <c r="BI129" s="50"/>
      <c r="BJ129" s="49" t="s">
        <v>1</v>
      </c>
      <c r="BK129" s="50" t="s">
        <v>79</v>
      </c>
      <c r="BL129" s="49"/>
      <c r="BM129" s="50"/>
      <c r="BN129" s="49"/>
      <c r="BO129" s="50"/>
      <c r="BP129" s="49"/>
      <c r="BQ129" s="50"/>
      <c r="BR129" s="49"/>
      <c r="BS129" s="50"/>
      <c r="BT129" s="49"/>
      <c r="BU129" s="50"/>
      <c r="BV129" s="49"/>
      <c r="BW129" s="50"/>
      <c r="BX129" s="49" t="s">
        <v>1</v>
      </c>
      <c r="BY129" s="50" t="s">
        <v>425</v>
      </c>
      <c r="BZ129" s="49"/>
      <c r="CA129" s="50"/>
      <c r="CB129" s="49"/>
      <c r="CC129" s="50"/>
    </row>
    <row r="130" spans="1:81" s="120" customFormat="1" ht="14.25" customHeight="1" x14ac:dyDescent="0.25">
      <c r="A130" s="79">
        <v>160005</v>
      </c>
      <c r="B130" s="77" t="s">
        <v>1542</v>
      </c>
      <c r="C130" s="98" t="s">
        <v>1419</v>
      </c>
      <c r="D130" s="90" t="s">
        <v>70</v>
      </c>
      <c r="E130" s="79" t="s">
        <v>87</v>
      </c>
      <c r="F130" s="79" t="s">
        <v>223</v>
      </c>
      <c r="G130" s="78" t="s">
        <v>14</v>
      </c>
      <c r="H130" s="121" t="s">
        <v>14</v>
      </c>
      <c r="I130" s="79" t="s">
        <v>14</v>
      </c>
      <c r="J130" s="122">
        <v>5.0999999999999996</v>
      </c>
      <c r="K130" s="123">
        <v>0</v>
      </c>
      <c r="L130" s="124">
        <v>0</v>
      </c>
      <c r="M130" s="125">
        <v>0</v>
      </c>
      <c r="N130" s="118">
        <v>93.64</v>
      </c>
      <c r="O130" s="118">
        <v>88.89</v>
      </c>
      <c r="P130" s="119">
        <v>6</v>
      </c>
      <c r="Q130" s="87">
        <f t="shared" ref="Q130:Q193" si="23">COUNTIF($AB130:$CT130,"Outstanding")</f>
        <v>0</v>
      </c>
      <c r="R130" s="88">
        <f t="shared" ref="R130:R193" si="24">COUNTIF($AB130:$CT130,"Good")</f>
        <v>2</v>
      </c>
      <c r="S130" s="89">
        <f t="shared" ref="S130:S193" si="25">COUNTIF($AB130:$CT130,"N2Improve - Engagement")</f>
        <v>2</v>
      </c>
      <c r="T130" s="89">
        <f t="shared" ref="T130:T193" si="26">COUNTIF($AB130:$CT130,"N2Improve - Community Conduct")</f>
        <v>0</v>
      </c>
      <c r="U130" s="89">
        <f t="shared" ref="U130:U193" si="27">COUNTIF($AB130:$CT130,"N2Improve - Personal Org.")</f>
        <v>0</v>
      </c>
      <c r="V130" s="89">
        <f t="shared" ref="V130:V193" si="28">SUM(S130:U130)</f>
        <v>2</v>
      </c>
      <c r="W130" s="89">
        <f t="shared" ref="W130:W193" si="29">COUNTIF($AB130:$CT130,"Serious Conc - Engagement")</f>
        <v>0</v>
      </c>
      <c r="X130" s="89">
        <f t="shared" ref="X130:X193" si="30">COUNTIF($AB130:$CT130,"Serious Conc - Comm. Concern")</f>
        <v>0</v>
      </c>
      <c r="Y130" s="89">
        <f t="shared" ref="Y130:Y193" si="31">COUNTIF($AB130:$CT130,"Serious Conc - Personal Org.")</f>
        <v>0</v>
      </c>
      <c r="Z130" s="89">
        <f t="shared" si="21"/>
        <v>0</v>
      </c>
      <c r="AA130" s="41">
        <f t="shared" si="22"/>
        <v>0</v>
      </c>
      <c r="AB130" s="49"/>
      <c r="AC130" s="50"/>
      <c r="AD130" s="49"/>
      <c r="AE130" s="50"/>
      <c r="AF130" s="49"/>
      <c r="AG130" s="50"/>
      <c r="AH130" s="49"/>
      <c r="AI130" s="50"/>
      <c r="AJ130" s="49"/>
      <c r="AK130" s="50"/>
      <c r="AL130" s="49"/>
      <c r="AM130" s="50"/>
      <c r="AN130" s="49"/>
      <c r="AO130" s="50"/>
      <c r="AP130" s="49"/>
      <c r="AQ130" s="50"/>
      <c r="AR130" s="49"/>
      <c r="AS130" s="50"/>
      <c r="AT130" s="49"/>
      <c r="AU130" s="50"/>
      <c r="AV130" s="49" t="s">
        <v>5</v>
      </c>
      <c r="AW130" s="50" t="s">
        <v>476</v>
      </c>
      <c r="AX130" s="49"/>
      <c r="AY130" s="50"/>
      <c r="AZ130" s="49"/>
      <c r="BA130" s="50"/>
      <c r="BB130" s="49"/>
      <c r="BC130" s="50"/>
      <c r="BD130" s="49" t="s">
        <v>5</v>
      </c>
      <c r="BE130" s="50" t="s">
        <v>436</v>
      </c>
      <c r="BF130" s="49"/>
      <c r="BG130" s="50"/>
      <c r="BH130" s="49"/>
      <c r="BI130" s="50"/>
      <c r="BJ130" s="49"/>
      <c r="BK130" s="50"/>
      <c r="BL130" s="49"/>
      <c r="BM130" s="50"/>
      <c r="BN130" s="49"/>
      <c r="BO130" s="50"/>
      <c r="BP130" s="49"/>
      <c r="BQ130" s="50"/>
      <c r="BR130" s="49"/>
      <c r="BS130" s="50"/>
      <c r="BT130" s="49"/>
      <c r="BU130" s="50"/>
      <c r="BV130" s="49"/>
      <c r="BW130" s="50"/>
      <c r="BX130" s="49" t="s">
        <v>30</v>
      </c>
      <c r="BY130" s="50" t="s">
        <v>425</v>
      </c>
      <c r="BZ130" s="49" t="s">
        <v>30</v>
      </c>
      <c r="CA130" s="50" t="s">
        <v>462</v>
      </c>
      <c r="CB130" s="49"/>
      <c r="CC130" s="50"/>
    </row>
    <row r="131" spans="1:81" s="120" customFormat="1" ht="14.25" customHeight="1" x14ac:dyDescent="0.25">
      <c r="A131" s="79">
        <v>150518</v>
      </c>
      <c r="B131" s="77" t="s">
        <v>1543</v>
      </c>
      <c r="C131" s="98" t="s">
        <v>1410</v>
      </c>
      <c r="D131" s="90" t="s">
        <v>70</v>
      </c>
      <c r="E131" s="79" t="s">
        <v>14</v>
      </c>
      <c r="F131" s="79" t="s">
        <v>150</v>
      </c>
      <c r="G131" s="78" t="s">
        <v>14</v>
      </c>
      <c r="H131" s="121" t="s">
        <v>14</v>
      </c>
      <c r="I131" s="79" t="s">
        <v>14</v>
      </c>
      <c r="J131" s="122">
        <v>5.0999999999999996</v>
      </c>
      <c r="K131" s="123">
        <v>0</v>
      </c>
      <c r="L131" s="124">
        <v>0</v>
      </c>
      <c r="M131" s="125">
        <v>0</v>
      </c>
      <c r="N131" s="118">
        <v>62.39</v>
      </c>
      <c r="O131" s="118">
        <v>65.790000000000006</v>
      </c>
      <c r="P131" s="119">
        <v>4</v>
      </c>
      <c r="Q131" s="87">
        <f t="shared" si="23"/>
        <v>0</v>
      </c>
      <c r="R131" s="88">
        <f t="shared" si="24"/>
        <v>2</v>
      </c>
      <c r="S131" s="89">
        <f t="shared" si="25"/>
        <v>1</v>
      </c>
      <c r="T131" s="89">
        <f t="shared" si="26"/>
        <v>0</v>
      </c>
      <c r="U131" s="89">
        <f t="shared" si="27"/>
        <v>1</v>
      </c>
      <c r="V131" s="89">
        <f t="shared" si="28"/>
        <v>2</v>
      </c>
      <c r="W131" s="89">
        <f t="shared" si="29"/>
        <v>0</v>
      </c>
      <c r="X131" s="89">
        <f t="shared" si="30"/>
        <v>0</v>
      </c>
      <c r="Y131" s="89">
        <f t="shared" si="31"/>
        <v>0</v>
      </c>
      <c r="Z131" s="89">
        <f t="shared" ref="Z131:Z194" si="32">SUM(W131:Y131)</f>
        <v>0</v>
      </c>
      <c r="AA131" s="41">
        <f t="shared" ref="AA131:AA194" si="33">COUNTIF(AB131:CC131,"*still*")</f>
        <v>0</v>
      </c>
      <c r="AB131" s="49"/>
      <c r="AC131" s="50"/>
      <c r="AD131" s="49"/>
      <c r="AE131" s="50"/>
      <c r="AF131" s="49"/>
      <c r="AG131" s="50"/>
      <c r="AH131" s="49"/>
      <c r="AI131" s="50"/>
      <c r="AJ131" s="49"/>
      <c r="AK131" s="50"/>
      <c r="AL131" s="49"/>
      <c r="AM131" s="50"/>
      <c r="AN131" s="49"/>
      <c r="AO131" s="50"/>
      <c r="AP131" s="49"/>
      <c r="AQ131" s="50"/>
      <c r="AR131" s="49"/>
      <c r="AS131" s="50"/>
      <c r="AT131" s="49"/>
      <c r="AU131" s="50"/>
      <c r="AV131" s="49" t="s">
        <v>32</v>
      </c>
      <c r="AW131" s="50" t="s">
        <v>602</v>
      </c>
      <c r="AX131" s="49"/>
      <c r="AY131" s="50"/>
      <c r="AZ131" s="49"/>
      <c r="BA131" s="50"/>
      <c r="BB131" s="49"/>
      <c r="BC131" s="50"/>
      <c r="BD131" s="49" t="s">
        <v>5</v>
      </c>
      <c r="BE131" s="50" t="s">
        <v>436</v>
      </c>
      <c r="BF131" s="49"/>
      <c r="BG131" s="50"/>
      <c r="BH131" s="49"/>
      <c r="BI131" s="50"/>
      <c r="BJ131" s="49"/>
      <c r="BK131" s="50"/>
      <c r="BL131" s="49"/>
      <c r="BM131" s="50"/>
      <c r="BN131" s="49"/>
      <c r="BO131" s="50"/>
      <c r="BP131" s="49"/>
      <c r="BQ131" s="50"/>
      <c r="BR131" s="49"/>
      <c r="BS131" s="50"/>
      <c r="BT131" s="49"/>
      <c r="BU131" s="50"/>
      <c r="BV131" s="49"/>
      <c r="BW131" s="50"/>
      <c r="BX131" s="49" t="s">
        <v>30</v>
      </c>
      <c r="BY131" s="50" t="s">
        <v>425</v>
      </c>
      <c r="BZ131" s="49" t="s">
        <v>5</v>
      </c>
      <c r="CA131" s="50" t="s">
        <v>462</v>
      </c>
      <c r="CB131" s="49"/>
      <c r="CC131" s="50"/>
    </row>
    <row r="132" spans="1:81" s="120" customFormat="1" ht="14.25" customHeight="1" x14ac:dyDescent="0.25">
      <c r="A132" s="79">
        <v>150537</v>
      </c>
      <c r="B132" s="77" t="s">
        <v>1544</v>
      </c>
      <c r="C132" s="98" t="s">
        <v>1410</v>
      </c>
      <c r="D132" s="90" t="s">
        <v>12</v>
      </c>
      <c r="E132" s="79" t="s">
        <v>14</v>
      </c>
      <c r="F132" s="79" t="s">
        <v>71</v>
      </c>
      <c r="G132" s="78" t="s">
        <v>14</v>
      </c>
      <c r="H132" s="121" t="s">
        <v>14</v>
      </c>
      <c r="I132" s="79" t="s">
        <v>14</v>
      </c>
      <c r="J132" s="122">
        <v>6.6</v>
      </c>
      <c r="K132" s="123">
        <v>0</v>
      </c>
      <c r="L132" s="124">
        <v>0</v>
      </c>
      <c r="M132" s="125">
        <v>0</v>
      </c>
      <c r="N132" s="118">
        <v>84.55</v>
      </c>
      <c r="O132" s="118">
        <v>82.5</v>
      </c>
      <c r="P132" s="119">
        <v>1</v>
      </c>
      <c r="Q132" s="87">
        <f t="shared" si="23"/>
        <v>0</v>
      </c>
      <c r="R132" s="88">
        <f t="shared" si="24"/>
        <v>4</v>
      </c>
      <c r="S132" s="89">
        <f t="shared" si="25"/>
        <v>0</v>
      </c>
      <c r="T132" s="89">
        <f t="shared" si="26"/>
        <v>0</v>
      </c>
      <c r="U132" s="89">
        <f t="shared" si="27"/>
        <v>0</v>
      </c>
      <c r="V132" s="89">
        <f t="shared" si="28"/>
        <v>0</v>
      </c>
      <c r="W132" s="89">
        <f t="shared" si="29"/>
        <v>0</v>
      </c>
      <c r="X132" s="89">
        <f t="shared" si="30"/>
        <v>0</v>
      </c>
      <c r="Y132" s="89">
        <f t="shared" si="31"/>
        <v>0</v>
      </c>
      <c r="Z132" s="89">
        <f t="shared" si="32"/>
        <v>0</v>
      </c>
      <c r="AA132" s="41">
        <f t="shared" si="33"/>
        <v>0</v>
      </c>
      <c r="AB132" s="49"/>
      <c r="AC132" s="50"/>
      <c r="AD132" s="49"/>
      <c r="AE132" s="50"/>
      <c r="AF132" s="49"/>
      <c r="AG132" s="50"/>
      <c r="AH132" s="49"/>
      <c r="AI132" s="50"/>
      <c r="AJ132" s="49"/>
      <c r="AK132" s="50"/>
      <c r="AL132" s="49"/>
      <c r="AM132" s="50"/>
      <c r="AN132" s="49"/>
      <c r="AO132" s="50"/>
      <c r="AP132" s="49" t="s">
        <v>5</v>
      </c>
      <c r="AQ132" s="50" t="s">
        <v>428</v>
      </c>
      <c r="AR132" s="49"/>
      <c r="AS132" s="50"/>
      <c r="AT132" s="49"/>
      <c r="AU132" s="50"/>
      <c r="AV132" s="49" t="s">
        <v>5</v>
      </c>
      <c r="AW132" s="50" t="s">
        <v>82</v>
      </c>
      <c r="AX132" s="49"/>
      <c r="AY132" s="50"/>
      <c r="AZ132" s="49"/>
      <c r="BA132" s="50"/>
      <c r="BB132" s="49"/>
      <c r="BC132" s="50"/>
      <c r="BD132" s="49"/>
      <c r="BE132" s="50"/>
      <c r="BF132" s="49"/>
      <c r="BG132" s="50"/>
      <c r="BH132" s="49" t="s">
        <v>5</v>
      </c>
      <c r="BI132" s="50" t="s">
        <v>139</v>
      </c>
      <c r="BJ132" s="49"/>
      <c r="BK132" s="50"/>
      <c r="BL132" s="49"/>
      <c r="BM132" s="50"/>
      <c r="BN132" s="49"/>
      <c r="BO132" s="50"/>
      <c r="BP132" s="49"/>
      <c r="BQ132" s="50"/>
      <c r="BR132" s="49" t="s">
        <v>5</v>
      </c>
      <c r="BS132" s="50" t="s">
        <v>81</v>
      </c>
      <c r="BT132" s="49"/>
      <c r="BU132" s="50"/>
      <c r="BV132" s="49"/>
      <c r="BW132" s="50"/>
      <c r="BX132" s="49"/>
      <c r="BY132" s="50"/>
      <c r="BZ132" s="49"/>
      <c r="CA132" s="50"/>
      <c r="CB132" s="49"/>
      <c r="CC132" s="50"/>
    </row>
    <row r="133" spans="1:81" s="120" customFormat="1" ht="14.25" customHeight="1" x14ac:dyDescent="0.25">
      <c r="A133" s="79">
        <v>150404</v>
      </c>
      <c r="B133" s="77" t="s">
        <v>1545</v>
      </c>
      <c r="C133" s="98" t="s">
        <v>1408</v>
      </c>
      <c r="D133" s="90" t="s">
        <v>70</v>
      </c>
      <c r="E133" s="79" t="s">
        <v>14</v>
      </c>
      <c r="F133" s="79" t="s">
        <v>71</v>
      </c>
      <c r="G133" s="78" t="s">
        <v>14</v>
      </c>
      <c r="H133" s="121" t="s">
        <v>14</v>
      </c>
      <c r="I133" s="79" t="s">
        <v>14</v>
      </c>
      <c r="J133" s="122">
        <v>4.9000000000000004</v>
      </c>
      <c r="K133" s="123">
        <v>1</v>
      </c>
      <c r="L133" s="124">
        <v>0</v>
      </c>
      <c r="M133" s="125">
        <v>0</v>
      </c>
      <c r="N133" s="118">
        <v>93.58</v>
      </c>
      <c r="O133" s="118">
        <v>92.11</v>
      </c>
      <c r="P133" s="119">
        <v>7</v>
      </c>
      <c r="Q133" s="87">
        <f t="shared" si="23"/>
        <v>0</v>
      </c>
      <c r="R133" s="88">
        <f t="shared" si="24"/>
        <v>3</v>
      </c>
      <c r="S133" s="89">
        <f t="shared" si="25"/>
        <v>0</v>
      </c>
      <c r="T133" s="89">
        <f t="shared" si="26"/>
        <v>0</v>
      </c>
      <c r="U133" s="89">
        <f t="shared" si="27"/>
        <v>0</v>
      </c>
      <c r="V133" s="89">
        <f t="shared" si="28"/>
        <v>0</v>
      </c>
      <c r="W133" s="89">
        <f t="shared" si="29"/>
        <v>0</v>
      </c>
      <c r="X133" s="89">
        <f t="shared" si="30"/>
        <v>0</v>
      </c>
      <c r="Y133" s="89">
        <f t="shared" si="31"/>
        <v>0</v>
      </c>
      <c r="Z133" s="89">
        <f t="shared" si="32"/>
        <v>0</v>
      </c>
      <c r="AA133" s="41">
        <f t="shared" si="33"/>
        <v>0</v>
      </c>
      <c r="AB133" s="49" t="s">
        <v>5</v>
      </c>
      <c r="AC133" s="50" t="s">
        <v>72</v>
      </c>
      <c r="AD133" s="49"/>
      <c r="AE133" s="50"/>
      <c r="AF133" s="49" t="s">
        <v>5</v>
      </c>
      <c r="AG133" s="50" t="s">
        <v>427</v>
      </c>
      <c r="AH133" s="49"/>
      <c r="AI133" s="50"/>
      <c r="AJ133" s="49"/>
      <c r="AK133" s="50"/>
      <c r="AL133" s="49"/>
      <c r="AM133" s="50"/>
      <c r="AN133" s="49"/>
      <c r="AO133" s="50"/>
      <c r="AP133" s="49"/>
      <c r="AQ133" s="50"/>
      <c r="AR133" s="49"/>
      <c r="AS133" s="50"/>
      <c r="AT133" s="49"/>
      <c r="AU133" s="50"/>
      <c r="AV133" s="49" t="s">
        <v>5</v>
      </c>
      <c r="AW133" s="50" t="s">
        <v>421</v>
      </c>
      <c r="AX133" s="49"/>
      <c r="AY133" s="50"/>
      <c r="AZ133" s="49"/>
      <c r="BA133" s="50"/>
      <c r="BB133" s="49"/>
      <c r="BC133" s="50"/>
      <c r="BD133" s="49"/>
      <c r="BE133" s="50"/>
      <c r="BF133" s="49"/>
      <c r="BG133" s="50"/>
      <c r="BH133" s="49"/>
      <c r="BI133" s="50"/>
      <c r="BJ133" s="49"/>
      <c r="BK133" s="50"/>
      <c r="BL133" s="49"/>
      <c r="BM133" s="50"/>
      <c r="BN133" s="49"/>
      <c r="BO133" s="50"/>
      <c r="BP133" s="49"/>
      <c r="BQ133" s="50"/>
      <c r="BR133" s="49"/>
      <c r="BS133" s="50"/>
      <c r="BT133" s="49"/>
      <c r="BU133" s="50"/>
      <c r="BV133" s="49"/>
      <c r="BW133" s="50"/>
      <c r="BX133" s="49"/>
      <c r="BY133" s="50"/>
      <c r="BZ133" s="49"/>
      <c r="CA133" s="50" t="s">
        <v>462</v>
      </c>
      <c r="CB133" s="49"/>
      <c r="CC133" s="50"/>
    </row>
    <row r="134" spans="1:81" s="120" customFormat="1" ht="14.25" customHeight="1" x14ac:dyDescent="0.25">
      <c r="A134" s="79">
        <v>152197</v>
      </c>
      <c r="B134" s="77" t="s">
        <v>1546</v>
      </c>
      <c r="C134" s="98" t="s">
        <v>1405</v>
      </c>
      <c r="D134" s="90" t="s">
        <v>12</v>
      </c>
      <c r="E134" s="79" t="s">
        <v>87</v>
      </c>
      <c r="F134" s="79" t="s">
        <v>115</v>
      </c>
      <c r="G134" s="78" t="s">
        <v>14</v>
      </c>
      <c r="H134" s="121" t="s">
        <v>14</v>
      </c>
      <c r="I134" s="79" t="s">
        <v>14</v>
      </c>
      <c r="J134" s="122">
        <v>5.8</v>
      </c>
      <c r="K134" s="123">
        <v>0</v>
      </c>
      <c r="L134" s="124">
        <v>0</v>
      </c>
      <c r="M134" s="125">
        <v>0</v>
      </c>
      <c r="N134" s="118">
        <v>79.459999999999994</v>
      </c>
      <c r="O134" s="118">
        <v>77.5</v>
      </c>
      <c r="P134" s="119">
        <v>10</v>
      </c>
      <c r="Q134" s="87">
        <f t="shared" si="23"/>
        <v>0</v>
      </c>
      <c r="R134" s="88">
        <f t="shared" si="24"/>
        <v>3</v>
      </c>
      <c r="S134" s="89">
        <f t="shared" si="25"/>
        <v>0</v>
      </c>
      <c r="T134" s="89">
        <f t="shared" si="26"/>
        <v>0</v>
      </c>
      <c r="U134" s="89">
        <f t="shared" si="27"/>
        <v>1</v>
      </c>
      <c r="V134" s="89">
        <f t="shared" si="28"/>
        <v>1</v>
      </c>
      <c r="W134" s="89">
        <f t="shared" si="29"/>
        <v>0</v>
      </c>
      <c r="X134" s="89">
        <f t="shared" si="30"/>
        <v>0</v>
      </c>
      <c r="Y134" s="89">
        <f t="shared" si="31"/>
        <v>0</v>
      </c>
      <c r="Z134" s="89">
        <f t="shared" si="32"/>
        <v>0</v>
      </c>
      <c r="AA134" s="41">
        <f t="shared" si="33"/>
        <v>0</v>
      </c>
      <c r="AB134" s="49"/>
      <c r="AC134" s="50"/>
      <c r="AD134" s="49" t="s">
        <v>5</v>
      </c>
      <c r="AE134" s="50" t="s">
        <v>433</v>
      </c>
      <c r="AF134" s="49"/>
      <c r="AG134" s="50"/>
      <c r="AH134" s="49" t="s">
        <v>32</v>
      </c>
      <c r="AI134" s="50" t="s">
        <v>137</v>
      </c>
      <c r="AJ134" s="49"/>
      <c r="AK134" s="50"/>
      <c r="AL134" s="49"/>
      <c r="AM134" s="50"/>
      <c r="AN134" s="49"/>
      <c r="AO134" s="50"/>
      <c r="AP134" s="49"/>
      <c r="AQ134" s="50"/>
      <c r="AR134" s="49"/>
      <c r="AS134" s="50"/>
      <c r="AT134" s="49"/>
      <c r="AU134" s="50"/>
      <c r="AV134" s="49" t="s">
        <v>5</v>
      </c>
      <c r="AW134" s="50" t="s">
        <v>495</v>
      </c>
      <c r="AX134" s="49"/>
      <c r="AY134" s="50"/>
      <c r="AZ134" s="49"/>
      <c r="BA134" s="50"/>
      <c r="BB134" s="49"/>
      <c r="BC134" s="50"/>
      <c r="BD134" s="49"/>
      <c r="BE134" s="50"/>
      <c r="BF134" s="49"/>
      <c r="BG134" s="50"/>
      <c r="BH134" s="49"/>
      <c r="BI134" s="50"/>
      <c r="BJ134" s="49"/>
      <c r="BK134" s="50"/>
      <c r="BL134" s="49"/>
      <c r="BM134" s="50"/>
      <c r="BN134" s="49"/>
      <c r="BO134" s="50"/>
      <c r="BP134" s="49"/>
      <c r="BQ134" s="50"/>
      <c r="BR134" s="49"/>
      <c r="BS134" s="50"/>
      <c r="BT134" s="49"/>
      <c r="BU134" s="50"/>
      <c r="BV134" s="49"/>
      <c r="BW134" s="50"/>
      <c r="BX134" s="49" t="s">
        <v>5</v>
      </c>
      <c r="BY134" s="50" t="s">
        <v>425</v>
      </c>
      <c r="BZ134" s="49"/>
      <c r="CA134" s="50"/>
      <c r="CB134" s="49"/>
      <c r="CC134" s="50"/>
    </row>
    <row r="135" spans="1:81" s="120" customFormat="1" ht="14.25" customHeight="1" x14ac:dyDescent="0.25">
      <c r="A135" s="79">
        <v>152139</v>
      </c>
      <c r="B135" s="77" t="s">
        <v>1547</v>
      </c>
      <c r="C135" s="98" t="s">
        <v>1417</v>
      </c>
      <c r="D135" s="90" t="s">
        <v>70</v>
      </c>
      <c r="E135" s="79" t="s">
        <v>14</v>
      </c>
      <c r="F135" s="79" t="s">
        <v>71</v>
      </c>
      <c r="G135" s="78" t="s">
        <v>14</v>
      </c>
      <c r="H135" s="121" t="s">
        <v>14</v>
      </c>
      <c r="I135" s="79" t="s">
        <v>14</v>
      </c>
      <c r="J135" s="122">
        <v>8</v>
      </c>
      <c r="K135" s="123">
        <v>0</v>
      </c>
      <c r="L135" s="124">
        <v>0</v>
      </c>
      <c r="M135" s="125">
        <v>0</v>
      </c>
      <c r="N135" s="118">
        <v>72.900000000000006</v>
      </c>
      <c r="O135" s="118">
        <v>85.71</v>
      </c>
      <c r="P135" s="119">
        <v>0</v>
      </c>
      <c r="Q135" s="87">
        <f t="shared" si="23"/>
        <v>1</v>
      </c>
      <c r="R135" s="88">
        <f t="shared" si="24"/>
        <v>2</v>
      </c>
      <c r="S135" s="89">
        <f t="shared" si="25"/>
        <v>1</v>
      </c>
      <c r="T135" s="89">
        <f t="shared" si="26"/>
        <v>0</v>
      </c>
      <c r="U135" s="89">
        <f t="shared" si="27"/>
        <v>0</v>
      </c>
      <c r="V135" s="89">
        <f t="shared" si="28"/>
        <v>1</v>
      </c>
      <c r="W135" s="89">
        <f t="shared" si="29"/>
        <v>0</v>
      </c>
      <c r="X135" s="89">
        <f t="shared" si="30"/>
        <v>0</v>
      </c>
      <c r="Y135" s="89">
        <f t="shared" si="31"/>
        <v>0</v>
      </c>
      <c r="Z135" s="89">
        <f t="shared" si="32"/>
        <v>0</v>
      </c>
      <c r="AA135" s="41">
        <f t="shared" si="33"/>
        <v>0</v>
      </c>
      <c r="AB135" s="49"/>
      <c r="AC135" s="50"/>
      <c r="AD135" s="49" t="s">
        <v>5</v>
      </c>
      <c r="AE135" s="50" t="s">
        <v>133</v>
      </c>
      <c r="AF135" s="49"/>
      <c r="AG135" s="50"/>
      <c r="AH135" s="49"/>
      <c r="AI135" s="50"/>
      <c r="AJ135" s="49"/>
      <c r="AK135" s="50"/>
      <c r="AL135" s="49"/>
      <c r="AM135" s="50"/>
      <c r="AN135" s="49"/>
      <c r="AO135" s="50"/>
      <c r="AP135" s="49"/>
      <c r="AQ135" s="50"/>
      <c r="AR135" s="49"/>
      <c r="AS135" s="50"/>
      <c r="AT135" s="49"/>
      <c r="AU135" s="50"/>
      <c r="AV135" s="49" t="s">
        <v>30</v>
      </c>
      <c r="AW135" s="50" t="s">
        <v>425</v>
      </c>
      <c r="AX135" s="49"/>
      <c r="AY135" s="50"/>
      <c r="AZ135" s="49"/>
      <c r="BA135" s="50"/>
      <c r="BB135" s="49" t="s">
        <v>5</v>
      </c>
      <c r="BC135" s="50" t="s">
        <v>76</v>
      </c>
      <c r="BD135" s="49"/>
      <c r="BE135" s="50"/>
      <c r="BF135" s="49"/>
      <c r="BG135" s="50"/>
      <c r="BH135" s="49"/>
      <c r="BI135" s="50"/>
      <c r="BJ135" s="49"/>
      <c r="BK135" s="50"/>
      <c r="BL135" s="49" t="s">
        <v>1</v>
      </c>
      <c r="BM135" s="50" t="s">
        <v>95</v>
      </c>
      <c r="BN135" s="49"/>
      <c r="BO135" s="50"/>
      <c r="BP135" s="49"/>
      <c r="BQ135" s="50"/>
      <c r="BR135" s="49"/>
      <c r="BS135" s="50"/>
      <c r="BT135" s="49"/>
      <c r="BU135" s="50"/>
      <c r="BV135" s="49"/>
      <c r="BW135" s="50"/>
      <c r="BX135" s="49"/>
      <c r="BY135" s="50"/>
      <c r="BZ135" s="49"/>
      <c r="CA135" s="50"/>
      <c r="CB135" s="49"/>
      <c r="CC135" s="50"/>
    </row>
    <row r="136" spans="1:81" s="120" customFormat="1" ht="14.25" customHeight="1" x14ac:dyDescent="0.25">
      <c r="A136" s="79">
        <v>150744</v>
      </c>
      <c r="B136" s="77" t="s">
        <v>1548</v>
      </c>
      <c r="C136" s="98" t="s">
        <v>1435</v>
      </c>
      <c r="D136" s="90" t="s">
        <v>70</v>
      </c>
      <c r="E136" s="79" t="s">
        <v>14</v>
      </c>
      <c r="F136" s="79" t="s">
        <v>184</v>
      </c>
      <c r="G136" s="78" t="s">
        <v>14</v>
      </c>
      <c r="H136" s="121" t="s">
        <v>14</v>
      </c>
      <c r="I136" s="79" t="s">
        <v>14</v>
      </c>
      <c r="J136" s="122">
        <v>8</v>
      </c>
      <c r="K136" s="123">
        <v>0</v>
      </c>
      <c r="L136" s="124">
        <v>0</v>
      </c>
      <c r="M136" s="125">
        <v>0</v>
      </c>
      <c r="N136" s="118">
        <v>87.79</v>
      </c>
      <c r="O136" s="118">
        <v>87.8</v>
      </c>
      <c r="P136" s="119">
        <v>0</v>
      </c>
      <c r="Q136" s="87">
        <f t="shared" si="23"/>
        <v>3</v>
      </c>
      <c r="R136" s="88">
        <f t="shared" si="24"/>
        <v>2</v>
      </c>
      <c r="S136" s="89">
        <f t="shared" si="25"/>
        <v>0</v>
      </c>
      <c r="T136" s="89">
        <f t="shared" si="26"/>
        <v>0</v>
      </c>
      <c r="U136" s="89">
        <f t="shared" si="27"/>
        <v>0</v>
      </c>
      <c r="V136" s="89">
        <f t="shared" si="28"/>
        <v>0</v>
      </c>
      <c r="W136" s="89">
        <f t="shared" si="29"/>
        <v>0</v>
      </c>
      <c r="X136" s="89">
        <f t="shared" si="30"/>
        <v>0</v>
      </c>
      <c r="Y136" s="89">
        <f t="shared" si="31"/>
        <v>0</v>
      </c>
      <c r="Z136" s="89">
        <f t="shared" si="32"/>
        <v>0</v>
      </c>
      <c r="AA136" s="41">
        <f t="shared" si="33"/>
        <v>0</v>
      </c>
      <c r="AB136" s="49"/>
      <c r="AC136" s="50"/>
      <c r="AD136" s="49"/>
      <c r="AE136" s="50"/>
      <c r="AF136" s="49"/>
      <c r="AG136" s="50"/>
      <c r="AH136" s="49"/>
      <c r="AI136" s="50"/>
      <c r="AJ136" s="49" t="s">
        <v>1</v>
      </c>
      <c r="AK136" s="50" t="s">
        <v>163</v>
      </c>
      <c r="AL136" s="49"/>
      <c r="AM136" s="50"/>
      <c r="AN136" s="49"/>
      <c r="AO136" s="50"/>
      <c r="AP136" s="49"/>
      <c r="AQ136" s="50"/>
      <c r="AR136" s="49"/>
      <c r="AS136" s="50"/>
      <c r="AT136" s="49"/>
      <c r="AU136" s="50"/>
      <c r="AV136" s="49" t="s">
        <v>5</v>
      </c>
      <c r="AW136" s="50" t="s">
        <v>122</v>
      </c>
      <c r="AX136" s="49"/>
      <c r="AY136" s="50"/>
      <c r="AZ136" s="49" t="s">
        <v>1</v>
      </c>
      <c r="BA136" s="50" t="s">
        <v>422</v>
      </c>
      <c r="BB136" s="49"/>
      <c r="BC136" s="50"/>
      <c r="BD136" s="49"/>
      <c r="BE136" s="50"/>
      <c r="BF136" s="49"/>
      <c r="BG136" s="50"/>
      <c r="BH136" s="49" t="s">
        <v>5</v>
      </c>
      <c r="BI136" s="50" t="s">
        <v>139</v>
      </c>
      <c r="BJ136" s="49"/>
      <c r="BK136" s="50"/>
      <c r="BL136" s="49"/>
      <c r="BM136" s="50"/>
      <c r="BN136" s="49"/>
      <c r="BO136" s="50"/>
      <c r="BP136" s="49"/>
      <c r="BQ136" s="50"/>
      <c r="BR136" s="49"/>
      <c r="BS136" s="50"/>
      <c r="BT136" s="49" t="s">
        <v>1</v>
      </c>
      <c r="BU136" s="50" t="s">
        <v>98</v>
      </c>
      <c r="BV136" s="49"/>
      <c r="BW136" s="50"/>
      <c r="BX136" s="49"/>
      <c r="BY136" s="50"/>
      <c r="BZ136" s="49"/>
      <c r="CA136" s="50"/>
      <c r="CB136" s="49"/>
      <c r="CC136" s="50"/>
    </row>
    <row r="137" spans="1:81" s="120" customFormat="1" ht="14.25" customHeight="1" x14ac:dyDescent="0.25">
      <c r="A137" s="79">
        <v>150429</v>
      </c>
      <c r="B137" s="77" t="s">
        <v>1549</v>
      </c>
      <c r="C137" s="98" t="s">
        <v>1405</v>
      </c>
      <c r="D137" s="90" t="s">
        <v>70</v>
      </c>
      <c r="E137" s="79" t="s">
        <v>87</v>
      </c>
      <c r="F137" s="79" t="s">
        <v>88</v>
      </c>
      <c r="G137" s="78" t="s">
        <v>14</v>
      </c>
      <c r="H137" s="121" t="s">
        <v>14</v>
      </c>
      <c r="I137" s="79" t="s">
        <v>14</v>
      </c>
      <c r="J137" s="122">
        <v>5.9</v>
      </c>
      <c r="K137" s="123">
        <v>0</v>
      </c>
      <c r="L137" s="124">
        <v>0</v>
      </c>
      <c r="M137" s="125">
        <v>0</v>
      </c>
      <c r="N137" s="118">
        <v>91.96</v>
      </c>
      <c r="O137" s="118">
        <v>89.74</v>
      </c>
      <c r="P137" s="119">
        <v>9</v>
      </c>
      <c r="Q137" s="87">
        <f t="shared" si="23"/>
        <v>0</v>
      </c>
      <c r="R137" s="88">
        <f t="shared" si="24"/>
        <v>4</v>
      </c>
      <c r="S137" s="89">
        <f t="shared" si="25"/>
        <v>0</v>
      </c>
      <c r="T137" s="89">
        <f t="shared" si="26"/>
        <v>0</v>
      </c>
      <c r="U137" s="89">
        <f t="shared" si="27"/>
        <v>0</v>
      </c>
      <c r="V137" s="89">
        <f t="shared" si="28"/>
        <v>0</v>
      </c>
      <c r="W137" s="89">
        <f t="shared" si="29"/>
        <v>0</v>
      </c>
      <c r="X137" s="89">
        <f t="shared" si="30"/>
        <v>0</v>
      </c>
      <c r="Y137" s="89">
        <f t="shared" si="31"/>
        <v>0</v>
      </c>
      <c r="Z137" s="89">
        <f t="shared" si="32"/>
        <v>0</v>
      </c>
      <c r="AA137" s="41">
        <f t="shared" si="33"/>
        <v>0</v>
      </c>
      <c r="AB137" s="49"/>
      <c r="AC137" s="50"/>
      <c r="AD137" s="49" t="s">
        <v>5</v>
      </c>
      <c r="AE137" s="50" t="s">
        <v>438</v>
      </c>
      <c r="AF137" s="49"/>
      <c r="AG137" s="50"/>
      <c r="AH137" s="49" t="s">
        <v>5</v>
      </c>
      <c r="AI137" s="50" t="s">
        <v>137</v>
      </c>
      <c r="AJ137" s="49"/>
      <c r="AK137" s="50"/>
      <c r="AL137" s="49"/>
      <c r="AM137" s="50"/>
      <c r="AN137" s="49"/>
      <c r="AO137" s="50"/>
      <c r="AP137" s="49"/>
      <c r="AQ137" s="50"/>
      <c r="AR137" s="49"/>
      <c r="AS137" s="50"/>
      <c r="AT137" s="49"/>
      <c r="AU137" s="50"/>
      <c r="AV137" s="49" t="s">
        <v>5</v>
      </c>
      <c r="AW137" s="50" t="s">
        <v>495</v>
      </c>
      <c r="AX137" s="49"/>
      <c r="AY137" s="50"/>
      <c r="AZ137" s="49"/>
      <c r="BA137" s="50"/>
      <c r="BB137" s="49"/>
      <c r="BC137" s="50"/>
      <c r="BD137" s="49"/>
      <c r="BE137" s="50"/>
      <c r="BF137" s="49"/>
      <c r="BG137" s="50"/>
      <c r="BH137" s="49"/>
      <c r="BI137" s="50"/>
      <c r="BJ137" s="49"/>
      <c r="BK137" s="50"/>
      <c r="BL137" s="49"/>
      <c r="BM137" s="50"/>
      <c r="BN137" s="49"/>
      <c r="BO137" s="50"/>
      <c r="BP137" s="49"/>
      <c r="BQ137" s="50"/>
      <c r="BR137" s="49"/>
      <c r="BS137" s="50"/>
      <c r="BT137" s="49"/>
      <c r="BU137" s="50"/>
      <c r="BV137" s="49"/>
      <c r="BW137" s="50"/>
      <c r="BX137" s="49" t="s">
        <v>5</v>
      </c>
      <c r="BY137" s="50" t="s">
        <v>425</v>
      </c>
      <c r="BZ137" s="49"/>
      <c r="CA137" s="50"/>
      <c r="CB137" s="49"/>
      <c r="CC137" s="50"/>
    </row>
    <row r="138" spans="1:81" s="120" customFormat="1" ht="14.25" customHeight="1" x14ac:dyDescent="0.25">
      <c r="A138" s="79">
        <v>152205</v>
      </c>
      <c r="B138" s="77" t="s">
        <v>1550</v>
      </c>
      <c r="C138" s="98" t="s">
        <v>1419</v>
      </c>
      <c r="D138" s="90" t="s">
        <v>70</v>
      </c>
      <c r="E138" s="79" t="s">
        <v>14</v>
      </c>
      <c r="F138" s="79" t="s">
        <v>539</v>
      </c>
      <c r="G138" s="78" t="s">
        <v>14</v>
      </c>
      <c r="H138" s="121" t="s">
        <v>14</v>
      </c>
      <c r="I138" s="79" t="s">
        <v>14</v>
      </c>
      <c r="J138" s="122">
        <v>6.1</v>
      </c>
      <c r="K138" s="123">
        <v>0</v>
      </c>
      <c r="L138" s="124">
        <v>0</v>
      </c>
      <c r="M138" s="125">
        <v>0</v>
      </c>
      <c r="N138" s="118">
        <v>64.150000000000006</v>
      </c>
      <c r="O138" s="118">
        <v>45.95</v>
      </c>
      <c r="P138" s="119">
        <v>3</v>
      </c>
      <c r="Q138" s="87">
        <f t="shared" si="23"/>
        <v>0</v>
      </c>
      <c r="R138" s="88">
        <f t="shared" si="24"/>
        <v>2</v>
      </c>
      <c r="S138" s="89">
        <f t="shared" si="25"/>
        <v>1</v>
      </c>
      <c r="T138" s="89">
        <f t="shared" si="26"/>
        <v>0</v>
      </c>
      <c r="U138" s="89">
        <f t="shared" si="27"/>
        <v>1</v>
      </c>
      <c r="V138" s="89">
        <f t="shared" si="28"/>
        <v>2</v>
      </c>
      <c r="W138" s="89">
        <f t="shared" si="29"/>
        <v>0</v>
      </c>
      <c r="X138" s="89">
        <f t="shared" si="30"/>
        <v>0</v>
      </c>
      <c r="Y138" s="89">
        <f t="shared" si="31"/>
        <v>0</v>
      </c>
      <c r="Z138" s="89">
        <f t="shared" si="32"/>
        <v>0</v>
      </c>
      <c r="AA138" s="41">
        <f t="shared" si="33"/>
        <v>0</v>
      </c>
      <c r="AB138" s="49"/>
      <c r="AC138" s="50"/>
      <c r="AD138" s="49" t="s">
        <v>5</v>
      </c>
      <c r="AE138" s="50" t="s">
        <v>433</v>
      </c>
      <c r="AF138" s="49"/>
      <c r="AG138" s="50"/>
      <c r="AH138" s="49"/>
      <c r="AI138" s="50"/>
      <c r="AJ138" s="49"/>
      <c r="AK138" s="50"/>
      <c r="AL138" s="49"/>
      <c r="AM138" s="50"/>
      <c r="AN138" s="49"/>
      <c r="AO138" s="50"/>
      <c r="AP138" s="49"/>
      <c r="AQ138" s="50"/>
      <c r="AR138" s="49"/>
      <c r="AS138" s="50"/>
      <c r="AT138" s="49"/>
      <c r="AU138" s="50"/>
      <c r="AV138" s="49" t="s">
        <v>32</v>
      </c>
      <c r="AW138" s="50" t="s">
        <v>715</v>
      </c>
      <c r="AX138" s="49"/>
      <c r="AY138" s="50"/>
      <c r="AZ138" s="49"/>
      <c r="BA138" s="50"/>
      <c r="BB138" s="49"/>
      <c r="BC138" s="50"/>
      <c r="BD138" s="49"/>
      <c r="BE138" s="50"/>
      <c r="BF138" s="49"/>
      <c r="BG138" s="50"/>
      <c r="BH138" s="49"/>
      <c r="BI138" s="50"/>
      <c r="BJ138" s="49"/>
      <c r="BK138" s="50"/>
      <c r="BL138" s="49"/>
      <c r="BM138" s="50"/>
      <c r="BN138" s="49"/>
      <c r="BO138" s="50"/>
      <c r="BP138" s="49"/>
      <c r="BQ138" s="50"/>
      <c r="BR138" s="49"/>
      <c r="BS138" s="50"/>
      <c r="BT138" s="49" t="s">
        <v>5</v>
      </c>
      <c r="BU138" s="50" t="s">
        <v>98</v>
      </c>
      <c r="BV138" s="49"/>
      <c r="BW138" s="50"/>
      <c r="BX138" s="49" t="s">
        <v>30</v>
      </c>
      <c r="BY138" s="50" t="s">
        <v>425</v>
      </c>
      <c r="BZ138" s="49"/>
      <c r="CA138" s="50"/>
      <c r="CB138" s="49"/>
      <c r="CC138" s="50"/>
    </row>
    <row r="139" spans="1:81" s="120" customFormat="1" ht="14.25" customHeight="1" x14ac:dyDescent="0.25">
      <c r="A139" s="79">
        <v>152216</v>
      </c>
      <c r="B139" s="77" t="s">
        <v>1551</v>
      </c>
      <c r="C139" s="98" t="s">
        <v>1408</v>
      </c>
      <c r="D139" s="90" t="s">
        <v>70</v>
      </c>
      <c r="E139" s="79" t="s">
        <v>87</v>
      </c>
      <c r="F139" s="79" t="s">
        <v>88</v>
      </c>
      <c r="G139" s="78" t="s">
        <v>14</v>
      </c>
      <c r="H139" s="121" t="s">
        <v>14</v>
      </c>
      <c r="I139" s="79" t="s">
        <v>14</v>
      </c>
      <c r="J139" s="122">
        <v>4.4000000000000004</v>
      </c>
      <c r="K139" s="123">
        <v>3</v>
      </c>
      <c r="L139" s="124">
        <v>0</v>
      </c>
      <c r="M139" s="125">
        <v>0</v>
      </c>
      <c r="N139" s="118">
        <v>100</v>
      </c>
      <c r="O139" s="118">
        <v>100</v>
      </c>
      <c r="P139" s="119">
        <v>3</v>
      </c>
      <c r="Q139" s="87">
        <f t="shared" si="23"/>
        <v>0</v>
      </c>
      <c r="R139" s="88">
        <f t="shared" si="24"/>
        <v>4</v>
      </c>
      <c r="S139" s="89">
        <f t="shared" si="25"/>
        <v>0</v>
      </c>
      <c r="T139" s="89">
        <f t="shared" si="26"/>
        <v>0</v>
      </c>
      <c r="U139" s="89">
        <f t="shared" si="27"/>
        <v>0</v>
      </c>
      <c r="V139" s="89">
        <f t="shared" si="28"/>
        <v>0</v>
      </c>
      <c r="W139" s="89">
        <f t="shared" si="29"/>
        <v>0</v>
      </c>
      <c r="X139" s="89">
        <f t="shared" si="30"/>
        <v>0</v>
      </c>
      <c r="Y139" s="89">
        <f t="shared" si="31"/>
        <v>0</v>
      </c>
      <c r="Z139" s="89">
        <f t="shared" si="32"/>
        <v>0</v>
      </c>
      <c r="AA139" s="41">
        <f t="shared" si="33"/>
        <v>0</v>
      </c>
      <c r="AB139" s="49"/>
      <c r="AC139" s="50"/>
      <c r="AD139" s="49"/>
      <c r="AE139" s="50"/>
      <c r="AF139" s="49" t="s">
        <v>5</v>
      </c>
      <c r="AG139" s="50" t="s">
        <v>427</v>
      </c>
      <c r="AH139" s="49"/>
      <c r="AI139" s="50"/>
      <c r="AJ139" s="49"/>
      <c r="AK139" s="50"/>
      <c r="AL139" s="49"/>
      <c r="AM139" s="50"/>
      <c r="AN139" s="49"/>
      <c r="AO139" s="50"/>
      <c r="AP139" s="49"/>
      <c r="AQ139" s="50"/>
      <c r="AR139" s="49"/>
      <c r="AS139" s="50"/>
      <c r="AT139" s="49"/>
      <c r="AU139" s="50"/>
      <c r="AV139" s="49" t="s">
        <v>5</v>
      </c>
      <c r="AW139" s="50" t="s">
        <v>421</v>
      </c>
      <c r="AX139" s="49"/>
      <c r="AY139" s="50"/>
      <c r="AZ139" s="49"/>
      <c r="BA139" s="50"/>
      <c r="BB139" s="49"/>
      <c r="BC139" s="50"/>
      <c r="BD139" s="49" t="s">
        <v>5</v>
      </c>
      <c r="BE139" s="50" t="s">
        <v>436</v>
      </c>
      <c r="BF139" s="49"/>
      <c r="BG139" s="50"/>
      <c r="BH139" s="49"/>
      <c r="BI139" s="50"/>
      <c r="BJ139" s="49"/>
      <c r="BK139" s="50"/>
      <c r="BL139" s="49"/>
      <c r="BM139" s="50"/>
      <c r="BN139" s="49"/>
      <c r="BO139" s="50"/>
      <c r="BP139" s="49"/>
      <c r="BQ139" s="50"/>
      <c r="BR139" s="49"/>
      <c r="BS139" s="50"/>
      <c r="BT139" s="49"/>
      <c r="BU139" s="50"/>
      <c r="BV139" s="49"/>
      <c r="BW139" s="50"/>
      <c r="BX139" s="49"/>
      <c r="BY139" s="50"/>
      <c r="BZ139" s="49" t="s">
        <v>5</v>
      </c>
      <c r="CA139" s="50" t="s">
        <v>420</v>
      </c>
      <c r="CB139" s="49"/>
      <c r="CC139" s="50"/>
    </row>
    <row r="140" spans="1:81" s="120" customFormat="1" ht="14.25" customHeight="1" x14ac:dyDescent="0.25">
      <c r="A140" s="79">
        <v>150553</v>
      </c>
      <c r="B140" s="77" t="s">
        <v>1552</v>
      </c>
      <c r="C140" s="98" t="s">
        <v>1421</v>
      </c>
      <c r="D140" s="90" t="s">
        <v>70</v>
      </c>
      <c r="E140" s="79" t="s">
        <v>14</v>
      </c>
      <c r="F140" s="79" t="s">
        <v>88</v>
      </c>
      <c r="G140" s="78" t="s">
        <v>14</v>
      </c>
      <c r="H140" s="121" t="s">
        <v>14</v>
      </c>
      <c r="I140" s="79" t="s">
        <v>14</v>
      </c>
      <c r="J140" s="122">
        <v>5.4</v>
      </c>
      <c r="K140" s="123">
        <v>1</v>
      </c>
      <c r="L140" s="124">
        <v>0</v>
      </c>
      <c r="M140" s="125">
        <v>0</v>
      </c>
      <c r="N140" s="118">
        <v>84.47</v>
      </c>
      <c r="O140" s="118">
        <v>76.319999999999993</v>
      </c>
      <c r="P140" s="119">
        <v>0</v>
      </c>
      <c r="Q140" s="87">
        <f t="shared" si="23"/>
        <v>1</v>
      </c>
      <c r="R140" s="88">
        <f t="shared" si="24"/>
        <v>3</v>
      </c>
      <c r="S140" s="89">
        <f t="shared" si="25"/>
        <v>0</v>
      </c>
      <c r="T140" s="89">
        <f t="shared" si="26"/>
        <v>0</v>
      </c>
      <c r="U140" s="89">
        <f t="shared" si="27"/>
        <v>0</v>
      </c>
      <c r="V140" s="89">
        <f t="shared" si="28"/>
        <v>0</v>
      </c>
      <c r="W140" s="89">
        <f t="shared" si="29"/>
        <v>0</v>
      </c>
      <c r="X140" s="89">
        <f t="shared" si="30"/>
        <v>0</v>
      </c>
      <c r="Y140" s="89">
        <f t="shared" si="31"/>
        <v>0</v>
      </c>
      <c r="Z140" s="89">
        <f t="shared" si="32"/>
        <v>0</v>
      </c>
      <c r="AA140" s="41">
        <f t="shared" si="33"/>
        <v>0</v>
      </c>
      <c r="AB140" s="49"/>
      <c r="AC140" s="50"/>
      <c r="AD140" s="49"/>
      <c r="AE140" s="50"/>
      <c r="AF140" s="49"/>
      <c r="AG140" s="50"/>
      <c r="AH140" s="49"/>
      <c r="AI140" s="50"/>
      <c r="AJ140" s="49"/>
      <c r="AK140" s="50"/>
      <c r="AL140" s="49"/>
      <c r="AM140" s="50"/>
      <c r="AN140" s="49"/>
      <c r="AO140" s="50"/>
      <c r="AP140" s="49"/>
      <c r="AQ140" s="50"/>
      <c r="AR140" s="49"/>
      <c r="AS140" s="50"/>
      <c r="AT140" s="49" t="s">
        <v>5</v>
      </c>
      <c r="AU140" s="50" t="s">
        <v>448</v>
      </c>
      <c r="AV140" s="49" t="s">
        <v>5</v>
      </c>
      <c r="AW140" s="50" t="s">
        <v>151</v>
      </c>
      <c r="AX140" s="49"/>
      <c r="AY140" s="50"/>
      <c r="AZ140" s="49"/>
      <c r="BA140" s="50"/>
      <c r="BB140" s="49"/>
      <c r="BC140" s="50"/>
      <c r="BD140" s="49"/>
      <c r="BE140" s="50"/>
      <c r="BF140" s="49"/>
      <c r="BG140" s="50"/>
      <c r="BH140" s="49"/>
      <c r="BI140" s="50"/>
      <c r="BJ140" s="49"/>
      <c r="BK140" s="50"/>
      <c r="BL140" s="49"/>
      <c r="BM140" s="50"/>
      <c r="BN140" s="49"/>
      <c r="BO140" s="50"/>
      <c r="BP140" s="49"/>
      <c r="BQ140" s="50"/>
      <c r="BR140" s="49"/>
      <c r="BS140" s="50"/>
      <c r="BT140" s="49"/>
      <c r="BU140" s="50"/>
      <c r="BV140" s="49"/>
      <c r="BW140" s="50"/>
      <c r="BX140" s="49" t="s">
        <v>5</v>
      </c>
      <c r="BY140" s="50" t="s">
        <v>425</v>
      </c>
      <c r="BZ140" s="49" t="s">
        <v>1</v>
      </c>
      <c r="CA140" s="50" t="s">
        <v>462</v>
      </c>
      <c r="CB140" s="49"/>
      <c r="CC140" s="50"/>
    </row>
    <row r="141" spans="1:81" s="120" customFormat="1" ht="14.25" customHeight="1" x14ac:dyDescent="0.25">
      <c r="A141" s="79">
        <v>150527</v>
      </c>
      <c r="B141" s="77" t="s">
        <v>1553</v>
      </c>
      <c r="C141" s="98" t="s">
        <v>1419</v>
      </c>
      <c r="D141" s="90" t="s">
        <v>70</v>
      </c>
      <c r="E141" s="79" t="s">
        <v>14</v>
      </c>
      <c r="F141" s="79" t="s">
        <v>71</v>
      </c>
      <c r="G141" s="78" t="s">
        <v>14</v>
      </c>
      <c r="H141" s="121" t="s">
        <v>14</v>
      </c>
      <c r="I141" s="79" t="s">
        <v>14</v>
      </c>
      <c r="J141" s="122">
        <v>6.4</v>
      </c>
      <c r="K141" s="123">
        <v>0</v>
      </c>
      <c r="L141" s="124">
        <v>0</v>
      </c>
      <c r="M141" s="125">
        <v>0</v>
      </c>
      <c r="N141" s="118">
        <v>96.3</v>
      </c>
      <c r="O141" s="118">
        <v>94.59</v>
      </c>
      <c r="P141" s="119">
        <v>0</v>
      </c>
      <c r="Q141" s="87">
        <f t="shared" si="23"/>
        <v>0</v>
      </c>
      <c r="R141" s="88">
        <f t="shared" si="24"/>
        <v>4</v>
      </c>
      <c r="S141" s="89">
        <f t="shared" si="25"/>
        <v>0</v>
      </c>
      <c r="T141" s="89">
        <f t="shared" si="26"/>
        <v>0</v>
      </c>
      <c r="U141" s="89">
        <f t="shared" si="27"/>
        <v>0</v>
      </c>
      <c r="V141" s="89">
        <f t="shared" si="28"/>
        <v>0</v>
      </c>
      <c r="W141" s="89">
        <f t="shared" si="29"/>
        <v>0</v>
      </c>
      <c r="X141" s="89">
        <f t="shared" si="30"/>
        <v>0</v>
      </c>
      <c r="Y141" s="89">
        <f t="shared" si="31"/>
        <v>0</v>
      </c>
      <c r="Z141" s="89">
        <f t="shared" si="32"/>
        <v>0</v>
      </c>
      <c r="AA141" s="41">
        <f t="shared" si="33"/>
        <v>0</v>
      </c>
      <c r="AB141" s="49"/>
      <c r="AC141" s="50"/>
      <c r="AD141" s="49"/>
      <c r="AE141" s="50"/>
      <c r="AF141" s="49"/>
      <c r="AG141" s="50"/>
      <c r="AH141" s="49"/>
      <c r="AI141" s="50"/>
      <c r="AJ141" s="49"/>
      <c r="AK141" s="50"/>
      <c r="AL141" s="49"/>
      <c r="AM141" s="50"/>
      <c r="AN141" s="49"/>
      <c r="AO141" s="50"/>
      <c r="AP141" s="49" t="s">
        <v>5</v>
      </c>
      <c r="AQ141" s="50" t="s">
        <v>428</v>
      </c>
      <c r="AR141" s="49"/>
      <c r="AS141" s="50"/>
      <c r="AT141" s="49"/>
      <c r="AU141" s="50"/>
      <c r="AV141" s="49" t="s">
        <v>5</v>
      </c>
      <c r="AW141" s="50" t="s">
        <v>476</v>
      </c>
      <c r="AX141" s="49"/>
      <c r="AY141" s="50"/>
      <c r="AZ141" s="49"/>
      <c r="BA141" s="50"/>
      <c r="BB141" s="49"/>
      <c r="BC141" s="50"/>
      <c r="BD141" s="49"/>
      <c r="BE141" s="50"/>
      <c r="BF141" s="49"/>
      <c r="BG141" s="50"/>
      <c r="BH141" s="49" t="s">
        <v>5</v>
      </c>
      <c r="BI141" s="50" t="s">
        <v>136</v>
      </c>
      <c r="BJ141" s="49"/>
      <c r="BK141" s="50"/>
      <c r="BL141" s="49"/>
      <c r="BM141" s="50"/>
      <c r="BN141" s="49"/>
      <c r="BO141" s="50"/>
      <c r="BP141" s="49"/>
      <c r="BQ141" s="50"/>
      <c r="BR141" s="49"/>
      <c r="BS141" s="50"/>
      <c r="BT141" s="49"/>
      <c r="BU141" s="50"/>
      <c r="BV141" s="49" t="s">
        <v>5</v>
      </c>
      <c r="BW141" s="50" t="s">
        <v>93</v>
      </c>
      <c r="BX141" s="49"/>
      <c r="BY141" s="50"/>
      <c r="BZ141" s="49"/>
      <c r="CA141" s="50"/>
      <c r="CB141" s="49"/>
      <c r="CC141" s="50"/>
    </row>
    <row r="142" spans="1:81" s="120" customFormat="1" ht="14.25" customHeight="1" x14ac:dyDescent="0.25">
      <c r="A142" s="79">
        <v>150454</v>
      </c>
      <c r="B142" s="77" t="s">
        <v>1554</v>
      </c>
      <c r="C142" s="98" t="s">
        <v>1440</v>
      </c>
      <c r="D142" s="90" t="s">
        <v>70</v>
      </c>
      <c r="E142" s="79" t="s">
        <v>14</v>
      </c>
      <c r="F142" s="79" t="s">
        <v>71</v>
      </c>
      <c r="G142" s="78" t="s">
        <v>14</v>
      </c>
      <c r="H142" s="121" t="s">
        <v>14</v>
      </c>
      <c r="I142" s="79" t="s">
        <v>14</v>
      </c>
      <c r="J142" s="122">
        <v>6.1</v>
      </c>
      <c r="K142" s="123">
        <v>0</v>
      </c>
      <c r="L142" s="124">
        <v>0</v>
      </c>
      <c r="M142" s="125">
        <v>1</v>
      </c>
      <c r="N142" s="118">
        <v>100</v>
      </c>
      <c r="O142" s="118">
        <v>100</v>
      </c>
      <c r="P142" s="119">
        <v>1</v>
      </c>
      <c r="Q142" s="87">
        <f t="shared" si="23"/>
        <v>0</v>
      </c>
      <c r="R142" s="88">
        <f t="shared" si="24"/>
        <v>2</v>
      </c>
      <c r="S142" s="89">
        <f t="shared" si="25"/>
        <v>2</v>
      </c>
      <c r="T142" s="89">
        <f t="shared" si="26"/>
        <v>0</v>
      </c>
      <c r="U142" s="89">
        <f t="shared" si="27"/>
        <v>0</v>
      </c>
      <c r="V142" s="89">
        <f t="shared" si="28"/>
        <v>2</v>
      </c>
      <c r="W142" s="89">
        <f t="shared" si="29"/>
        <v>0</v>
      </c>
      <c r="X142" s="89">
        <f t="shared" si="30"/>
        <v>0</v>
      </c>
      <c r="Y142" s="89">
        <f t="shared" si="31"/>
        <v>0</v>
      </c>
      <c r="Z142" s="89">
        <f t="shared" si="32"/>
        <v>0</v>
      </c>
      <c r="AA142" s="41">
        <f t="shared" si="33"/>
        <v>0</v>
      </c>
      <c r="AB142" s="49"/>
      <c r="AC142" s="50"/>
      <c r="AD142" s="49"/>
      <c r="AE142" s="50"/>
      <c r="AF142" s="49"/>
      <c r="AG142" s="50"/>
      <c r="AH142" s="49"/>
      <c r="AI142" s="50"/>
      <c r="AJ142" s="49"/>
      <c r="AK142" s="50"/>
      <c r="AL142" s="49"/>
      <c r="AM142" s="50"/>
      <c r="AN142" s="49"/>
      <c r="AO142" s="50"/>
      <c r="AP142" s="49"/>
      <c r="AQ142" s="50"/>
      <c r="AR142" s="49"/>
      <c r="AS142" s="50"/>
      <c r="AT142" s="49"/>
      <c r="AU142" s="50"/>
      <c r="AV142" s="49" t="s">
        <v>5</v>
      </c>
      <c r="AW142" s="50" t="s">
        <v>433</v>
      </c>
      <c r="AX142" s="49"/>
      <c r="AY142" s="50"/>
      <c r="AZ142" s="49"/>
      <c r="BA142" s="50"/>
      <c r="BB142" s="49"/>
      <c r="BC142" s="50"/>
      <c r="BD142" s="49"/>
      <c r="BE142" s="50"/>
      <c r="BF142" s="49"/>
      <c r="BG142" s="50"/>
      <c r="BH142" s="49"/>
      <c r="BI142" s="50"/>
      <c r="BJ142" s="49"/>
      <c r="BK142" s="50"/>
      <c r="BL142" s="49"/>
      <c r="BM142" s="50"/>
      <c r="BN142" s="49" t="s">
        <v>30</v>
      </c>
      <c r="BO142" s="50" t="s">
        <v>602</v>
      </c>
      <c r="BP142" s="49" t="s">
        <v>30</v>
      </c>
      <c r="BQ142" s="50"/>
      <c r="BR142" s="49"/>
      <c r="BS142" s="50"/>
      <c r="BT142" s="49"/>
      <c r="BU142" s="50"/>
      <c r="BV142" s="49"/>
      <c r="BW142" s="50"/>
      <c r="BX142" s="49"/>
      <c r="BY142" s="50"/>
      <c r="BZ142" s="49" t="s">
        <v>5</v>
      </c>
      <c r="CA142" s="50" t="s">
        <v>420</v>
      </c>
      <c r="CB142" s="49"/>
      <c r="CC142" s="50"/>
    </row>
    <row r="143" spans="1:81" s="120" customFormat="1" ht="14.25" customHeight="1" x14ac:dyDescent="0.25">
      <c r="A143" s="79">
        <v>152182</v>
      </c>
      <c r="B143" s="77" t="s">
        <v>1555</v>
      </c>
      <c r="C143" s="98" t="s">
        <v>1405</v>
      </c>
      <c r="D143" s="90" t="s">
        <v>70</v>
      </c>
      <c r="E143" s="79" t="s">
        <v>14</v>
      </c>
      <c r="F143" s="79" t="s">
        <v>71</v>
      </c>
      <c r="G143" s="78" t="s">
        <v>14</v>
      </c>
      <c r="H143" s="121" t="s">
        <v>14</v>
      </c>
      <c r="I143" s="79" t="s">
        <v>14</v>
      </c>
      <c r="J143" s="122">
        <v>8.1</v>
      </c>
      <c r="K143" s="123">
        <v>2</v>
      </c>
      <c r="L143" s="124">
        <v>0</v>
      </c>
      <c r="M143" s="125">
        <v>0</v>
      </c>
      <c r="N143" s="118">
        <v>96.24</v>
      </c>
      <c r="O143" s="118">
        <v>97.5</v>
      </c>
      <c r="P143" s="119">
        <v>0</v>
      </c>
      <c r="Q143" s="87">
        <f t="shared" si="23"/>
        <v>2</v>
      </c>
      <c r="R143" s="88">
        <f t="shared" si="24"/>
        <v>2</v>
      </c>
      <c r="S143" s="89">
        <f t="shared" si="25"/>
        <v>0</v>
      </c>
      <c r="T143" s="89">
        <f t="shared" si="26"/>
        <v>0</v>
      </c>
      <c r="U143" s="89">
        <f t="shared" si="27"/>
        <v>0</v>
      </c>
      <c r="V143" s="89">
        <f t="shared" si="28"/>
        <v>0</v>
      </c>
      <c r="W143" s="89">
        <f t="shared" si="29"/>
        <v>0</v>
      </c>
      <c r="X143" s="89">
        <f t="shared" si="30"/>
        <v>0</v>
      </c>
      <c r="Y143" s="89">
        <f t="shared" si="31"/>
        <v>0</v>
      </c>
      <c r="Z143" s="89">
        <f t="shared" si="32"/>
        <v>0</v>
      </c>
      <c r="AA143" s="41">
        <f t="shared" si="33"/>
        <v>0</v>
      </c>
      <c r="AB143" s="49" t="s">
        <v>1</v>
      </c>
      <c r="AC143" s="50" t="s">
        <v>72</v>
      </c>
      <c r="AD143" s="49"/>
      <c r="AE143" s="50"/>
      <c r="AF143" s="49"/>
      <c r="AG143" s="50"/>
      <c r="AH143" s="49" t="s">
        <v>5</v>
      </c>
      <c r="AI143" s="50" t="s">
        <v>206</v>
      </c>
      <c r="AJ143" s="49"/>
      <c r="AK143" s="50"/>
      <c r="AL143" s="49"/>
      <c r="AM143" s="50"/>
      <c r="AN143" s="49"/>
      <c r="AO143" s="50"/>
      <c r="AP143" s="49"/>
      <c r="AQ143" s="50"/>
      <c r="AR143" s="49"/>
      <c r="AS143" s="50"/>
      <c r="AT143" s="49"/>
      <c r="AU143" s="50"/>
      <c r="AV143" s="49" t="s">
        <v>1</v>
      </c>
      <c r="AW143" s="50" t="s">
        <v>82</v>
      </c>
      <c r="AX143" s="49"/>
      <c r="AY143" s="50"/>
      <c r="AZ143" s="49"/>
      <c r="BA143" s="50"/>
      <c r="BB143" s="49"/>
      <c r="BC143" s="50"/>
      <c r="BD143" s="49"/>
      <c r="BE143" s="50"/>
      <c r="BF143" s="49"/>
      <c r="BG143" s="50"/>
      <c r="BH143" s="49" t="s">
        <v>5</v>
      </c>
      <c r="BI143" s="50" t="s">
        <v>139</v>
      </c>
      <c r="BJ143" s="49"/>
      <c r="BK143" s="50"/>
      <c r="BL143" s="49"/>
      <c r="BM143" s="50"/>
      <c r="BN143" s="49"/>
      <c r="BO143" s="50"/>
      <c r="BP143" s="49"/>
      <c r="BQ143" s="50"/>
      <c r="BR143" s="49"/>
      <c r="BS143" s="50"/>
      <c r="BT143" s="49"/>
      <c r="BU143" s="50"/>
      <c r="BV143" s="49"/>
      <c r="BW143" s="50"/>
      <c r="BX143" s="49"/>
      <c r="BY143" s="50"/>
      <c r="BZ143" s="49"/>
      <c r="CA143" s="50"/>
      <c r="CB143" s="49"/>
      <c r="CC143" s="50"/>
    </row>
    <row r="144" spans="1:81" s="120" customFormat="1" ht="14.25" customHeight="1" x14ac:dyDescent="0.25">
      <c r="A144" s="79">
        <v>160023</v>
      </c>
      <c r="B144" s="77" t="s">
        <v>1556</v>
      </c>
      <c r="C144" s="98" t="s">
        <v>1408</v>
      </c>
      <c r="D144" s="90" t="s">
        <v>70</v>
      </c>
      <c r="E144" s="79" t="s">
        <v>87</v>
      </c>
      <c r="F144" s="79" t="s">
        <v>312</v>
      </c>
      <c r="G144" s="78" t="s">
        <v>14</v>
      </c>
      <c r="H144" s="121" t="s">
        <v>14</v>
      </c>
      <c r="I144" s="79" t="s">
        <v>14</v>
      </c>
      <c r="J144" s="122">
        <v>7.1</v>
      </c>
      <c r="K144" s="123">
        <v>1</v>
      </c>
      <c r="L144" s="124">
        <v>0</v>
      </c>
      <c r="M144" s="125">
        <v>0</v>
      </c>
      <c r="N144" s="118">
        <v>80.87</v>
      </c>
      <c r="O144" s="118">
        <v>67.5</v>
      </c>
      <c r="P144" s="119">
        <v>4</v>
      </c>
      <c r="Q144" s="87">
        <f t="shared" si="23"/>
        <v>1</v>
      </c>
      <c r="R144" s="88">
        <f t="shared" si="24"/>
        <v>3</v>
      </c>
      <c r="S144" s="89">
        <f t="shared" si="25"/>
        <v>0</v>
      </c>
      <c r="T144" s="89">
        <f t="shared" si="26"/>
        <v>0</v>
      </c>
      <c r="U144" s="89">
        <f t="shared" si="27"/>
        <v>0</v>
      </c>
      <c r="V144" s="89">
        <f t="shared" si="28"/>
        <v>0</v>
      </c>
      <c r="W144" s="89">
        <f t="shared" si="29"/>
        <v>0</v>
      </c>
      <c r="X144" s="89">
        <f t="shared" si="30"/>
        <v>0</v>
      </c>
      <c r="Y144" s="89">
        <f t="shared" si="31"/>
        <v>0</v>
      </c>
      <c r="Z144" s="89">
        <f t="shared" si="32"/>
        <v>0</v>
      </c>
      <c r="AA144" s="41">
        <f t="shared" si="33"/>
        <v>0</v>
      </c>
      <c r="AB144" s="49"/>
      <c r="AC144" s="50"/>
      <c r="AD144" s="49" t="s">
        <v>5</v>
      </c>
      <c r="AE144" s="50" t="s">
        <v>438</v>
      </c>
      <c r="AF144" s="49"/>
      <c r="AG144" s="50"/>
      <c r="AH144" s="49" t="s">
        <v>5</v>
      </c>
      <c r="AI144" s="50" t="s">
        <v>137</v>
      </c>
      <c r="AJ144" s="49"/>
      <c r="AK144" s="50"/>
      <c r="AL144" s="49"/>
      <c r="AM144" s="50"/>
      <c r="AN144" s="49"/>
      <c r="AO144" s="50"/>
      <c r="AP144" s="49"/>
      <c r="AQ144" s="50"/>
      <c r="AR144" s="49"/>
      <c r="AS144" s="50"/>
      <c r="AT144" s="49"/>
      <c r="AU144" s="50"/>
      <c r="AV144" s="49" t="s">
        <v>5</v>
      </c>
      <c r="AW144" s="50" t="s">
        <v>421</v>
      </c>
      <c r="AX144" s="49"/>
      <c r="AY144" s="50"/>
      <c r="AZ144" s="49"/>
      <c r="BA144" s="50"/>
      <c r="BB144" s="49"/>
      <c r="BC144" s="50"/>
      <c r="BD144" s="49"/>
      <c r="BE144" s="50"/>
      <c r="BF144" s="49"/>
      <c r="BG144" s="50"/>
      <c r="BH144" s="49"/>
      <c r="BI144" s="50"/>
      <c r="BJ144" s="49"/>
      <c r="BK144" s="50"/>
      <c r="BL144" s="49"/>
      <c r="BM144" s="50"/>
      <c r="BN144" s="49"/>
      <c r="BO144" s="50"/>
      <c r="BP144" s="49"/>
      <c r="BQ144" s="50"/>
      <c r="BR144" s="49"/>
      <c r="BS144" s="50"/>
      <c r="BT144" s="49"/>
      <c r="BU144" s="50"/>
      <c r="BV144" s="49"/>
      <c r="BW144" s="50"/>
      <c r="BX144" s="49" t="s">
        <v>1</v>
      </c>
      <c r="BY144" s="50" t="s">
        <v>425</v>
      </c>
      <c r="BZ144" s="49"/>
      <c r="CA144" s="50"/>
      <c r="CB144" s="49"/>
      <c r="CC144" s="50"/>
    </row>
    <row r="145" spans="1:81" s="120" customFormat="1" ht="14.25" customHeight="1" x14ac:dyDescent="0.25">
      <c r="A145" s="79">
        <v>150474</v>
      </c>
      <c r="B145" s="77" t="s">
        <v>1557</v>
      </c>
      <c r="C145" s="98" t="s">
        <v>1405</v>
      </c>
      <c r="D145" s="90" t="s">
        <v>12</v>
      </c>
      <c r="E145" s="79" t="s">
        <v>14</v>
      </c>
      <c r="F145" s="79" t="s">
        <v>88</v>
      </c>
      <c r="G145" s="78" t="s">
        <v>14</v>
      </c>
      <c r="H145" s="121" t="s">
        <v>14</v>
      </c>
      <c r="I145" s="79" t="s">
        <v>14</v>
      </c>
      <c r="J145" s="122">
        <v>5.7</v>
      </c>
      <c r="K145" s="123">
        <v>1</v>
      </c>
      <c r="L145" s="124">
        <v>0</v>
      </c>
      <c r="M145" s="125">
        <v>0</v>
      </c>
      <c r="N145" s="118">
        <v>100</v>
      </c>
      <c r="O145" s="118">
        <v>100</v>
      </c>
      <c r="P145" s="119">
        <v>11</v>
      </c>
      <c r="Q145" s="87">
        <f t="shared" si="23"/>
        <v>0</v>
      </c>
      <c r="R145" s="88">
        <f t="shared" si="24"/>
        <v>2</v>
      </c>
      <c r="S145" s="89">
        <f t="shared" si="25"/>
        <v>2</v>
      </c>
      <c r="T145" s="89">
        <f t="shared" si="26"/>
        <v>0</v>
      </c>
      <c r="U145" s="89">
        <f t="shared" si="27"/>
        <v>0</v>
      </c>
      <c r="V145" s="89">
        <f t="shared" si="28"/>
        <v>2</v>
      </c>
      <c r="W145" s="89">
        <f t="shared" si="29"/>
        <v>0</v>
      </c>
      <c r="X145" s="89">
        <f t="shared" si="30"/>
        <v>0</v>
      </c>
      <c r="Y145" s="89">
        <f t="shared" si="31"/>
        <v>0</v>
      </c>
      <c r="Z145" s="89">
        <f t="shared" si="32"/>
        <v>0</v>
      </c>
      <c r="AA145" s="41">
        <f t="shared" si="33"/>
        <v>0</v>
      </c>
      <c r="AB145" s="49"/>
      <c r="AC145" s="50"/>
      <c r="AD145" s="49"/>
      <c r="AE145" s="50"/>
      <c r="AF145" s="49" t="s">
        <v>30</v>
      </c>
      <c r="AG145" s="50" t="s">
        <v>427</v>
      </c>
      <c r="AH145" s="49"/>
      <c r="AI145" s="50"/>
      <c r="AJ145" s="49"/>
      <c r="AK145" s="50"/>
      <c r="AL145" s="49"/>
      <c r="AM145" s="50"/>
      <c r="AN145" s="49"/>
      <c r="AO145" s="50"/>
      <c r="AP145" s="49" t="s">
        <v>5</v>
      </c>
      <c r="AQ145" s="50" t="s">
        <v>428</v>
      </c>
      <c r="AR145" s="49"/>
      <c r="AS145" s="50"/>
      <c r="AT145" s="49"/>
      <c r="AU145" s="50"/>
      <c r="AV145" s="49" t="s">
        <v>5</v>
      </c>
      <c r="AW145" s="50" t="s">
        <v>476</v>
      </c>
      <c r="AX145" s="49"/>
      <c r="AY145" s="50"/>
      <c r="AZ145" s="49"/>
      <c r="BA145" s="50"/>
      <c r="BB145" s="49"/>
      <c r="BC145" s="50"/>
      <c r="BD145" s="49"/>
      <c r="BE145" s="50"/>
      <c r="BF145" s="49"/>
      <c r="BG145" s="50"/>
      <c r="BH145" s="49" t="s">
        <v>30</v>
      </c>
      <c r="BI145" s="50" t="s">
        <v>139</v>
      </c>
      <c r="BJ145" s="49"/>
      <c r="BK145" s="50"/>
      <c r="BL145" s="49"/>
      <c r="BM145" s="50"/>
      <c r="BN145" s="49"/>
      <c r="BO145" s="50"/>
      <c r="BP145" s="49"/>
      <c r="BQ145" s="50"/>
      <c r="BR145" s="49"/>
      <c r="BS145" s="50"/>
      <c r="BT145" s="49"/>
      <c r="BU145" s="50"/>
      <c r="BV145" s="49"/>
      <c r="BW145" s="50"/>
      <c r="BX145" s="49"/>
      <c r="BY145" s="50"/>
      <c r="BZ145" s="49"/>
      <c r="CA145" s="50"/>
      <c r="CB145" s="49"/>
      <c r="CC145" s="50"/>
    </row>
    <row r="146" spans="1:81" s="120" customFormat="1" ht="14.25" customHeight="1" x14ac:dyDescent="0.25">
      <c r="A146" s="79">
        <v>152141</v>
      </c>
      <c r="B146" s="77" t="s">
        <v>1558</v>
      </c>
      <c r="C146" s="98" t="s">
        <v>1408</v>
      </c>
      <c r="D146" s="90" t="s">
        <v>70</v>
      </c>
      <c r="E146" s="79" t="s">
        <v>14</v>
      </c>
      <c r="F146" s="79" t="s">
        <v>88</v>
      </c>
      <c r="G146" s="78" t="s">
        <v>14</v>
      </c>
      <c r="H146" s="121" t="s">
        <v>14</v>
      </c>
      <c r="I146" s="79" t="s">
        <v>14</v>
      </c>
      <c r="J146" s="122">
        <v>4.9000000000000004</v>
      </c>
      <c r="K146" s="123">
        <v>1</v>
      </c>
      <c r="L146" s="124">
        <v>0</v>
      </c>
      <c r="M146" s="125">
        <v>0</v>
      </c>
      <c r="N146" s="118">
        <v>100</v>
      </c>
      <c r="O146" s="118">
        <v>100</v>
      </c>
      <c r="P146" s="119">
        <v>4</v>
      </c>
      <c r="Q146" s="87">
        <f t="shared" si="23"/>
        <v>0</v>
      </c>
      <c r="R146" s="88">
        <f t="shared" si="24"/>
        <v>4</v>
      </c>
      <c r="S146" s="89">
        <f t="shared" si="25"/>
        <v>0</v>
      </c>
      <c r="T146" s="89">
        <f t="shared" si="26"/>
        <v>0</v>
      </c>
      <c r="U146" s="89">
        <f t="shared" si="27"/>
        <v>0</v>
      </c>
      <c r="V146" s="89">
        <f t="shared" si="28"/>
        <v>0</v>
      </c>
      <c r="W146" s="89">
        <f t="shared" si="29"/>
        <v>0</v>
      </c>
      <c r="X146" s="89">
        <f t="shared" si="30"/>
        <v>0</v>
      </c>
      <c r="Y146" s="89">
        <f t="shared" si="31"/>
        <v>0</v>
      </c>
      <c r="Z146" s="89">
        <f t="shared" si="32"/>
        <v>0</v>
      </c>
      <c r="AA146" s="41">
        <f t="shared" si="33"/>
        <v>0</v>
      </c>
      <c r="AB146" s="49"/>
      <c r="AC146" s="50"/>
      <c r="AD146" s="49"/>
      <c r="AE146" s="50"/>
      <c r="AF146" s="49"/>
      <c r="AG146" s="50"/>
      <c r="AH146" s="49"/>
      <c r="AI146" s="50"/>
      <c r="AJ146" s="49"/>
      <c r="AK146" s="50"/>
      <c r="AL146" s="49"/>
      <c r="AM146" s="50"/>
      <c r="AN146" s="49"/>
      <c r="AO146" s="50"/>
      <c r="AP146" s="49"/>
      <c r="AQ146" s="50"/>
      <c r="AR146" s="49"/>
      <c r="AS146" s="50"/>
      <c r="AT146" s="49"/>
      <c r="AU146" s="50"/>
      <c r="AV146" s="49" t="s">
        <v>5</v>
      </c>
      <c r="AW146" s="50" t="s">
        <v>421</v>
      </c>
      <c r="AX146" s="49"/>
      <c r="AY146" s="50"/>
      <c r="AZ146" s="49"/>
      <c r="BA146" s="50"/>
      <c r="BB146" s="49"/>
      <c r="BC146" s="50"/>
      <c r="BD146" s="49" t="s">
        <v>5</v>
      </c>
      <c r="BE146" s="50" t="s">
        <v>436</v>
      </c>
      <c r="BF146" s="49"/>
      <c r="BG146" s="50"/>
      <c r="BH146" s="49"/>
      <c r="BI146" s="50"/>
      <c r="BJ146" s="49"/>
      <c r="BK146" s="50"/>
      <c r="BL146" s="49"/>
      <c r="BM146" s="50"/>
      <c r="BN146" s="49"/>
      <c r="BO146" s="50"/>
      <c r="BP146" s="49"/>
      <c r="BQ146" s="50"/>
      <c r="BR146" s="49"/>
      <c r="BS146" s="50"/>
      <c r="BT146" s="49"/>
      <c r="BU146" s="50"/>
      <c r="BV146" s="49"/>
      <c r="BW146" s="50"/>
      <c r="BX146" s="49" t="s">
        <v>5</v>
      </c>
      <c r="BY146" s="50" t="s">
        <v>425</v>
      </c>
      <c r="BZ146" s="49" t="s">
        <v>5</v>
      </c>
      <c r="CA146" s="50" t="s">
        <v>462</v>
      </c>
      <c r="CB146" s="49"/>
      <c r="CC146" s="50"/>
    </row>
    <row r="147" spans="1:81" s="120" customFormat="1" ht="14.25" customHeight="1" x14ac:dyDescent="0.25">
      <c r="A147" s="79">
        <v>150593</v>
      </c>
      <c r="B147" s="77" t="s">
        <v>1559</v>
      </c>
      <c r="C147" s="98" t="s">
        <v>1410</v>
      </c>
      <c r="D147" s="90" t="s">
        <v>70</v>
      </c>
      <c r="E147" s="79" t="s">
        <v>87</v>
      </c>
      <c r="F147" s="79" t="s">
        <v>88</v>
      </c>
      <c r="G147" s="78" t="s">
        <v>14</v>
      </c>
      <c r="H147" s="121" t="s">
        <v>14</v>
      </c>
      <c r="I147" s="79" t="s">
        <v>14</v>
      </c>
      <c r="J147" s="122">
        <v>6.4</v>
      </c>
      <c r="K147" s="123">
        <v>0</v>
      </c>
      <c r="L147" s="124">
        <v>0</v>
      </c>
      <c r="M147" s="125">
        <v>0</v>
      </c>
      <c r="N147" s="118">
        <v>100</v>
      </c>
      <c r="O147" s="118">
        <v>100</v>
      </c>
      <c r="P147" s="119">
        <v>0</v>
      </c>
      <c r="Q147" s="87">
        <f t="shared" si="23"/>
        <v>2</v>
      </c>
      <c r="R147" s="88">
        <f t="shared" si="24"/>
        <v>2</v>
      </c>
      <c r="S147" s="89">
        <f t="shared" si="25"/>
        <v>0</v>
      </c>
      <c r="T147" s="89">
        <f t="shared" si="26"/>
        <v>0</v>
      </c>
      <c r="U147" s="89">
        <f t="shared" si="27"/>
        <v>0</v>
      </c>
      <c r="V147" s="89">
        <f t="shared" si="28"/>
        <v>0</v>
      </c>
      <c r="W147" s="89">
        <f t="shared" si="29"/>
        <v>0</v>
      </c>
      <c r="X147" s="89">
        <f t="shared" si="30"/>
        <v>0</v>
      </c>
      <c r="Y147" s="89">
        <f t="shared" si="31"/>
        <v>0</v>
      </c>
      <c r="Z147" s="89">
        <f t="shared" si="32"/>
        <v>0</v>
      </c>
      <c r="AA147" s="41">
        <f t="shared" si="33"/>
        <v>0</v>
      </c>
      <c r="AB147" s="49"/>
      <c r="AC147" s="50"/>
      <c r="AD147" s="49" t="s">
        <v>1</v>
      </c>
      <c r="AE147" s="50" t="s">
        <v>433</v>
      </c>
      <c r="AF147" s="49"/>
      <c r="AG147" s="50"/>
      <c r="AH147" s="49" t="s">
        <v>5</v>
      </c>
      <c r="AI147" s="50" t="s">
        <v>424</v>
      </c>
      <c r="AJ147" s="49"/>
      <c r="AK147" s="50"/>
      <c r="AL147" s="49"/>
      <c r="AM147" s="50"/>
      <c r="AN147" s="49"/>
      <c r="AO147" s="50"/>
      <c r="AP147" s="49"/>
      <c r="AQ147" s="50"/>
      <c r="AR147" s="49"/>
      <c r="AS147" s="50"/>
      <c r="AT147" s="49"/>
      <c r="AU147" s="50"/>
      <c r="AV147" s="49" t="s">
        <v>1</v>
      </c>
      <c r="AW147" s="50" t="s">
        <v>476</v>
      </c>
      <c r="AX147" s="49"/>
      <c r="AY147" s="50"/>
      <c r="AZ147" s="49"/>
      <c r="BA147" s="50"/>
      <c r="BB147" s="49"/>
      <c r="BC147" s="50"/>
      <c r="BD147" s="49"/>
      <c r="BE147" s="50"/>
      <c r="BF147" s="49"/>
      <c r="BG147" s="50"/>
      <c r="BH147" s="49"/>
      <c r="BI147" s="50"/>
      <c r="BJ147" s="49"/>
      <c r="BK147" s="50"/>
      <c r="BL147" s="49"/>
      <c r="BM147" s="50"/>
      <c r="BN147" s="49"/>
      <c r="BO147" s="50"/>
      <c r="BP147" s="49"/>
      <c r="BQ147" s="50"/>
      <c r="BR147" s="49"/>
      <c r="BS147" s="50"/>
      <c r="BT147" s="49"/>
      <c r="BU147" s="50"/>
      <c r="BV147" s="49"/>
      <c r="BW147" s="50"/>
      <c r="BX147" s="49" t="s">
        <v>5</v>
      </c>
      <c r="BY147" s="50" t="s">
        <v>425</v>
      </c>
      <c r="BZ147" s="49"/>
      <c r="CA147" s="50"/>
      <c r="CB147" s="49"/>
      <c r="CC147" s="50"/>
    </row>
    <row r="148" spans="1:81" s="120" customFormat="1" ht="14.25" customHeight="1" x14ac:dyDescent="0.25">
      <c r="A148" s="79">
        <v>150453</v>
      </c>
      <c r="B148" s="77" t="s">
        <v>1560</v>
      </c>
      <c r="C148" s="98" t="s">
        <v>1421</v>
      </c>
      <c r="D148" s="90" t="s">
        <v>12</v>
      </c>
      <c r="E148" s="79" t="s">
        <v>14</v>
      </c>
      <c r="F148" s="79" t="s">
        <v>71</v>
      </c>
      <c r="G148" s="78" t="s">
        <v>14</v>
      </c>
      <c r="H148" s="121" t="s">
        <v>14</v>
      </c>
      <c r="I148" s="79" t="s">
        <v>14</v>
      </c>
      <c r="J148" s="122">
        <v>6.7</v>
      </c>
      <c r="K148" s="123">
        <v>1</v>
      </c>
      <c r="L148" s="124">
        <v>0</v>
      </c>
      <c r="M148" s="125">
        <v>0</v>
      </c>
      <c r="N148" s="118">
        <v>97.09</v>
      </c>
      <c r="O148" s="118">
        <v>97.14</v>
      </c>
      <c r="P148" s="119">
        <v>0</v>
      </c>
      <c r="Q148" s="87">
        <f t="shared" si="23"/>
        <v>0</v>
      </c>
      <c r="R148" s="88">
        <f t="shared" si="24"/>
        <v>4</v>
      </c>
      <c r="S148" s="89">
        <f t="shared" si="25"/>
        <v>0</v>
      </c>
      <c r="T148" s="89">
        <f t="shared" si="26"/>
        <v>0</v>
      </c>
      <c r="U148" s="89">
        <f t="shared" si="27"/>
        <v>0</v>
      </c>
      <c r="V148" s="89">
        <f t="shared" si="28"/>
        <v>0</v>
      </c>
      <c r="W148" s="89">
        <f t="shared" si="29"/>
        <v>0</v>
      </c>
      <c r="X148" s="89">
        <f t="shared" si="30"/>
        <v>0</v>
      </c>
      <c r="Y148" s="89">
        <f t="shared" si="31"/>
        <v>0</v>
      </c>
      <c r="Z148" s="89">
        <f t="shared" si="32"/>
        <v>0</v>
      </c>
      <c r="AA148" s="41">
        <f t="shared" si="33"/>
        <v>0</v>
      </c>
      <c r="AB148" s="49"/>
      <c r="AC148" s="50"/>
      <c r="AD148" s="49"/>
      <c r="AE148" s="50"/>
      <c r="AF148" s="49"/>
      <c r="AG148" s="50"/>
      <c r="AH148" s="49"/>
      <c r="AI148" s="50"/>
      <c r="AJ148" s="49"/>
      <c r="AK148" s="50"/>
      <c r="AL148" s="49"/>
      <c r="AM148" s="50"/>
      <c r="AN148" s="49"/>
      <c r="AO148" s="50"/>
      <c r="AP148" s="49" t="s">
        <v>5</v>
      </c>
      <c r="AQ148" s="50" t="s">
        <v>428</v>
      </c>
      <c r="AR148" s="49"/>
      <c r="AS148" s="50"/>
      <c r="AT148" s="49"/>
      <c r="AU148" s="50"/>
      <c r="AV148" s="49" t="s">
        <v>5</v>
      </c>
      <c r="AW148" s="50" t="s">
        <v>151</v>
      </c>
      <c r="AX148" s="49"/>
      <c r="AY148" s="50"/>
      <c r="AZ148" s="49"/>
      <c r="BA148" s="50"/>
      <c r="BB148" s="49"/>
      <c r="BC148" s="50"/>
      <c r="BD148" s="49"/>
      <c r="BE148" s="50"/>
      <c r="BF148" s="49"/>
      <c r="BG148" s="50"/>
      <c r="BH148" s="49" t="s">
        <v>5</v>
      </c>
      <c r="BI148" s="50" t="s">
        <v>139</v>
      </c>
      <c r="BJ148" s="49"/>
      <c r="BK148" s="50"/>
      <c r="BL148" s="49"/>
      <c r="BM148" s="50"/>
      <c r="BN148" s="49"/>
      <c r="BO148" s="50"/>
      <c r="BP148" s="49"/>
      <c r="BQ148" s="50"/>
      <c r="BR148" s="49"/>
      <c r="BS148" s="50"/>
      <c r="BT148" s="49" t="s">
        <v>5</v>
      </c>
      <c r="BU148" s="50" t="s">
        <v>109</v>
      </c>
      <c r="BV148" s="49"/>
      <c r="BW148" s="50"/>
      <c r="BX148" s="49"/>
      <c r="BY148" s="50"/>
      <c r="BZ148" s="49"/>
      <c r="CA148" s="50"/>
      <c r="CB148" s="49"/>
      <c r="CC148" s="50"/>
    </row>
    <row r="149" spans="1:81" s="120" customFormat="1" ht="14.25" customHeight="1" x14ac:dyDescent="0.25">
      <c r="A149" s="79">
        <v>150513</v>
      </c>
      <c r="B149" s="77" t="s">
        <v>1561</v>
      </c>
      <c r="C149" s="98" t="s">
        <v>1408</v>
      </c>
      <c r="D149" s="90" t="s">
        <v>70</v>
      </c>
      <c r="E149" s="79" t="s">
        <v>14</v>
      </c>
      <c r="F149" s="79" t="s">
        <v>71</v>
      </c>
      <c r="G149" s="78" t="s">
        <v>14</v>
      </c>
      <c r="H149" s="121" t="s">
        <v>14</v>
      </c>
      <c r="I149" s="79" t="s">
        <v>14</v>
      </c>
      <c r="J149" s="122">
        <v>7.6</v>
      </c>
      <c r="K149" s="123">
        <v>2</v>
      </c>
      <c r="L149" s="124">
        <v>0</v>
      </c>
      <c r="M149" s="125">
        <v>0</v>
      </c>
      <c r="N149" s="118">
        <v>87.96</v>
      </c>
      <c r="O149" s="118">
        <v>88.89</v>
      </c>
      <c r="P149" s="119">
        <v>0</v>
      </c>
      <c r="Q149" s="87">
        <f t="shared" si="23"/>
        <v>2</v>
      </c>
      <c r="R149" s="88">
        <f t="shared" si="24"/>
        <v>3</v>
      </c>
      <c r="S149" s="89">
        <f t="shared" si="25"/>
        <v>0</v>
      </c>
      <c r="T149" s="89">
        <f t="shared" si="26"/>
        <v>0</v>
      </c>
      <c r="U149" s="89">
        <f t="shared" si="27"/>
        <v>0</v>
      </c>
      <c r="V149" s="89">
        <f t="shared" si="28"/>
        <v>0</v>
      </c>
      <c r="W149" s="89">
        <f t="shared" si="29"/>
        <v>0</v>
      </c>
      <c r="X149" s="89">
        <f t="shared" si="30"/>
        <v>0</v>
      </c>
      <c r="Y149" s="89">
        <f t="shared" si="31"/>
        <v>0</v>
      </c>
      <c r="Z149" s="89">
        <f t="shared" si="32"/>
        <v>0</v>
      </c>
      <c r="AA149" s="41">
        <f t="shared" si="33"/>
        <v>0</v>
      </c>
      <c r="AB149" s="49"/>
      <c r="AC149" s="50"/>
      <c r="AD149" s="49" t="s">
        <v>5</v>
      </c>
      <c r="AE149" s="50" t="s">
        <v>133</v>
      </c>
      <c r="AF149" s="49"/>
      <c r="AG149" s="50"/>
      <c r="AH149" s="49"/>
      <c r="AI149" s="50"/>
      <c r="AJ149" s="49"/>
      <c r="AK149" s="50"/>
      <c r="AL149" s="49"/>
      <c r="AM149" s="50"/>
      <c r="AN149" s="49"/>
      <c r="AO149" s="50"/>
      <c r="AP149" s="49"/>
      <c r="AQ149" s="50"/>
      <c r="AR149" s="49"/>
      <c r="AS149" s="50"/>
      <c r="AT149" s="49" t="s">
        <v>5</v>
      </c>
      <c r="AU149" s="50" t="s">
        <v>448</v>
      </c>
      <c r="AV149" s="49" t="s">
        <v>5</v>
      </c>
      <c r="AW149" s="50" t="s">
        <v>421</v>
      </c>
      <c r="AX149" s="49"/>
      <c r="AY149" s="50"/>
      <c r="AZ149" s="49"/>
      <c r="BA149" s="50"/>
      <c r="BB149" s="49"/>
      <c r="BC149" s="50"/>
      <c r="BD149" s="49"/>
      <c r="BE149" s="50"/>
      <c r="BF149" s="49"/>
      <c r="BG149" s="50"/>
      <c r="BH149" s="49"/>
      <c r="BI149" s="50"/>
      <c r="BJ149" s="49"/>
      <c r="BK149" s="50"/>
      <c r="BL149" s="49"/>
      <c r="BM149" s="50"/>
      <c r="BN149" s="49" t="s">
        <v>1</v>
      </c>
      <c r="BO149" s="50" t="s">
        <v>602</v>
      </c>
      <c r="BP149" s="49" t="s">
        <v>1</v>
      </c>
      <c r="BQ149" s="50"/>
      <c r="BR149" s="49"/>
      <c r="BS149" s="50"/>
      <c r="BT149" s="49"/>
      <c r="BU149" s="50"/>
      <c r="BV149" s="49"/>
      <c r="BW149" s="50"/>
      <c r="BX149" s="49"/>
      <c r="BY149" s="50"/>
      <c r="BZ149" s="49"/>
      <c r="CA149" s="50"/>
      <c r="CB149" s="49"/>
      <c r="CC149" s="50"/>
    </row>
    <row r="150" spans="1:81" s="120" customFormat="1" ht="14.25" customHeight="1" x14ac:dyDescent="0.25">
      <c r="A150" s="79">
        <v>150598</v>
      </c>
      <c r="B150" s="77" t="s">
        <v>1562</v>
      </c>
      <c r="C150" s="98" t="s">
        <v>1419</v>
      </c>
      <c r="D150" s="90" t="s">
        <v>12</v>
      </c>
      <c r="E150" s="79" t="s">
        <v>14</v>
      </c>
      <c r="F150" s="79" t="s">
        <v>71</v>
      </c>
      <c r="G150" s="78" t="s">
        <v>14</v>
      </c>
      <c r="H150" s="121" t="s">
        <v>14</v>
      </c>
      <c r="I150" s="79" t="s">
        <v>14</v>
      </c>
      <c r="J150" s="122">
        <v>4.7</v>
      </c>
      <c r="K150" s="123">
        <v>1</v>
      </c>
      <c r="L150" s="124">
        <v>0</v>
      </c>
      <c r="M150" s="125">
        <v>0</v>
      </c>
      <c r="N150" s="118">
        <v>97.22</v>
      </c>
      <c r="O150" s="118">
        <v>97.22</v>
      </c>
      <c r="P150" s="119">
        <v>0</v>
      </c>
      <c r="Q150" s="87">
        <f t="shared" si="23"/>
        <v>0</v>
      </c>
      <c r="R150" s="88">
        <f t="shared" si="24"/>
        <v>4</v>
      </c>
      <c r="S150" s="89">
        <f t="shared" si="25"/>
        <v>0</v>
      </c>
      <c r="T150" s="89">
        <f t="shared" si="26"/>
        <v>0</v>
      </c>
      <c r="U150" s="89">
        <f t="shared" si="27"/>
        <v>0</v>
      </c>
      <c r="V150" s="89">
        <f t="shared" si="28"/>
        <v>0</v>
      </c>
      <c r="W150" s="89">
        <f t="shared" si="29"/>
        <v>0</v>
      </c>
      <c r="X150" s="89">
        <f t="shared" si="30"/>
        <v>0</v>
      </c>
      <c r="Y150" s="89">
        <f t="shared" si="31"/>
        <v>0</v>
      </c>
      <c r="Z150" s="89">
        <f t="shared" si="32"/>
        <v>0</v>
      </c>
      <c r="AA150" s="41">
        <f t="shared" si="33"/>
        <v>0</v>
      </c>
      <c r="AB150" s="49"/>
      <c r="AC150" s="50"/>
      <c r="AD150" s="49"/>
      <c r="AE150" s="50"/>
      <c r="AF150" s="49" t="s">
        <v>5</v>
      </c>
      <c r="AG150" s="50" t="s">
        <v>427</v>
      </c>
      <c r="AH150" s="49"/>
      <c r="AI150" s="50"/>
      <c r="AJ150" s="49"/>
      <c r="AK150" s="50"/>
      <c r="AL150" s="49"/>
      <c r="AM150" s="50"/>
      <c r="AN150" s="49"/>
      <c r="AO150" s="50"/>
      <c r="AP150" s="49" t="s">
        <v>5</v>
      </c>
      <c r="AQ150" s="50" t="s">
        <v>428</v>
      </c>
      <c r="AR150" s="49"/>
      <c r="AS150" s="50"/>
      <c r="AT150" s="49"/>
      <c r="AU150" s="50"/>
      <c r="AV150" s="49" t="s">
        <v>5</v>
      </c>
      <c r="AW150" s="50" t="s">
        <v>476</v>
      </c>
      <c r="AX150" s="49"/>
      <c r="AY150" s="50"/>
      <c r="AZ150" s="49"/>
      <c r="BA150" s="50"/>
      <c r="BB150" s="49"/>
      <c r="BC150" s="50"/>
      <c r="BD150" s="49"/>
      <c r="BE150" s="50"/>
      <c r="BF150" s="49"/>
      <c r="BG150" s="50"/>
      <c r="BH150" s="49" t="s">
        <v>5</v>
      </c>
      <c r="BI150" s="50" t="s">
        <v>422</v>
      </c>
      <c r="BJ150" s="49"/>
      <c r="BK150" s="50"/>
      <c r="BL150" s="49"/>
      <c r="BM150" s="50"/>
      <c r="BN150" s="49"/>
      <c r="BO150" s="50"/>
      <c r="BP150" s="49"/>
      <c r="BQ150" s="50"/>
      <c r="BR150" s="49"/>
      <c r="BS150" s="50"/>
      <c r="BT150" s="49"/>
      <c r="BU150" s="50"/>
      <c r="BV150" s="49"/>
      <c r="BW150" s="50"/>
      <c r="BX150" s="49"/>
      <c r="BY150" s="50"/>
      <c r="BZ150" s="49"/>
      <c r="CA150" s="50"/>
      <c r="CB150" s="49"/>
      <c r="CC150" s="50"/>
    </row>
    <row r="151" spans="1:81" s="120" customFormat="1" ht="14.25" customHeight="1" x14ac:dyDescent="0.25">
      <c r="A151" s="79">
        <v>152143</v>
      </c>
      <c r="B151" s="77" t="s">
        <v>1563</v>
      </c>
      <c r="C151" s="98" t="s">
        <v>1414</v>
      </c>
      <c r="D151" s="90" t="s">
        <v>70</v>
      </c>
      <c r="E151" s="79" t="s">
        <v>14</v>
      </c>
      <c r="F151" s="79" t="s">
        <v>220</v>
      </c>
      <c r="G151" s="78" t="s">
        <v>14</v>
      </c>
      <c r="H151" s="121" t="s">
        <v>14</v>
      </c>
      <c r="I151" s="79" t="s">
        <v>14</v>
      </c>
      <c r="J151" s="122">
        <v>7.6</v>
      </c>
      <c r="K151" s="123">
        <v>0</v>
      </c>
      <c r="L151" s="124">
        <v>0</v>
      </c>
      <c r="M151" s="125">
        <v>1</v>
      </c>
      <c r="N151" s="118">
        <v>81.900000000000006</v>
      </c>
      <c r="O151" s="118">
        <v>97.22</v>
      </c>
      <c r="P151" s="119">
        <v>0</v>
      </c>
      <c r="Q151" s="87">
        <f t="shared" si="23"/>
        <v>1</v>
      </c>
      <c r="R151" s="88">
        <f t="shared" si="24"/>
        <v>3</v>
      </c>
      <c r="S151" s="89">
        <f t="shared" si="25"/>
        <v>0</v>
      </c>
      <c r="T151" s="89">
        <f t="shared" si="26"/>
        <v>0</v>
      </c>
      <c r="U151" s="89">
        <f t="shared" si="27"/>
        <v>0</v>
      </c>
      <c r="V151" s="89">
        <f t="shared" si="28"/>
        <v>0</v>
      </c>
      <c r="W151" s="89">
        <f t="shared" si="29"/>
        <v>0</v>
      </c>
      <c r="X151" s="89">
        <f t="shared" si="30"/>
        <v>0</v>
      </c>
      <c r="Y151" s="89">
        <f t="shared" si="31"/>
        <v>0</v>
      </c>
      <c r="Z151" s="89">
        <f t="shared" si="32"/>
        <v>0</v>
      </c>
      <c r="AA151" s="41">
        <f t="shared" si="33"/>
        <v>0</v>
      </c>
      <c r="AB151" s="49"/>
      <c r="AC151" s="50"/>
      <c r="AD151" s="49"/>
      <c r="AE151" s="50"/>
      <c r="AF151" s="49"/>
      <c r="AG151" s="50"/>
      <c r="AH151" s="49"/>
      <c r="AI151" s="50"/>
      <c r="AJ151" s="49"/>
      <c r="AK151" s="50"/>
      <c r="AL151" s="49"/>
      <c r="AM151" s="50"/>
      <c r="AN151" s="49"/>
      <c r="AO151" s="50"/>
      <c r="AP151" s="49"/>
      <c r="AQ151" s="50"/>
      <c r="AR151" s="49"/>
      <c r="AS151" s="50"/>
      <c r="AT151" s="49"/>
      <c r="AU151" s="50"/>
      <c r="AV151" s="49" t="s">
        <v>1</v>
      </c>
      <c r="AW151" s="50" t="s">
        <v>476</v>
      </c>
      <c r="AX151" s="49"/>
      <c r="AY151" s="50"/>
      <c r="AZ151" s="49"/>
      <c r="BA151" s="50"/>
      <c r="BB151" s="49" t="s">
        <v>5</v>
      </c>
      <c r="BC151" s="50" t="s">
        <v>76</v>
      </c>
      <c r="BD151" s="49"/>
      <c r="BE151" s="50"/>
      <c r="BF151" s="49"/>
      <c r="BG151" s="50"/>
      <c r="BH151" s="49" t="s">
        <v>5</v>
      </c>
      <c r="BI151" s="50" t="s">
        <v>136</v>
      </c>
      <c r="BJ151" s="49"/>
      <c r="BK151" s="50"/>
      <c r="BL151" s="49"/>
      <c r="BM151" s="50"/>
      <c r="BN151" s="49"/>
      <c r="BO151" s="50"/>
      <c r="BP151" s="49"/>
      <c r="BQ151" s="50"/>
      <c r="BR151" s="49"/>
      <c r="BS151" s="50"/>
      <c r="BT151" s="49" t="s">
        <v>5</v>
      </c>
      <c r="BU151" s="50" t="s">
        <v>109</v>
      </c>
      <c r="BV151" s="49"/>
      <c r="BW151" s="50"/>
      <c r="BX151" s="49"/>
      <c r="BY151" s="50"/>
      <c r="BZ151" s="49"/>
      <c r="CA151" s="50"/>
      <c r="CB151" s="49"/>
      <c r="CC151" s="50"/>
    </row>
    <row r="152" spans="1:81" s="120" customFormat="1" ht="14.25" customHeight="1" x14ac:dyDescent="0.25">
      <c r="A152" s="79">
        <v>150488</v>
      </c>
      <c r="B152" s="77" t="s">
        <v>1564</v>
      </c>
      <c r="C152" s="98" t="s">
        <v>1435</v>
      </c>
      <c r="D152" s="90" t="s">
        <v>70</v>
      </c>
      <c r="E152" s="79" t="s">
        <v>14</v>
      </c>
      <c r="F152" s="79" t="s">
        <v>71</v>
      </c>
      <c r="G152" s="78" t="s">
        <v>14</v>
      </c>
      <c r="H152" s="121" t="s">
        <v>14</v>
      </c>
      <c r="I152" s="79" t="s">
        <v>14</v>
      </c>
      <c r="J152" s="122">
        <v>6.8</v>
      </c>
      <c r="K152" s="123">
        <v>0</v>
      </c>
      <c r="L152" s="124">
        <v>0</v>
      </c>
      <c r="M152" s="125">
        <v>0</v>
      </c>
      <c r="N152" s="118">
        <v>100</v>
      </c>
      <c r="O152" s="118">
        <v>100</v>
      </c>
      <c r="P152" s="119">
        <v>1</v>
      </c>
      <c r="Q152" s="87">
        <f t="shared" si="23"/>
        <v>0</v>
      </c>
      <c r="R152" s="88">
        <f t="shared" si="24"/>
        <v>4</v>
      </c>
      <c r="S152" s="89">
        <f t="shared" si="25"/>
        <v>0</v>
      </c>
      <c r="T152" s="89">
        <f t="shared" si="26"/>
        <v>0</v>
      </c>
      <c r="U152" s="89">
        <f t="shared" si="27"/>
        <v>0</v>
      </c>
      <c r="V152" s="89">
        <f t="shared" si="28"/>
        <v>0</v>
      </c>
      <c r="W152" s="89">
        <f t="shared" si="29"/>
        <v>0</v>
      </c>
      <c r="X152" s="89">
        <f t="shared" si="30"/>
        <v>0</v>
      </c>
      <c r="Y152" s="89">
        <f t="shared" si="31"/>
        <v>0</v>
      </c>
      <c r="Z152" s="89">
        <f t="shared" si="32"/>
        <v>0</v>
      </c>
      <c r="AA152" s="41">
        <f t="shared" si="33"/>
        <v>0</v>
      </c>
      <c r="AB152" s="49"/>
      <c r="AC152" s="50"/>
      <c r="AD152" s="49"/>
      <c r="AE152" s="50"/>
      <c r="AF152" s="49"/>
      <c r="AG152" s="50"/>
      <c r="AH152" s="49"/>
      <c r="AI152" s="50"/>
      <c r="AJ152" s="49"/>
      <c r="AK152" s="50"/>
      <c r="AL152" s="49"/>
      <c r="AM152" s="50"/>
      <c r="AN152" s="49"/>
      <c r="AO152" s="50"/>
      <c r="AP152" s="49"/>
      <c r="AQ152" s="50"/>
      <c r="AR152" s="49" t="s">
        <v>5</v>
      </c>
      <c r="AS152" s="50" t="s">
        <v>459</v>
      </c>
      <c r="AT152" s="49" t="s">
        <v>5</v>
      </c>
      <c r="AU152" s="50" t="s">
        <v>151</v>
      </c>
      <c r="AV152" s="49" t="s">
        <v>5</v>
      </c>
      <c r="AW152" s="50" t="s">
        <v>476</v>
      </c>
      <c r="AX152" s="49"/>
      <c r="AY152" s="50"/>
      <c r="AZ152" s="49"/>
      <c r="BA152" s="50"/>
      <c r="BB152" s="49"/>
      <c r="BC152" s="50"/>
      <c r="BD152" s="49"/>
      <c r="BE152" s="50"/>
      <c r="BF152" s="49"/>
      <c r="BG152" s="50"/>
      <c r="BH152" s="49"/>
      <c r="BI152" s="50"/>
      <c r="BJ152" s="49"/>
      <c r="BK152" s="50"/>
      <c r="BL152" s="49"/>
      <c r="BM152" s="50"/>
      <c r="BN152" s="49"/>
      <c r="BO152" s="50"/>
      <c r="BP152" s="49"/>
      <c r="BQ152" s="50"/>
      <c r="BR152" s="49"/>
      <c r="BS152" s="50"/>
      <c r="BT152" s="49"/>
      <c r="BU152" s="50"/>
      <c r="BV152" s="49"/>
      <c r="BW152" s="50"/>
      <c r="BX152" s="49"/>
      <c r="BY152" s="50"/>
      <c r="BZ152" s="49" t="s">
        <v>5</v>
      </c>
      <c r="CA152" s="50" t="s">
        <v>420</v>
      </c>
      <c r="CB152" s="49"/>
      <c r="CC152" s="50"/>
    </row>
    <row r="153" spans="1:81" s="120" customFormat="1" ht="14.25" customHeight="1" x14ac:dyDescent="0.25">
      <c r="A153" s="79">
        <v>150465</v>
      </c>
      <c r="B153" s="77" t="s">
        <v>1565</v>
      </c>
      <c r="C153" s="98" t="s">
        <v>1405</v>
      </c>
      <c r="D153" s="90" t="s">
        <v>70</v>
      </c>
      <c r="E153" s="79" t="s">
        <v>14</v>
      </c>
      <c r="F153" s="79" t="s">
        <v>450</v>
      </c>
      <c r="G153" s="78" t="s">
        <v>14</v>
      </c>
      <c r="H153" s="121" t="s">
        <v>14</v>
      </c>
      <c r="I153" s="79" t="s">
        <v>14</v>
      </c>
      <c r="J153" s="122">
        <v>7.3</v>
      </c>
      <c r="K153" s="123">
        <v>0</v>
      </c>
      <c r="L153" s="124">
        <v>0</v>
      </c>
      <c r="M153" s="125">
        <v>0</v>
      </c>
      <c r="N153" s="118">
        <v>82.35</v>
      </c>
      <c r="O153" s="118">
        <v>83.33</v>
      </c>
      <c r="P153" s="119">
        <v>0</v>
      </c>
      <c r="Q153" s="87">
        <f t="shared" si="23"/>
        <v>1</v>
      </c>
      <c r="R153" s="88">
        <f t="shared" si="24"/>
        <v>2</v>
      </c>
      <c r="S153" s="89">
        <f t="shared" si="25"/>
        <v>0</v>
      </c>
      <c r="T153" s="89">
        <f t="shared" si="26"/>
        <v>0</v>
      </c>
      <c r="U153" s="89">
        <f t="shared" si="27"/>
        <v>0</v>
      </c>
      <c r="V153" s="89">
        <f t="shared" si="28"/>
        <v>0</v>
      </c>
      <c r="W153" s="89">
        <f t="shared" si="29"/>
        <v>0</v>
      </c>
      <c r="X153" s="89">
        <f t="shared" si="30"/>
        <v>0</v>
      </c>
      <c r="Y153" s="89">
        <f t="shared" si="31"/>
        <v>0</v>
      </c>
      <c r="Z153" s="89">
        <f t="shared" si="32"/>
        <v>0</v>
      </c>
      <c r="AA153" s="41">
        <f t="shared" si="33"/>
        <v>0</v>
      </c>
      <c r="AB153" s="49"/>
      <c r="AC153" s="50"/>
      <c r="AD153" s="49" t="s">
        <v>5</v>
      </c>
      <c r="AE153" s="50" t="s">
        <v>438</v>
      </c>
      <c r="AF153" s="49"/>
      <c r="AG153" s="50"/>
      <c r="AH153" s="49" t="s">
        <v>5</v>
      </c>
      <c r="AI153" s="50" t="s">
        <v>137</v>
      </c>
      <c r="AJ153" s="49"/>
      <c r="AK153" s="50"/>
      <c r="AL153" s="49"/>
      <c r="AM153" s="50"/>
      <c r="AN153" s="49"/>
      <c r="AO153" s="50"/>
      <c r="AP153" s="49"/>
      <c r="AQ153" s="50"/>
      <c r="AR153" s="49"/>
      <c r="AS153" s="50"/>
      <c r="AT153" s="49"/>
      <c r="AU153" s="50"/>
      <c r="AV153" s="49" t="s">
        <v>1</v>
      </c>
      <c r="AW153" s="50" t="s">
        <v>476</v>
      </c>
      <c r="AX153" s="49"/>
      <c r="AY153" s="50"/>
      <c r="AZ153" s="49"/>
      <c r="BA153" s="50"/>
      <c r="BB153" s="49"/>
      <c r="BC153" s="50"/>
      <c r="BD153" s="49"/>
      <c r="BE153" s="50"/>
      <c r="BF153" s="49"/>
      <c r="BG153" s="50"/>
      <c r="BH153" s="49"/>
      <c r="BI153" s="50"/>
      <c r="BJ153" s="49"/>
      <c r="BK153" s="50"/>
      <c r="BL153" s="49"/>
      <c r="BM153" s="50"/>
      <c r="BN153" s="49"/>
      <c r="BO153" s="50"/>
      <c r="BP153" s="49"/>
      <c r="BQ153" s="50"/>
      <c r="BR153" s="49"/>
      <c r="BS153" s="50"/>
      <c r="BT153" s="49"/>
      <c r="BU153" s="50"/>
      <c r="BV153" s="49"/>
      <c r="BW153" s="50"/>
      <c r="BX153" s="49"/>
      <c r="BY153" s="50" t="s">
        <v>425</v>
      </c>
      <c r="BZ153" s="49"/>
      <c r="CA153" s="50"/>
      <c r="CB153" s="49"/>
      <c r="CC153" s="50"/>
    </row>
    <row r="154" spans="1:81" s="120" customFormat="1" ht="14.25" customHeight="1" x14ac:dyDescent="0.25">
      <c r="A154" s="79">
        <v>150438</v>
      </c>
      <c r="B154" s="77" t="s">
        <v>1566</v>
      </c>
      <c r="C154" s="98" t="s">
        <v>1421</v>
      </c>
      <c r="D154" s="90" t="s">
        <v>70</v>
      </c>
      <c r="E154" s="79" t="s">
        <v>14</v>
      </c>
      <c r="F154" s="79" t="s">
        <v>71</v>
      </c>
      <c r="G154" s="78" t="s">
        <v>14</v>
      </c>
      <c r="H154" s="121" t="s">
        <v>14</v>
      </c>
      <c r="I154" s="79" t="s">
        <v>14</v>
      </c>
      <c r="J154" s="122">
        <v>4.5</v>
      </c>
      <c r="K154" s="123">
        <v>1</v>
      </c>
      <c r="L154" s="124">
        <v>0</v>
      </c>
      <c r="M154" s="125">
        <v>0</v>
      </c>
      <c r="N154" s="118">
        <v>63.48</v>
      </c>
      <c r="O154" s="118">
        <v>47.5</v>
      </c>
      <c r="P154" s="119">
        <v>1</v>
      </c>
      <c r="Q154" s="87">
        <f t="shared" si="23"/>
        <v>0</v>
      </c>
      <c r="R154" s="88">
        <f t="shared" si="24"/>
        <v>1</v>
      </c>
      <c r="S154" s="89">
        <f t="shared" si="25"/>
        <v>1</v>
      </c>
      <c r="T154" s="89">
        <f t="shared" si="26"/>
        <v>0</v>
      </c>
      <c r="U154" s="89">
        <f t="shared" si="27"/>
        <v>2</v>
      </c>
      <c r="V154" s="89">
        <f t="shared" si="28"/>
        <v>3</v>
      </c>
      <c r="W154" s="89">
        <f t="shared" si="29"/>
        <v>0</v>
      </c>
      <c r="X154" s="89">
        <f t="shared" si="30"/>
        <v>0</v>
      </c>
      <c r="Y154" s="89">
        <f t="shared" si="31"/>
        <v>0</v>
      </c>
      <c r="Z154" s="89">
        <f t="shared" si="32"/>
        <v>0</v>
      </c>
      <c r="AA154" s="41">
        <f t="shared" si="33"/>
        <v>0</v>
      </c>
      <c r="AB154" s="49"/>
      <c r="AC154" s="50"/>
      <c r="AD154" s="49"/>
      <c r="AE154" s="50"/>
      <c r="AF154" s="49" t="s">
        <v>30</v>
      </c>
      <c r="AG154" s="50" t="s">
        <v>427</v>
      </c>
      <c r="AH154" s="49"/>
      <c r="AI154" s="50"/>
      <c r="AJ154" s="49"/>
      <c r="AK154" s="50"/>
      <c r="AL154" s="49"/>
      <c r="AM154" s="50"/>
      <c r="AN154" s="49"/>
      <c r="AO154" s="50"/>
      <c r="AP154" s="49"/>
      <c r="AQ154" s="50"/>
      <c r="AR154" s="49"/>
      <c r="AS154" s="50"/>
      <c r="AT154" s="49"/>
      <c r="AU154" s="50"/>
      <c r="AV154" s="49" t="s">
        <v>32</v>
      </c>
      <c r="AW154" s="50" t="s">
        <v>151</v>
      </c>
      <c r="AX154" s="49"/>
      <c r="AY154" s="50"/>
      <c r="AZ154" s="49"/>
      <c r="BA154" s="50"/>
      <c r="BB154" s="49"/>
      <c r="BC154" s="50"/>
      <c r="BD154" s="49" t="s">
        <v>5</v>
      </c>
      <c r="BE154" s="50" t="s">
        <v>436</v>
      </c>
      <c r="BF154" s="49"/>
      <c r="BG154" s="50"/>
      <c r="BH154" s="49"/>
      <c r="BI154" s="50"/>
      <c r="BJ154" s="49"/>
      <c r="BK154" s="50"/>
      <c r="BL154" s="49"/>
      <c r="BM154" s="50"/>
      <c r="BN154" s="49"/>
      <c r="BO154" s="50"/>
      <c r="BP154" s="49"/>
      <c r="BQ154" s="50"/>
      <c r="BR154" s="49"/>
      <c r="BS154" s="50"/>
      <c r="BT154" s="49"/>
      <c r="BU154" s="50"/>
      <c r="BV154" s="49"/>
      <c r="BW154" s="50"/>
      <c r="BX154" s="49"/>
      <c r="BY154" s="50"/>
      <c r="BZ154" s="49" t="s">
        <v>32</v>
      </c>
      <c r="CA154" s="50" t="s">
        <v>420</v>
      </c>
      <c r="CB154" s="49"/>
      <c r="CC154" s="50"/>
    </row>
    <row r="155" spans="1:81" s="120" customFormat="1" ht="14.25" customHeight="1" x14ac:dyDescent="0.25">
      <c r="A155" s="79">
        <v>150432</v>
      </c>
      <c r="B155" s="77" t="s">
        <v>1567</v>
      </c>
      <c r="C155" s="98" t="s">
        <v>1440</v>
      </c>
      <c r="D155" s="90" t="s">
        <v>12</v>
      </c>
      <c r="E155" s="79" t="s">
        <v>14</v>
      </c>
      <c r="F155" s="79" t="s">
        <v>71</v>
      </c>
      <c r="G155" s="78" t="s">
        <v>14</v>
      </c>
      <c r="H155" s="121" t="s">
        <v>14</v>
      </c>
      <c r="I155" s="79" t="s">
        <v>14</v>
      </c>
      <c r="J155" s="122">
        <v>6</v>
      </c>
      <c r="K155" s="123">
        <v>0</v>
      </c>
      <c r="L155" s="124">
        <v>0</v>
      </c>
      <c r="M155" s="125">
        <v>1</v>
      </c>
      <c r="N155" s="118">
        <v>93.46</v>
      </c>
      <c r="O155" s="118">
        <v>85.29</v>
      </c>
      <c r="P155" s="119">
        <v>2</v>
      </c>
      <c r="Q155" s="87">
        <f t="shared" si="23"/>
        <v>0</v>
      </c>
      <c r="R155" s="88">
        <f t="shared" si="24"/>
        <v>3</v>
      </c>
      <c r="S155" s="89">
        <f t="shared" si="25"/>
        <v>2</v>
      </c>
      <c r="T155" s="89">
        <f t="shared" si="26"/>
        <v>0</v>
      </c>
      <c r="U155" s="89">
        <f t="shared" si="27"/>
        <v>0</v>
      </c>
      <c r="V155" s="89">
        <f t="shared" si="28"/>
        <v>2</v>
      </c>
      <c r="W155" s="89">
        <f t="shared" si="29"/>
        <v>0</v>
      </c>
      <c r="X155" s="89">
        <f t="shared" si="30"/>
        <v>0</v>
      </c>
      <c r="Y155" s="89">
        <f t="shared" si="31"/>
        <v>0</v>
      </c>
      <c r="Z155" s="89">
        <f t="shared" si="32"/>
        <v>0</v>
      </c>
      <c r="AA155" s="41">
        <f t="shared" si="33"/>
        <v>0</v>
      </c>
      <c r="AB155" s="49"/>
      <c r="AC155" s="50"/>
      <c r="AD155" s="49"/>
      <c r="AE155" s="50"/>
      <c r="AF155" s="49"/>
      <c r="AG155" s="50"/>
      <c r="AH155" s="49"/>
      <c r="AI155" s="50"/>
      <c r="AJ155" s="49"/>
      <c r="AK155" s="50"/>
      <c r="AL155" s="49"/>
      <c r="AM155" s="50"/>
      <c r="AN155" s="49"/>
      <c r="AO155" s="50"/>
      <c r="AP155" s="49" t="s">
        <v>5</v>
      </c>
      <c r="AQ155" s="50" t="s">
        <v>428</v>
      </c>
      <c r="AR155" s="49"/>
      <c r="AS155" s="50"/>
      <c r="AT155" s="49"/>
      <c r="AU155" s="50"/>
      <c r="AV155" s="49" t="s">
        <v>5</v>
      </c>
      <c r="AW155" s="50" t="s">
        <v>433</v>
      </c>
      <c r="AX155" s="49"/>
      <c r="AY155" s="50"/>
      <c r="AZ155" s="49"/>
      <c r="BA155" s="50"/>
      <c r="BB155" s="49"/>
      <c r="BC155" s="50"/>
      <c r="BD155" s="49"/>
      <c r="BE155" s="50"/>
      <c r="BF155" s="49"/>
      <c r="BG155" s="50"/>
      <c r="BH155" s="49"/>
      <c r="BI155" s="50"/>
      <c r="BJ155" s="49"/>
      <c r="BK155" s="50"/>
      <c r="BL155" s="49"/>
      <c r="BM155" s="50"/>
      <c r="BN155" s="49" t="s">
        <v>30</v>
      </c>
      <c r="BO155" s="50" t="s">
        <v>602</v>
      </c>
      <c r="BP155" s="49" t="s">
        <v>30</v>
      </c>
      <c r="BQ155" s="50"/>
      <c r="BR155" s="49"/>
      <c r="BS155" s="50"/>
      <c r="BT155" s="49"/>
      <c r="BU155" s="50"/>
      <c r="BV155" s="49"/>
      <c r="BW155" s="50"/>
      <c r="BX155" s="49"/>
      <c r="BY155" s="50"/>
      <c r="BZ155" s="49" t="s">
        <v>5</v>
      </c>
      <c r="CA155" s="50" t="s">
        <v>420</v>
      </c>
      <c r="CB155" s="49"/>
      <c r="CC155" s="50"/>
    </row>
    <row r="156" spans="1:81" s="120" customFormat="1" ht="14.25" customHeight="1" x14ac:dyDescent="0.25">
      <c r="A156" s="79">
        <v>150499</v>
      </c>
      <c r="B156" s="77" t="s">
        <v>1568</v>
      </c>
      <c r="C156" s="98" t="s">
        <v>1414</v>
      </c>
      <c r="D156" s="90" t="s">
        <v>12</v>
      </c>
      <c r="E156" s="79" t="s">
        <v>14</v>
      </c>
      <c r="F156" s="79" t="s">
        <v>71</v>
      </c>
      <c r="G156" s="78" t="s">
        <v>14</v>
      </c>
      <c r="H156" s="121" t="s">
        <v>14</v>
      </c>
      <c r="I156" s="79" t="s">
        <v>14</v>
      </c>
      <c r="J156" s="122">
        <v>6.9</v>
      </c>
      <c r="K156" s="123">
        <v>0</v>
      </c>
      <c r="L156" s="124">
        <v>0</v>
      </c>
      <c r="M156" s="125">
        <v>0</v>
      </c>
      <c r="N156" s="118">
        <v>95.45</v>
      </c>
      <c r="O156" s="118">
        <v>94.44</v>
      </c>
      <c r="P156" s="119">
        <v>0</v>
      </c>
      <c r="Q156" s="87">
        <f t="shared" si="23"/>
        <v>2</v>
      </c>
      <c r="R156" s="88">
        <f t="shared" si="24"/>
        <v>2</v>
      </c>
      <c r="S156" s="89">
        <f t="shared" si="25"/>
        <v>0</v>
      </c>
      <c r="T156" s="89">
        <f t="shared" si="26"/>
        <v>0</v>
      </c>
      <c r="U156" s="89">
        <f t="shared" si="27"/>
        <v>0</v>
      </c>
      <c r="V156" s="89">
        <f t="shared" si="28"/>
        <v>0</v>
      </c>
      <c r="W156" s="89">
        <f t="shared" si="29"/>
        <v>0</v>
      </c>
      <c r="X156" s="89">
        <f t="shared" si="30"/>
        <v>0</v>
      </c>
      <c r="Y156" s="89">
        <f t="shared" si="31"/>
        <v>0</v>
      </c>
      <c r="Z156" s="89">
        <f t="shared" si="32"/>
        <v>0</v>
      </c>
      <c r="AA156" s="41">
        <f t="shared" si="33"/>
        <v>0</v>
      </c>
      <c r="AB156" s="49"/>
      <c r="AC156" s="50"/>
      <c r="AD156" s="49"/>
      <c r="AE156" s="50"/>
      <c r="AF156" s="49"/>
      <c r="AG156" s="50"/>
      <c r="AH156" s="49"/>
      <c r="AI156" s="50"/>
      <c r="AJ156" s="49"/>
      <c r="AK156" s="50"/>
      <c r="AL156" s="49"/>
      <c r="AM156" s="50"/>
      <c r="AN156" s="49"/>
      <c r="AO156" s="50"/>
      <c r="AP156" s="49" t="s">
        <v>5</v>
      </c>
      <c r="AQ156" s="50" t="s">
        <v>428</v>
      </c>
      <c r="AR156" s="49"/>
      <c r="AS156" s="50"/>
      <c r="AT156" s="49"/>
      <c r="AU156" s="50"/>
      <c r="AV156" s="49" t="s">
        <v>1</v>
      </c>
      <c r="AW156" s="50" t="s">
        <v>476</v>
      </c>
      <c r="AX156" s="49"/>
      <c r="AY156" s="50"/>
      <c r="AZ156" s="49" t="s">
        <v>1</v>
      </c>
      <c r="BA156" s="50" t="s">
        <v>422</v>
      </c>
      <c r="BB156" s="49"/>
      <c r="BC156" s="50"/>
      <c r="BD156" s="49"/>
      <c r="BE156" s="50"/>
      <c r="BF156" s="49"/>
      <c r="BG156" s="50"/>
      <c r="BH156" s="49" t="s">
        <v>5</v>
      </c>
      <c r="BI156" s="50" t="s">
        <v>139</v>
      </c>
      <c r="BJ156" s="49"/>
      <c r="BK156" s="50"/>
      <c r="BL156" s="49"/>
      <c r="BM156" s="50"/>
      <c r="BN156" s="49"/>
      <c r="BO156" s="50"/>
      <c r="BP156" s="49"/>
      <c r="BQ156" s="50"/>
      <c r="BR156" s="49"/>
      <c r="BS156" s="50"/>
      <c r="BT156" s="49"/>
      <c r="BU156" s="50"/>
      <c r="BV156" s="49"/>
      <c r="BW156" s="50"/>
      <c r="BX156" s="49"/>
      <c r="BY156" s="50"/>
      <c r="BZ156" s="49"/>
      <c r="CA156" s="50"/>
      <c r="CB156" s="49"/>
      <c r="CC156" s="50"/>
    </row>
    <row r="157" spans="1:81" s="120" customFormat="1" ht="14.25" customHeight="1" x14ac:dyDescent="0.25">
      <c r="A157" s="79">
        <v>150584</v>
      </c>
      <c r="B157" s="77" t="s">
        <v>1569</v>
      </c>
      <c r="C157" s="98" t="s">
        <v>1417</v>
      </c>
      <c r="D157" s="90" t="s">
        <v>70</v>
      </c>
      <c r="E157" s="79" t="s">
        <v>14</v>
      </c>
      <c r="F157" s="79" t="s">
        <v>508</v>
      </c>
      <c r="G157" s="78" t="s">
        <v>14</v>
      </c>
      <c r="H157" s="121" t="s">
        <v>14</v>
      </c>
      <c r="I157" s="79" t="s">
        <v>14</v>
      </c>
      <c r="J157" s="122">
        <v>4</v>
      </c>
      <c r="K157" s="123">
        <v>2</v>
      </c>
      <c r="L157" s="124">
        <v>1</v>
      </c>
      <c r="M157" s="125">
        <v>0</v>
      </c>
      <c r="N157" s="118">
        <v>90.91</v>
      </c>
      <c r="O157" s="118">
        <v>92.11</v>
      </c>
      <c r="P157" s="119">
        <v>2</v>
      </c>
      <c r="Q157" s="87">
        <f t="shared" si="23"/>
        <v>0</v>
      </c>
      <c r="R157" s="88">
        <f t="shared" si="24"/>
        <v>4</v>
      </c>
      <c r="S157" s="89">
        <f t="shared" si="25"/>
        <v>1</v>
      </c>
      <c r="T157" s="89">
        <f t="shared" si="26"/>
        <v>0</v>
      </c>
      <c r="U157" s="89">
        <f t="shared" si="27"/>
        <v>0</v>
      </c>
      <c r="V157" s="89">
        <f t="shared" si="28"/>
        <v>1</v>
      </c>
      <c r="W157" s="89">
        <f t="shared" si="29"/>
        <v>0</v>
      </c>
      <c r="X157" s="89">
        <f t="shared" si="30"/>
        <v>0</v>
      </c>
      <c r="Y157" s="89">
        <f t="shared" si="31"/>
        <v>0</v>
      </c>
      <c r="Z157" s="89">
        <f t="shared" si="32"/>
        <v>0</v>
      </c>
      <c r="AA157" s="41">
        <f t="shared" si="33"/>
        <v>0</v>
      </c>
      <c r="AB157" s="49"/>
      <c r="AC157" s="50"/>
      <c r="AD157" s="49"/>
      <c r="AE157" s="50"/>
      <c r="AF157" s="49" t="s">
        <v>5</v>
      </c>
      <c r="AG157" s="50" t="s">
        <v>427</v>
      </c>
      <c r="AH157" s="49"/>
      <c r="AI157" s="50"/>
      <c r="AJ157" s="49"/>
      <c r="AK157" s="50"/>
      <c r="AL157" s="49"/>
      <c r="AM157" s="50"/>
      <c r="AN157" s="49"/>
      <c r="AO157" s="50"/>
      <c r="AP157" s="49"/>
      <c r="AQ157" s="50"/>
      <c r="AR157" s="49"/>
      <c r="AS157" s="50"/>
      <c r="AT157" s="49"/>
      <c r="AU157" s="50"/>
      <c r="AV157" s="49" t="s">
        <v>30</v>
      </c>
      <c r="AW157" s="50" t="s">
        <v>425</v>
      </c>
      <c r="AX157" s="49"/>
      <c r="AY157" s="50"/>
      <c r="AZ157" s="49"/>
      <c r="BA157" s="50"/>
      <c r="BB157" s="49"/>
      <c r="BC157" s="50"/>
      <c r="BD157" s="49"/>
      <c r="BE157" s="50"/>
      <c r="BF157" s="49"/>
      <c r="BG157" s="50"/>
      <c r="BH157" s="49"/>
      <c r="BI157" s="50"/>
      <c r="BJ157" s="49"/>
      <c r="BK157" s="50"/>
      <c r="BL157" s="49"/>
      <c r="BM157" s="50"/>
      <c r="BN157" s="49" t="s">
        <v>5</v>
      </c>
      <c r="BO157" s="50" t="s">
        <v>602</v>
      </c>
      <c r="BP157" s="49" t="s">
        <v>5</v>
      </c>
      <c r="BQ157" s="50"/>
      <c r="BR157" s="49"/>
      <c r="BS157" s="50"/>
      <c r="BT157" s="49"/>
      <c r="BU157" s="50"/>
      <c r="BV157" s="49"/>
      <c r="BW157" s="50"/>
      <c r="BX157" s="49"/>
      <c r="BY157" s="50"/>
      <c r="BZ157" s="49" t="s">
        <v>5</v>
      </c>
      <c r="CA157" s="50" t="s">
        <v>420</v>
      </c>
      <c r="CB157" s="49"/>
      <c r="CC157" s="50"/>
    </row>
    <row r="158" spans="1:81" s="120" customFormat="1" ht="14.25" customHeight="1" x14ac:dyDescent="0.25">
      <c r="A158" s="79">
        <v>152177</v>
      </c>
      <c r="B158" s="77" t="s">
        <v>1570</v>
      </c>
      <c r="C158" s="98" t="s">
        <v>1440</v>
      </c>
      <c r="D158" s="90" t="s">
        <v>12</v>
      </c>
      <c r="E158" s="79" t="s">
        <v>14</v>
      </c>
      <c r="F158" s="79" t="s">
        <v>71</v>
      </c>
      <c r="G158" s="78" t="s">
        <v>14</v>
      </c>
      <c r="H158" s="121" t="s">
        <v>14</v>
      </c>
      <c r="I158" s="79" t="s">
        <v>14</v>
      </c>
      <c r="J158" s="122">
        <v>5.7</v>
      </c>
      <c r="K158" s="123">
        <v>2</v>
      </c>
      <c r="L158" s="124">
        <v>0</v>
      </c>
      <c r="M158" s="125">
        <v>0</v>
      </c>
      <c r="N158" s="118">
        <v>98.11</v>
      </c>
      <c r="O158" s="118">
        <v>100</v>
      </c>
      <c r="P158" s="119">
        <v>1</v>
      </c>
      <c r="Q158" s="87">
        <f t="shared" si="23"/>
        <v>2</v>
      </c>
      <c r="R158" s="88">
        <f t="shared" si="24"/>
        <v>3</v>
      </c>
      <c r="S158" s="89">
        <f t="shared" si="25"/>
        <v>0</v>
      </c>
      <c r="T158" s="89">
        <f t="shared" si="26"/>
        <v>0</v>
      </c>
      <c r="U158" s="89">
        <f t="shared" si="27"/>
        <v>0</v>
      </c>
      <c r="V158" s="89">
        <f t="shared" si="28"/>
        <v>0</v>
      </c>
      <c r="W158" s="89">
        <f t="shared" si="29"/>
        <v>0</v>
      </c>
      <c r="X158" s="89">
        <f t="shared" si="30"/>
        <v>0</v>
      </c>
      <c r="Y158" s="89">
        <f t="shared" si="31"/>
        <v>0</v>
      </c>
      <c r="Z158" s="89">
        <f t="shared" si="32"/>
        <v>0</v>
      </c>
      <c r="AA158" s="41">
        <f t="shared" si="33"/>
        <v>0</v>
      </c>
      <c r="AB158" s="49" t="s">
        <v>5</v>
      </c>
      <c r="AC158" s="50" t="s">
        <v>72</v>
      </c>
      <c r="AD158" s="49"/>
      <c r="AE158" s="50"/>
      <c r="AF158" s="49" t="s">
        <v>1</v>
      </c>
      <c r="AG158" s="50" t="s">
        <v>427</v>
      </c>
      <c r="AH158" s="49"/>
      <c r="AI158" s="50"/>
      <c r="AJ158" s="49"/>
      <c r="AK158" s="50"/>
      <c r="AL158" s="49"/>
      <c r="AM158" s="50"/>
      <c r="AN158" s="49"/>
      <c r="AO158" s="50"/>
      <c r="AP158" s="49"/>
      <c r="AQ158" s="50"/>
      <c r="AR158" s="49"/>
      <c r="AS158" s="50"/>
      <c r="AT158" s="49"/>
      <c r="AU158" s="50"/>
      <c r="AV158" s="49" t="s">
        <v>1</v>
      </c>
      <c r="AW158" s="50" t="s">
        <v>433</v>
      </c>
      <c r="AX158" s="49"/>
      <c r="AY158" s="50"/>
      <c r="AZ158" s="49"/>
      <c r="BA158" s="50"/>
      <c r="BB158" s="49"/>
      <c r="BC158" s="50"/>
      <c r="BD158" s="49"/>
      <c r="BE158" s="50"/>
      <c r="BF158" s="49"/>
      <c r="BG158" s="50"/>
      <c r="BH158" s="49"/>
      <c r="BI158" s="50"/>
      <c r="BJ158" s="49"/>
      <c r="BK158" s="50"/>
      <c r="BL158" s="49"/>
      <c r="BM158" s="50"/>
      <c r="BN158" s="49" t="s">
        <v>5</v>
      </c>
      <c r="BO158" s="50" t="s">
        <v>602</v>
      </c>
      <c r="BP158" s="49" t="s">
        <v>5</v>
      </c>
      <c r="BQ158" s="50"/>
      <c r="BR158" s="49"/>
      <c r="BS158" s="50"/>
      <c r="BT158" s="49"/>
      <c r="BU158" s="50"/>
      <c r="BV158" s="49"/>
      <c r="BW158" s="50"/>
      <c r="BX158" s="49"/>
      <c r="BY158" s="50"/>
      <c r="BZ158" s="49"/>
      <c r="CA158" s="50"/>
      <c r="CB158" s="49"/>
      <c r="CC158" s="50"/>
    </row>
    <row r="159" spans="1:81" s="120" customFormat="1" ht="14.25" customHeight="1" x14ac:dyDescent="0.25">
      <c r="A159" s="79">
        <v>152218</v>
      </c>
      <c r="B159" s="77" t="s">
        <v>1571</v>
      </c>
      <c r="C159" s="98" t="s">
        <v>1419</v>
      </c>
      <c r="D159" s="90" t="s">
        <v>12</v>
      </c>
      <c r="E159" s="79" t="s">
        <v>14</v>
      </c>
      <c r="F159" s="79" t="s">
        <v>218</v>
      </c>
      <c r="G159" s="78" t="s">
        <v>14</v>
      </c>
      <c r="H159" s="121" t="s">
        <v>14</v>
      </c>
      <c r="I159" s="79" t="s">
        <v>14</v>
      </c>
      <c r="J159" s="122">
        <v>3.7</v>
      </c>
      <c r="K159" s="123">
        <v>0</v>
      </c>
      <c r="L159" s="124">
        <v>0</v>
      </c>
      <c r="M159" s="125">
        <v>0</v>
      </c>
      <c r="N159" s="118">
        <v>97.03</v>
      </c>
      <c r="O159" s="118">
        <v>97.14</v>
      </c>
      <c r="P159" s="119">
        <v>5</v>
      </c>
      <c r="Q159" s="87">
        <f t="shared" si="23"/>
        <v>0</v>
      </c>
      <c r="R159" s="88">
        <f t="shared" si="24"/>
        <v>4</v>
      </c>
      <c r="S159" s="89">
        <f t="shared" si="25"/>
        <v>0</v>
      </c>
      <c r="T159" s="89">
        <f t="shared" si="26"/>
        <v>0</v>
      </c>
      <c r="U159" s="89">
        <f t="shared" si="27"/>
        <v>0</v>
      </c>
      <c r="V159" s="89">
        <f t="shared" si="28"/>
        <v>0</v>
      </c>
      <c r="W159" s="89">
        <f t="shared" si="29"/>
        <v>0</v>
      </c>
      <c r="X159" s="89">
        <f t="shared" si="30"/>
        <v>0</v>
      </c>
      <c r="Y159" s="89">
        <f t="shared" si="31"/>
        <v>0</v>
      </c>
      <c r="Z159" s="89">
        <f t="shared" si="32"/>
        <v>0</v>
      </c>
      <c r="AA159" s="41">
        <f t="shared" si="33"/>
        <v>0</v>
      </c>
      <c r="AB159" s="49"/>
      <c r="AC159" s="50"/>
      <c r="AD159" s="49"/>
      <c r="AE159" s="50"/>
      <c r="AF159" s="49"/>
      <c r="AG159" s="50"/>
      <c r="AH159" s="49"/>
      <c r="AI159" s="50"/>
      <c r="AJ159" s="49"/>
      <c r="AK159" s="50"/>
      <c r="AL159" s="49"/>
      <c r="AM159" s="50"/>
      <c r="AN159" s="49"/>
      <c r="AO159" s="50"/>
      <c r="AP159" s="49" t="s">
        <v>5</v>
      </c>
      <c r="AQ159" s="50" t="s">
        <v>428</v>
      </c>
      <c r="AR159" s="49"/>
      <c r="AS159" s="50"/>
      <c r="AT159" s="49"/>
      <c r="AU159" s="50"/>
      <c r="AV159" s="49" t="s">
        <v>5</v>
      </c>
      <c r="AW159" s="50" t="s">
        <v>715</v>
      </c>
      <c r="AX159" s="49"/>
      <c r="AY159" s="50"/>
      <c r="AZ159" s="49"/>
      <c r="BA159" s="50"/>
      <c r="BB159" s="49"/>
      <c r="BC159" s="50"/>
      <c r="BD159" s="49"/>
      <c r="BE159" s="50"/>
      <c r="BF159" s="49"/>
      <c r="BG159" s="50"/>
      <c r="BH159" s="49" t="s">
        <v>5</v>
      </c>
      <c r="BI159" s="50" t="s">
        <v>136</v>
      </c>
      <c r="BJ159" s="49"/>
      <c r="BK159" s="50"/>
      <c r="BL159" s="49"/>
      <c r="BM159" s="50"/>
      <c r="BN159" s="49"/>
      <c r="BO159" s="50"/>
      <c r="BP159" s="49"/>
      <c r="BQ159" s="50"/>
      <c r="BR159" s="49"/>
      <c r="BS159" s="50"/>
      <c r="BT159" s="49"/>
      <c r="BU159" s="50"/>
      <c r="BV159" s="49" t="s">
        <v>5</v>
      </c>
      <c r="BW159" s="50" t="s">
        <v>93</v>
      </c>
      <c r="BX159" s="49"/>
      <c r="BY159" s="50"/>
      <c r="BZ159" s="49"/>
      <c r="CA159" s="50"/>
      <c r="CB159" s="49"/>
      <c r="CC159" s="50"/>
    </row>
    <row r="160" spans="1:81" s="120" customFormat="1" ht="14.25" customHeight="1" x14ac:dyDescent="0.25">
      <c r="A160" s="79">
        <v>150477</v>
      </c>
      <c r="B160" s="77" t="s">
        <v>1572</v>
      </c>
      <c r="C160" s="98" t="s">
        <v>1410</v>
      </c>
      <c r="D160" s="90" t="s">
        <v>12</v>
      </c>
      <c r="E160" s="79" t="s">
        <v>14</v>
      </c>
      <c r="F160" s="79" t="s">
        <v>71</v>
      </c>
      <c r="G160" s="78" t="s">
        <v>14</v>
      </c>
      <c r="H160" s="121" t="s">
        <v>14</v>
      </c>
      <c r="I160" s="79" t="s">
        <v>4</v>
      </c>
      <c r="J160" s="122">
        <v>4.8</v>
      </c>
      <c r="K160" s="123">
        <v>0</v>
      </c>
      <c r="L160" s="124">
        <v>0</v>
      </c>
      <c r="M160" s="125">
        <v>0</v>
      </c>
      <c r="N160" s="118">
        <v>100</v>
      </c>
      <c r="O160" s="118">
        <v>100</v>
      </c>
      <c r="P160" s="119">
        <v>0</v>
      </c>
      <c r="Q160" s="87">
        <f t="shared" si="23"/>
        <v>1</v>
      </c>
      <c r="R160" s="88">
        <f t="shared" si="24"/>
        <v>2</v>
      </c>
      <c r="S160" s="89">
        <f t="shared" si="25"/>
        <v>0</v>
      </c>
      <c r="T160" s="89">
        <f t="shared" si="26"/>
        <v>0</v>
      </c>
      <c r="U160" s="89">
        <f t="shared" si="27"/>
        <v>0</v>
      </c>
      <c r="V160" s="89">
        <f t="shared" si="28"/>
        <v>0</v>
      </c>
      <c r="W160" s="89">
        <f t="shared" si="29"/>
        <v>0</v>
      </c>
      <c r="X160" s="89">
        <f t="shared" si="30"/>
        <v>0</v>
      </c>
      <c r="Y160" s="89">
        <f t="shared" si="31"/>
        <v>0</v>
      </c>
      <c r="Z160" s="89">
        <f t="shared" si="32"/>
        <v>0</v>
      </c>
      <c r="AA160" s="41">
        <f t="shared" si="33"/>
        <v>0</v>
      </c>
      <c r="AB160" s="49"/>
      <c r="AC160" s="50"/>
      <c r="AD160" s="49"/>
      <c r="AE160" s="50"/>
      <c r="AF160" s="49"/>
      <c r="AG160" s="50"/>
      <c r="AH160" s="49"/>
      <c r="AI160" s="50"/>
      <c r="AJ160" s="49"/>
      <c r="AK160" s="50"/>
      <c r="AL160" s="49"/>
      <c r="AM160" s="50"/>
      <c r="AN160" s="49"/>
      <c r="AO160" s="50"/>
      <c r="AP160" s="49"/>
      <c r="AQ160" s="50"/>
      <c r="AR160" s="49"/>
      <c r="AS160" s="50"/>
      <c r="AT160" s="49"/>
      <c r="AU160" s="50"/>
      <c r="AV160" s="49" t="s">
        <v>1</v>
      </c>
      <c r="AW160" s="50" t="s">
        <v>82</v>
      </c>
      <c r="AX160" s="49"/>
      <c r="AY160" s="50"/>
      <c r="AZ160" s="49"/>
      <c r="BA160" s="50"/>
      <c r="BB160" s="49"/>
      <c r="BC160" s="50"/>
      <c r="BD160" s="49" t="s">
        <v>5</v>
      </c>
      <c r="BE160" s="50" t="s">
        <v>436</v>
      </c>
      <c r="BF160" s="49"/>
      <c r="BG160" s="50"/>
      <c r="BH160" s="49"/>
      <c r="BI160" s="50"/>
      <c r="BJ160" s="49"/>
      <c r="BK160" s="50"/>
      <c r="BL160" s="49"/>
      <c r="BM160" s="50"/>
      <c r="BN160" s="49"/>
      <c r="BO160" s="50"/>
      <c r="BP160" s="49"/>
      <c r="BQ160" s="50"/>
      <c r="BR160" s="49"/>
      <c r="BS160" s="50"/>
      <c r="BT160" s="49"/>
      <c r="BU160" s="50"/>
      <c r="BV160" s="49"/>
      <c r="BW160" s="50"/>
      <c r="BX160" s="49" t="s">
        <v>5</v>
      </c>
      <c r="BY160" s="50" t="s">
        <v>425</v>
      </c>
      <c r="BZ160" s="49"/>
      <c r="CA160" s="50"/>
      <c r="CB160" s="49"/>
      <c r="CC160" s="50"/>
    </row>
    <row r="161" spans="1:81" s="120" customFormat="1" ht="14.25" customHeight="1" x14ac:dyDescent="0.25">
      <c r="A161" s="79">
        <v>150524</v>
      </c>
      <c r="B161" s="77" t="s">
        <v>1573</v>
      </c>
      <c r="C161" s="98" t="s">
        <v>1408</v>
      </c>
      <c r="D161" s="90" t="s">
        <v>12</v>
      </c>
      <c r="E161" s="79" t="s">
        <v>14</v>
      </c>
      <c r="F161" s="79" t="s">
        <v>71</v>
      </c>
      <c r="G161" s="78" t="s">
        <v>14</v>
      </c>
      <c r="H161" s="121" t="s">
        <v>14</v>
      </c>
      <c r="I161" s="79" t="s">
        <v>14</v>
      </c>
      <c r="J161" s="122">
        <v>7.5</v>
      </c>
      <c r="K161" s="123">
        <v>0</v>
      </c>
      <c r="L161" s="124">
        <v>0</v>
      </c>
      <c r="M161" s="125">
        <v>0</v>
      </c>
      <c r="N161" s="118">
        <v>98</v>
      </c>
      <c r="O161" s="118">
        <v>97.06</v>
      </c>
      <c r="P161" s="119">
        <v>1</v>
      </c>
      <c r="Q161" s="87">
        <f t="shared" si="23"/>
        <v>0</v>
      </c>
      <c r="R161" s="88">
        <f t="shared" si="24"/>
        <v>4</v>
      </c>
      <c r="S161" s="89">
        <f t="shared" si="25"/>
        <v>0</v>
      </c>
      <c r="T161" s="89">
        <f t="shared" si="26"/>
        <v>0</v>
      </c>
      <c r="U161" s="89">
        <f t="shared" si="27"/>
        <v>0</v>
      </c>
      <c r="V161" s="89">
        <f t="shared" si="28"/>
        <v>0</v>
      </c>
      <c r="W161" s="89">
        <f t="shared" si="29"/>
        <v>0</v>
      </c>
      <c r="X161" s="89">
        <f t="shared" si="30"/>
        <v>0</v>
      </c>
      <c r="Y161" s="89">
        <f t="shared" si="31"/>
        <v>0</v>
      </c>
      <c r="Z161" s="89">
        <f t="shared" si="32"/>
        <v>0</v>
      </c>
      <c r="AA161" s="41">
        <f t="shared" si="33"/>
        <v>0</v>
      </c>
      <c r="AB161" s="49"/>
      <c r="AC161" s="50"/>
      <c r="AD161" s="49" t="s">
        <v>5</v>
      </c>
      <c r="AE161" s="50" t="s">
        <v>438</v>
      </c>
      <c r="AF161" s="49"/>
      <c r="AG161" s="50"/>
      <c r="AH161" s="49"/>
      <c r="AI161" s="50"/>
      <c r="AJ161" s="49"/>
      <c r="AK161" s="50"/>
      <c r="AL161" s="49"/>
      <c r="AM161" s="50"/>
      <c r="AN161" s="49"/>
      <c r="AO161" s="50"/>
      <c r="AP161" s="49" t="s">
        <v>5</v>
      </c>
      <c r="AQ161" s="50" t="s">
        <v>428</v>
      </c>
      <c r="AR161" s="49"/>
      <c r="AS161" s="50"/>
      <c r="AT161" s="49"/>
      <c r="AU161" s="50"/>
      <c r="AV161" s="49" t="s">
        <v>5</v>
      </c>
      <c r="AW161" s="50" t="s">
        <v>421</v>
      </c>
      <c r="AX161" s="49"/>
      <c r="AY161" s="50"/>
      <c r="AZ161" s="49"/>
      <c r="BA161" s="50"/>
      <c r="BB161" s="49"/>
      <c r="BC161" s="50"/>
      <c r="BD161" s="49"/>
      <c r="BE161" s="50"/>
      <c r="BF161" s="49"/>
      <c r="BG161" s="50"/>
      <c r="BH161" s="49"/>
      <c r="BI161" s="50"/>
      <c r="BJ161" s="49"/>
      <c r="BK161" s="50"/>
      <c r="BL161" s="49"/>
      <c r="BM161" s="50"/>
      <c r="BN161" s="49"/>
      <c r="BO161" s="50"/>
      <c r="BP161" s="49"/>
      <c r="BQ161" s="50"/>
      <c r="BR161" s="49"/>
      <c r="BS161" s="50"/>
      <c r="BT161" s="49"/>
      <c r="BU161" s="50"/>
      <c r="BV161" s="49" t="s">
        <v>5</v>
      </c>
      <c r="BW161" s="50" t="s">
        <v>93</v>
      </c>
      <c r="BX161" s="49"/>
      <c r="BY161" s="50"/>
      <c r="BZ161" s="49"/>
      <c r="CA161" s="50"/>
      <c r="CB161" s="49"/>
      <c r="CC161" s="50"/>
    </row>
    <row r="162" spans="1:81" s="120" customFormat="1" ht="14.25" customHeight="1" x14ac:dyDescent="0.25">
      <c r="A162" s="79">
        <v>150481</v>
      </c>
      <c r="B162" s="77" t="s">
        <v>1574</v>
      </c>
      <c r="C162" s="98" t="s">
        <v>1440</v>
      </c>
      <c r="D162" s="90" t="s">
        <v>70</v>
      </c>
      <c r="E162" s="79" t="s">
        <v>14</v>
      </c>
      <c r="F162" s="79" t="s">
        <v>71</v>
      </c>
      <c r="G162" s="78" t="s">
        <v>14</v>
      </c>
      <c r="H162" s="121" t="s">
        <v>14</v>
      </c>
      <c r="I162" s="79" t="s">
        <v>14</v>
      </c>
      <c r="J162" s="122">
        <v>6.5</v>
      </c>
      <c r="K162" s="123">
        <v>0</v>
      </c>
      <c r="L162" s="124">
        <v>0</v>
      </c>
      <c r="M162" s="125">
        <v>0</v>
      </c>
      <c r="N162" s="118">
        <v>90.38</v>
      </c>
      <c r="O162" s="118">
        <v>82.86</v>
      </c>
      <c r="P162" s="119">
        <v>4</v>
      </c>
      <c r="Q162" s="87">
        <f t="shared" si="23"/>
        <v>2</v>
      </c>
      <c r="R162" s="88">
        <f t="shared" si="24"/>
        <v>3</v>
      </c>
      <c r="S162" s="89">
        <f t="shared" si="25"/>
        <v>0</v>
      </c>
      <c r="T162" s="89">
        <f t="shared" si="26"/>
        <v>0</v>
      </c>
      <c r="U162" s="89">
        <f t="shared" si="27"/>
        <v>0</v>
      </c>
      <c r="V162" s="89">
        <f t="shared" si="28"/>
        <v>0</v>
      </c>
      <c r="W162" s="89">
        <f t="shared" si="29"/>
        <v>0</v>
      </c>
      <c r="X162" s="89">
        <f t="shared" si="30"/>
        <v>0</v>
      </c>
      <c r="Y162" s="89">
        <f t="shared" si="31"/>
        <v>0</v>
      </c>
      <c r="Z162" s="89">
        <f t="shared" si="32"/>
        <v>0</v>
      </c>
      <c r="AA162" s="41">
        <f t="shared" si="33"/>
        <v>0</v>
      </c>
      <c r="AB162" s="49"/>
      <c r="AC162" s="50"/>
      <c r="AD162" s="49"/>
      <c r="AE162" s="50"/>
      <c r="AF162" s="49"/>
      <c r="AG162" s="50"/>
      <c r="AH162" s="49"/>
      <c r="AI162" s="50"/>
      <c r="AJ162" s="49"/>
      <c r="AK162" s="50"/>
      <c r="AL162" s="49"/>
      <c r="AM162" s="50"/>
      <c r="AN162" s="49"/>
      <c r="AO162" s="50"/>
      <c r="AP162" s="49"/>
      <c r="AQ162" s="50"/>
      <c r="AR162" s="49"/>
      <c r="AS162" s="50"/>
      <c r="AT162" s="49"/>
      <c r="AU162" s="50"/>
      <c r="AV162" s="49" t="s">
        <v>5</v>
      </c>
      <c r="AW162" s="50" t="s">
        <v>433</v>
      </c>
      <c r="AX162" s="49"/>
      <c r="AY162" s="50"/>
      <c r="AZ162" s="49"/>
      <c r="BA162" s="50"/>
      <c r="BB162" s="49"/>
      <c r="BC162" s="50"/>
      <c r="BD162" s="49"/>
      <c r="BE162" s="50"/>
      <c r="BF162" s="49"/>
      <c r="BG162" s="50"/>
      <c r="BH162" s="49"/>
      <c r="BI162" s="50"/>
      <c r="BJ162" s="49"/>
      <c r="BK162" s="50"/>
      <c r="BL162" s="49"/>
      <c r="BM162" s="50"/>
      <c r="BN162" s="49" t="s">
        <v>1</v>
      </c>
      <c r="BO162" s="50" t="s">
        <v>602</v>
      </c>
      <c r="BP162" s="49" t="s">
        <v>1</v>
      </c>
      <c r="BQ162" s="50"/>
      <c r="BR162" s="49"/>
      <c r="BS162" s="50"/>
      <c r="BT162" s="49"/>
      <c r="BU162" s="50"/>
      <c r="BV162" s="49" t="s">
        <v>5</v>
      </c>
      <c r="BW162" s="50" t="s">
        <v>93</v>
      </c>
      <c r="BX162" s="49"/>
      <c r="BY162" s="50"/>
      <c r="BZ162" s="49" t="s">
        <v>5</v>
      </c>
      <c r="CA162" s="50" t="s">
        <v>420</v>
      </c>
      <c r="CB162" s="49"/>
      <c r="CC162" s="50"/>
    </row>
    <row r="163" spans="1:81" s="120" customFormat="1" ht="14.25" customHeight="1" x14ac:dyDescent="0.25">
      <c r="A163" s="79">
        <v>152144</v>
      </c>
      <c r="B163" s="77" t="s">
        <v>1575</v>
      </c>
      <c r="C163" s="98" t="s">
        <v>1421</v>
      </c>
      <c r="D163" s="90" t="s">
        <v>12</v>
      </c>
      <c r="E163" s="79" t="s">
        <v>14</v>
      </c>
      <c r="F163" s="79" t="s">
        <v>71</v>
      </c>
      <c r="G163" s="78" t="s">
        <v>14</v>
      </c>
      <c r="H163" s="121" t="s">
        <v>14</v>
      </c>
      <c r="I163" s="79" t="s">
        <v>14</v>
      </c>
      <c r="J163" s="122">
        <v>7.3</v>
      </c>
      <c r="K163" s="123">
        <v>1</v>
      </c>
      <c r="L163" s="124">
        <v>0</v>
      </c>
      <c r="M163" s="125">
        <v>0</v>
      </c>
      <c r="N163" s="118">
        <v>100</v>
      </c>
      <c r="O163" s="118">
        <v>100</v>
      </c>
      <c r="P163" s="119">
        <v>0</v>
      </c>
      <c r="Q163" s="87">
        <f t="shared" si="23"/>
        <v>0</v>
      </c>
      <c r="R163" s="88">
        <f t="shared" si="24"/>
        <v>3</v>
      </c>
      <c r="S163" s="89">
        <f t="shared" si="25"/>
        <v>0</v>
      </c>
      <c r="T163" s="89">
        <f t="shared" si="26"/>
        <v>0</v>
      </c>
      <c r="U163" s="89">
        <f t="shared" si="27"/>
        <v>0</v>
      </c>
      <c r="V163" s="89">
        <f t="shared" si="28"/>
        <v>0</v>
      </c>
      <c r="W163" s="89">
        <f t="shared" si="29"/>
        <v>0</v>
      </c>
      <c r="X163" s="89">
        <f t="shared" si="30"/>
        <v>0</v>
      </c>
      <c r="Y163" s="89">
        <f t="shared" si="31"/>
        <v>0</v>
      </c>
      <c r="Z163" s="89">
        <f t="shared" si="32"/>
        <v>0</v>
      </c>
      <c r="AA163" s="41">
        <f t="shared" si="33"/>
        <v>0</v>
      </c>
      <c r="AB163" s="49"/>
      <c r="AC163" s="50"/>
      <c r="AD163" s="49"/>
      <c r="AE163" s="50"/>
      <c r="AF163" s="49"/>
      <c r="AG163" s="50"/>
      <c r="AH163" s="49"/>
      <c r="AI163" s="50"/>
      <c r="AJ163" s="49"/>
      <c r="AK163" s="50"/>
      <c r="AL163" s="49"/>
      <c r="AM163" s="50" t="s">
        <v>135</v>
      </c>
      <c r="AN163" s="49"/>
      <c r="AO163" s="50"/>
      <c r="AP163" s="49"/>
      <c r="AQ163" s="50"/>
      <c r="AR163" s="49"/>
      <c r="AS163" s="50"/>
      <c r="AT163" s="49"/>
      <c r="AU163" s="50"/>
      <c r="AV163" s="49" t="s">
        <v>5</v>
      </c>
      <c r="AW163" s="50" t="s">
        <v>151</v>
      </c>
      <c r="AX163" s="49"/>
      <c r="AY163" s="50"/>
      <c r="AZ163" s="49"/>
      <c r="BA163" s="50"/>
      <c r="BB163" s="49"/>
      <c r="BC163" s="50"/>
      <c r="BD163" s="49"/>
      <c r="BE163" s="50"/>
      <c r="BF163" s="49"/>
      <c r="BG163" s="50"/>
      <c r="BH163" s="49" t="s">
        <v>5</v>
      </c>
      <c r="BI163" s="50" t="s">
        <v>136</v>
      </c>
      <c r="BJ163" s="49"/>
      <c r="BK163" s="50"/>
      <c r="BL163" s="49"/>
      <c r="BM163" s="50"/>
      <c r="BN163" s="49"/>
      <c r="BO163" s="50"/>
      <c r="BP163" s="49"/>
      <c r="BQ163" s="50"/>
      <c r="BR163" s="49"/>
      <c r="BS163" s="50"/>
      <c r="BT163" s="49" t="s">
        <v>5</v>
      </c>
      <c r="BU163" s="50" t="s">
        <v>109</v>
      </c>
      <c r="BV163" s="49"/>
      <c r="BW163" s="50"/>
      <c r="BX163" s="49"/>
      <c r="BY163" s="50"/>
      <c r="BZ163" s="49"/>
      <c r="CA163" s="50"/>
      <c r="CB163" s="49"/>
      <c r="CC163" s="50"/>
    </row>
    <row r="164" spans="1:81" s="120" customFormat="1" ht="14.25" customHeight="1" x14ac:dyDescent="0.25">
      <c r="A164" s="79">
        <v>152146</v>
      </c>
      <c r="B164" s="77" t="s">
        <v>1576</v>
      </c>
      <c r="C164" s="98" t="s">
        <v>1417</v>
      </c>
      <c r="D164" s="90" t="s">
        <v>70</v>
      </c>
      <c r="E164" s="79" t="s">
        <v>14</v>
      </c>
      <c r="F164" s="79" t="s">
        <v>71</v>
      </c>
      <c r="G164" s="78" t="s">
        <v>14</v>
      </c>
      <c r="H164" s="121" t="s">
        <v>14</v>
      </c>
      <c r="I164" s="79" t="s">
        <v>14</v>
      </c>
      <c r="J164" s="122">
        <v>7.5</v>
      </c>
      <c r="K164" s="123">
        <v>0</v>
      </c>
      <c r="L164" s="124">
        <v>0</v>
      </c>
      <c r="M164" s="125">
        <v>0</v>
      </c>
      <c r="N164" s="118">
        <v>90.65</v>
      </c>
      <c r="O164" s="118">
        <v>89.74</v>
      </c>
      <c r="P164" s="119">
        <v>1</v>
      </c>
      <c r="Q164" s="87">
        <f t="shared" si="23"/>
        <v>1</v>
      </c>
      <c r="R164" s="88">
        <f t="shared" si="24"/>
        <v>3</v>
      </c>
      <c r="S164" s="89">
        <f t="shared" si="25"/>
        <v>0</v>
      </c>
      <c r="T164" s="89">
        <f t="shared" si="26"/>
        <v>0</v>
      </c>
      <c r="U164" s="89">
        <f t="shared" si="27"/>
        <v>0</v>
      </c>
      <c r="V164" s="89">
        <f t="shared" si="28"/>
        <v>0</v>
      </c>
      <c r="W164" s="89">
        <f t="shared" si="29"/>
        <v>0</v>
      </c>
      <c r="X164" s="89">
        <f t="shared" si="30"/>
        <v>0</v>
      </c>
      <c r="Y164" s="89">
        <f t="shared" si="31"/>
        <v>0</v>
      </c>
      <c r="Z164" s="89">
        <f t="shared" si="32"/>
        <v>0</v>
      </c>
      <c r="AA164" s="41">
        <f t="shared" si="33"/>
        <v>0</v>
      </c>
      <c r="AB164" s="49"/>
      <c r="AC164" s="50"/>
      <c r="AD164" s="49"/>
      <c r="AE164" s="50"/>
      <c r="AF164" s="49"/>
      <c r="AG164" s="50"/>
      <c r="AH164" s="49"/>
      <c r="AI164" s="50"/>
      <c r="AJ164" s="49"/>
      <c r="AK164" s="50"/>
      <c r="AL164" s="49"/>
      <c r="AM164" s="50"/>
      <c r="AN164" s="49"/>
      <c r="AO164" s="50"/>
      <c r="AP164" s="49"/>
      <c r="AQ164" s="50"/>
      <c r="AR164" s="49"/>
      <c r="AS164" s="50"/>
      <c r="AT164" s="49" t="s">
        <v>5</v>
      </c>
      <c r="AU164" s="50" t="s">
        <v>448</v>
      </c>
      <c r="AV164" s="49" t="s">
        <v>5</v>
      </c>
      <c r="AW164" s="50" t="s">
        <v>425</v>
      </c>
      <c r="AX164" s="49"/>
      <c r="AY164" s="50"/>
      <c r="AZ164" s="49"/>
      <c r="BA164" s="50"/>
      <c r="BB164" s="49"/>
      <c r="BC164" s="50"/>
      <c r="BD164" s="49"/>
      <c r="BE164" s="50"/>
      <c r="BF164" s="49" t="s">
        <v>1</v>
      </c>
      <c r="BG164" s="50" t="s">
        <v>77</v>
      </c>
      <c r="BH164" s="49"/>
      <c r="BI164" s="50"/>
      <c r="BJ164" s="49"/>
      <c r="BK164" s="50"/>
      <c r="BL164" s="49"/>
      <c r="BM164" s="50"/>
      <c r="BN164" s="49"/>
      <c r="BO164" s="50"/>
      <c r="BP164" s="49"/>
      <c r="BQ164" s="50"/>
      <c r="BR164" s="49"/>
      <c r="BS164" s="50"/>
      <c r="BT164" s="49"/>
      <c r="BU164" s="50"/>
      <c r="BV164" s="49" t="s">
        <v>5</v>
      </c>
      <c r="BW164" s="50" t="s">
        <v>93</v>
      </c>
      <c r="BX164" s="49"/>
      <c r="BY164" s="50"/>
      <c r="BZ164" s="49"/>
      <c r="CA164" s="50"/>
      <c r="CB164" s="49"/>
      <c r="CC164" s="50"/>
    </row>
    <row r="165" spans="1:81" s="120" customFormat="1" ht="14.25" customHeight="1" x14ac:dyDescent="0.25">
      <c r="A165" s="79">
        <v>151513</v>
      </c>
      <c r="B165" s="77" t="s">
        <v>1577</v>
      </c>
      <c r="C165" s="98" t="s">
        <v>1414</v>
      </c>
      <c r="D165" s="90" t="s">
        <v>70</v>
      </c>
      <c r="E165" s="79" t="s">
        <v>14</v>
      </c>
      <c r="F165" s="79" t="s">
        <v>220</v>
      </c>
      <c r="G165" s="78" t="s">
        <v>14</v>
      </c>
      <c r="H165" s="121" t="s">
        <v>14</v>
      </c>
      <c r="I165" s="79" t="s">
        <v>14</v>
      </c>
      <c r="J165" s="122">
        <v>6.1</v>
      </c>
      <c r="K165" s="123">
        <v>0</v>
      </c>
      <c r="L165" s="124">
        <v>0</v>
      </c>
      <c r="M165" s="125">
        <v>0</v>
      </c>
      <c r="N165" s="118">
        <v>83.93</v>
      </c>
      <c r="O165" s="118">
        <v>86.84</v>
      </c>
      <c r="P165" s="119">
        <v>0</v>
      </c>
      <c r="Q165" s="87">
        <f t="shared" si="23"/>
        <v>1</v>
      </c>
      <c r="R165" s="88">
        <f t="shared" si="24"/>
        <v>1</v>
      </c>
      <c r="S165" s="89">
        <f t="shared" si="25"/>
        <v>0</v>
      </c>
      <c r="T165" s="89">
        <f t="shared" si="26"/>
        <v>0</v>
      </c>
      <c r="U165" s="89">
        <f t="shared" si="27"/>
        <v>1</v>
      </c>
      <c r="V165" s="89">
        <f t="shared" si="28"/>
        <v>1</v>
      </c>
      <c r="W165" s="89">
        <f t="shared" si="29"/>
        <v>0</v>
      </c>
      <c r="X165" s="89">
        <f t="shared" si="30"/>
        <v>0</v>
      </c>
      <c r="Y165" s="89">
        <f t="shared" si="31"/>
        <v>1</v>
      </c>
      <c r="Z165" s="89">
        <f t="shared" si="32"/>
        <v>1</v>
      </c>
      <c r="AA165" s="41">
        <f t="shared" si="33"/>
        <v>0</v>
      </c>
      <c r="AB165" s="49"/>
      <c r="AC165" s="50"/>
      <c r="AD165" s="49" t="s">
        <v>32</v>
      </c>
      <c r="AE165" s="50" t="s">
        <v>433</v>
      </c>
      <c r="AF165" s="49"/>
      <c r="AG165" s="50"/>
      <c r="AH165" s="49"/>
      <c r="AI165" s="50"/>
      <c r="AJ165" s="49"/>
      <c r="AK165" s="50"/>
      <c r="AL165" s="49"/>
      <c r="AM165" s="50"/>
      <c r="AN165" s="49"/>
      <c r="AO165" s="50"/>
      <c r="AP165" s="49"/>
      <c r="AQ165" s="50"/>
      <c r="AR165" s="49" t="s">
        <v>5</v>
      </c>
      <c r="AS165" s="50" t="s">
        <v>91</v>
      </c>
      <c r="AT165" s="49" t="s">
        <v>36</v>
      </c>
      <c r="AU165" s="50" t="s">
        <v>151</v>
      </c>
      <c r="AV165" s="49" t="s">
        <v>1</v>
      </c>
      <c r="AW165" s="50" t="s">
        <v>476</v>
      </c>
      <c r="AX165" s="49"/>
      <c r="AY165" s="50"/>
      <c r="AZ165" s="49"/>
      <c r="BA165" s="50"/>
      <c r="BB165" s="49"/>
      <c r="BC165" s="50"/>
      <c r="BD165" s="49"/>
      <c r="BE165" s="50"/>
      <c r="BF165" s="49"/>
      <c r="BG165" s="50"/>
      <c r="BH165" s="49"/>
      <c r="BI165" s="50"/>
      <c r="BJ165" s="49"/>
      <c r="BK165" s="50"/>
      <c r="BL165" s="49"/>
      <c r="BM165" s="50"/>
      <c r="BN165" s="49"/>
      <c r="BO165" s="50"/>
      <c r="BP165" s="49"/>
      <c r="BQ165" s="50"/>
      <c r="BR165" s="49"/>
      <c r="BS165" s="50"/>
      <c r="BT165" s="49"/>
      <c r="BU165" s="50"/>
      <c r="BV165" s="49"/>
      <c r="BW165" s="50"/>
      <c r="BX165" s="49"/>
      <c r="BY165" s="50"/>
      <c r="BZ165" s="49"/>
      <c r="CA165" s="50"/>
      <c r="CB165" s="49"/>
      <c r="CC165" s="50"/>
    </row>
    <row r="166" spans="1:81" s="120" customFormat="1" ht="14.25" customHeight="1" x14ac:dyDescent="0.25">
      <c r="A166" s="79">
        <v>150395</v>
      </c>
      <c r="B166" s="77" t="s">
        <v>1578</v>
      </c>
      <c r="C166" s="98" t="s">
        <v>1410</v>
      </c>
      <c r="D166" s="90" t="s">
        <v>70</v>
      </c>
      <c r="E166" s="79" t="s">
        <v>14</v>
      </c>
      <c r="F166" s="79" t="s">
        <v>71</v>
      </c>
      <c r="G166" s="78" t="s">
        <v>14</v>
      </c>
      <c r="H166" s="121" t="s">
        <v>14</v>
      </c>
      <c r="I166" s="79" t="s">
        <v>14</v>
      </c>
      <c r="J166" s="122">
        <v>6.5</v>
      </c>
      <c r="K166" s="123">
        <v>0</v>
      </c>
      <c r="L166" s="124">
        <v>0</v>
      </c>
      <c r="M166" s="125">
        <v>0</v>
      </c>
      <c r="N166" s="118">
        <v>92.79</v>
      </c>
      <c r="O166" s="118">
        <v>84.62</v>
      </c>
      <c r="P166" s="119">
        <v>2</v>
      </c>
      <c r="Q166" s="87">
        <f t="shared" si="23"/>
        <v>0</v>
      </c>
      <c r="R166" s="88">
        <f t="shared" si="24"/>
        <v>4</v>
      </c>
      <c r="S166" s="89">
        <f t="shared" si="25"/>
        <v>0</v>
      </c>
      <c r="T166" s="89">
        <f t="shared" si="26"/>
        <v>0</v>
      </c>
      <c r="U166" s="89">
        <f t="shared" si="27"/>
        <v>0</v>
      </c>
      <c r="V166" s="89">
        <f t="shared" si="28"/>
        <v>0</v>
      </c>
      <c r="W166" s="89">
        <f t="shared" si="29"/>
        <v>0</v>
      </c>
      <c r="X166" s="89">
        <f t="shared" si="30"/>
        <v>0</v>
      </c>
      <c r="Y166" s="89">
        <f t="shared" si="31"/>
        <v>0</v>
      </c>
      <c r="Z166" s="89">
        <f t="shared" si="32"/>
        <v>0</v>
      </c>
      <c r="AA166" s="41">
        <f t="shared" si="33"/>
        <v>0</v>
      </c>
      <c r="AB166" s="49"/>
      <c r="AC166" s="50"/>
      <c r="AD166" s="49" t="s">
        <v>5</v>
      </c>
      <c r="AE166" s="50" t="s">
        <v>433</v>
      </c>
      <c r="AF166" s="49"/>
      <c r="AG166" s="50"/>
      <c r="AH166" s="49"/>
      <c r="AI166" s="50"/>
      <c r="AJ166" s="49"/>
      <c r="AK166" s="50"/>
      <c r="AL166" s="49"/>
      <c r="AM166" s="50"/>
      <c r="AN166" s="49"/>
      <c r="AO166" s="50"/>
      <c r="AP166" s="49"/>
      <c r="AQ166" s="50"/>
      <c r="AR166" s="49"/>
      <c r="AS166" s="50"/>
      <c r="AT166" s="49"/>
      <c r="AU166" s="50"/>
      <c r="AV166" s="49" t="s">
        <v>5</v>
      </c>
      <c r="AW166" s="50" t="s">
        <v>495</v>
      </c>
      <c r="AX166" s="49"/>
      <c r="AY166" s="50"/>
      <c r="AZ166" s="49"/>
      <c r="BA166" s="50"/>
      <c r="BB166" s="49"/>
      <c r="BC166" s="50"/>
      <c r="BD166" s="49"/>
      <c r="BE166" s="50"/>
      <c r="BF166" s="49"/>
      <c r="BG166" s="50"/>
      <c r="BH166" s="49"/>
      <c r="BI166" s="50"/>
      <c r="BJ166" s="49"/>
      <c r="BK166" s="50"/>
      <c r="BL166" s="49"/>
      <c r="BM166" s="50"/>
      <c r="BN166" s="49"/>
      <c r="BO166" s="50"/>
      <c r="BP166" s="49"/>
      <c r="BQ166" s="50"/>
      <c r="BR166" s="49"/>
      <c r="BS166" s="50"/>
      <c r="BT166" s="49"/>
      <c r="BU166" s="50"/>
      <c r="BV166" s="49"/>
      <c r="BW166" s="50"/>
      <c r="BX166" s="49" t="s">
        <v>5</v>
      </c>
      <c r="BY166" s="50" t="s">
        <v>425</v>
      </c>
      <c r="BZ166" s="49" t="s">
        <v>5</v>
      </c>
      <c r="CA166" s="50" t="s">
        <v>420</v>
      </c>
      <c r="CB166" s="49"/>
      <c r="CC166" s="50"/>
    </row>
    <row r="167" spans="1:81" s="120" customFormat="1" ht="14.25" customHeight="1" x14ac:dyDescent="0.25">
      <c r="A167" s="79">
        <v>150517</v>
      </c>
      <c r="B167" s="77" t="s">
        <v>1579</v>
      </c>
      <c r="C167" s="98" t="s">
        <v>1408</v>
      </c>
      <c r="D167" s="90" t="s">
        <v>70</v>
      </c>
      <c r="E167" s="79" t="s">
        <v>14</v>
      </c>
      <c r="F167" s="79" t="s">
        <v>71</v>
      </c>
      <c r="G167" s="78" t="s">
        <v>14</v>
      </c>
      <c r="H167" s="121" t="s">
        <v>14</v>
      </c>
      <c r="I167" s="79" t="s">
        <v>14</v>
      </c>
      <c r="J167" s="122">
        <v>7.7</v>
      </c>
      <c r="K167" s="123">
        <v>1</v>
      </c>
      <c r="L167" s="124">
        <v>0</v>
      </c>
      <c r="M167" s="125">
        <v>0</v>
      </c>
      <c r="N167" s="118">
        <v>82.57</v>
      </c>
      <c r="O167" s="118">
        <v>97.3</v>
      </c>
      <c r="P167" s="119">
        <v>0</v>
      </c>
      <c r="Q167" s="87">
        <f t="shared" si="23"/>
        <v>3</v>
      </c>
      <c r="R167" s="88">
        <f t="shared" si="24"/>
        <v>1</v>
      </c>
      <c r="S167" s="89">
        <f t="shared" si="25"/>
        <v>0</v>
      </c>
      <c r="T167" s="89">
        <f t="shared" si="26"/>
        <v>0</v>
      </c>
      <c r="U167" s="89">
        <f t="shared" si="27"/>
        <v>1</v>
      </c>
      <c r="V167" s="89">
        <f t="shared" si="28"/>
        <v>1</v>
      </c>
      <c r="W167" s="89">
        <f t="shared" si="29"/>
        <v>0</v>
      </c>
      <c r="X167" s="89">
        <f t="shared" si="30"/>
        <v>0</v>
      </c>
      <c r="Y167" s="89">
        <f t="shared" si="31"/>
        <v>0</v>
      </c>
      <c r="Z167" s="89">
        <f t="shared" si="32"/>
        <v>0</v>
      </c>
      <c r="AA167" s="41">
        <f t="shared" si="33"/>
        <v>0</v>
      </c>
      <c r="AB167" s="49"/>
      <c r="AC167" s="50"/>
      <c r="AD167" s="49"/>
      <c r="AE167" s="50"/>
      <c r="AF167" s="49"/>
      <c r="AG167" s="50"/>
      <c r="AH167" s="49"/>
      <c r="AI167" s="50"/>
      <c r="AJ167" s="49"/>
      <c r="AK167" s="50"/>
      <c r="AL167" s="49"/>
      <c r="AM167" s="50"/>
      <c r="AN167" s="49"/>
      <c r="AO167" s="50"/>
      <c r="AP167" s="49"/>
      <c r="AQ167" s="50"/>
      <c r="AR167" s="49" t="s">
        <v>32</v>
      </c>
      <c r="AS167" s="50" t="s">
        <v>459</v>
      </c>
      <c r="AT167" s="49"/>
      <c r="AU167" s="50"/>
      <c r="AV167" s="49" t="s">
        <v>1</v>
      </c>
      <c r="AW167" s="50" t="s">
        <v>421</v>
      </c>
      <c r="AX167" s="49"/>
      <c r="AY167" s="50"/>
      <c r="AZ167" s="49"/>
      <c r="BA167" s="50"/>
      <c r="BB167" s="49" t="s">
        <v>5</v>
      </c>
      <c r="BC167" s="50" t="s">
        <v>76</v>
      </c>
      <c r="BD167" s="49"/>
      <c r="BE167" s="50"/>
      <c r="BF167" s="49"/>
      <c r="BG167" s="50"/>
      <c r="BH167" s="49"/>
      <c r="BI167" s="50"/>
      <c r="BJ167" s="49"/>
      <c r="BK167" s="50"/>
      <c r="BL167" s="49"/>
      <c r="BM167" s="50"/>
      <c r="BN167" s="49" t="s">
        <v>1</v>
      </c>
      <c r="BO167" s="50" t="s">
        <v>602</v>
      </c>
      <c r="BP167" s="49" t="s">
        <v>1</v>
      </c>
      <c r="BQ167" s="50"/>
      <c r="BR167" s="49"/>
      <c r="BS167" s="50"/>
      <c r="BT167" s="49"/>
      <c r="BU167" s="50"/>
      <c r="BV167" s="49"/>
      <c r="BW167" s="50"/>
      <c r="BX167" s="49"/>
      <c r="BY167" s="50"/>
      <c r="BZ167" s="49"/>
      <c r="CA167" s="50"/>
      <c r="CB167" s="49"/>
      <c r="CC167" s="50"/>
    </row>
    <row r="168" spans="1:81" s="120" customFormat="1" ht="14.25" customHeight="1" x14ac:dyDescent="0.25">
      <c r="A168" s="79">
        <v>150556</v>
      </c>
      <c r="B168" s="77" t="s">
        <v>1580</v>
      </c>
      <c r="C168" s="98" t="s">
        <v>1405</v>
      </c>
      <c r="D168" s="90" t="s">
        <v>70</v>
      </c>
      <c r="E168" s="79" t="s">
        <v>14</v>
      </c>
      <c r="F168" s="79" t="s">
        <v>71</v>
      </c>
      <c r="G168" s="78" t="s">
        <v>14</v>
      </c>
      <c r="H168" s="121" t="s">
        <v>14</v>
      </c>
      <c r="I168" s="79" t="s">
        <v>14</v>
      </c>
      <c r="J168" s="122">
        <v>7.5</v>
      </c>
      <c r="K168" s="123">
        <v>0</v>
      </c>
      <c r="L168" s="124">
        <v>0</v>
      </c>
      <c r="M168" s="125">
        <v>0</v>
      </c>
      <c r="N168" s="118">
        <v>75.260000000000005</v>
      </c>
      <c r="O168" s="118">
        <v>91.18</v>
      </c>
      <c r="P168" s="119">
        <v>0</v>
      </c>
      <c r="Q168" s="87">
        <f t="shared" si="23"/>
        <v>2</v>
      </c>
      <c r="R168" s="88">
        <f t="shared" si="24"/>
        <v>2</v>
      </c>
      <c r="S168" s="89">
        <f t="shared" si="25"/>
        <v>0</v>
      </c>
      <c r="T168" s="89">
        <f t="shared" si="26"/>
        <v>0</v>
      </c>
      <c r="U168" s="89">
        <f t="shared" si="27"/>
        <v>0</v>
      </c>
      <c r="V168" s="89">
        <f t="shared" si="28"/>
        <v>0</v>
      </c>
      <c r="W168" s="89">
        <f t="shared" si="29"/>
        <v>0</v>
      </c>
      <c r="X168" s="89">
        <f t="shared" si="30"/>
        <v>0</v>
      </c>
      <c r="Y168" s="89">
        <f t="shared" si="31"/>
        <v>0</v>
      </c>
      <c r="Z168" s="89">
        <f t="shared" si="32"/>
        <v>0</v>
      </c>
      <c r="AA168" s="41">
        <f t="shared" si="33"/>
        <v>0</v>
      </c>
      <c r="AB168" s="49"/>
      <c r="AC168" s="50"/>
      <c r="AD168" s="49"/>
      <c r="AE168" s="50"/>
      <c r="AF168" s="49"/>
      <c r="AG168" s="50"/>
      <c r="AH168" s="49"/>
      <c r="AI168" s="50"/>
      <c r="AJ168" s="49"/>
      <c r="AK168" s="50"/>
      <c r="AL168" s="49"/>
      <c r="AM168" s="50"/>
      <c r="AN168" s="49"/>
      <c r="AO168" s="50"/>
      <c r="AP168" s="49"/>
      <c r="AQ168" s="50"/>
      <c r="AR168" s="49" t="s">
        <v>5</v>
      </c>
      <c r="AS168" s="50" t="s">
        <v>91</v>
      </c>
      <c r="AT168" s="49"/>
      <c r="AU168" s="50"/>
      <c r="AV168" s="49" t="s">
        <v>1</v>
      </c>
      <c r="AW168" s="50" t="s">
        <v>476</v>
      </c>
      <c r="AX168" s="49"/>
      <c r="AY168" s="50"/>
      <c r="AZ168" s="49"/>
      <c r="BA168" s="50"/>
      <c r="BB168" s="49" t="s">
        <v>5</v>
      </c>
      <c r="BC168" s="50" t="s">
        <v>76</v>
      </c>
      <c r="BD168" s="49"/>
      <c r="BE168" s="50"/>
      <c r="BF168" s="49"/>
      <c r="BG168" s="50"/>
      <c r="BH168" s="49"/>
      <c r="BI168" s="50"/>
      <c r="BJ168" s="49"/>
      <c r="BK168" s="50"/>
      <c r="BL168" s="49"/>
      <c r="BM168" s="50"/>
      <c r="BN168" s="49"/>
      <c r="BO168" s="50"/>
      <c r="BP168" s="49"/>
      <c r="BQ168" s="50"/>
      <c r="BR168" s="49"/>
      <c r="BS168" s="50"/>
      <c r="BT168" s="49"/>
      <c r="BU168" s="50"/>
      <c r="BV168" s="49"/>
      <c r="BW168" s="50"/>
      <c r="BX168" s="49"/>
      <c r="BY168" s="50"/>
      <c r="BZ168" s="49" t="s">
        <v>1</v>
      </c>
      <c r="CA168" s="50" t="s">
        <v>462</v>
      </c>
      <c r="CB168" s="49"/>
      <c r="CC168" s="50"/>
    </row>
    <row r="169" spans="1:81" s="120" customFormat="1" ht="14.25" customHeight="1" x14ac:dyDescent="0.25">
      <c r="A169" s="79">
        <v>150469</v>
      </c>
      <c r="B169" s="77" t="s">
        <v>1581</v>
      </c>
      <c r="C169" s="98" t="s">
        <v>1421</v>
      </c>
      <c r="D169" s="90" t="s">
        <v>70</v>
      </c>
      <c r="E169" s="79" t="s">
        <v>14</v>
      </c>
      <c r="F169" s="79" t="s">
        <v>71</v>
      </c>
      <c r="G169" s="78" t="s">
        <v>14</v>
      </c>
      <c r="H169" s="121" t="s">
        <v>14</v>
      </c>
      <c r="I169" s="79" t="s">
        <v>14</v>
      </c>
      <c r="J169" s="122">
        <v>8.1</v>
      </c>
      <c r="K169" s="123">
        <v>0</v>
      </c>
      <c r="L169" s="124">
        <v>0</v>
      </c>
      <c r="M169" s="125">
        <v>0</v>
      </c>
      <c r="N169" s="118">
        <v>100</v>
      </c>
      <c r="O169" s="118">
        <v>100</v>
      </c>
      <c r="P169" s="119">
        <v>0</v>
      </c>
      <c r="Q169" s="87">
        <f t="shared" si="23"/>
        <v>3</v>
      </c>
      <c r="R169" s="88">
        <f t="shared" si="24"/>
        <v>1</v>
      </c>
      <c r="S169" s="89">
        <f t="shared" si="25"/>
        <v>0</v>
      </c>
      <c r="T169" s="89">
        <f t="shared" si="26"/>
        <v>0</v>
      </c>
      <c r="U169" s="89">
        <f t="shared" si="27"/>
        <v>0</v>
      </c>
      <c r="V169" s="89">
        <f t="shared" si="28"/>
        <v>0</v>
      </c>
      <c r="W169" s="89">
        <f t="shared" si="29"/>
        <v>0</v>
      </c>
      <c r="X169" s="89">
        <f t="shared" si="30"/>
        <v>0</v>
      </c>
      <c r="Y169" s="89">
        <f t="shared" si="31"/>
        <v>0</v>
      </c>
      <c r="Z169" s="89">
        <f t="shared" si="32"/>
        <v>0</v>
      </c>
      <c r="AA169" s="41">
        <f t="shared" si="33"/>
        <v>0</v>
      </c>
      <c r="AB169" s="49"/>
      <c r="AC169" s="50"/>
      <c r="AD169" s="49"/>
      <c r="AE169" s="50"/>
      <c r="AF169" s="49"/>
      <c r="AG169" s="50"/>
      <c r="AH169" s="49"/>
      <c r="AI169" s="50"/>
      <c r="AJ169" s="49"/>
      <c r="AK169" s="50"/>
      <c r="AL169" s="49"/>
      <c r="AM169" s="50"/>
      <c r="AN169" s="49" t="s">
        <v>1</v>
      </c>
      <c r="AO169" s="50" t="s">
        <v>1406</v>
      </c>
      <c r="AP169" s="49"/>
      <c r="AQ169" s="50"/>
      <c r="AR169" s="49"/>
      <c r="AS169" s="50"/>
      <c r="AT169" s="49" t="s">
        <v>1</v>
      </c>
      <c r="AU169" s="50" t="s">
        <v>151</v>
      </c>
      <c r="AV169" s="49" t="s">
        <v>5</v>
      </c>
      <c r="AW169" s="50" t="s">
        <v>151</v>
      </c>
      <c r="AX169" s="49"/>
      <c r="AY169" s="50"/>
      <c r="AZ169" s="49"/>
      <c r="BA169" s="50"/>
      <c r="BB169" s="49"/>
      <c r="BC169" s="50"/>
      <c r="BD169" s="49"/>
      <c r="BE169" s="50"/>
      <c r="BF169" s="49" t="s">
        <v>1</v>
      </c>
      <c r="BG169" s="50" t="s">
        <v>132</v>
      </c>
      <c r="BH169" s="49"/>
      <c r="BI169" s="50"/>
      <c r="BJ169" s="49"/>
      <c r="BK169" s="50"/>
      <c r="BL169" s="49"/>
      <c r="BM169" s="50"/>
      <c r="BN169" s="49"/>
      <c r="BO169" s="50"/>
      <c r="BP169" s="49"/>
      <c r="BQ169" s="50"/>
      <c r="BR169" s="49"/>
      <c r="BS169" s="50"/>
      <c r="BT169" s="49"/>
      <c r="BU169" s="50"/>
      <c r="BV169" s="49"/>
      <c r="BW169" s="50"/>
      <c r="BX169" s="49"/>
      <c r="BY169" s="50"/>
      <c r="BZ169" s="49"/>
      <c r="CA169" s="50"/>
      <c r="CB169" s="49"/>
      <c r="CC169" s="50"/>
    </row>
    <row r="170" spans="1:81" s="120" customFormat="1" ht="14.25" customHeight="1" x14ac:dyDescent="0.25">
      <c r="A170" s="79">
        <v>150599</v>
      </c>
      <c r="B170" s="77" t="s">
        <v>1582</v>
      </c>
      <c r="C170" s="98" t="s">
        <v>1417</v>
      </c>
      <c r="D170" s="90" t="s">
        <v>70</v>
      </c>
      <c r="E170" s="79" t="s">
        <v>14</v>
      </c>
      <c r="F170" s="79" t="s">
        <v>71</v>
      </c>
      <c r="G170" s="78" t="s">
        <v>14</v>
      </c>
      <c r="H170" s="121" t="s">
        <v>14</v>
      </c>
      <c r="I170" s="79" t="s">
        <v>14</v>
      </c>
      <c r="J170" s="122">
        <v>6.8</v>
      </c>
      <c r="K170" s="123">
        <v>1</v>
      </c>
      <c r="L170" s="124">
        <v>0</v>
      </c>
      <c r="M170" s="125">
        <v>0</v>
      </c>
      <c r="N170" s="118">
        <v>98.9</v>
      </c>
      <c r="O170" s="118">
        <v>97.14</v>
      </c>
      <c r="P170" s="119">
        <v>0</v>
      </c>
      <c r="Q170" s="87">
        <f t="shared" si="23"/>
        <v>2</v>
      </c>
      <c r="R170" s="88">
        <f t="shared" si="24"/>
        <v>2</v>
      </c>
      <c r="S170" s="89">
        <f t="shared" si="25"/>
        <v>0</v>
      </c>
      <c r="T170" s="89">
        <f t="shared" si="26"/>
        <v>0</v>
      </c>
      <c r="U170" s="89">
        <f t="shared" si="27"/>
        <v>0</v>
      </c>
      <c r="V170" s="89">
        <f t="shared" si="28"/>
        <v>0</v>
      </c>
      <c r="W170" s="89">
        <f t="shared" si="29"/>
        <v>0</v>
      </c>
      <c r="X170" s="89">
        <f t="shared" si="30"/>
        <v>0</v>
      </c>
      <c r="Y170" s="89">
        <f t="shared" si="31"/>
        <v>0</v>
      </c>
      <c r="Z170" s="89">
        <f t="shared" si="32"/>
        <v>0</v>
      </c>
      <c r="AA170" s="41">
        <f t="shared" si="33"/>
        <v>0</v>
      </c>
      <c r="AB170" s="49"/>
      <c r="AC170" s="50"/>
      <c r="AD170" s="49"/>
      <c r="AE170" s="50"/>
      <c r="AF170" s="49"/>
      <c r="AG170" s="50"/>
      <c r="AH170" s="49"/>
      <c r="AI170" s="50"/>
      <c r="AJ170" s="49"/>
      <c r="AK170" s="50"/>
      <c r="AL170" s="49"/>
      <c r="AM170" s="50"/>
      <c r="AN170" s="49" t="s">
        <v>1</v>
      </c>
      <c r="AO170" s="50" t="s">
        <v>1406</v>
      </c>
      <c r="AP170" s="49"/>
      <c r="AQ170" s="50"/>
      <c r="AR170" s="49"/>
      <c r="AS170" s="50"/>
      <c r="AT170" s="49" t="s">
        <v>5</v>
      </c>
      <c r="AU170" s="50" t="s">
        <v>448</v>
      </c>
      <c r="AV170" s="49" t="s">
        <v>5</v>
      </c>
      <c r="AW170" s="50" t="s">
        <v>425</v>
      </c>
      <c r="AX170" s="49"/>
      <c r="AY170" s="50"/>
      <c r="AZ170" s="49"/>
      <c r="BA170" s="50"/>
      <c r="BB170" s="49"/>
      <c r="BC170" s="50"/>
      <c r="BD170" s="49"/>
      <c r="BE170" s="50"/>
      <c r="BF170" s="49"/>
      <c r="BG170" s="50"/>
      <c r="BH170" s="49"/>
      <c r="BI170" s="50"/>
      <c r="BJ170" s="49"/>
      <c r="BK170" s="50"/>
      <c r="BL170" s="49"/>
      <c r="BM170" s="50"/>
      <c r="BN170" s="49"/>
      <c r="BO170" s="50"/>
      <c r="BP170" s="49"/>
      <c r="BQ170" s="50"/>
      <c r="BR170" s="49"/>
      <c r="BS170" s="50"/>
      <c r="BT170" s="49"/>
      <c r="BU170" s="50"/>
      <c r="BV170" s="49"/>
      <c r="BW170" s="50"/>
      <c r="BX170" s="49"/>
      <c r="BY170" s="50"/>
      <c r="BZ170" s="49" t="s">
        <v>1</v>
      </c>
      <c r="CA170" s="50" t="s">
        <v>462</v>
      </c>
      <c r="CB170" s="49"/>
      <c r="CC170" s="50"/>
    </row>
    <row r="171" spans="1:81" s="120" customFormat="1" ht="14.25" customHeight="1" x14ac:dyDescent="0.25">
      <c r="A171" s="79">
        <v>152217</v>
      </c>
      <c r="B171" s="77" t="s">
        <v>1583</v>
      </c>
      <c r="C171" s="98" t="s">
        <v>1405</v>
      </c>
      <c r="D171" s="90" t="s">
        <v>70</v>
      </c>
      <c r="E171" s="79" t="s">
        <v>14</v>
      </c>
      <c r="F171" s="79" t="s">
        <v>88</v>
      </c>
      <c r="G171" s="78" t="s">
        <v>14</v>
      </c>
      <c r="H171" s="121" t="s">
        <v>14</v>
      </c>
      <c r="I171" s="79" t="s">
        <v>14</v>
      </c>
      <c r="J171" s="122">
        <v>8.1999999999999993</v>
      </c>
      <c r="K171" s="123">
        <v>0</v>
      </c>
      <c r="L171" s="124">
        <v>0</v>
      </c>
      <c r="M171" s="125">
        <v>0</v>
      </c>
      <c r="N171" s="118">
        <v>99.27</v>
      </c>
      <c r="O171" s="118">
        <v>97.56</v>
      </c>
      <c r="P171" s="119">
        <v>0</v>
      </c>
      <c r="Q171" s="87">
        <f t="shared" si="23"/>
        <v>2</v>
      </c>
      <c r="R171" s="88">
        <f t="shared" si="24"/>
        <v>3</v>
      </c>
      <c r="S171" s="89">
        <f t="shared" si="25"/>
        <v>0</v>
      </c>
      <c r="T171" s="89">
        <f t="shared" si="26"/>
        <v>0</v>
      </c>
      <c r="U171" s="89">
        <f t="shared" si="27"/>
        <v>0</v>
      </c>
      <c r="V171" s="89">
        <f t="shared" si="28"/>
        <v>0</v>
      </c>
      <c r="W171" s="89">
        <f t="shared" si="29"/>
        <v>0</v>
      </c>
      <c r="X171" s="89">
        <f t="shared" si="30"/>
        <v>0</v>
      </c>
      <c r="Y171" s="89">
        <f t="shared" si="31"/>
        <v>0</v>
      </c>
      <c r="Z171" s="89">
        <f t="shared" si="32"/>
        <v>0</v>
      </c>
      <c r="AA171" s="41">
        <f t="shared" si="33"/>
        <v>0</v>
      </c>
      <c r="AB171" s="49"/>
      <c r="AC171" s="50"/>
      <c r="AD171" s="49"/>
      <c r="AE171" s="50"/>
      <c r="AF171" s="49"/>
      <c r="AG171" s="50"/>
      <c r="AH171" s="49"/>
      <c r="AI171" s="50"/>
      <c r="AJ171" s="49"/>
      <c r="AK171" s="50"/>
      <c r="AL171" s="49"/>
      <c r="AM171" s="50"/>
      <c r="AN171" s="49"/>
      <c r="AO171" s="50"/>
      <c r="AP171" s="49" t="s">
        <v>5</v>
      </c>
      <c r="AQ171" s="50" t="s">
        <v>428</v>
      </c>
      <c r="AR171" s="49"/>
      <c r="AS171" s="50"/>
      <c r="AT171" s="49"/>
      <c r="AU171" s="50"/>
      <c r="AV171" s="49" t="s">
        <v>1</v>
      </c>
      <c r="AW171" s="50" t="s">
        <v>476</v>
      </c>
      <c r="AX171" s="49"/>
      <c r="AY171" s="50"/>
      <c r="AZ171" s="49" t="s">
        <v>1</v>
      </c>
      <c r="BA171" s="50" t="s">
        <v>422</v>
      </c>
      <c r="BB171" s="49"/>
      <c r="BC171" s="50"/>
      <c r="BD171" s="49"/>
      <c r="BE171" s="50"/>
      <c r="BF171" s="49"/>
      <c r="BG171" s="50"/>
      <c r="BH171" s="49" t="s">
        <v>5</v>
      </c>
      <c r="BI171" s="50" t="s">
        <v>139</v>
      </c>
      <c r="BJ171" s="49"/>
      <c r="BK171" s="50"/>
      <c r="BL171" s="49"/>
      <c r="BM171" s="50"/>
      <c r="BN171" s="49"/>
      <c r="BO171" s="50"/>
      <c r="BP171" s="49"/>
      <c r="BQ171" s="50"/>
      <c r="BR171" s="49"/>
      <c r="BS171" s="50"/>
      <c r="BT171" s="49" t="s">
        <v>5</v>
      </c>
      <c r="BU171" s="50" t="s">
        <v>109</v>
      </c>
      <c r="BV171" s="49"/>
      <c r="BW171" s="50"/>
      <c r="BX171" s="49"/>
      <c r="BY171" s="50"/>
      <c r="BZ171" s="49"/>
      <c r="CA171" s="50"/>
      <c r="CB171" s="49"/>
      <c r="CC171" s="50"/>
    </row>
    <row r="172" spans="1:81" s="120" customFormat="1" ht="14.25" customHeight="1" x14ac:dyDescent="0.25">
      <c r="A172" s="79">
        <v>150562</v>
      </c>
      <c r="B172" s="77" t="s">
        <v>1584</v>
      </c>
      <c r="C172" s="98" t="s">
        <v>1435</v>
      </c>
      <c r="D172" s="90" t="s">
        <v>12</v>
      </c>
      <c r="E172" s="79" t="s">
        <v>14</v>
      </c>
      <c r="F172" s="79" t="s">
        <v>71</v>
      </c>
      <c r="G172" s="78" t="s">
        <v>14</v>
      </c>
      <c r="H172" s="121" t="s">
        <v>14</v>
      </c>
      <c r="I172" s="79" t="s">
        <v>14</v>
      </c>
      <c r="J172" s="122">
        <v>6.2</v>
      </c>
      <c r="K172" s="123">
        <v>0</v>
      </c>
      <c r="L172" s="124">
        <v>0</v>
      </c>
      <c r="M172" s="125">
        <v>1</v>
      </c>
      <c r="N172" s="118">
        <v>96.4</v>
      </c>
      <c r="O172" s="118">
        <v>97.37</v>
      </c>
      <c r="P172" s="119">
        <v>0</v>
      </c>
      <c r="Q172" s="87">
        <f t="shared" si="23"/>
        <v>0</v>
      </c>
      <c r="R172" s="88">
        <f t="shared" si="24"/>
        <v>4</v>
      </c>
      <c r="S172" s="89">
        <f t="shared" si="25"/>
        <v>0</v>
      </c>
      <c r="T172" s="89">
        <f t="shared" si="26"/>
        <v>0</v>
      </c>
      <c r="U172" s="89">
        <f t="shared" si="27"/>
        <v>0</v>
      </c>
      <c r="V172" s="89">
        <f t="shared" si="28"/>
        <v>0</v>
      </c>
      <c r="W172" s="89">
        <f t="shared" si="29"/>
        <v>0</v>
      </c>
      <c r="X172" s="89">
        <f t="shared" si="30"/>
        <v>0</v>
      </c>
      <c r="Y172" s="89">
        <f t="shared" si="31"/>
        <v>0</v>
      </c>
      <c r="Z172" s="89">
        <f t="shared" si="32"/>
        <v>0</v>
      </c>
      <c r="AA172" s="41">
        <f t="shared" si="33"/>
        <v>0</v>
      </c>
      <c r="AB172" s="49"/>
      <c r="AC172" s="50"/>
      <c r="AD172" s="49"/>
      <c r="AE172" s="50"/>
      <c r="AF172" s="49"/>
      <c r="AG172" s="50"/>
      <c r="AH172" s="49" t="s">
        <v>5</v>
      </c>
      <c r="AI172" s="50" t="s">
        <v>424</v>
      </c>
      <c r="AJ172" s="49"/>
      <c r="AK172" s="50"/>
      <c r="AL172" s="49"/>
      <c r="AM172" s="50"/>
      <c r="AN172" s="49"/>
      <c r="AO172" s="50"/>
      <c r="AP172" s="49"/>
      <c r="AQ172" s="50"/>
      <c r="AR172" s="49"/>
      <c r="AS172" s="50"/>
      <c r="AT172" s="49"/>
      <c r="AU172" s="50"/>
      <c r="AV172" s="49" t="s">
        <v>5</v>
      </c>
      <c r="AW172" s="50" t="s">
        <v>476</v>
      </c>
      <c r="AX172" s="49"/>
      <c r="AY172" s="50"/>
      <c r="AZ172" s="49"/>
      <c r="BA172" s="50"/>
      <c r="BB172" s="49"/>
      <c r="BC172" s="50"/>
      <c r="BD172" s="49"/>
      <c r="BE172" s="50"/>
      <c r="BF172" s="49"/>
      <c r="BG172" s="50"/>
      <c r="BH172" s="49" t="s">
        <v>5</v>
      </c>
      <c r="BI172" s="50" t="s">
        <v>139</v>
      </c>
      <c r="BJ172" s="49"/>
      <c r="BK172" s="50"/>
      <c r="BL172" s="49"/>
      <c r="BM172" s="50"/>
      <c r="BN172" s="49"/>
      <c r="BO172" s="50"/>
      <c r="BP172" s="49"/>
      <c r="BQ172" s="50"/>
      <c r="BR172" s="49"/>
      <c r="BS172" s="50"/>
      <c r="BT172" s="49" t="s">
        <v>5</v>
      </c>
      <c r="BU172" s="50" t="s">
        <v>109</v>
      </c>
      <c r="BV172" s="49"/>
      <c r="BW172" s="50"/>
      <c r="BX172" s="49"/>
      <c r="BY172" s="50"/>
      <c r="BZ172" s="49"/>
      <c r="CA172" s="50"/>
      <c r="CB172" s="49"/>
      <c r="CC172" s="50"/>
    </row>
    <row r="173" spans="1:81" s="120" customFormat="1" ht="14.25" customHeight="1" x14ac:dyDescent="0.25">
      <c r="A173" s="79">
        <v>152147</v>
      </c>
      <c r="B173" s="77" t="s">
        <v>1585</v>
      </c>
      <c r="C173" s="98" t="s">
        <v>1417</v>
      </c>
      <c r="D173" s="90" t="s">
        <v>70</v>
      </c>
      <c r="E173" s="79" t="s">
        <v>14</v>
      </c>
      <c r="F173" s="79" t="s">
        <v>71</v>
      </c>
      <c r="G173" s="78" t="s">
        <v>14</v>
      </c>
      <c r="H173" s="121" t="s">
        <v>14</v>
      </c>
      <c r="I173" s="79" t="s">
        <v>14</v>
      </c>
      <c r="J173" s="122">
        <v>6.8</v>
      </c>
      <c r="K173" s="123">
        <v>0</v>
      </c>
      <c r="L173" s="124">
        <v>0</v>
      </c>
      <c r="M173" s="125">
        <v>0</v>
      </c>
      <c r="N173" s="118">
        <v>89.91</v>
      </c>
      <c r="O173" s="118">
        <v>91.67</v>
      </c>
      <c r="P173" s="119">
        <v>1</v>
      </c>
      <c r="Q173" s="87">
        <f t="shared" si="23"/>
        <v>0</v>
      </c>
      <c r="R173" s="88">
        <f t="shared" si="24"/>
        <v>4</v>
      </c>
      <c r="S173" s="89">
        <f t="shared" si="25"/>
        <v>0</v>
      </c>
      <c r="T173" s="89">
        <f t="shared" si="26"/>
        <v>0</v>
      </c>
      <c r="U173" s="89">
        <f t="shared" si="27"/>
        <v>0</v>
      </c>
      <c r="V173" s="89">
        <f t="shared" si="28"/>
        <v>0</v>
      </c>
      <c r="W173" s="89">
        <f t="shared" si="29"/>
        <v>0</v>
      </c>
      <c r="X173" s="89">
        <f t="shared" si="30"/>
        <v>0</v>
      </c>
      <c r="Y173" s="89">
        <f t="shared" si="31"/>
        <v>0</v>
      </c>
      <c r="Z173" s="89">
        <f t="shared" si="32"/>
        <v>0</v>
      </c>
      <c r="AA173" s="41">
        <f t="shared" si="33"/>
        <v>0</v>
      </c>
      <c r="AB173" s="49"/>
      <c r="AC173" s="50"/>
      <c r="AD173" s="49"/>
      <c r="AE173" s="50"/>
      <c r="AF173" s="49"/>
      <c r="AG173" s="50"/>
      <c r="AH173" s="49"/>
      <c r="AI173" s="50"/>
      <c r="AJ173" s="49"/>
      <c r="AK173" s="50"/>
      <c r="AL173" s="49"/>
      <c r="AM173" s="50"/>
      <c r="AN173" s="49"/>
      <c r="AO173" s="50"/>
      <c r="AP173" s="49"/>
      <c r="AQ173" s="50"/>
      <c r="AR173" s="49"/>
      <c r="AS173" s="50"/>
      <c r="AT173" s="49"/>
      <c r="AU173" s="50"/>
      <c r="AV173" s="49" t="s">
        <v>5</v>
      </c>
      <c r="AW173" s="50" t="s">
        <v>425</v>
      </c>
      <c r="AX173" s="49"/>
      <c r="AY173" s="50"/>
      <c r="AZ173" s="49"/>
      <c r="BA173" s="50"/>
      <c r="BB173" s="49"/>
      <c r="BC173" s="50"/>
      <c r="BD173" s="49" t="s">
        <v>5</v>
      </c>
      <c r="BE173" s="50" t="s">
        <v>436</v>
      </c>
      <c r="BF173" s="49" t="s">
        <v>5</v>
      </c>
      <c r="BG173" s="50" t="s">
        <v>77</v>
      </c>
      <c r="BH173" s="49"/>
      <c r="BI173" s="50"/>
      <c r="BJ173" s="49"/>
      <c r="BK173" s="50"/>
      <c r="BL173" s="49"/>
      <c r="BM173" s="50"/>
      <c r="BN173" s="49"/>
      <c r="BO173" s="50"/>
      <c r="BP173" s="49"/>
      <c r="BQ173" s="50"/>
      <c r="BR173" s="49"/>
      <c r="BS173" s="50"/>
      <c r="BT173" s="49"/>
      <c r="BU173" s="50"/>
      <c r="BV173" s="49" t="s">
        <v>5</v>
      </c>
      <c r="BW173" s="50" t="s">
        <v>93</v>
      </c>
      <c r="BX173" s="49"/>
      <c r="BY173" s="50"/>
      <c r="BZ173" s="49"/>
      <c r="CA173" s="50"/>
      <c r="CB173" s="49"/>
      <c r="CC173" s="50"/>
    </row>
    <row r="174" spans="1:81" s="120" customFormat="1" ht="14.25" customHeight="1" x14ac:dyDescent="0.25">
      <c r="A174" s="79">
        <v>152192</v>
      </c>
      <c r="B174" s="77" t="s">
        <v>1586</v>
      </c>
      <c r="C174" s="98" t="s">
        <v>1410</v>
      </c>
      <c r="D174" s="90" t="s">
        <v>12</v>
      </c>
      <c r="E174" s="79" t="s">
        <v>14</v>
      </c>
      <c r="F174" s="79" t="s">
        <v>115</v>
      </c>
      <c r="G174" s="78" t="s">
        <v>14</v>
      </c>
      <c r="H174" s="121" t="s">
        <v>14</v>
      </c>
      <c r="I174" s="79" t="s">
        <v>14</v>
      </c>
      <c r="J174" s="122">
        <v>5.3</v>
      </c>
      <c r="K174" s="123">
        <v>2</v>
      </c>
      <c r="L174" s="124">
        <v>0</v>
      </c>
      <c r="M174" s="125">
        <v>0</v>
      </c>
      <c r="N174" s="118">
        <v>98.1</v>
      </c>
      <c r="O174" s="118">
        <v>100</v>
      </c>
      <c r="P174" s="119">
        <v>1</v>
      </c>
      <c r="Q174" s="87">
        <f t="shared" si="23"/>
        <v>1</v>
      </c>
      <c r="R174" s="88">
        <f t="shared" si="24"/>
        <v>2</v>
      </c>
      <c r="S174" s="89">
        <f t="shared" si="25"/>
        <v>0</v>
      </c>
      <c r="T174" s="89">
        <f t="shared" si="26"/>
        <v>0</v>
      </c>
      <c r="U174" s="89">
        <f t="shared" si="27"/>
        <v>1</v>
      </c>
      <c r="V174" s="89">
        <f t="shared" si="28"/>
        <v>1</v>
      </c>
      <c r="W174" s="89">
        <f t="shared" si="29"/>
        <v>0</v>
      </c>
      <c r="X174" s="89">
        <f t="shared" si="30"/>
        <v>0</v>
      </c>
      <c r="Y174" s="89">
        <f t="shared" si="31"/>
        <v>0</v>
      </c>
      <c r="Z174" s="89">
        <f t="shared" si="32"/>
        <v>0</v>
      </c>
      <c r="AA174" s="41">
        <f t="shared" si="33"/>
        <v>0</v>
      </c>
      <c r="AB174" s="49"/>
      <c r="AC174" s="50"/>
      <c r="AD174" s="49"/>
      <c r="AE174" s="50"/>
      <c r="AF174" s="49" t="s">
        <v>5</v>
      </c>
      <c r="AG174" s="50" t="s">
        <v>427</v>
      </c>
      <c r="AH174" s="49"/>
      <c r="AI174" s="50"/>
      <c r="AJ174" s="49"/>
      <c r="AK174" s="50"/>
      <c r="AL174" s="49"/>
      <c r="AM174" s="50"/>
      <c r="AN174" s="49"/>
      <c r="AO174" s="50"/>
      <c r="AP174" s="49" t="s">
        <v>5</v>
      </c>
      <c r="AQ174" s="50" t="s">
        <v>428</v>
      </c>
      <c r="AR174" s="49"/>
      <c r="AS174" s="50"/>
      <c r="AT174" s="49"/>
      <c r="AU174" s="50"/>
      <c r="AV174" s="49" t="s">
        <v>1</v>
      </c>
      <c r="AW174" s="50" t="s">
        <v>476</v>
      </c>
      <c r="AX174" s="49"/>
      <c r="AY174" s="50"/>
      <c r="AZ174" s="49"/>
      <c r="BA174" s="50"/>
      <c r="BB174" s="49"/>
      <c r="BC174" s="50"/>
      <c r="BD174" s="49"/>
      <c r="BE174" s="50"/>
      <c r="BF174" s="49"/>
      <c r="BG174" s="50"/>
      <c r="BH174" s="49"/>
      <c r="BI174" s="50"/>
      <c r="BJ174" s="49"/>
      <c r="BK174" s="50"/>
      <c r="BL174" s="49"/>
      <c r="BM174" s="50"/>
      <c r="BN174" s="49"/>
      <c r="BO174" s="50"/>
      <c r="BP174" s="49"/>
      <c r="BQ174" s="50"/>
      <c r="BR174" s="49"/>
      <c r="BS174" s="50"/>
      <c r="BT174" s="49"/>
      <c r="BU174" s="50"/>
      <c r="BV174" s="49"/>
      <c r="BW174" s="50"/>
      <c r="BX174" s="49" t="s">
        <v>32</v>
      </c>
      <c r="BY174" s="50" t="s">
        <v>425</v>
      </c>
      <c r="BZ174" s="49"/>
      <c r="CA174" s="50"/>
      <c r="CB174" s="49"/>
      <c r="CC174" s="50"/>
    </row>
    <row r="175" spans="1:81" s="120" customFormat="1" ht="14.25" customHeight="1" x14ac:dyDescent="0.25">
      <c r="A175" s="79">
        <v>150586</v>
      </c>
      <c r="B175" s="77" t="s">
        <v>1587</v>
      </c>
      <c r="C175" s="98" t="s">
        <v>1419</v>
      </c>
      <c r="D175" s="90" t="s">
        <v>70</v>
      </c>
      <c r="E175" s="79" t="s">
        <v>87</v>
      </c>
      <c r="F175" s="79" t="s">
        <v>71</v>
      </c>
      <c r="G175" s="78" t="s">
        <v>14</v>
      </c>
      <c r="H175" s="121" t="s">
        <v>14</v>
      </c>
      <c r="I175" s="79" t="s">
        <v>14</v>
      </c>
      <c r="J175" s="122">
        <v>4.4000000000000004</v>
      </c>
      <c r="K175" s="123">
        <v>0</v>
      </c>
      <c r="L175" s="124">
        <v>0</v>
      </c>
      <c r="M175" s="125">
        <v>1</v>
      </c>
      <c r="N175" s="118">
        <v>86.54</v>
      </c>
      <c r="O175" s="118">
        <v>86.11</v>
      </c>
      <c r="P175" s="119">
        <v>13</v>
      </c>
      <c r="Q175" s="87">
        <f t="shared" si="23"/>
        <v>0</v>
      </c>
      <c r="R175" s="88">
        <f t="shared" si="24"/>
        <v>0</v>
      </c>
      <c r="S175" s="89">
        <f t="shared" si="25"/>
        <v>4</v>
      </c>
      <c r="T175" s="89">
        <f t="shared" si="26"/>
        <v>0</v>
      </c>
      <c r="U175" s="89">
        <f t="shared" si="27"/>
        <v>1</v>
      </c>
      <c r="V175" s="89">
        <f t="shared" si="28"/>
        <v>5</v>
      </c>
      <c r="W175" s="89">
        <f t="shared" si="29"/>
        <v>0</v>
      </c>
      <c r="X175" s="89">
        <f t="shared" si="30"/>
        <v>0</v>
      </c>
      <c r="Y175" s="89">
        <f t="shared" si="31"/>
        <v>0</v>
      </c>
      <c r="Z175" s="89">
        <f t="shared" si="32"/>
        <v>0</v>
      </c>
      <c r="AA175" s="41">
        <f t="shared" si="33"/>
        <v>0</v>
      </c>
      <c r="AB175" s="49"/>
      <c r="AC175" s="50"/>
      <c r="AD175" s="49"/>
      <c r="AE175" s="50"/>
      <c r="AF175" s="49"/>
      <c r="AG175" s="50"/>
      <c r="AH175" s="49"/>
      <c r="AI175" s="50"/>
      <c r="AJ175" s="49"/>
      <c r="AK175" s="50"/>
      <c r="AL175" s="49"/>
      <c r="AM175" s="50"/>
      <c r="AN175" s="49"/>
      <c r="AO175" s="50"/>
      <c r="AP175" s="49"/>
      <c r="AQ175" s="50"/>
      <c r="AR175" s="49"/>
      <c r="AS175" s="50"/>
      <c r="AT175" s="49"/>
      <c r="AU175" s="50"/>
      <c r="AV175" s="49" t="s">
        <v>32</v>
      </c>
      <c r="AW175" s="50" t="s">
        <v>82</v>
      </c>
      <c r="AX175" s="49"/>
      <c r="AY175" s="50"/>
      <c r="AZ175" s="49"/>
      <c r="BA175" s="50"/>
      <c r="BB175" s="49"/>
      <c r="BC175" s="50"/>
      <c r="BD175" s="49"/>
      <c r="BE175" s="50"/>
      <c r="BF175" s="49"/>
      <c r="BG175" s="50"/>
      <c r="BH175" s="49"/>
      <c r="BI175" s="50"/>
      <c r="BJ175" s="49"/>
      <c r="BK175" s="50"/>
      <c r="BL175" s="49"/>
      <c r="BM175" s="50"/>
      <c r="BN175" s="49" t="s">
        <v>30</v>
      </c>
      <c r="BO175" s="50" t="s">
        <v>602</v>
      </c>
      <c r="BP175" s="49" t="s">
        <v>30</v>
      </c>
      <c r="BQ175" s="50"/>
      <c r="BR175" s="49"/>
      <c r="BS175" s="50"/>
      <c r="BT175" s="49"/>
      <c r="BU175" s="50"/>
      <c r="BV175" s="49" t="s">
        <v>30</v>
      </c>
      <c r="BW175" s="50" t="s">
        <v>93</v>
      </c>
      <c r="BX175" s="49" t="s">
        <v>30</v>
      </c>
      <c r="BY175" s="50" t="s">
        <v>425</v>
      </c>
      <c r="BZ175" s="49"/>
      <c r="CA175" s="50"/>
      <c r="CB175" s="49"/>
      <c r="CC175" s="50"/>
    </row>
    <row r="176" spans="1:81" s="120" customFormat="1" ht="14.25" customHeight="1" x14ac:dyDescent="0.25">
      <c r="A176" s="79">
        <v>150403</v>
      </c>
      <c r="B176" s="77" t="s">
        <v>1588</v>
      </c>
      <c r="C176" s="98" t="s">
        <v>1405</v>
      </c>
      <c r="D176" s="90" t="s">
        <v>12</v>
      </c>
      <c r="E176" s="79" t="s">
        <v>14</v>
      </c>
      <c r="F176" s="79" t="s">
        <v>71</v>
      </c>
      <c r="G176" s="78" t="s">
        <v>14</v>
      </c>
      <c r="H176" s="121" t="s">
        <v>14</v>
      </c>
      <c r="I176" s="79" t="s">
        <v>14</v>
      </c>
      <c r="J176" s="122">
        <v>7.2</v>
      </c>
      <c r="K176" s="123">
        <v>0</v>
      </c>
      <c r="L176" s="124">
        <v>0</v>
      </c>
      <c r="M176" s="125">
        <v>0</v>
      </c>
      <c r="N176" s="118">
        <v>100</v>
      </c>
      <c r="O176" s="118">
        <v>100</v>
      </c>
      <c r="P176" s="119">
        <v>1</v>
      </c>
      <c r="Q176" s="87">
        <f t="shared" si="23"/>
        <v>3</v>
      </c>
      <c r="R176" s="88">
        <f t="shared" si="24"/>
        <v>1</v>
      </c>
      <c r="S176" s="89">
        <f t="shared" si="25"/>
        <v>0</v>
      </c>
      <c r="T176" s="89">
        <f t="shared" si="26"/>
        <v>0</v>
      </c>
      <c r="U176" s="89">
        <f t="shared" si="27"/>
        <v>0</v>
      </c>
      <c r="V176" s="89">
        <f t="shared" si="28"/>
        <v>0</v>
      </c>
      <c r="W176" s="89">
        <f t="shared" si="29"/>
        <v>0</v>
      </c>
      <c r="X176" s="89">
        <f t="shared" si="30"/>
        <v>0</v>
      </c>
      <c r="Y176" s="89">
        <f t="shared" si="31"/>
        <v>0</v>
      </c>
      <c r="Z176" s="89">
        <f t="shared" si="32"/>
        <v>0</v>
      </c>
      <c r="AA176" s="41">
        <f t="shared" si="33"/>
        <v>0</v>
      </c>
      <c r="AB176" s="49"/>
      <c r="AC176" s="50"/>
      <c r="AD176" s="49"/>
      <c r="AE176" s="50"/>
      <c r="AF176" s="49"/>
      <c r="AG176" s="50"/>
      <c r="AH176" s="49"/>
      <c r="AI176" s="50"/>
      <c r="AJ176" s="49" t="s">
        <v>1</v>
      </c>
      <c r="AK176" s="50" t="s">
        <v>163</v>
      </c>
      <c r="AL176" s="49"/>
      <c r="AM176" s="50"/>
      <c r="AN176" s="49"/>
      <c r="AO176" s="50"/>
      <c r="AP176" s="49"/>
      <c r="AQ176" s="50"/>
      <c r="AR176" s="49"/>
      <c r="AS176" s="50"/>
      <c r="AT176" s="49"/>
      <c r="AU176" s="50"/>
      <c r="AV176" s="49" t="s">
        <v>1</v>
      </c>
      <c r="AW176" s="50" t="s">
        <v>715</v>
      </c>
      <c r="AX176" s="49"/>
      <c r="AY176" s="50"/>
      <c r="AZ176" s="49" t="s">
        <v>1</v>
      </c>
      <c r="BA176" s="50" t="s">
        <v>422</v>
      </c>
      <c r="BB176" s="49"/>
      <c r="BC176" s="50"/>
      <c r="BD176" s="49"/>
      <c r="BE176" s="50"/>
      <c r="BF176" s="49"/>
      <c r="BG176" s="50"/>
      <c r="BH176" s="49" t="s">
        <v>5</v>
      </c>
      <c r="BI176" s="50" t="s">
        <v>139</v>
      </c>
      <c r="BJ176" s="49"/>
      <c r="BK176" s="50"/>
      <c r="BL176" s="49"/>
      <c r="BM176" s="50"/>
      <c r="BN176" s="49"/>
      <c r="BO176" s="50"/>
      <c r="BP176" s="49"/>
      <c r="BQ176" s="50"/>
      <c r="BR176" s="49"/>
      <c r="BS176" s="50"/>
      <c r="BT176" s="49"/>
      <c r="BU176" s="50"/>
      <c r="BV176" s="49"/>
      <c r="BW176" s="50"/>
      <c r="BX176" s="49"/>
      <c r="BY176" s="50"/>
      <c r="BZ176" s="49"/>
      <c r="CA176" s="50"/>
      <c r="CB176" s="49"/>
      <c r="CC176" s="50"/>
    </row>
    <row r="177" spans="1:81" s="120" customFormat="1" ht="14.25" customHeight="1" x14ac:dyDescent="0.25">
      <c r="A177" s="79">
        <v>150443</v>
      </c>
      <c r="B177" s="77" t="s">
        <v>1589</v>
      </c>
      <c r="C177" s="98" t="s">
        <v>1414</v>
      </c>
      <c r="D177" s="90" t="s">
        <v>70</v>
      </c>
      <c r="E177" s="79" t="s">
        <v>14</v>
      </c>
      <c r="F177" s="79" t="s">
        <v>1094</v>
      </c>
      <c r="G177" s="78" t="s">
        <v>14</v>
      </c>
      <c r="H177" s="121" t="s">
        <v>14</v>
      </c>
      <c r="I177" s="79" t="s">
        <v>14</v>
      </c>
      <c r="J177" s="122">
        <v>7.2</v>
      </c>
      <c r="K177" s="123">
        <v>0</v>
      </c>
      <c r="L177" s="124">
        <v>0</v>
      </c>
      <c r="M177" s="125">
        <v>0</v>
      </c>
      <c r="N177" s="118">
        <v>95.83</v>
      </c>
      <c r="O177" s="118">
        <v>93.55</v>
      </c>
      <c r="P177" s="119">
        <v>0</v>
      </c>
      <c r="Q177" s="87">
        <f t="shared" si="23"/>
        <v>4</v>
      </c>
      <c r="R177" s="88">
        <f t="shared" si="24"/>
        <v>1</v>
      </c>
      <c r="S177" s="89">
        <f t="shared" si="25"/>
        <v>0</v>
      </c>
      <c r="T177" s="89">
        <f t="shared" si="26"/>
        <v>0</v>
      </c>
      <c r="U177" s="89">
        <f t="shared" si="27"/>
        <v>0</v>
      </c>
      <c r="V177" s="89">
        <f t="shared" si="28"/>
        <v>0</v>
      </c>
      <c r="W177" s="89">
        <f t="shared" si="29"/>
        <v>0</v>
      </c>
      <c r="X177" s="89">
        <f t="shared" si="30"/>
        <v>0</v>
      </c>
      <c r="Y177" s="89">
        <f t="shared" si="31"/>
        <v>0</v>
      </c>
      <c r="Z177" s="89">
        <f t="shared" si="32"/>
        <v>0</v>
      </c>
      <c r="AA177" s="41">
        <f t="shared" si="33"/>
        <v>0</v>
      </c>
      <c r="AB177" s="49"/>
      <c r="AC177" s="50"/>
      <c r="AD177" s="49"/>
      <c r="AE177" s="50"/>
      <c r="AF177" s="49"/>
      <c r="AG177" s="50"/>
      <c r="AH177" s="49"/>
      <c r="AI177" s="50"/>
      <c r="AJ177" s="49"/>
      <c r="AK177" s="50"/>
      <c r="AL177" s="49"/>
      <c r="AM177" s="50"/>
      <c r="AN177" s="49"/>
      <c r="AO177" s="50"/>
      <c r="AP177" s="49"/>
      <c r="AQ177" s="50"/>
      <c r="AR177" s="49"/>
      <c r="AS177" s="50"/>
      <c r="AT177" s="49"/>
      <c r="AU177" s="50"/>
      <c r="AV177" s="49" t="s">
        <v>1</v>
      </c>
      <c r="AW177" s="50" t="s">
        <v>131</v>
      </c>
      <c r="AX177" s="49"/>
      <c r="AY177" s="50"/>
      <c r="AZ177" s="49"/>
      <c r="BA177" s="50"/>
      <c r="BB177" s="49"/>
      <c r="BC177" s="50"/>
      <c r="BD177" s="49"/>
      <c r="BE177" s="50"/>
      <c r="BF177" s="49" t="s">
        <v>1</v>
      </c>
      <c r="BG177" s="50" t="s">
        <v>77</v>
      </c>
      <c r="BH177" s="49"/>
      <c r="BI177" s="50"/>
      <c r="BJ177" s="49"/>
      <c r="BK177" s="50"/>
      <c r="BL177" s="49"/>
      <c r="BM177" s="50"/>
      <c r="BN177" s="49" t="s">
        <v>1</v>
      </c>
      <c r="BO177" s="50" t="s">
        <v>602</v>
      </c>
      <c r="BP177" s="49" t="s">
        <v>1</v>
      </c>
      <c r="BQ177" s="50"/>
      <c r="BR177" s="49"/>
      <c r="BS177" s="50"/>
      <c r="BT177" s="49"/>
      <c r="BU177" s="50"/>
      <c r="BV177" s="49" t="s">
        <v>5</v>
      </c>
      <c r="BW177" s="50" t="s">
        <v>93</v>
      </c>
      <c r="BX177" s="49"/>
      <c r="BY177" s="50"/>
      <c r="BZ177" s="49"/>
      <c r="CA177" s="50"/>
      <c r="CB177" s="49"/>
      <c r="CC177" s="50"/>
    </row>
    <row r="178" spans="1:81" s="120" customFormat="1" ht="14.25" customHeight="1" x14ac:dyDescent="0.25">
      <c r="A178" s="79">
        <v>150419</v>
      </c>
      <c r="B178" s="77" t="s">
        <v>1590</v>
      </c>
      <c r="C178" s="98" t="s">
        <v>1421</v>
      </c>
      <c r="D178" s="90" t="s">
        <v>12</v>
      </c>
      <c r="E178" s="79" t="s">
        <v>14</v>
      </c>
      <c r="F178" s="79" t="s">
        <v>71</v>
      </c>
      <c r="G178" s="78" t="s">
        <v>14</v>
      </c>
      <c r="H178" s="121" t="s">
        <v>14</v>
      </c>
      <c r="I178" s="79" t="s">
        <v>14</v>
      </c>
      <c r="J178" s="122">
        <v>6.4</v>
      </c>
      <c r="K178" s="123">
        <v>0</v>
      </c>
      <c r="L178" s="124">
        <v>0</v>
      </c>
      <c r="M178" s="125">
        <v>0</v>
      </c>
      <c r="N178" s="118">
        <v>91.82</v>
      </c>
      <c r="O178" s="118">
        <v>87.5</v>
      </c>
      <c r="P178" s="119">
        <v>2</v>
      </c>
      <c r="Q178" s="87">
        <f t="shared" si="23"/>
        <v>0</v>
      </c>
      <c r="R178" s="88">
        <f t="shared" si="24"/>
        <v>2</v>
      </c>
      <c r="S178" s="89">
        <f t="shared" si="25"/>
        <v>2</v>
      </c>
      <c r="T178" s="89">
        <f t="shared" si="26"/>
        <v>0</v>
      </c>
      <c r="U178" s="89">
        <f t="shared" si="27"/>
        <v>0</v>
      </c>
      <c r="V178" s="89">
        <f t="shared" si="28"/>
        <v>2</v>
      </c>
      <c r="W178" s="89">
        <f t="shared" si="29"/>
        <v>0</v>
      </c>
      <c r="X178" s="89">
        <f t="shared" si="30"/>
        <v>0</v>
      </c>
      <c r="Y178" s="89">
        <f t="shared" si="31"/>
        <v>0</v>
      </c>
      <c r="Z178" s="89">
        <f t="shared" si="32"/>
        <v>0</v>
      </c>
      <c r="AA178" s="41">
        <f t="shared" si="33"/>
        <v>0</v>
      </c>
      <c r="AB178" s="49"/>
      <c r="AC178" s="50"/>
      <c r="AD178" s="49" t="s">
        <v>30</v>
      </c>
      <c r="AE178" s="50" t="s">
        <v>433</v>
      </c>
      <c r="AF178" s="49"/>
      <c r="AG178" s="50"/>
      <c r="AH178" s="49"/>
      <c r="AI178" s="50"/>
      <c r="AJ178" s="49"/>
      <c r="AK178" s="50"/>
      <c r="AL178" s="49"/>
      <c r="AM178" s="50"/>
      <c r="AN178" s="49"/>
      <c r="AO178" s="50"/>
      <c r="AP178" s="49"/>
      <c r="AQ178" s="50"/>
      <c r="AR178" s="49"/>
      <c r="AS178" s="50"/>
      <c r="AT178" s="49"/>
      <c r="AU178" s="50"/>
      <c r="AV178" s="49" t="s">
        <v>5</v>
      </c>
      <c r="AW178" s="50" t="s">
        <v>151</v>
      </c>
      <c r="AX178" s="49"/>
      <c r="AY178" s="50"/>
      <c r="AZ178" s="49"/>
      <c r="BA178" s="50"/>
      <c r="BB178" s="49"/>
      <c r="BC178" s="50"/>
      <c r="BD178" s="49"/>
      <c r="BE178" s="50"/>
      <c r="BF178" s="49"/>
      <c r="BG178" s="50"/>
      <c r="BH178" s="49"/>
      <c r="BI178" s="50"/>
      <c r="BJ178" s="49"/>
      <c r="BK178" s="50"/>
      <c r="BL178" s="49"/>
      <c r="BM178" s="50"/>
      <c r="BN178" s="49"/>
      <c r="BO178" s="50"/>
      <c r="BP178" s="49"/>
      <c r="BQ178" s="50"/>
      <c r="BR178" s="49" t="s">
        <v>5</v>
      </c>
      <c r="BS178" s="50" t="s">
        <v>81</v>
      </c>
      <c r="BT178" s="49"/>
      <c r="BU178" s="50"/>
      <c r="BV178" s="49"/>
      <c r="BW178" s="50"/>
      <c r="BX178" s="49" t="s">
        <v>30</v>
      </c>
      <c r="BY178" s="50" t="s">
        <v>425</v>
      </c>
      <c r="BZ178" s="49"/>
      <c r="CA178" s="50"/>
      <c r="CB178" s="49"/>
      <c r="CC178" s="50"/>
    </row>
    <row r="179" spans="1:81" s="120" customFormat="1" ht="14.25" customHeight="1" x14ac:dyDescent="0.25">
      <c r="A179" s="79">
        <v>150555</v>
      </c>
      <c r="B179" s="77" t="s">
        <v>1591</v>
      </c>
      <c r="C179" s="98" t="s">
        <v>1417</v>
      </c>
      <c r="D179" s="90" t="s">
        <v>12</v>
      </c>
      <c r="E179" s="79" t="s">
        <v>14</v>
      </c>
      <c r="F179" s="79" t="s">
        <v>508</v>
      </c>
      <c r="G179" s="78" t="s">
        <v>14</v>
      </c>
      <c r="H179" s="121" t="s">
        <v>14</v>
      </c>
      <c r="I179" s="79" t="s">
        <v>14</v>
      </c>
      <c r="J179" s="122">
        <v>8.9</v>
      </c>
      <c r="K179" s="123">
        <v>2</v>
      </c>
      <c r="L179" s="124">
        <v>0</v>
      </c>
      <c r="M179" s="125">
        <v>0</v>
      </c>
      <c r="N179" s="118">
        <v>93.43</v>
      </c>
      <c r="O179" s="118">
        <v>100</v>
      </c>
      <c r="P179" s="119">
        <v>0</v>
      </c>
      <c r="Q179" s="87">
        <f t="shared" si="23"/>
        <v>3</v>
      </c>
      <c r="R179" s="88">
        <f t="shared" si="24"/>
        <v>2</v>
      </c>
      <c r="S179" s="89">
        <f t="shared" si="25"/>
        <v>0</v>
      </c>
      <c r="T179" s="89">
        <f t="shared" si="26"/>
        <v>0</v>
      </c>
      <c r="U179" s="89">
        <f t="shared" si="27"/>
        <v>0</v>
      </c>
      <c r="V179" s="89">
        <f t="shared" si="28"/>
        <v>0</v>
      </c>
      <c r="W179" s="89">
        <f t="shared" si="29"/>
        <v>0</v>
      </c>
      <c r="X179" s="89">
        <f t="shared" si="30"/>
        <v>0</v>
      </c>
      <c r="Y179" s="89">
        <f t="shared" si="31"/>
        <v>0</v>
      </c>
      <c r="Z179" s="89">
        <f t="shared" si="32"/>
        <v>0</v>
      </c>
      <c r="AA179" s="41">
        <f t="shared" si="33"/>
        <v>0</v>
      </c>
      <c r="AB179" s="49"/>
      <c r="AC179" s="50"/>
      <c r="AD179" s="49"/>
      <c r="AE179" s="50"/>
      <c r="AF179" s="49"/>
      <c r="AG179" s="50"/>
      <c r="AH179" s="49"/>
      <c r="AI179" s="50"/>
      <c r="AJ179" s="49"/>
      <c r="AK179" s="50"/>
      <c r="AL179" s="49"/>
      <c r="AM179" s="50"/>
      <c r="AN179" s="49"/>
      <c r="AO179" s="50"/>
      <c r="AP179" s="49"/>
      <c r="AQ179" s="50"/>
      <c r="AR179" s="49"/>
      <c r="AS179" s="50"/>
      <c r="AT179" s="49"/>
      <c r="AU179" s="50"/>
      <c r="AV179" s="49" t="s">
        <v>1</v>
      </c>
      <c r="AW179" s="50" t="s">
        <v>425</v>
      </c>
      <c r="AX179" s="49" t="s">
        <v>5</v>
      </c>
      <c r="AY179" s="50" t="s">
        <v>421</v>
      </c>
      <c r="AZ179" s="49" t="s">
        <v>1</v>
      </c>
      <c r="BA179" s="50" t="s">
        <v>422</v>
      </c>
      <c r="BB179" s="49"/>
      <c r="BC179" s="50"/>
      <c r="BD179" s="49"/>
      <c r="BE179" s="50"/>
      <c r="BF179" s="49" t="s">
        <v>1</v>
      </c>
      <c r="BG179" s="50" t="s">
        <v>77</v>
      </c>
      <c r="BH179" s="49" t="s">
        <v>5</v>
      </c>
      <c r="BI179" s="50" t="s">
        <v>139</v>
      </c>
      <c r="BJ179" s="49"/>
      <c r="BK179" s="50"/>
      <c r="BL179" s="49"/>
      <c r="BM179" s="50"/>
      <c r="BN179" s="49"/>
      <c r="BO179" s="50"/>
      <c r="BP179" s="49"/>
      <c r="BQ179" s="50"/>
      <c r="BR179" s="49"/>
      <c r="BS179" s="50"/>
      <c r="BT179" s="49"/>
      <c r="BU179" s="50"/>
      <c r="BV179" s="49"/>
      <c r="BW179" s="50"/>
      <c r="BX179" s="49"/>
      <c r="BY179" s="50"/>
      <c r="BZ179" s="49"/>
      <c r="CA179" s="50"/>
      <c r="CB179" s="49"/>
      <c r="CC179" s="50"/>
    </row>
    <row r="180" spans="1:81" s="120" customFormat="1" ht="14.25" customHeight="1" x14ac:dyDescent="0.25">
      <c r="A180" s="79">
        <v>152148</v>
      </c>
      <c r="B180" s="77" t="s">
        <v>1592</v>
      </c>
      <c r="C180" s="98" t="s">
        <v>1417</v>
      </c>
      <c r="D180" s="90" t="s">
        <v>12</v>
      </c>
      <c r="E180" s="79" t="s">
        <v>14</v>
      </c>
      <c r="F180" s="79" t="s">
        <v>71</v>
      </c>
      <c r="G180" s="78" t="s">
        <v>14</v>
      </c>
      <c r="H180" s="121" t="s">
        <v>14</v>
      </c>
      <c r="I180" s="79" t="s">
        <v>14</v>
      </c>
      <c r="J180" s="122">
        <v>8</v>
      </c>
      <c r="K180" s="123">
        <v>0</v>
      </c>
      <c r="L180" s="124">
        <v>0</v>
      </c>
      <c r="M180" s="125">
        <v>0</v>
      </c>
      <c r="N180" s="118">
        <v>91.51</v>
      </c>
      <c r="O180" s="118">
        <v>94.44</v>
      </c>
      <c r="P180" s="119">
        <v>0</v>
      </c>
      <c r="Q180" s="87">
        <f t="shared" si="23"/>
        <v>2</v>
      </c>
      <c r="R180" s="88">
        <f t="shared" si="24"/>
        <v>2</v>
      </c>
      <c r="S180" s="89">
        <f t="shared" si="25"/>
        <v>0</v>
      </c>
      <c r="T180" s="89">
        <f t="shared" si="26"/>
        <v>0</v>
      </c>
      <c r="U180" s="89">
        <f t="shared" si="27"/>
        <v>0</v>
      </c>
      <c r="V180" s="89">
        <f t="shared" si="28"/>
        <v>0</v>
      </c>
      <c r="W180" s="89">
        <f t="shared" si="29"/>
        <v>0</v>
      </c>
      <c r="X180" s="89">
        <f t="shared" si="30"/>
        <v>0</v>
      </c>
      <c r="Y180" s="89">
        <f t="shared" si="31"/>
        <v>0</v>
      </c>
      <c r="Z180" s="89">
        <f t="shared" si="32"/>
        <v>0</v>
      </c>
      <c r="AA180" s="41">
        <f t="shared" si="33"/>
        <v>0</v>
      </c>
      <c r="AB180" s="49"/>
      <c r="AC180" s="50"/>
      <c r="AD180" s="49"/>
      <c r="AE180" s="50"/>
      <c r="AF180" s="49"/>
      <c r="AG180" s="50"/>
      <c r="AH180" s="49"/>
      <c r="AI180" s="50"/>
      <c r="AJ180" s="49"/>
      <c r="AK180" s="50"/>
      <c r="AL180" s="49"/>
      <c r="AM180" s="50"/>
      <c r="AN180" s="49"/>
      <c r="AO180" s="50"/>
      <c r="AP180" s="49"/>
      <c r="AQ180" s="50"/>
      <c r="AR180" s="49"/>
      <c r="AS180" s="50"/>
      <c r="AT180" s="49" t="s">
        <v>1</v>
      </c>
      <c r="AU180" s="50" t="s">
        <v>151</v>
      </c>
      <c r="AV180" s="49" t="s">
        <v>5</v>
      </c>
      <c r="AW180" s="50" t="s">
        <v>425</v>
      </c>
      <c r="AX180" s="49"/>
      <c r="AY180" s="50"/>
      <c r="AZ180" s="49"/>
      <c r="BA180" s="50"/>
      <c r="BB180" s="49"/>
      <c r="BC180" s="50"/>
      <c r="BD180" s="49"/>
      <c r="BE180" s="50"/>
      <c r="BF180" s="49" t="s">
        <v>1</v>
      </c>
      <c r="BG180" s="50" t="s">
        <v>77</v>
      </c>
      <c r="BH180" s="49"/>
      <c r="BI180" s="50"/>
      <c r="BJ180" s="49"/>
      <c r="BK180" s="50"/>
      <c r="BL180" s="49"/>
      <c r="BM180" s="50"/>
      <c r="BN180" s="49"/>
      <c r="BO180" s="50"/>
      <c r="BP180" s="49"/>
      <c r="BQ180" s="50"/>
      <c r="BR180" s="49"/>
      <c r="BS180" s="50"/>
      <c r="BT180" s="49"/>
      <c r="BU180" s="50"/>
      <c r="BV180" s="49" t="s">
        <v>5</v>
      </c>
      <c r="BW180" s="50" t="s">
        <v>93</v>
      </c>
      <c r="BX180" s="49"/>
      <c r="BY180" s="50"/>
      <c r="BZ180" s="49"/>
      <c r="CA180" s="50"/>
      <c r="CB180" s="49"/>
      <c r="CC180" s="50"/>
    </row>
    <row r="181" spans="1:81" s="120" customFormat="1" ht="14.25" customHeight="1" x14ac:dyDescent="0.25">
      <c r="A181" s="79">
        <v>150531</v>
      </c>
      <c r="B181" s="77" t="s">
        <v>1593</v>
      </c>
      <c r="C181" s="98" t="s">
        <v>1419</v>
      </c>
      <c r="D181" s="90" t="s">
        <v>12</v>
      </c>
      <c r="E181" s="79" t="s">
        <v>14</v>
      </c>
      <c r="F181" s="79" t="s">
        <v>71</v>
      </c>
      <c r="G181" s="78" t="s">
        <v>14</v>
      </c>
      <c r="H181" s="121" t="s">
        <v>14</v>
      </c>
      <c r="I181" s="79" t="s">
        <v>14</v>
      </c>
      <c r="J181" s="122">
        <v>7</v>
      </c>
      <c r="K181" s="123">
        <v>0</v>
      </c>
      <c r="L181" s="124">
        <v>0</v>
      </c>
      <c r="M181" s="125">
        <v>0</v>
      </c>
      <c r="N181" s="118">
        <v>87.96</v>
      </c>
      <c r="O181" s="118">
        <v>89.19</v>
      </c>
      <c r="P181" s="119">
        <v>0</v>
      </c>
      <c r="Q181" s="87">
        <f t="shared" si="23"/>
        <v>1</v>
      </c>
      <c r="R181" s="88">
        <f t="shared" si="24"/>
        <v>1</v>
      </c>
      <c r="S181" s="89">
        <f t="shared" si="25"/>
        <v>1</v>
      </c>
      <c r="T181" s="89">
        <f t="shared" si="26"/>
        <v>0</v>
      </c>
      <c r="U181" s="89">
        <f t="shared" si="27"/>
        <v>1</v>
      </c>
      <c r="V181" s="89">
        <f t="shared" si="28"/>
        <v>2</v>
      </c>
      <c r="W181" s="89">
        <f t="shared" si="29"/>
        <v>0</v>
      </c>
      <c r="X181" s="89">
        <f t="shared" si="30"/>
        <v>0</v>
      </c>
      <c r="Y181" s="89">
        <f t="shared" si="31"/>
        <v>0</v>
      </c>
      <c r="Z181" s="89">
        <f t="shared" si="32"/>
        <v>0</v>
      </c>
      <c r="AA181" s="41">
        <f t="shared" si="33"/>
        <v>0</v>
      </c>
      <c r="AB181" s="49"/>
      <c r="AC181" s="50"/>
      <c r="AD181" s="49" t="s">
        <v>32</v>
      </c>
      <c r="AE181" s="50" t="s">
        <v>438</v>
      </c>
      <c r="AF181" s="49"/>
      <c r="AG181" s="50"/>
      <c r="AH181" s="49" t="s">
        <v>30</v>
      </c>
      <c r="AI181" s="50" t="s">
        <v>424</v>
      </c>
      <c r="AJ181" s="49"/>
      <c r="AK181" s="50"/>
      <c r="AL181" s="49"/>
      <c r="AM181" s="50"/>
      <c r="AN181" s="49"/>
      <c r="AO181" s="50"/>
      <c r="AP181" s="49"/>
      <c r="AQ181" s="50"/>
      <c r="AR181" s="49"/>
      <c r="AS181" s="50"/>
      <c r="AT181" s="49"/>
      <c r="AU181" s="50"/>
      <c r="AV181" s="49" t="s">
        <v>5</v>
      </c>
      <c r="AW181" s="50" t="s">
        <v>476</v>
      </c>
      <c r="AX181" s="49"/>
      <c r="AY181" s="50"/>
      <c r="AZ181" s="49"/>
      <c r="BA181" s="50"/>
      <c r="BB181" s="49"/>
      <c r="BC181" s="50"/>
      <c r="BD181" s="49"/>
      <c r="BE181" s="50"/>
      <c r="BF181" s="49"/>
      <c r="BG181" s="50"/>
      <c r="BH181" s="49"/>
      <c r="BI181" s="50"/>
      <c r="BJ181" s="49"/>
      <c r="BK181" s="50"/>
      <c r="BL181" s="49" t="s">
        <v>1</v>
      </c>
      <c r="BM181" s="50" t="s">
        <v>95</v>
      </c>
      <c r="BN181" s="49"/>
      <c r="BO181" s="50"/>
      <c r="BP181" s="49"/>
      <c r="BQ181" s="50"/>
      <c r="BR181" s="49"/>
      <c r="BS181" s="50"/>
      <c r="BT181" s="49"/>
      <c r="BU181" s="50"/>
      <c r="BV181" s="49"/>
      <c r="BW181" s="50"/>
      <c r="BX181" s="49"/>
      <c r="BY181" s="50"/>
      <c r="BZ181" s="49"/>
      <c r="CA181" s="50"/>
      <c r="CB181" s="49"/>
      <c r="CC181" s="50"/>
    </row>
    <row r="182" spans="1:81" s="120" customFormat="1" ht="14.25" customHeight="1" x14ac:dyDescent="0.25">
      <c r="A182" s="79">
        <v>152149</v>
      </c>
      <c r="B182" s="77" t="s">
        <v>1594</v>
      </c>
      <c r="C182" s="98" t="s">
        <v>1435</v>
      </c>
      <c r="D182" s="90" t="s">
        <v>70</v>
      </c>
      <c r="E182" s="79" t="s">
        <v>14</v>
      </c>
      <c r="F182" s="79" t="s">
        <v>71</v>
      </c>
      <c r="G182" s="78" t="s">
        <v>14</v>
      </c>
      <c r="H182" s="121" t="s">
        <v>14</v>
      </c>
      <c r="I182" s="79" t="s">
        <v>14</v>
      </c>
      <c r="J182" s="122">
        <v>6.6</v>
      </c>
      <c r="K182" s="123">
        <v>0</v>
      </c>
      <c r="L182" s="124">
        <v>0</v>
      </c>
      <c r="M182" s="125">
        <v>0</v>
      </c>
      <c r="N182" s="118">
        <v>90.83</v>
      </c>
      <c r="O182" s="118">
        <v>88.89</v>
      </c>
      <c r="P182" s="119">
        <v>0</v>
      </c>
      <c r="Q182" s="87">
        <f t="shared" si="23"/>
        <v>1</v>
      </c>
      <c r="R182" s="88">
        <f t="shared" si="24"/>
        <v>4</v>
      </c>
      <c r="S182" s="89">
        <f t="shared" si="25"/>
        <v>0</v>
      </c>
      <c r="T182" s="89">
        <f t="shared" si="26"/>
        <v>0</v>
      </c>
      <c r="U182" s="89">
        <f t="shared" si="27"/>
        <v>0</v>
      </c>
      <c r="V182" s="89">
        <f t="shared" si="28"/>
        <v>0</v>
      </c>
      <c r="W182" s="89">
        <f t="shared" si="29"/>
        <v>0</v>
      </c>
      <c r="X182" s="89">
        <f t="shared" si="30"/>
        <v>0</v>
      </c>
      <c r="Y182" s="89">
        <f t="shared" si="31"/>
        <v>0</v>
      </c>
      <c r="Z182" s="89">
        <f t="shared" si="32"/>
        <v>0</v>
      </c>
      <c r="AA182" s="41">
        <f t="shared" si="33"/>
        <v>0</v>
      </c>
      <c r="AB182" s="49" t="s">
        <v>1</v>
      </c>
      <c r="AC182" s="50" t="s">
        <v>72</v>
      </c>
      <c r="AD182" s="49"/>
      <c r="AE182" s="50"/>
      <c r="AF182" s="49"/>
      <c r="AG182" s="50"/>
      <c r="AH182" s="49"/>
      <c r="AI182" s="50"/>
      <c r="AJ182" s="49"/>
      <c r="AK182" s="50"/>
      <c r="AL182" s="49"/>
      <c r="AM182" s="50"/>
      <c r="AN182" s="49"/>
      <c r="AO182" s="50"/>
      <c r="AP182" s="49"/>
      <c r="AQ182" s="50"/>
      <c r="AR182" s="49"/>
      <c r="AS182" s="50"/>
      <c r="AT182" s="49" t="s">
        <v>5</v>
      </c>
      <c r="AU182" s="50" t="s">
        <v>151</v>
      </c>
      <c r="AV182" s="49" t="s">
        <v>5</v>
      </c>
      <c r="AW182" s="50" t="s">
        <v>82</v>
      </c>
      <c r="AX182" s="49"/>
      <c r="AY182" s="50"/>
      <c r="AZ182" s="49"/>
      <c r="BA182" s="50"/>
      <c r="BB182" s="49"/>
      <c r="BC182" s="50"/>
      <c r="BD182" s="49"/>
      <c r="BE182" s="50"/>
      <c r="BF182" s="49"/>
      <c r="BG182" s="50"/>
      <c r="BH182" s="49"/>
      <c r="BI182" s="50"/>
      <c r="BJ182" s="49"/>
      <c r="BK182" s="50"/>
      <c r="BL182" s="49"/>
      <c r="BM182" s="50"/>
      <c r="BN182" s="49" t="s">
        <v>5</v>
      </c>
      <c r="BO182" s="50" t="s">
        <v>602</v>
      </c>
      <c r="BP182" s="49" t="s">
        <v>5</v>
      </c>
      <c r="BQ182" s="50"/>
      <c r="BR182" s="49"/>
      <c r="BS182" s="50"/>
      <c r="BT182" s="49"/>
      <c r="BU182" s="50"/>
      <c r="BV182" s="49"/>
      <c r="BW182" s="50"/>
      <c r="BX182" s="49"/>
      <c r="BY182" s="50"/>
      <c r="BZ182" s="49"/>
      <c r="CA182" s="50"/>
      <c r="CB182" s="49"/>
      <c r="CC182" s="50"/>
    </row>
    <row r="183" spans="1:81" s="120" customFormat="1" ht="14.25" customHeight="1" x14ac:dyDescent="0.25">
      <c r="A183" s="79">
        <v>150604</v>
      </c>
      <c r="B183" s="77" t="s">
        <v>1595</v>
      </c>
      <c r="C183" s="98" t="s">
        <v>1410</v>
      </c>
      <c r="D183" s="90" t="s">
        <v>12</v>
      </c>
      <c r="E183" s="79" t="s">
        <v>14</v>
      </c>
      <c r="F183" s="79" t="s">
        <v>71</v>
      </c>
      <c r="G183" s="78" t="s">
        <v>14</v>
      </c>
      <c r="H183" s="121" t="s">
        <v>14</v>
      </c>
      <c r="I183" s="79" t="s">
        <v>14</v>
      </c>
      <c r="J183" s="122">
        <v>5.5</v>
      </c>
      <c r="K183" s="123">
        <v>2</v>
      </c>
      <c r="L183" s="124">
        <v>0</v>
      </c>
      <c r="M183" s="125">
        <v>0</v>
      </c>
      <c r="N183" s="118">
        <v>97</v>
      </c>
      <c r="O183" s="118">
        <v>97.14</v>
      </c>
      <c r="P183" s="119">
        <v>2</v>
      </c>
      <c r="Q183" s="87">
        <f t="shared" si="23"/>
        <v>0</v>
      </c>
      <c r="R183" s="88">
        <f t="shared" si="24"/>
        <v>3</v>
      </c>
      <c r="S183" s="89">
        <f t="shared" si="25"/>
        <v>1</v>
      </c>
      <c r="T183" s="89">
        <f t="shared" si="26"/>
        <v>0</v>
      </c>
      <c r="U183" s="89">
        <f t="shared" si="27"/>
        <v>0</v>
      </c>
      <c r="V183" s="89">
        <f t="shared" si="28"/>
        <v>1</v>
      </c>
      <c r="W183" s="89">
        <f t="shared" si="29"/>
        <v>0</v>
      </c>
      <c r="X183" s="89">
        <f t="shared" si="30"/>
        <v>0</v>
      </c>
      <c r="Y183" s="89">
        <f t="shared" si="31"/>
        <v>0</v>
      </c>
      <c r="Z183" s="89">
        <f t="shared" si="32"/>
        <v>0</v>
      </c>
      <c r="AA183" s="41">
        <f t="shared" si="33"/>
        <v>0</v>
      </c>
      <c r="AB183" s="49"/>
      <c r="AC183" s="50"/>
      <c r="AD183" s="49"/>
      <c r="AE183" s="50"/>
      <c r="AF183" s="49" t="s">
        <v>5</v>
      </c>
      <c r="AG183" s="50" t="s">
        <v>427</v>
      </c>
      <c r="AH183" s="49"/>
      <c r="AI183" s="50"/>
      <c r="AJ183" s="49"/>
      <c r="AK183" s="50"/>
      <c r="AL183" s="49"/>
      <c r="AM183" s="50"/>
      <c r="AN183" s="49"/>
      <c r="AO183" s="50"/>
      <c r="AP183" s="49"/>
      <c r="AQ183" s="50"/>
      <c r="AR183" s="49"/>
      <c r="AS183" s="50"/>
      <c r="AT183" s="49"/>
      <c r="AU183" s="50"/>
      <c r="AV183" s="49" t="s">
        <v>5</v>
      </c>
      <c r="AW183" s="50" t="s">
        <v>82</v>
      </c>
      <c r="AX183" s="49"/>
      <c r="AY183" s="50"/>
      <c r="AZ183" s="49"/>
      <c r="BA183" s="50"/>
      <c r="BB183" s="49"/>
      <c r="BC183" s="50"/>
      <c r="BD183" s="49"/>
      <c r="BE183" s="50"/>
      <c r="BF183" s="49"/>
      <c r="BG183" s="50"/>
      <c r="BH183" s="49"/>
      <c r="BI183" s="50"/>
      <c r="BJ183" s="49"/>
      <c r="BK183" s="50"/>
      <c r="BL183" s="49"/>
      <c r="BM183" s="50"/>
      <c r="BN183" s="49"/>
      <c r="BO183" s="50"/>
      <c r="BP183" s="49"/>
      <c r="BQ183" s="50"/>
      <c r="BR183" s="49" t="s">
        <v>5</v>
      </c>
      <c r="BS183" s="50" t="s">
        <v>81</v>
      </c>
      <c r="BT183" s="49"/>
      <c r="BU183" s="50"/>
      <c r="BV183" s="49"/>
      <c r="BW183" s="50"/>
      <c r="BX183" s="49" t="s">
        <v>30</v>
      </c>
      <c r="BY183" s="50" t="s">
        <v>425</v>
      </c>
      <c r="BZ183" s="49"/>
      <c r="CA183" s="50"/>
      <c r="CB183" s="49"/>
      <c r="CC183" s="50"/>
    </row>
    <row r="184" spans="1:81" s="120" customFormat="1" ht="14.25" customHeight="1" x14ac:dyDescent="0.25">
      <c r="A184" s="79">
        <v>152210</v>
      </c>
      <c r="B184" s="77" t="s">
        <v>1596</v>
      </c>
      <c r="C184" s="98" t="s">
        <v>1440</v>
      </c>
      <c r="D184" s="90" t="s">
        <v>12</v>
      </c>
      <c r="E184" s="79" t="s">
        <v>14</v>
      </c>
      <c r="F184" s="77" t="s">
        <v>146</v>
      </c>
      <c r="G184" s="78" t="s">
        <v>14</v>
      </c>
      <c r="H184" s="121" t="s">
        <v>14</v>
      </c>
      <c r="I184" s="79" t="s">
        <v>14</v>
      </c>
      <c r="J184" s="122">
        <v>7.8</v>
      </c>
      <c r="K184" s="123">
        <v>0</v>
      </c>
      <c r="L184" s="124">
        <v>0</v>
      </c>
      <c r="M184" s="125">
        <v>1</v>
      </c>
      <c r="N184" s="118">
        <v>100</v>
      </c>
      <c r="O184" s="118">
        <v>100</v>
      </c>
      <c r="P184" s="119">
        <v>0</v>
      </c>
      <c r="Q184" s="87">
        <f t="shared" si="23"/>
        <v>1</v>
      </c>
      <c r="R184" s="88">
        <f t="shared" si="24"/>
        <v>3</v>
      </c>
      <c r="S184" s="89">
        <f t="shared" si="25"/>
        <v>0</v>
      </c>
      <c r="T184" s="89">
        <f t="shared" si="26"/>
        <v>0</v>
      </c>
      <c r="U184" s="89">
        <f t="shared" si="27"/>
        <v>0</v>
      </c>
      <c r="V184" s="89">
        <f t="shared" si="28"/>
        <v>0</v>
      </c>
      <c r="W184" s="89">
        <f t="shared" si="29"/>
        <v>0</v>
      </c>
      <c r="X184" s="89">
        <f t="shared" si="30"/>
        <v>0</v>
      </c>
      <c r="Y184" s="89">
        <f t="shared" si="31"/>
        <v>0</v>
      </c>
      <c r="Z184" s="89">
        <f t="shared" si="32"/>
        <v>0</v>
      </c>
      <c r="AA184" s="41">
        <f t="shared" si="33"/>
        <v>0</v>
      </c>
      <c r="AB184" s="49"/>
      <c r="AC184" s="50"/>
      <c r="AD184" s="49"/>
      <c r="AE184" s="50"/>
      <c r="AF184" s="49"/>
      <c r="AG184" s="50"/>
      <c r="AH184" s="49"/>
      <c r="AI184" s="50"/>
      <c r="AJ184" s="49"/>
      <c r="AK184" s="50"/>
      <c r="AL184" s="49"/>
      <c r="AM184" s="50"/>
      <c r="AN184" s="49"/>
      <c r="AO184" s="50"/>
      <c r="AP184" s="49"/>
      <c r="AQ184" s="50"/>
      <c r="AR184" s="49"/>
      <c r="AS184" s="50"/>
      <c r="AT184" s="49"/>
      <c r="AU184" s="50"/>
      <c r="AV184" s="49" t="s">
        <v>1</v>
      </c>
      <c r="AW184" s="50" t="s">
        <v>433</v>
      </c>
      <c r="AX184" s="49"/>
      <c r="AY184" s="50"/>
      <c r="AZ184" s="49"/>
      <c r="BA184" s="50"/>
      <c r="BB184" s="49"/>
      <c r="BC184" s="50"/>
      <c r="BD184" s="49"/>
      <c r="BE184" s="50"/>
      <c r="BF184" s="49"/>
      <c r="BG184" s="50"/>
      <c r="BH184" s="49" t="s">
        <v>5</v>
      </c>
      <c r="BI184" s="50" t="s">
        <v>139</v>
      </c>
      <c r="BJ184" s="49"/>
      <c r="BK184" s="50"/>
      <c r="BL184" s="49"/>
      <c r="BM184" s="50"/>
      <c r="BN184" s="49"/>
      <c r="BO184" s="50"/>
      <c r="BP184" s="49"/>
      <c r="BQ184" s="50"/>
      <c r="BR184" s="49"/>
      <c r="BS184" s="50"/>
      <c r="BT184" s="49" t="s">
        <v>5</v>
      </c>
      <c r="BU184" s="50" t="s">
        <v>98</v>
      </c>
      <c r="BV184" s="49" t="s">
        <v>5</v>
      </c>
      <c r="BW184" s="50" t="s">
        <v>93</v>
      </c>
      <c r="BX184" s="49"/>
      <c r="BY184" s="50"/>
      <c r="BZ184" s="49"/>
      <c r="CA184" s="50"/>
      <c r="CB184" s="49"/>
      <c r="CC184" s="50"/>
    </row>
    <row r="185" spans="1:81" s="120" customFormat="1" ht="14.25" customHeight="1" x14ac:dyDescent="0.25">
      <c r="A185" s="79">
        <v>150560</v>
      </c>
      <c r="B185" s="77" t="s">
        <v>1597</v>
      </c>
      <c r="C185" s="98" t="s">
        <v>1408</v>
      </c>
      <c r="D185" s="90" t="s">
        <v>12</v>
      </c>
      <c r="E185" s="79" t="s">
        <v>14</v>
      </c>
      <c r="F185" s="79" t="s">
        <v>71</v>
      </c>
      <c r="G185" s="78" t="s">
        <v>14</v>
      </c>
      <c r="H185" s="121" t="s">
        <v>14</v>
      </c>
      <c r="I185" s="79" t="s">
        <v>14</v>
      </c>
      <c r="J185" s="122">
        <v>6.3</v>
      </c>
      <c r="K185" s="123">
        <v>0</v>
      </c>
      <c r="L185" s="124">
        <v>0</v>
      </c>
      <c r="M185" s="125">
        <v>1</v>
      </c>
      <c r="N185" s="118">
        <v>92.59</v>
      </c>
      <c r="O185" s="118">
        <v>83.33</v>
      </c>
      <c r="P185" s="119">
        <v>3</v>
      </c>
      <c r="Q185" s="87">
        <f t="shared" si="23"/>
        <v>0</v>
      </c>
      <c r="R185" s="88">
        <f t="shared" si="24"/>
        <v>3</v>
      </c>
      <c r="S185" s="89">
        <f t="shared" si="25"/>
        <v>2</v>
      </c>
      <c r="T185" s="89">
        <f t="shared" si="26"/>
        <v>0</v>
      </c>
      <c r="U185" s="89">
        <f t="shared" si="27"/>
        <v>0</v>
      </c>
      <c r="V185" s="89">
        <f t="shared" si="28"/>
        <v>2</v>
      </c>
      <c r="W185" s="89">
        <f t="shared" si="29"/>
        <v>0</v>
      </c>
      <c r="X185" s="89">
        <f t="shared" si="30"/>
        <v>0</v>
      </c>
      <c r="Y185" s="89">
        <f t="shared" si="31"/>
        <v>0</v>
      </c>
      <c r="Z185" s="89">
        <f t="shared" si="32"/>
        <v>0</v>
      </c>
      <c r="AA185" s="41">
        <f t="shared" si="33"/>
        <v>0</v>
      </c>
      <c r="AB185" s="49"/>
      <c r="AC185" s="50"/>
      <c r="AD185" s="49"/>
      <c r="AE185" s="50"/>
      <c r="AF185" s="49"/>
      <c r="AG185" s="50"/>
      <c r="AH185" s="49"/>
      <c r="AI185" s="50"/>
      <c r="AJ185" s="49"/>
      <c r="AK185" s="50"/>
      <c r="AL185" s="49"/>
      <c r="AM185" s="50"/>
      <c r="AN185" s="49"/>
      <c r="AO185" s="50"/>
      <c r="AP185" s="49" t="s">
        <v>5</v>
      </c>
      <c r="AQ185" s="50" t="s">
        <v>428</v>
      </c>
      <c r="AR185" s="49"/>
      <c r="AS185" s="50"/>
      <c r="AT185" s="49"/>
      <c r="AU185" s="50"/>
      <c r="AV185" s="49" t="s">
        <v>5</v>
      </c>
      <c r="AW185" s="50" t="s">
        <v>421</v>
      </c>
      <c r="AX185" s="49"/>
      <c r="AY185" s="50"/>
      <c r="AZ185" s="49"/>
      <c r="BA185" s="50"/>
      <c r="BB185" s="49"/>
      <c r="BC185" s="50"/>
      <c r="BD185" s="49"/>
      <c r="BE185" s="50"/>
      <c r="BF185" s="49"/>
      <c r="BG185" s="50"/>
      <c r="BH185" s="49" t="s">
        <v>5</v>
      </c>
      <c r="BI185" s="50" t="s">
        <v>139</v>
      </c>
      <c r="BJ185" s="49"/>
      <c r="BK185" s="50"/>
      <c r="BL185" s="49"/>
      <c r="BM185" s="50"/>
      <c r="BN185" s="49" t="s">
        <v>30</v>
      </c>
      <c r="BO185" s="50" t="s">
        <v>602</v>
      </c>
      <c r="BP185" s="49" t="s">
        <v>30</v>
      </c>
      <c r="BQ185" s="50"/>
      <c r="BR185" s="49"/>
      <c r="BS185" s="50"/>
      <c r="BT185" s="49"/>
      <c r="BU185" s="50"/>
      <c r="BV185" s="49"/>
      <c r="BW185" s="50"/>
      <c r="BX185" s="49"/>
      <c r="BY185" s="50"/>
      <c r="BZ185" s="49"/>
      <c r="CA185" s="50"/>
      <c r="CB185" s="49"/>
      <c r="CC185" s="50"/>
    </row>
    <row r="186" spans="1:81" s="120" customFormat="1" ht="14.25" customHeight="1" x14ac:dyDescent="0.25">
      <c r="A186" s="79">
        <v>152151</v>
      </c>
      <c r="B186" s="77" t="s">
        <v>1598</v>
      </c>
      <c r="C186" s="98" t="s">
        <v>1414</v>
      </c>
      <c r="D186" s="90" t="s">
        <v>70</v>
      </c>
      <c r="E186" s="79" t="s">
        <v>14</v>
      </c>
      <c r="F186" s="79" t="s">
        <v>71</v>
      </c>
      <c r="G186" s="78" t="s">
        <v>14</v>
      </c>
      <c r="H186" s="121" t="s">
        <v>14</v>
      </c>
      <c r="I186" s="79" t="s">
        <v>14</v>
      </c>
      <c r="J186" s="122">
        <v>7</v>
      </c>
      <c r="K186" s="123">
        <v>0</v>
      </c>
      <c r="L186" s="124">
        <v>0</v>
      </c>
      <c r="M186" s="125">
        <v>0</v>
      </c>
      <c r="N186" s="118">
        <v>96.84</v>
      </c>
      <c r="O186" s="118">
        <v>91.89</v>
      </c>
      <c r="P186" s="119">
        <v>1</v>
      </c>
      <c r="Q186" s="87">
        <f t="shared" si="23"/>
        <v>2</v>
      </c>
      <c r="R186" s="88">
        <f t="shared" si="24"/>
        <v>2</v>
      </c>
      <c r="S186" s="89">
        <f t="shared" si="25"/>
        <v>0</v>
      </c>
      <c r="T186" s="89">
        <f t="shared" si="26"/>
        <v>0</v>
      </c>
      <c r="U186" s="89">
        <f t="shared" si="27"/>
        <v>0</v>
      </c>
      <c r="V186" s="89">
        <f t="shared" si="28"/>
        <v>0</v>
      </c>
      <c r="W186" s="89">
        <f t="shared" si="29"/>
        <v>0</v>
      </c>
      <c r="X186" s="89">
        <f t="shared" si="30"/>
        <v>0</v>
      </c>
      <c r="Y186" s="89">
        <f t="shared" si="31"/>
        <v>0</v>
      </c>
      <c r="Z186" s="89">
        <f t="shared" si="32"/>
        <v>0</v>
      </c>
      <c r="AA186" s="41">
        <f t="shared" si="33"/>
        <v>0</v>
      </c>
      <c r="AB186" s="49"/>
      <c r="AC186" s="50"/>
      <c r="AD186" s="49"/>
      <c r="AE186" s="50"/>
      <c r="AF186" s="49"/>
      <c r="AG186" s="50"/>
      <c r="AH186" s="49"/>
      <c r="AI186" s="50"/>
      <c r="AJ186" s="49"/>
      <c r="AK186" s="50"/>
      <c r="AL186" s="49"/>
      <c r="AM186" s="50"/>
      <c r="AN186" s="49" t="s">
        <v>1</v>
      </c>
      <c r="AO186" s="50" t="s">
        <v>1406</v>
      </c>
      <c r="AP186" s="49"/>
      <c r="AQ186" s="50"/>
      <c r="AR186" s="49"/>
      <c r="AS186" s="50"/>
      <c r="AT186" s="49" t="s">
        <v>5</v>
      </c>
      <c r="AU186" s="50" t="s">
        <v>151</v>
      </c>
      <c r="AV186" s="49" t="s">
        <v>1</v>
      </c>
      <c r="AW186" s="50" t="s">
        <v>476</v>
      </c>
      <c r="AX186" s="49"/>
      <c r="AY186" s="50"/>
      <c r="AZ186" s="49"/>
      <c r="BA186" s="50"/>
      <c r="BB186" s="49"/>
      <c r="BC186" s="50"/>
      <c r="BD186" s="49"/>
      <c r="BE186" s="50"/>
      <c r="BF186" s="49" t="s">
        <v>5</v>
      </c>
      <c r="BG186" s="50" t="s">
        <v>77</v>
      </c>
      <c r="BH186" s="49"/>
      <c r="BI186" s="50"/>
      <c r="BJ186" s="49"/>
      <c r="BK186" s="50"/>
      <c r="BL186" s="49"/>
      <c r="BM186" s="50"/>
      <c r="BN186" s="49"/>
      <c r="BO186" s="50"/>
      <c r="BP186" s="49"/>
      <c r="BQ186" s="50"/>
      <c r="BR186" s="49"/>
      <c r="BS186" s="50"/>
      <c r="BT186" s="49"/>
      <c r="BU186" s="50"/>
      <c r="BV186" s="49"/>
      <c r="BW186" s="50"/>
      <c r="BX186" s="49"/>
      <c r="BY186" s="50"/>
      <c r="BZ186" s="49"/>
      <c r="CA186" s="50"/>
      <c r="CB186" s="49"/>
      <c r="CC186" s="50"/>
    </row>
    <row r="187" spans="1:81" s="120" customFormat="1" ht="14.25" customHeight="1" x14ac:dyDescent="0.25">
      <c r="A187" s="79">
        <v>150451</v>
      </c>
      <c r="B187" s="77" t="s">
        <v>1599</v>
      </c>
      <c r="C187" s="98" t="s">
        <v>1405</v>
      </c>
      <c r="D187" s="90" t="s">
        <v>70</v>
      </c>
      <c r="E187" s="79" t="s">
        <v>14</v>
      </c>
      <c r="F187" s="79" t="s">
        <v>71</v>
      </c>
      <c r="G187" s="78" t="s">
        <v>14</v>
      </c>
      <c r="H187" s="121" t="s">
        <v>14</v>
      </c>
      <c r="I187" s="79" t="s">
        <v>14</v>
      </c>
      <c r="J187" s="122">
        <v>6</v>
      </c>
      <c r="K187" s="123">
        <v>0</v>
      </c>
      <c r="L187" s="124">
        <v>0</v>
      </c>
      <c r="M187" s="125">
        <v>0</v>
      </c>
      <c r="N187" s="118">
        <v>99.01</v>
      </c>
      <c r="O187" s="118">
        <v>97.14</v>
      </c>
      <c r="P187" s="119">
        <v>0</v>
      </c>
      <c r="Q187" s="87">
        <f t="shared" si="23"/>
        <v>1</v>
      </c>
      <c r="R187" s="88">
        <f t="shared" si="24"/>
        <v>4</v>
      </c>
      <c r="S187" s="89">
        <f t="shared" si="25"/>
        <v>0</v>
      </c>
      <c r="T187" s="89">
        <f t="shared" si="26"/>
        <v>0</v>
      </c>
      <c r="U187" s="89">
        <f t="shared" si="27"/>
        <v>0</v>
      </c>
      <c r="V187" s="89">
        <f t="shared" si="28"/>
        <v>0</v>
      </c>
      <c r="W187" s="89">
        <f t="shared" si="29"/>
        <v>0</v>
      </c>
      <c r="X187" s="89">
        <f t="shared" si="30"/>
        <v>0</v>
      </c>
      <c r="Y187" s="89">
        <f t="shared" si="31"/>
        <v>0</v>
      </c>
      <c r="Z187" s="89">
        <f t="shared" si="32"/>
        <v>0</v>
      </c>
      <c r="AA187" s="41">
        <f t="shared" si="33"/>
        <v>0</v>
      </c>
      <c r="AB187" s="49"/>
      <c r="AC187" s="50"/>
      <c r="AD187" s="49"/>
      <c r="AE187" s="50"/>
      <c r="AF187" s="49"/>
      <c r="AG187" s="50"/>
      <c r="AH187" s="49"/>
      <c r="AI187" s="50"/>
      <c r="AJ187" s="49"/>
      <c r="AK187" s="50"/>
      <c r="AL187" s="49"/>
      <c r="AM187" s="50"/>
      <c r="AN187" s="49"/>
      <c r="AO187" s="50"/>
      <c r="AP187" s="49"/>
      <c r="AQ187" s="50"/>
      <c r="AR187" s="49"/>
      <c r="AS187" s="50"/>
      <c r="AT187" s="49" t="s">
        <v>5</v>
      </c>
      <c r="AU187" s="50" t="s">
        <v>448</v>
      </c>
      <c r="AV187" s="49" t="s">
        <v>1</v>
      </c>
      <c r="AW187" s="50" t="s">
        <v>82</v>
      </c>
      <c r="AX187" s="49"/>
      <c r="AY187" s="50"/>
      <c r="AZ187" s="49"/>
      <c r="BA187" s="50"/>
      <c r="BB187" s="49"/>
      <c r="BC187" s="50"/>
      <c r="BD187" s="49"/>
      <c r="BE187" s="50"/>
      <c r="BF187" s="49"/>
      <c r="BG187" s="50"/>
      <c r="BH187" s="49"/>
      <c r="BI187" s="50"/>
      <c r="BJ187" s="49"/>
      <c r="BK187" s="50"/>
      <c r="BL187" s="49"/>
      <c r="BM187" s="50"/>
      <c r="BN187" s="49" t="s">
        <v>5</v>
      </c>
      <c r="BO187" s="50" t="s">
        <v>602</v>
      </c>
      <c r="BP187" s="49" t="s">
        <v>5</v>
      </c>
      <c r="BQ187" s="50"/>
      <c r="BR187" s="49"/>
      <c r="BS187" s="50"/>
      <c r="BT187" s="49"/>
      <c r="BU187" s="50"/>
      <c r="BV187" s="49"/>
      <c r="BW187" s="50"/>
      <c r="BX187" s="49" t="s">
        <v>5</v>
      </c>
      <c r="BY187" s="50" t="s">
        <v>425</v>
      </c>
      <c r="BZ187" s="49"/>
      <c r="CA187" s="50"/>
      <c r="CB187" s="49"/>
      <c r="CC187" s="50"/>
    </row>
    <row r="188" spans="1:81" s="120" customFormat="1" ht="14.25" customHeight="1" x14ac:dyDescent="0.25">
      <c r="A188" s="79">
        <v>152150</v>
      </c>
      <c r="B188" s="77" t="s">
        <v>1600</v>
      </c>
      <c r="C188" s="98" t="s">
        <v>1419</v>
      </c>
      <c r="D188" s="90" t="s">
        <v>70</v>
      </c>
      <c r="E188" s="79" t="s">
        <v>14</v>
      </c>
      <c r="F188" s="77" t="s">
        <v>146</v>
      </c>
      <c r="G188" s="78" t="s">
        <v>14</v>
      </c>
      <c r="H188" s="121" t="s">
        <v>14</v>
      </c>
      <c r="I188" s="79" t="s">
        <v>14</v>
      </c>
      <c r="J188" s="122">
        <v>8.9</v>
      </c>
      <c r="K188" s="123">
        <v>1</v>
      </c>
      <c r="L188" s="124">
        <v>0</v>
      </c>
      <c r="M188" s="125">
        <v>0</v>
      </c>
      <c r="N188" s="118">
        <v>99.28</v>
      </c>
      <c r="O188" s="118">
        <v>97.62</v>
      </c>
      <c r="P188" s="119">
        <v>1</v>
      </c>
      <c r="Q188" s="87">
        <f t="shared" si="23"/>
        <v>3</v>
      </c>
      <c r="R188" s="88">
        <f t="shared" si="24"/>
        <v>2</v>
      </c>
      <c r="S188" s="89">
        <f t="shared" si="25"/>
        <v>0</v>
      </c>
      <c r="T188" s="89">
        <f t="shared" si="26"/>
        <v>0</v>
      </c>
      <c r="U188" s="89">
        <f t="shared" si="27"/>
        <v>0</v>
      </c>
      <c r="V188" s="89">
        <f t="shared" si="28"/>
        <v>0</v>
      </c>
      <c r="W188" s="89">
        <f t="shared" si="29"/>
        <v>0</v>
      </c>
      <c r="X188" s="89">
        <f t="shared" si="30"/>
        <v>0</v>
      </c>
      <c r="Y188" s="89">
        <f t="shared" si="31"/>
        <v>0</v>
      </c>
      <c r="Z188" s="89">
        <f t="shared" si="32"/>
        <v>0</v>
      </c>
      <c r="AA188" s="41">
        <f t="shared" si="33"/>
        <v>0</v>
      </c>
      <c r="AB188" s="49"/>
      <c r="AC188" s="50"/>
      <c r="AD188" s="49" t="s">
        <v>1</v>
      </c>
      <c r="AE188" s="50" t="s">
        <v>433</v>
      </c>
      <c r="AF188" s="49"/>
      <c r="AG188" s="50"/>
      <c r="AH188" s="49"/>
      <c r="AI188" s="50"/>
      <c r="AJ188" s="49"/>
      <c r="AK188" s="50"/>
      <c r="AL188" s="49"/>
      <c r="AM188" s="50"/>
      <c r="AN188" s="49"/>
      <c r="AO188" s="50"/>
      <c r="AP188" s="49"/>
      <c r="AQ188" s="50"/>
      <c r="AR188" s="49"/>
      <c r="AS188" s="50"/>
      <c r="AT188" s="49"/>
      <c r="AU188" s="50"/>
      <c r="AV188" s="49" t="s">
        <v>5</v>
      </c>
      <c r="AW188" s="50" t="s">
        <v>476</v>
      </c>
      <c r="AX188" s="49"/>
      <c r="AY188" s="50"/>
      <c r="AZ188" s="49" t="s">
        <v>1</v>
      </c>
      <c r="BA188" s="50" t="s">
        <v>422</v>
      </c>
      <c r="BB188" s="49"/>
      <c r="BC188" s="50"/>
      <c r="BD188" s="49"/>
      <c r="BE188" s="50"/>
      <c r="BF188" s="49"/>
      <c r="BG188" s="50"/>
      <c r="BH188" s="49" t="s">
        <v>5</v>
      </c>
      <c r="BI188" s="50" t="s">
        <v>139</v>
      </c>
      <c r="BJ188" s="49"/>
      <c r="BK188" s="50"/>
      <c r="BL188" s="49"/>
      <c r="BM188" s="50"/>
      <c r="BN188" s="49"/>
      <c r="BO188" s="50"/>
      <c r="BP188" s="49"/>
      <c r="BQ188" s="50"/>
      <c r="BR188" s="49"/>
      <c r="BS188" s="50"/>
      <c r="BT188" s="49" t="s">
        <v>1</v>
      </c>
      <c r="BU188" s="50" t="s">
        <v>98</v>
      </c>
      <c r="BV188" s="49"/>
      <c r="BW188" s="50"/>
      <c r="BX188" s="49"/>
      <c r="BY188" s="50"/>
      <c r="BZ188" s="49"/>
      <c r="CA188" s="50"/>
      <c r="CB188" s="49"/>
      <c r="CC188" s="50"/>
    </row>
    <row r="189" spans="1:81" s="120" customFormat="1" ht="14.25" customHeight="1" x14ac:dyDescent="0.25">
      <c r="A189" s="79">
        <v>150601</v>
      </c>
      <c r="B189" s="77" t="s">
        <v>1601</v>
      </c>
      <c r="C189" s="98" t="s">
        <v>1405</v>
      </c>
      <c r="D189" s="90" t="s">
        <v>12</v>
      </c>
      <c r="E189" s="79" t="s">
        <v>14</v>
      </c>
      <c r="F189" s="79" t="s">
        <v>71</v>
      </c>
      <c r="G189" s="78" t="s">
        <v>14</v>
      </c>
      <c r="H189" s="121" t="s">
        <v>14</v>
      </c>
      <c r="I189" s="79" t="s">
        <v>14</v>
      </c>
      <c r="J189" s="122">
        <v>4.7</v>
      </c>
      <c r="K189" s="123">
        <v>2</v>
      </c>
      <c r="L189" s="124">
        <v>0</v>
      </c>
      <c r="M189" s="125">
        <v>0</v>
      </c>
      <c r="N189" s="118">
        <v>91.43</v>
      </c>
      <c r="O189" s="118">
        <v>77.78</v>
      </c>
      <c r="P189" s="119">
        <v>0</v>
      </c>
      <c r="Q189" s="87">
        <f t="shared" si="23"/>
        <v>0</v>
      </c>
      <c r="R189" s="88">
        <f t="shared" si="24"/>
        <v>4</v>
      </c>
      <c r="S189" s="89">
        <f t="shared" si="25"/>
        <v>0</v>
      </c>
      <c r="T189" s="89">
        <f t="shared" si="26"/>
        <v>0</v>
      </c>
      <c r="U189" s="89">
        <f t="shared" si="27"/>
        <v>0</v>
      </c>
      <c r="V189" s="89">
        <f t="shared" si="28"/>
        <v>0</v>
      </c>
      <c r="W189" s="89">
        <f t="shared" si="29"/>
        <v>0</v>
      </c>
      <c r="X189" s="89">
        <f t="shared" si="30"/>
        <v>0</v>
      </c>
      <c r="Y189" s="89">
        <f t="shared" si="31"/>
        <v>0</v>
      </c>
      <c r="Z189" s="89">
        <f t="shared" si="32"/>
        <v>0</v>
      </c>
      <c r="AA189" s="41">
        <f t="shared" si="33"/>
        <v>0</v>
      </c>
      <c r="AB189" s="49"/>
      <c r="AC189" s="50"/>
      <c r="AD189" s="49"/>
      <c r="AE189" s="50"/>
      <c r="AF189" s="49" t="s">
        <v>5</v>
      </c>
      <c r="AG189" s="50" t="s">
        <v>427</v>
      </c>
      <c r="AH189" s="49"/>
      <c r="AI189" s="50"/>
      <c r="AJ189" s="49"/>
      <c r="AK189" s="50"/>
      <c r="AL189" s="49"/>
      <c r="AM189" s="50"/>
      <c r="AN189" s="49"/>
      <c r="AO189" s="50"/>
      <c r="AP189" s="49" t="s">
        <v>5</v>
      </c>
      <c r="AQ189" s="50" t="s">
        <v>428</v>
      </c>
      <c r="AR189" s="49"/>
      <c r="AS189" s="50"/>
      <c r="AT189" s="49"/>
      <c r="AU189" s="50"/>
      <c r="AV189" s="49" t="s">
        <v>5</v>
      </c>
      <c r="AW189" s="50" t="s">
        <v>476</v>
      </c>
      <c r="AX189" s="49"/>
      <c r="AY189" s="50"/>
      <c r="AZ189" s="49"/>
      <c r="BA189" s="50"/>
      <c r="BB189" s="49"/>
      <c r="BC189" s="50"/>
      <c r="BD189" s="49"/>
      <c r="BE189" s="50"/>
      <c r="BF189" s="49" t="s">
        <v>5</v>
      </c>
      <c r="BG189" s="50" t="s">
        <v>132</v>
      </c>
      <c r="BH189" s="49"/>
      <c r="BI189" s="50"/>
      <c r="BJ189" s="49"/>
      <c r="BK189" s="50"/>
      <c r="BL189" s="49"/>
      <c r="BM189" s="50"/>
      <c r="BN189" s="49"/>
      <c r="BO189" s="50"/>
      <c r="BP189" s="49"/>
      <c r="BQ189" s="50"/>
      <c r="BR189" s="49"/>
      <c r="BS189" s="50"/>
      <c r="BT189" s="49"/>
      <c r="BU189" s="50"/>
      <c r="BV189" s="49"/>
      <c r="BW189" s="50"/>
      <c r="BX189" s="49"/>
      <c r="BY189" s="50"/>
      <c r="BZ189" s="49"/>
      <c r="CA189" s="50"/>
      <c r="CB189" s="49"/>
      <c r="CC189" s="50"/>
    </row>
    <row r="190" spans="1:81" s="120" customFormat="1" ht="14.25" customHeight="1" x14ac:dyDescent="0.25">
      <c r="A190" s="79">
        <v>150564</v>
      </c>
      <c r="B190" s="77" t="s">
        <v>1602</v>
      </c>
      <c r="C190" s="98" t="s">
        <v>1421</v>
      </c>
      <c r="D190" s="90" t="s">
        <v>12</v>
      </c>
      <c r="E190" s="79" t="s">
        <v>14</v>
      </c>
      <c r="F190" s="79" t="s">
        <v>71</v>
      </c>
      <c r="G190" s="78" t="s">
        <v>14</v>
      </c>
      <c r="H190" s="121" t="s">
        <v>14</v>
      </c>
      <c r="I190" s="79" t="s">
        <v>14</v>
      </c>
      <c r="J190" s="122">
        <v>6.4</v>
      </c>
      <c r="K190" s="123">
        <v>0</v>
      </c>
      <c r="L190" s="124">
        <v>0</v>
      </c>
      <c r="M190" s="125">
        <v>0</v>
      </c>
      <c r="N190" s="118">
        <v>99</v>
      </c>
      <c r="O190" s="118">
        <v>100</v>
      </c>
      <c r="P190" s="119">
        <v>0</v>
      </c>
      <c r="Q190" s="87">
        <f t="shared" si="23"/>
        <v>0</v>
      </c>
      <c r="R190" s="88">
        <f t="shared" si="24"/>
        <v>4</v>
      </c>
      <c r="S190" s="89">
        <f t="shared" si="25"/>
        <v>0</v>
      </c>
      <c r="T190" s="89">
        <f t="shared" si="26"/>
        <v>0</v>
      </c>
      <c r="U190" s="89">
        <f t="shared" si="27"/>
        <v>0</v>
      </c>
      <c r="V190" s="89">
        <f t="shared" si="28"/>
        <v>0</v>
      </c>
      <c r="W190" s="89">
        <f t="shared" si="29"/>
        <v>0</v>
      </c>
      <c r="X190" s="89">
        <f t="shared" si="30"/>
        <v>0</v>
      </c>
      <c r="Y190" s="89">
        <f t="shared" si="31"/>
        <v>0</v>
      </c>
      <c r="Z190" s="89">
        <f t="shared" si="32"/>
        <v>0</v>
      </c>
      <c r="AA190" s="41">
        <f t="shared" si="33"/>
        <v>0</v>
      </c>
      <c r="AB190" s="49"/>
      <c r="AC190" s="50"/>
      <c r="AD190" s="49"/>
      <c r="AE190" s="50"/>
      <c r="AF190" s="49"/>
      <c r="AG190" s="50"/>
      <c r="AH190" s="49"/>
      <c r="AI190" s="50"/>
      <c r="AJ190" s="49"/>
      <c r="AK190" s="50"/>
      <c r="AL190" s="49"/>
      <c r="AM190" s="50"/>
      <c r="AN190" s="49"/>
      <c r="AO190" s="50"/>
      <c r="AP190" s="49" t="s">
        <v>5</v>
      </c>
      <c r="AQ190" s="50" t="s">
        <v>428</v>
      </c>
      <c r="AR190" s="49"/>
      <c r="AS190" s="50"/>
      <c r="AT190" s="49"/>
      <c r="AU190" s="50"/>
      <c r="AV190" s="49" t="s">
        <v>5</v>
      </c>
      <c r="AW190" s="50" t="s">
        <v>151</v>
      </c>
      <c r="AX190" s="49"/>
      <c r="AY190" s="50"/>
      <c r="AZ190" s="49"/>
      <c r="BA190" s="50"/>
      <c r="BB190" s="49"/>
      <c r="BC190" s="50"/>
      <c r="BD190" s="49"/>
      <c r="BE190" s="50"/>
      <c r="BF190" s="49" t="s">
        <v>5</v>
      </c>
      <c r="BG190" s="50" t="s">
        <v>132</v>
      </c>
      <c r="BH190" s="49"/>
      <c r="BI190" s="50"/>
      <c r="BJ190" s="49"/>
      <c r="BK190" s="50"/>
      <c r="BL190" s="49"/>
      <c r="BM190" s="50"/>
      <c r="BN190" s="49"/>
      <c r="BO190" s="50"/>
      <c r="BP190" s="49"/>
      <c r="BQ190" s="50"/>
      <c r="BR190" s="49"/>
      <c r="BS190" s="50"/>
      <c r="BT190" s="49"/>
      <c r="BU190" s="50"/>
      <c r="BV190" s="49" t="s">
        <v>5</v>
      </c>
      <c r="BW190" s="50" t="s">
        <v>93</v>
      </c>
      <c r="BX190" s="49"/>
      <c r="BY190" s="50"/>
      <c r="BZ190" s="49"/>
      <c r="CA190" s="50"/>
      <c r="CB190" s="49"/>
      <c r="CC190" s="50"/>
    </row>
    <row r="191" spans="1:81" s="120" customFormat="1" ht="14.25" customHeight="1" x14ac:dyDescent="0.25">
      <c r="A191" s="79">
        <v>150529</v>
      </c>
      <c r="B191" s="77" t="s">
        <v>1603</v>
      </c>
      <c r="C191" s="98" t="s">
        <v>1421</v>
      </c>
      <c r="D191" s="90" t="s">
        <v>70</v>
      </c>
      <c r="E191" s="79" t="s">
        <v>14</v>
      </c>
      <c r="F191" s="79" t="s">
        <v>71</v>
      </c>
      <c r="G191" s="78" t="s">
        <v>14</v>
      </c>
      <c r="H191" s="121" t="s">
        <v>14</v>
      </c>
      <c r="I191" s="79" t="s">
        <v>14</v>
      </c>
      <c r="J191" s="122">
        <v>5</v>
      </c>
      <c r="K191" s="123">
        <v>0</v>
      </c>
      <c r="L191" s="124">
        <v>0</v>
      </c>
      <c r="M191" s="125">
        <v>0</v>
      </c>
      <c r="N191" s="118">
        <v>82.88</v>
      </c>
      <c r="O191" s="118">
        <v>75.680000000000007</v>
      </c>
      <c r="P191" s="119">
        <v>2</v>
      </c>
      <c r="Q191" s="87">
        <f t="shared" si="23"/>
        <v>0</v>
      </c>
      <c r="R191" s="88">
        <f t="shared" si="24"/>
        <v>4</v>
      </c>
      <c r="S191" s="89">
        <f t="shared" si="25"/>
        <v>0</v>
      </c>
      <c r="T191" s="89">
        <f t="shared" si="26"/>
        <v>0</v>
      </c>
      <c r="U191" s="89">
        <f t="shared" si="27"/>
        <v>1</v>
      </c>
      <c r="V191" s="89">
        <f t="shared" si="28"/>
        <v>1</v>
      </c>
      <c r="W191" s="89">
        <f t="shared" si="29"/>
        <v>0</v>
      </c>
      <c r="X191" s="89">
        <f t="shared" si="30"/>
        <v>0</v>
      </c>
      <c r="Y191" s="89">
        <f t="shared" si="31"/>
        <v>0</v>
      </c>
      <c r="Z191" s="89">
        <f t="shared" si="32"/>
        <v>0</v>
      </c>
      <c r="AA191" s="41">
        <f t="shared" si="33"/>
        <v>0</v>
      </c>
      <c r="AB191" s="49"/>
      <c r="AC191" s="50"/>
      <c r="AD191" s="49"/>
      <c r="AE191" s="50"/>
      <c r="AF191" s="49"/>
      <c r="AG191" s="50"/>
      <c r="AH191" s="49"/>
      <c r="AI191" s="50"/>
      <c r="AJ191" s="49"/>
      <c r="AK191" s="50"/>
      <c r="AL191" s="49"/>
      <c r="AM191" s="50"/>
      <c r="AN191" s="49"/>
      <c r="AO191" s="50"/>
      <c r="AP191" s="49"/>
      <c r="AQ191" s="50"/>
      <c r="AR191" s="49" t="s">
        <v>32</v>
      </c>
      <c r="AS191" s="50" t="s">
        <v>459</v>
      </c>
      <c r="AT191" s="49"/>
      <c r="AU191" s="50"/>
      <c r="AV191" s="49" t="s">
        <v>5</v>
      </c>
      <c r="AW191" s="50" t="s">
        <v>151</v>
      </c>
      <c r="AX191" s="49"/>
      <c r="AY191" s="50"/>
      <c r="AZ191" s="49"/>
      <c r="BA191" s="50"/>
      <c r="BB191" s="49"/>
      <c r="BC191" s="50"/>
      <c r="BD191" s="49"/>
      <c r="BE191" s="50"/>
      <c r="BF191" s="49"/>
      <c r="BG191" s="50"/>
      <c r="BH191" s="49"/>
      <c r="BI191" s="50"/>
      <c r="BJ191" s="49"/>
      <c r="BK191" s="50"/>
      <c r="BL191" s="49"/>
      <c r="BM191" s="50"/>
      <c r="BN191" s="49" t="s">
        <v>5</v>
      </c>
      <c r="BO191" s="50" t="s">
        <v>602</v>
      </c>
      <c r="BP191" s="49" t="s">
        <v>5</v>
      </c>
      <c r="BQ191" s="50"/>
      <c r="BR191" s="49"/>
      <c r="BS191" s="50"/>
      <c r="BT191" s="49"/>
      <c r="BU191" s="50"/>
      <c r="BV191" s="49"/>
      <c r="BW191" s="50"/>
      <c r="BX191" s="49"/>
      <c r="BY191" s="50"/>
      <c r="BZ191" s="49" t="s">
        <v>5</v>
      </c>
      <c r="CA191" s="50" t="s">
        <v>462</v>
      </c>
      <c r="CB191" s="49"/>
      <c r="CC191" s="50"/>
    </row>
    <row r="192" spans="1:81" s="120" customFormat="1" ht="14.25" customHeight="1" x14ac:dyDescent="0.25">
      <c r="A192" s="79">
        <v>150596</v>
      </c>
      <c r="B192" s="77" t="s">
        <v>1604</v>
      </c>
      <c r="C192" s="98" t="s">
        <v>1417</v>
      </c>
      <c r="D192" s="90" t="s">
        <v>70</v>
      </c>
      <c r="E192" s="79" t="s">
        <v>14</v>
      </c>
      <c r="F192" s="79" t="s">
        <v>88</v>
      </c>
      <c r="G192" s="78" t="s">
        <v>14</v>
      </c>
      <c r="H192" s="121" t="s">
        <v>14</v>
      </c>
      <c r="I192" s="79" t="s">
        <v>14</v>
      </c>
      <c r="J192" s="122">
        <v>5.5</v>
      </c>
      <c r="K192" s="123">
        <v>0</v>
      </c>
      <c r="L192" s="124">
        <v>0</v>
      </c>
      <c r="M192" s="125">
        <v>0</v>
      </c>
      <c r="N192" s="118">
        <v>98.15</v>
      </c>
      <c r="O192" s="118">
        <v>100</v>
      </c>
      <c r="P192" s="119">
        <v>5</v>
      </c>
      <c r="Q192" s="87">
        <f t="shared" si="23"/>
        <v>0</v>
      </c>
      <c r="R192" s="88">
        <f t="shared" si="24"/>
        <v>0</v>
      </c>
      <c r="S192" s="89">
        <f t="shared" si="25"/>
        <v>4</v>
      </c>
      <c r="T192" s="89">
        <f t="shared" si="26"/>
        <v>0</v>
      </c>
      <c r="U192" s="89">
        <f t="shared" si="27"/>
        <v>0</v>
      </c>
      <c r="V192" s="89">
        <f t="shared" si="28"/>
        <v>4</v>
      </c>
      <c r="W192" s="89">
        <f t="shared" si="29"/>
        <v>0</v>
      </c>
      <c r="X192" s="89">
        <f t="shared" si="30"/>
        <v>0</v>
      </c>
      <c r="Y192" s="89">
        <f t="shared" si="31"/>
        <v>0</v>
      </c>
      <c r="Z192" s="89">
        <f t="shared" si="32"/>
        <v>0</v>
      </c>
      <c r="AA192" s="41">
        <f t="shared" si="33"/>
        <v>0</v>
      </c>
      <c r="AB192" s="49"/>
      <c r="AC192" s="50"/>
      <c r="AD192" s="49" t="s">
        <v>30</v>
      </c>
      <c r="AE192" s="50" t="s">
        <v>438</v>
      </c>
      <c r="AF192" s="49"/>
      <c r="AG192" s="50"/>
      <c r="AH192" s="49" t="s">
        <v>30</v>
      </c>
      <c r="AI192" s="50" t="s">
        <v>424</v>
      </c>
      <c r="AJ192" s="49"/>
      <c r="AK192" s="50"/>
      <c r="AL192" s="49"/>
      <c r="AM192" s="50"/>
      <c r="AN192" s="49"/>
      <c r="AO192" s="50"/>
      <c r="AP192" s="49"/>
      <c r="AQ192" s="50"/>
      <c r="AR192" s="49"/>
      <c r="AS192" s="50"/>
      <c r="AT192" s="49"/>
      <c r="AU192" s="50"/>
      <c r="AV192" s="49" t="s">
        <v>30</v>
      </c>
      <c r="AW192" s="50" t="s">
        <v>425</v>
      </c>
      <c r="AX192" s="49"/>
      <c r="AY192" s="50"/>
      <c r="AZ192" s="49"/>
      <c r="BA192" s="50"/>
      <c r="BB192" s="49"/>
      <c r="BC192" s="50"/>
      <c r="BD192" s="49"/>
      <c r="BE192" s="50"/>
      <c r="BF192" s="49"/>
      <c r="BG192" s="50"/>
      <c r="BH192" s="49"/>
      <c r="BI192" s="50"/>
      <c r="BJ192" s="49"/>
      <c r="BK192" s="50"/>
      <c r="BL192" s="49"/>
      <c r="BM192" s="50"/>
      <c r="BN192" s="49"/>
      <c r="BO192" s="50"/>
      <c r="BP192" s="49"/>
      <c r="BQ192" s="50"/>
      <c r="BR192" s="49"/>
      <c r="BS192" s="50"/>
      <c r="BT192" s="49"/>
      <c r="BU192" s="50"/>
      <c r="BV192" s="49"/>
      <c r="BW192" s="50"/>
      <c r="BX192" s="49" t="s">
        <v>30</v>
      </c>
      <c r="BY192" s="50" t="s">
        <v>425</v>
      </c>
      <c r="BZ192" s="49"/>
      <c r="CA192" s="50"/>
      <c r="CB192" s="49"/>
      <c r="CC192" s="50"/>
    </row>
    <row r="193" spans="1:81" s="120" customFormat="1" ht="14.25" customHeight="1" x14ac:dyDescent="0.25">
      <c r="A193" s="79">
        <v>152172</v>
      </c>
      <c r="B193" s="77" t="s">
        <v>1605</v>
      </c>
      <c r="C193" s="98" t="s">
        <v>1405</v>
      </c>
      <c r="D193" s="90" t="s">
        <v>70</v>
      </c>
      <c r="E193" s="79" t="s">
        <v>14</v>
      </c>
      <c r="F193" s="79" t="s">
        <v>71</v>
      </c>
      <c r="G193" s="78" t="s">
        <v>14</v>
      </c>
      <c r="H193" s="121" t="s">
        <v>14</v>
      </c>
      <c r="I193" s="79" t="s">
        <v>14</v>
      </c>
      <c r="J193" s="122">
        <v>7.8</v>
      </c>
      <c r="K193" s="123">
        <v>1</v>
      </c>
      <c r="L193" s="124">
        <v>0</v>
      </c>
      <c r="M193" s="125">
        <v>0</v>
      </c>
      <c r="N193" s="118">
        <v>98.97</v>
      </c>
      <c r="O193" s="118">
        <v>100</v>
      </c>
      <c r="P193" s="119">
        <v>0</v>
      </c>
      <c r="Q193" s="87">
        <f t="shared" si="23"/>
        <v>2</v>
      </c>
      <c r="R193" s="88">
        <f t="shared" si="24"/>
        <v>1</v>
      </c>
      <c r="S193" s="89">
        <f t="shared" si="25"/>
        <v>0</v>
      </c>
      <c r="T193" s="89">
        <f t="shared" si="26"/>
        <v>0</v>
      </c>
      <c r="U193" s="89">
        <f t="shared" si="27"/>
        <v>0</v>
      </c>
      <c r="V193" s="89">
        <f t="shared" si="28"/>
        <v>0</v>
      </c>
      <c r="W193" s="89">
        <f t="shared" si="29"/>
        <v>0</v>
      </c>
      <c r="X193" s="89">
        <f t="shared" si="30"/>
        <v>0</v>
      </c>
      <c r="Y193" s="89">
        <f t="shared" si="31"/>
        <v>0</v>
      </c>
      <c r="Z193" s="89">
        <f t="shared" si="32"/>
        <v>0</v>
      </c>
      <c r="AA193" s="41">
        <f t="shared" si="33"/>
        <v>0</v>
      </c>
      <c r="AB193" s="49"/>
      <c r="AC193" s="50"/>
      <c r="AD193" s="49"/>
      <c r="AE193" s="50"/>
      <c r="AF193" s="49"/>
      <c r="AG193" s="50"/>
      <c r="AH193" s="49"/>
      <c r="AI193" s="50"/>
      <c r="AJ193" s="49"/>
      <c r="AK193" s="50"/>
      <c r="AL193" s="49"/>
      <c r="AM193" s="50"/>
      <c r="AN193" s="49"/>
      <c r="AO193" s="50"/>
      <c r="AP193" s="49"/>
      <c r="AQ193" s="50"/>
      <c r="AR193" s="49"/>
      <c r="AS193" s="50"/>
      <c r="AT193" s="49"/>
      <c r="AU193" s="50"/>
      <c r="AV193" s="49" t="s">
        <v>1</v>
      </c>
      <c r="AW193" s="50" t="s">
        <v>82</v>
      </c>
      <c r="AX193" s="49"/>
      <c r="AY193" s="50"/>
      <c r="AZ193" s="49"/>
      <c r="BA193" s="50"/>
      <c r="BB193" s="49"/>
      <c r="BC193" s="50"/>
      <c r="BD193" s="49"/>
      <c r="BE193" s="50"/>
      <c r="BF193" s="49"/>
      <c r="BG193" s="50"/>
      <c r="BH193" s="49"/>
      <c r="BI193" s="50"/>
      <c r="BJ193" s="49"/>
      <c r="BK193" s="50"/>
      <c r="BL193" s="49"/>
      <c r="BM193" s="50"/>
      <c r="BN193" s="49"/>
      <c r="BO193" s="50"/>
      <c r="BP193" s="49"/>
      <c r="BQ193" s="50"/>
      <c r="BR193" s="49"/>
      <c r="BS193" s="50"/>
      <c r="BT193" s="49"/>
      <c r="BU193" s="50"/>
      <c r="BV193" s="49" t="s">
        <v>5</v>
      </c>
      <c r="BW193" s="50" t="s">
        <v>93</v>
      </c>
      <c r="BX193" s="49"/>
      <c r="BY193" s="50" t="s">
        <v>436</v>
      </c>
      <c r="BZ193" s="49" t="s">
        <v>1</v>
      </c>
      <c r="CA193" s="50" t="s">
        <v>462</v>
      </c>
      <c r="CB193" s="49"/>
      <c r="CC193" s="50"/>
    </row>
    <row r="194" spans="1:81" s="120" customFormat="1" ht="14.25" customHeight="1" x14ac:dyDescent="0.25">
      <c r="A194" s="79">
        <v>150496</v>
      </c>
      <c r="B194" s="77" t="s">
        <v>1606</v>
      </c>
      <c r="C194" s="98" t="s">
        <v>1417</v>
      </c>
      <c r="D194" s="90" t="s">
        <v>12</v>
      </c>
      <c r="E194" s="79" t="s">
        <v>14</v>
      </c>
      <c r="F194" s="79" t="s">
        <v>71</v>
      </c>
      <c r="G194" s="78" t="s">
        <v>14</v>
      </c>
      <c r="H194" s="121" t="s">
        <v>14</v>
      </c>
      <c r="I194" s="79" t="s">
        <v>14</v>
      </c>
      <c r="J194" s="122">
        <v>4.8</v>
      </c>
      <c r="K194" s="123">
        <v>0</v>
      </c>
      <c r="L194" s="124">
        <v>0</v>
      </c>
      <c r="M194" s="125">
        <v>0</v>
      </c>
      <c r="N194" s="118">
        <v>89.52</v>
      </c>
      <c r="O194" s="118">
        <v>80.56</v>
      </c>
      <c r="P194" s="119">
        <v>2</v>
      </c>
      <c r="Q194" s="87">
        <f t="shared" ref="Q194:Q203" si="34">COUNTIF($AB194:$CT194,"Outstanding")</f>
        <v>0</v>
      </c>
      <c r="R194" s="88">
        <f t="shared" ref="R194:R203" si="35">COUNTIF($AB194:$CT194,"Good")</f>
        <v>3</v>
      </c>
      <c r="S194" s="89">
        <f t="shared" ref="S194:S203" si="36">COUNTIF($AB194:$CT194,"N2Improve - Engagement")</f>
        <v>0</v>
      </c>
      <c r="T194" s="89">
        <f t="shared" ref="T194:T203" si="37">COUNTIF($AB194:$CT194,"N2Improve - Community Conduct")</f>
        <v>0</v>
      </c>
      <c r="U194" s="89">
        <f t="shared" ref="U194:U203" si="38">COUNTIF($AB194:$CT194,"N2Improve - Personal Org.")</f>
        <v>1</v>
      </c>
      <c r="V194" s="89">
        <f t="shared" ref="V194:V203" si="39">SUM(S194:U194)</f>
        <v>1</v>
      </c>
      <c r="W194" s="89">
        <f t="shared" ref="W194:W203" si="40">COUNTIF($AB194:$CT194,"Serious Conc - Engagement")</f>
        <v>0</v>
      </c>
      <c r="X194" s="89">
        <f t="shared" ref="X194:X203" si="41">COUNTIF($AB194:$CT194,"Serious Conc - Comm. Concern")</f>
        <v>0</v>
      </c>
      <c r="Y194" s="89">
        <f t="shared" ref="Y194:Y203" si="42">COUNTIF($AB194:$CT194,"Serious Conc - Personal Org.")</f>
        <v>0</v>
      </c>
      <c r="Z194" s="89">
        <f t="shared" si="32"/>
        <v>0</v>
      </c>
      <c r="AA194" s="41">
        <f t="shared" si="33"/>
        <v>0</v>
      </c>
      <c r="AB194" s="49"/>
      <c r="AC194" s="50"/>
      <c r="AD194" s="49" t="s">
        <v>5</v>
      </c>
      <c r="AE194" s="50" t="s">
        <v>133</v>
      </c>
      <c r="AF194" s="49"/>
      <c r="AG194" s="50"/>
      <c r="AH194" s="49"/>
      <c r="AI194" s="50"/>
      <c r="AJ194" s="49"/>
      <c r="AK194" s="50"/>
      <c r="AL194" s="49"/>
      <c r="AM194" s="50"/>
      <c r="AN194" s="49"/>
      <c r="AO194" s="50"/>
      <c r="AP194" s="49"/>
      <c r="AQ194" s="50"/>
      <c r="AR194" s="49"/>
      <c r="AS194" s="50"/>
      <c r="AT194" s="49"/>
      <c r="AU194" s="50"/>
      <c r="AV194" s="49" t="s">
        <v>5</v>
      </c>
      <c r="AW194" s="50" t="s">
        <v>425</v>
      </c>
      <c r="AX194" s="49"/>
      <c r="AY194" s="50"/>
      <c r="AZ194" s="49"/>
      <c r="BA194" s="50"/>
      <c r="BB194" s="49"/>
      <c r="BC194" s="50"/>
      <c r="BD194" s="49"/>
      <c r="BE194" s="50"/>
      <c r="BF194" s="49"/>
      <c r="BG194" s="50"/>
      <c r="BH194" s="49"/>
      <c r="BI194" s="50"/>
      <c r="BJ194" s="49"/>
      <c r="BK194" s="50"/>
      <c r="BL194" s="49"/>
      <c r="BM194" s="50"/>
      <c r="BN194" s="49"/>
      <c r="BO194" s="50"/>
      <c r="BP194" s="49"/>
      <c r="BQ194" s="50"/>
      <c r="BR194" s="49"/>
      <c r="BS194" s="50"/>
      <c r="BT194" s="49"/>
      <c r="BU194" s="50"/>
      <c r="BV194" s="49" t="s">
        <v>5</v>
      </c>
      <c r="BW194" s="50" t="s">
        <v>93</v>
      </c>
      <c r="BX194" s="49" t="s">
        <v>32</v>
      </c>
      <c r="BY194" s="50" t="s">
        <v>425</v>
      </c>
      <c r="BZ194" s="49"/>
      <c r="CA194" s="50"/>
      <c r="CB194" s="49"/>
      <c r="CC194" s="50"/>
    </row>
    <row r="195" spans="1:81" s="120" customFormat="1" ht="14.25" customHeight="1" x14ac:dyDescent="0.25">
      <c r="A195" s="79">
        <v>150523</v>
      </c>
      <c r="B195" s="77" t="s">
        <v>1607</v>
      </c>
      <c r="C195" s="98" t="s">
        <v>1440</v>
      </c>
      <c r="D195" s="90" t="s">
        <v>70</v>
      </c>
      <c r="E195" s="79" t="s">
        <v>14</v>
      </c>
      <c r="F195" s="79" t="s">
        <v>71</v>
      </c>
      <c r="G195" s="78" t="s">
        <v>14</v>
      </c>
      <c r="H195" s="121" t="s">
        <v>14</v>
      </c>
      <c r="I195" s="79" t="s">
        <v>14</v>
      </c>
      <c r="J195" s="122">
        <v>7.2</v>
      </c>
      <c r="K195" s="123">
        <v>0</v>
      </c>
      <c r="L195" s="124">
        <v>0</v>
      </c>
      <c r="M195" s="125">
        <v>0</v>
      </c>
      <c r="N195" s="118">
        <v>83.65</v>
      </c>
      <c r="O195" s="118">
        <v>100</v>
      </c>
      <c r="P195" s="119">
        <v>0</v>
      </c>
      <c r="Q195" s="87">
        <f t="shared" si="34"/>
        <v>1</v>
      </c>
      <c r="R195" s="88">
        <f t="shared" si="35"/>
        <v>3</v>
      </c>
      <c r="S195" s="89">
        <f t="shared" si="36"/>
        <v>0</v>
      </c>
      <c r="T195" s="89">
        <f t="shared" si="37"/>
        <v>0</v>
      </c>
      <c r="U195" s="89">
        <f t="shared" si="38"/>
        <v>0</v>
      </c>
      <c r="V195" s="89">
        <f t="shared" si="39"/>
        <v>0</v>
      </c>
      <c r="W195" s="89">
        <f t="shared" si="40"/>
        <v>0</v>
      </c>
      <c r="X195" s="89">
        <f t="shared" si="41"/>
        <v>0</v>
      </c>
      <c r="Y195" s="89">
        <f t="shared" si="42"/>
        <v>0</v>
      </c>
      <c r="Z195" s="89">
        <f t="shared" ref="Z195:Z203" si="43">SUM(W195:Y195)</f>
        <v>0</v>
      </c>
      <c r="AA195" s="41">
        <f t="shared" ref="AA195:AA203" si="44">COUNTIF(AB195:CC195,"*still*")</f>
        <v>0</v>
      </c>
      <c r="AB195" s="49"/>
      <c r="AC195" s="50"/>
      <c r="AD195" s="49" t="s">
        <v>5</v>
      </c>
      <c r="AE195" s="50" t="s">
        <v>133</v>
      </c>
      <c r="AF195" s="49"/>
      <c r="AG195" s="50"/>
      <c r="AH195" s="49" t="s">
        <v>5</v>
      </c>
      <c r="AI195" s="50" t="s">
        <v>424</v>
      </c>
      <c r="AJ195" s="49"/>
      <c r="AK195" s="50"/>
      <c r="AL195" s="49"/>
      <c r="AM195" s="50"/>
      <c r="AN195" s="49"/>
      <c r="AO195" s="50"/>
      <c r="AP195" s="49"/>
      <c r="AQ195" s="50"/>
      <c r="AR195" s="49"/>
      <c r="AS195" s="50"/>
      <c r="AT195" s="49"/>
      <c r="AU195" s="50"/>
      <c r="AV195" s="49" t="s">
        <v>1</v>
      </c>
      <c r="AW195" s="50" t="s">
        <v>433</v>
      </c>
      <c r="AX195" s="49"/>
      <c r="AY195" s="50"/>
      <c r="AZ195" s="49"/>
      <c r="BA195" s="50"/>
      <c r="BB195" s="49" t="s">
        <v>5</v>
      </c>
      <c r="BC195" s="50" t="s">
        <v>76</v>
      </c>
      <c r="BD195" s="49"/>
      <c r="BE195" s="50"/>
      <c r="BF195" s="49"/>
      <c r="BG195" s="50"/>
      <c r="BH195" s="49"/>
      <c r="BI195" s="50"/>
      <c r="BJ195" s="49"/>
      <c r="BK195" s="50"/>
      <c r="BL195" s="49"/>
      <c r="BM195" s="50"/>
      <c r="BN195" s="49"/>
      <c r="BO195" s="50"/>
      <c r="BP195" s="49"/>
      <c r="BQ195" s="50"/>
      <c r="BR195" s="49"/>
      <c r="BS195" s="50"/>
      <c r="BT195" s="49"/>
      <c r="BU195" s="50"/>
      <c r="BV195" s="49"/>
      <c r="BW195" s="50"/>
      <c r="BX195" s="49"/>
      <c r="BY195" s="50"/>
      <c r="BZ195" s="49"/>
      <c r="CA195" s="50"/>
      <c r="CB195" s="49"/>
      <c r="CC195" s="50"/>
    </row>
    <row r="196" spans="1:81" s="120" customFormat="1" ht="14.25" customHeight="1" x14ac:dyDescent="0.25">
      <c r="A196" s="79">
        <v>150495</v>
      </c>
      <c r="B196" s="77" t="s">
        <v>1608</v>
      </c>
      <c r="C196" s="98" t="s">
        <v>1440</v>
      </c>
      <c r="D196" s="90" t="s">
        <v>12</v>
      </c>
      <c r="E196" s="79" t="s">
        <v>14</v>
      </c>
      <c r="F196" s="79" t="s">
        <v>71</v>
      </c>
      <c r="G196" s="78" t="s">
        <v>14</v>
      </c>
      <c r="H196" s="121" t="s">
        <v>14</v>
      </c>
      <c r="I196" s="79" t="s">
        <v>14</v>
      </c>
      <c r="J196" s="122">
        <v>8.1999999999999993</v>
      </c>
      <c r="K196" s="123">
        <v>3</v>
      </c>
      <c r="L196" s="124">
        <v>0</v>
      </c>
      <c r="M196" s="125">
        <v>0</v>
      </c>
      <c r="N196" s="118">
        <v>97.17</v>
      </c>
      <c r="O196" s="118">
        <v>97.14</v>
      </c>
      <c r="P196" s="119">
        <v>1</v>
      </c>
      <c r="Q196" s="87">
        <f t="shared" si="34"/>
        <v>2</v>
      </c>
      <c r="R196" s="88">
        <f t="shared" si="35"/>
        <v>2</v>
      </c>
      <c r="S196" s="89">
        <f t="shared" si="36"/>
        <v>0</v>
      </c>
      <c r="T196" s="89">
        <f t="shared" si="37"/>
        <v>0</v>
      </c>
      <c r="U196" s="89">
        <f t="shared" si="38"/>
        <v>0</v>
      </c>
      <c r="V196" s="89">
        <f t="shared" si="39"/>
        <v>0</v>
      </c>
      <c r="W196" s="89">
        <f t="shared" si="40"/>
        <v>0</v>
      </c>
      <c r="X196" s="89">
        <f t="shared" si="41"/>
        <v>0</v>
      </c>
      <c r="Y196" s="89">
        <f t="shared" si="42"/>
        <v>0</v>
      </c>
      <c r="Z196" s="89">
        <f t="shared" si="43"/>
        <v>0</v>
      </c>
      <c r="AA196" s="41">
        <f t="shared" si="44"/>
        <v>0</v>
      </c>
      <c r="AB196" s="49"/>
      <c r="AC196" s="50"/>
      <c r="AD196" s="49"/>
      <c r="AE196" s="50"/>
      <c r="AF196" s="49"/>
      <c r="AG196" s="50"/>
      <c r="AH196" s="49"/>
      <c r="AI196" s="50"/>
      <c r="AJ196" s="49"/>
      <c r="AK196" s="50"/>
      <c r="AL196" s="49"/>
      <c r="AM196" s="50"/>
      <c r="AN196" s="49"/>
      <c r="AO196" s="50"/>
      <c r="AP196" s="49"/>
      <c r="AQ196" s="50"/>
      <c r="AR196" s="49"/>
      <c r="AS196" s="50"/>
      <c r="AT196" s="49"/>
      <c r="AU196" s="50"/>
      <c r="AV196" s="49" t="s">
        <v>1</v>
      </c>
      <c r="AW196" s="50" t="s">
        <v>433</v>
      </c>
      <c r="AX196" s="49"/>
      <c r="AY196" s="50"/>
      <c r="AZ196" s="49"/>
      <c r="BA196" s="50"/>
      <c r="BB196" s="49"/>
      <c r="BC196" s="50"/>
      <c r="BD196" s="49"/>
      <c r="BE196" s="50"/>
      <c r="BF196" s="49"/>
      <c r="BG196" s="50"/>
      <c r="BH196" s="49" t="s">
        <v>5</v>
      </c>
      <c r="BI196" s="50" t="s">
        <v>139</v>
      </c>
      <c r="BJ196" s="49"/>
      <c r="BK196" s="50"/>
      <c r="BL196" s="49"/>
      <c r="BM196" s="50"/>
      <c r="BN196" s="49"/>
      <c r="BO196" s="50"/>
      <c r="BP196" s="49"/>
      <c r="BQ196" s="50"/>
      <c r="BR196" s="49"/>
      <c r="BS196" s="50"/>
      <c r="BT196" s="49" t="s">
        <v>1</v>
      </c>
      <c r="BU196" s="50" t="s">
        <v>98</v>
      </c>
      <c r="BV196" s="49"/>
      <c r="BW196" s="50"/>
      <c r="BX196" s="49"/>
      <c r="BY196" s="50"/>
      <c r="BZ196" s="49"/>
      <c r="CA196" s="50"/>
      <c r="CB196" s="49" t="s">
        <v>5</v>
      </c>
      <c r="CC196" s="50" t="s">
        <v>421</v>
      </c>
    </row>
    <row r="197" spans="1:81" s="120" customFormat="1" ht="14.25" customHeight="1" x14ac:dyDescent="0.25">
      <c r="A197" s="79">
        <v>150479</v>
      </c>
      <c r="B197" s="77" t="s">
        <v>1609</v>
      </c>
      <c r="C197" s="98" t="s">
        <v>1410</v>
      </c>
      <c r="D197" s="90" t="s">
        <v>70</v>
      </c>
      <c r="E197" s="79" t="s">
        <v>14</v>
      </c>
      <c r="F197" s="79" t="s">
        <v>71</v>
      </c>
      <c r="G197" s="78" t="s">
        <v>14</v>
      </c>
      <c r="H197" s="121" t="s">
        <v>14</v>
      </c>
      <c r="I197" s="79" t="s">
        <v>14</v>
      </c>
      <c r="J197" s="122">
        <v>6.6</v>
      </c>
      <c r="K197" s="123">
        <v>0</v>
      </c>
      <c r="L197" s="124">
        <v>0</v>
      </c>
      <c r="M197" s="125">
        <v>0</v>
      </c>
      <c r="N197" s="118">
        <v>84.4</v>
      </c>
      <c r="O197" s="118">
        <v>100</v>
      </c>
      <c r="P197" s="119">
        <v>0</v>
      </c>
      <c r="Q197" s="87">
        <f t="shared" si="34"/>
        <v>2</v>
      </c>
      <c r="R197" s="88">
        <f t="shared" si="35"/>
        <v>3</v>
      </c>
      <c r="S197" s="89">
        <f t="shared" si="36"/>
        <v>0</v>
      </c>
      <c r="T197" s="89">
        <f t="shared" si="37"/>
        <v>0</v>
      </c>
      <c r="U197" s="89">
        <f t="shared" si="38"/>
        <v>0</v>
      </c>
      <c r="V197" s="89">
        <f t="shared" si="39"/>
        <v>0</v>
      </c>
      <c r="W197" s="89">
        <f t="shared" si="40"/>
        <v>0</v>
      </c>
      <c r="X197" s="89">
        <f t="shared" si="41"/>
        <v>0</v>
      </c>
      <c r="Y197" s="89">
        <f t="shared" si="42"/>
        <v>0</v>
      </c>
      <c r="Z197" s="89">
        <f t="shared" si="43"/>
        <v>0</v>
      </c>
      <c r="AA197" s="41">
        <f t="shared" si="44"/>
        <v>0</v>
      </c>
      <c r="AB197" s="49"/>
      <c r="AC197" s="50"/>
      <c r="AD197" s="49"/>
      <c r="AE197" s="50"/>
      <c r="AF197" s="49"/>
      <c r="AG197" s="50"/>
      <c r="AH197" s="49"/>
      <c r="AI197" s="50"/>
      <c r="AJ197" s="49"/>
      <c r="AK197" s="50"/>
      <c r="AL197" s="49"/>
      <c r="AM197" s="50"/>
      <c r="AN197" s="49"/>
      <c r="AO197" s="50"/>
      <c r="AP197" s="49"/>
      <c r="AQ197" s="50"/>
      <c r="AR197" s="49"/>
      <c r="AS197" s="50"/>
      <c r="AT197" s="49"/>
      <c r="AU197" s="50"/>
      <c r="AV197" s="49" t="s">
        <v>1</v>
      </c>
      <c r="AW197" s="50" t="s">
        <v>457</v>
      </c>
      <c r="AX197" s="49"/>
      <c r="AY197" s="50"/>
      <c r="AZ197" s="49"/>
      <c r="BA197" s="50"/>
      <c r="BB197" s="49" t="s">
        <v>5</v>
      </c>
      <c r="BC197" s="50" t="s">
        <v>76</v>
      </c>
      <c r="BD197" s="49"/>
      <c r="BE197" s="50"/>
      <c r="BF197" s="49"/>
      <c r="BG197" s="50"/>
      <c r="BH197" s="49"/>
      <c r="BI197" s="50"/>
      <c r="BJ197" s="49"/>
      <c r="BK197" s="50"/>
      <c r="BL197" s="49" t="s">
        <v>1</v>
      </c>
      <c r="BM197" s="50" t="s">
        <v>95</v>
      </c>
      <c r="BN197" s="49" t="s">
        <v>5</v>
      </c>
      <c r="BO197" s="50" t="s">
        <v>602</v>
      </c>
      <c r="BP197" s="49" t="s">
        <v>5</v>
      </c>
      <c r="BQ197" s="50"/>
      <c r="BR197" s="49"/>
      <c r="BS197" s="50"/>
      <c r="BT197" s="49"/>
      <c r="BU197" s="50"/>
      <c r="BV197" s="49"/>
      <c r="BW197" s="50"/>
      <c r="BX197" s="49"/>
      <c r="BY197" s="50"/>
      <c r="BZ197" s="49"/>
      <c r="CA197" s="50"/>
      <c r="CB197" s="49"/>
      <c r="CC197" s="50"/>
    </row>
    <row r="198" spans="1:81" s="120" customFormat="1" ht="14.25" customHeight="1" x14ac:dyDescent="0.25">
      <c r="A198" s="79">
        <v>152168</v>
      </c>
      <c r="B198" s="77" t="s">
        <v>1610</v>
      </c>
      <c r="C198" s="98" t="s">
        <v>1435</v>
      </c>
      <c r="D198" s="90" t="s">
        <v>70</v>
      </c>
      <c r="E198" s="79" t="s">
        <v>14</v>
      </c>
      <c r="F198" s="79" t="s">
        <v>71</v>
      </c>
      <c r="G198" s="78" t="s">
        <v>14</v>
      </c>
      <c r="H198" s="121" t="s">
        <v>14</v>
      </c>
      <c r="I198" s="79" t="s">
        <v>14</v>
      </c>
      <c r="J198" s="122">
        <v>3.5</v>
      </c>
      <c r="K198" s="123">
        <v>0</v>
      </c>
      <c r="L198" s="124">
        <v>0</v>
      </c>
      <c r="M198" s="125">
        <v>0</v>
      </c>
      <c r="N198" s="118">
        <v>100</v>
      </c>
      <c r="O198" s="118">
        <v>100</v>
      </c>
      <c r="P198" s="119">
        <v>0</v>
      </c>
      <c r="Q198" s="87">
        <f t="shared" si="34"/>
        <v>0</v>
      </c>
      <c r="R198" s="88">
        <f t="shared" si="35"/>
        <v>5</v>
      </c>
      <c r="S198" s="89">
        <f t="shared" si="36"/>
        <v>0</v>
      </c>
      <c r="T198" s="89">
        <f t="shared" si="37"/>
        <v>0</v>
      </c>
      <c r="U198" s="89">
        <f t="shared" si="38"/>
        <v>0</v>
      </c>
      <c r="V198" s="89">
        <f t="shared" si="39"/>
        <v>0</v>
      </c>
      <c r="W198" s="89">
        <f t="shared" si="40"/>
        <v>0</v>
      </c>
      <c r="X198" s="89">
        <f t="shared" si="41"/>
        <v>0</v>
      </c>
      <c r="Y198" s="89">
        <f t="shared" si="42"/>
        <v>0</v>
      </c>
      <c r="Z198" s="89">
        <f t="shared" si="43"/>
        <v>0</v>
      </c>
      <c r="AA198" s="41">
        <f t="shared" si="44"/>
        <v>0</v>
      </c>
      <c r="AB198" s="49"/>
      <c r="AC198" s="50"/>
      <c r="AD198" s="49"/>
      <c r="AE198" s="50"/>
      <c r="AF198" s="49"/>
      <c r="AG198" s="50"/>
      <c r="AH198" s="49"/>
      <c r="AI198" s="50"/>
      <c r="AJ198" s="49"/>
      <c r="AK198" s="50"/>
      <c r="AL198" s="49"/>
      <c r="AM198" s="50"/>
      <c r="AN198" s="49"/>
      <c r="AO198" s="50"/>
      <c r="AP198" s="49"/>
      <c r="AQ198" s="50"/>
      <c r="AR198" s="49"/>
      <c r="AS198" s="50"/>
      <c r="AT198" s="49"/>
      <c r="AU198" s="50"/>
      <c r="AV198" s="49" t="s">
        <v>5</v>
      </c>
      <c r="AW198" s="50" t="s">
        <v>82</v>
      </c>
      <c r="AX198" s="49"/>
      <c r="AY198" s="50"/>
      <c r="AZ198" s="49"/>
      <c r="BA198" s="50"/>
      <c r="BB198" s="49"/>
      <c r="BC198" s="50"/>
      <c r="BD198" s="49" t="s">
        <v>5</v>
      </c>
      <c r="BE198" s="50" t="s">
        <v>436</v>
      </c>
      <c r="BF198" s="49"/>
      <c r="BG198" s="50"/>
      <c r="BH198" s="49"/>
      <c r="BI198" s="50"/>
      <c r="BJ198" s="49"/>
      <c r="BK198" s="50"/>
      <c r="BL198" s="49"/>
      <c r="BM198" s="50"/>
      <c r="BN198" s="49" t="s">
        <v>5</v>
      </c>
      <c r="BO198" s="50" t="s">
        <v>602</v>
      </c>
      <c r="BP198" s="49" t="s">
        <v>5</v>
      </c>
      <c r="BQ198" s="50"/>
      <c r="BR198" s="49"/>
      <c r="BS198" s="50"/>
      <c r="BT198" s="49"/>
      <c r="BU198" s="50"/>
      <c r="BV198" s="49"/>
      <c r="BW198" s="50"/>
      <c r="BX198" s="49"/>
      <c r="BY198" s="50"/>
      <c r="BZ198" s="49" t="s">
        <v>5</v>
      </c>
      <c r="CA198" s="50" t="s">
        <v>462</v>
      </c>
      <c r="CB198" s="49"/>
      <c r="CC198" s="50"/>
    </row>
    <row r="199" spans="1:81" s="120" customFormat="1" ht="14.25" customHeight="1" x14ac:dyDescent="0.25">
      <c r="A199" s="79">
        <v>150413</v>
      </c>
      <c r="B199" s="77" t="s">
        <v>1611</v>
      </c>
      <c r="C199" s="98" t="s">
        <v>1408</v>
      </c>
      <c r="D199" s="90" t="s">
        <v>12</v>
      </c>
      <c r="E199" s="79" t="s">
        <v>14</v>
      </c>
      <c r="F199" s="79" t="s">
        <v>71</v>
      </c>
      <c r="G199" s="78" t="s">
        <v>14</v>
      </c>
      <c r="H199" s="121" t="s">
        <v>14</v>
      </c>
      <c r="I199" s="79" t="s">
        <v>14</v>
      </c>
      <c r="J199" s="122">
        <v>5.0999999999999996</v>
      </c>
      <c r="K199" s="123">
        <v>1</v>
      </c>
      <c r="L199" s="124">
        <v>0</v>
      </c>
      <c r="M199" s="125">
        <v>0</v>
      </c>
      <c r="N199" s="118">
        <v>99.09</v>
      </c>
      <c r="O199" s="118">
        <v>97.22</v>
      </c>
      <c r="P199" s="119">
        <v>0</v>
      </c>
      <c r="Q199" s="87">
        <f t="shared" si="34"/>
        <v>1</v>
      </c>
      <c r="R199" s="88">
        <f t="shared" si="35"/>
        <v>3</v>
      </c>
      <c r="S199" s="89">
        <f t="shared" si="36"/>
        <v>0</v>
      </c>
      <c r="T199" s="89">
        <f t="shared" si="37"/>
        <v>0</v>
      </c>
      <c r="U199" s="89">
        <f t="shared" si="38"/>
        <v>0</v>
      </c>
      <c r="V199" s="89">
        <f t="shared" si="39"/>
        <v>0</v>
      </c>
      <c r="W199" s="89">
        <f t="shared" si="40"/>
        <v>0</v>
      </c>
      <c r="X199" s="89">
        <f t="shared" si="41"/>
        <v>0</v>
      </c>
      <c r="Y199" s="89">
        <f t="shared" si="42"/>
        <v>0</v>
      </c>
      <c r="Z199" s="89">
        <f t="shared" si="43"/>
        <v>0</v>
      </c>
      <c r="AA199" s="41">
        <f t="shared" si="44"/>
        <v>0</v>
      </c>
      <c r="AB199" s="49" t="s">
        <v>1</v>
      </c>
      <c r="AC199" s="50" t="s">
        <v>72</v>
      </c>
      <c r="AD199" s="49"/>
      <c r="AE199" s="50"/>
      <c r="AF199" s="49"/>
      <c r="AG199" s="50"/>
      <c r="AH199" s="49"/>
      <c r="AI199" s="50"/>
      <c r="AJ199" s="49"/>
      <c r="AK199" s="50"/>
      <c r="AL199" s="49"/>
      <c r="AM199" s="50"/>
      <c r="AN199" s="49"/>
      <c r="AO199" s="50"/>
      <c r="AP199" s="49"/>
      <c r="AQ199" s="50"/>
      <c r="AR199" s="49"/>
      <c r="AS199" s="50"/>
      <c r="AT199" s="49"/>
      <c r="AU199" s="50"/>
      <c r="AV199" s="49" t="s">
        <v>5</v>
      </c>
      <c r="AW199" s="50" t="s">
        <v>421</v>
      </c>
      <c r="AX199" s="49"/>
      <c r="AY199" s="50"/>
      <c r="AZ199" s="49"/>
      <c r="BA199" s="50"/>
      <c r="BB199" s="49"/>
      <c r="BC199" s="50"/>
      <c r="BD199" s="49"/>
      <c r="BE199" s="50"/>
      <c r="BF199" s="49"/>
      <c r="BG199" s="50"/>
      <c r="BH199" s="49"/>
      <c r="BI199" s="50"/>
      <c r="BJ199" s="49"/>
      <c r="BK199" s="50"/>
      <c r="BL199" s="49"/>
      <c r="BM199" s="50"/>
      <c r="BN199" s="49"/>
      <c r="BO199" s="50"/>
      <c r="BP199" s="49"/>
      <c r="BQ199" s="50"/>
      <c r="BR199" s="49"/>
      <c r="BS199" s="50"/>
      <c r="BT199" s="49"/>
      <c r="BU199" s="50"/>
      <c r="BV199" s="49"/>
      <c r="BW199" s="50"/>
      <c r="BX199" s="49" t="s">
        <v>5</v>
      </c>
      <c r="BY199" s="50" t="s">
        <v>425</v>
      </c>
      <c r="BZ199" s="49" t="s">
        <v>5</v>
      </c>
      <c r="CA199" s="50" t="s">
        <v>462</v>
      </c>
      <c r="CB199" s="49"/>
      <c r="CC199" s="50"/>
    </row>
    <row r="200" spans="1:81" s="120" customFormat="1" ht="14.25" customHeight="1" x14ac:dyDescent="0.25">
      <c r="A200" s="79">
        <v>150590</v>
      </c>
      <c r="B200" s="77" t="s">
        <v>1612</v>
      </c>
      <c r="C200" s="98" t="s">
        <v>1435</v>
      </c>
      <c r="D200" s="90" t="s">
        <v>70</v>
      </c>
      <c r="E200" s="79" t="s">
        <v>14</v>
      </c>
      <c r="F200" s="79" t="s">
        <v>71</v>
      </c>
      <c r="G200" s="78" t="s">
        <v>14</v>
      </c>
      <c r="H200" s="121" t="s">
        <v>14</v>
      </c>
      <c r="I200" s="79" t="s">
        <v>14</v>
      </c>
      <c r="J200" s="122">
        <v>8.1999999999999993</v>
      </c>
      <c r="K200" s="123">
        <v>0</v>
      </c>
      <c r="L200" s="124">
        <v>0</v>
      </c>
      <c r="M200" s="125">
        <v>0</v>
      </c>
      <c r="N200" s="118">
        <v>99.12</v>
      </c>
      <c r="O200" s="118">
        <v>100</v>
      </c>
      <c r="P200" s="119">
        <v>0</v>
      </c>
      <c r="Q200" s="87">
        <f t="shared" si="34"/>
        <v>0</v>
      </c>
      <c r="R200" s="88">
        <f t="shared" si="35"/>
        <v>4</v>
      </c>
      <c r="S200" s="89">
        <f t="shared" si="36"/>
        <v>0</v>
      </c>
      <c r="T200" s="89">
        <f t="shared" si="37"/>
        <v>0</v>
      </c>
      <c r="U200" s="89">
        <f t="shared" si="38"/>
        <v>0</v>
      </c>
      <c r="V200" s="89">
        <f t="shared" si="39"/>
        <v>0</v>
      </c>
      <c r="W200" s="89">
        <f t="shared" si="40"/>
        <v>0</v>
      </c>
      <c r="X200" s="89">
        <f t="shared" si="41"/>
        <v>0</v>
      </c>
      <c r="Y200" s="89">
        <f t="shared" si="42"/>
        <v>0</v>
      </c>
      <c r="Z200" s="89">
        <f t="shared" si="43"/>
        <v>0</v>
      </c>
      <c r="AA200" s="41">
        <f t="shared" si="44"/>
        <v>0</v>
      </c>
      <c r="AB200" s="49"/>
      <c r="AC200" s="50"/>
      <c r="AD200" s="49" t="s">
        <v>5</v>
      </c>
      <c r="AE200" s="50" t="s">
        <v>133</v>
      </c>
      <c r="AF200" s="49"/>
      <c r="AG200" s="50"/>
      <c r="AH200" s="49" t="s">
        <v>5</v>
      </c>
      <c r="AI200" s="50" t="s">
        <v>206</v>
      </c>
      <c r="AJ200" s="49"/>
      <c r="AK200" s="50"/>
      <c r="AL200" s="49"/>
      <c r="AM200" s="50"/>
      <c r="AN200" s="49"/>
      <c r="AO200" s="50"/>
      <c r="AP200" s="49"/>
      <c r="AQ200" s="50"/>
      <c r="AR200" s="49"/>
      <c r="AS200" s="50"/>
      <c r="AT200" s="49"/>
      <c r="AU200" s="50"/>
      <c r="AV200" s="49" t="s">
        <v>5</v>
      </c>
      <c r="AW200" s="50" t="s">
        <v>457</v>
      </c>
      <c r="AX200" s="49"/>
      <c r="AY200" s="50"/>
      <c r="AZ200" s="49"/>
      <c r="BA200" s="50"/>
      <c r="BB200" s="49"/>
      <c r="BC200" s="50"/>
      <c r="BD200" s="49"/>
      <c r="BE200" s="50"/>
      <c r="BF200" s="49"/>
      <c r="BG200" s="50"/>
      <c r="BH200" s="49"/>
      <c r="BI200" s="50"/>
      <c r="BJ200" s="49"/>
      <c r="BK200" s="50"/>
      <c r="BL200" s="49"/>
      <c r="BM200" s="50"/>
      <c r="BN200" s="49"/>
      <c r="BO200" s="50"/>
      <c r="BP200" s="49"/>
      <c r="BQ200" s="50"/>
      <c r="BR200" s="49"/>
      <c r="BS200" s="50"/>
      <c r="BT200" s="49"/>
      <c r="BU200" s="50"/>
      <c r="BV200" s="49"/>
      <c r="BW200" s="50"/>
      <c r="BX200" s="49" t="s">
        <v>5</v>
      </c>
      <c r="BY200" s="50" t="s">
        <v>425</v>
      </c>
      <c r="BZ200" s="49"/>
      <c r="CA200" s="50"/>
      <c r="CB200" s="49"/>
      <c r="CC200" s="50"/>
    </row>
    <row r="201" spans="1:81" s="120" customFormat="1" ht="14.25" customHeight="1" x14ac:dyDescent="0.25">
      <c r="A201" s="79">
        <v>152207</v>
      </c>
      <c r="B201" s="77" t="s">
        <v>1613</v>
      </c>
      <c r="C201" s="98" t="s">
        <v>1419</v>
      </c>
      <c r="D201" s="90" t="s">
        <v>12</v>
      </c>
      <c r="E201" s="79" t="s">
        <v>14</v>
      </c>
      <c r="F201" s="79" t="s">
        <v>71</v>
      </c>
      <c r="G201" s="78" t="s">
        <v>14</v>
      </c>
      <c r="H201" s="121" t="s">
        <v>14</v>
      </c>
      <c r="I201" s="79" t="s">
        <v>14</v>
      </c>
      <c r="J201" s="122">
        <v>6.5</v>
      </c>
      <c r="K201" s="123">
        <v>0</v>
      </c>
      <c r="L201" s="124">
        <v>0</v>
      </c>
      <c r="M201" s="125">
        <v>0</v>
      </c>
      <c r="N201" s="118">
        <v>100</v>
      </c>
      <c r="O201" s="118">
        <v>100</v>
      </c>
      <c r="P201" s="119">
        <v>0</v>
      </c>
      <c r="Q201" s="87">
        <f t="shared" si="34"/>
        <v>1</v>
      </c>
      <c r="R201" s="88">
        <f t="shared" si="35"/>
        <v>3</v>
      </c>
      <c r="S201" s="89">
        <f t="shared" si="36"/>
        <v>0</v>
      </c>
      <c r="T201" s="89">
        <f t="shared" si="37"/>
        <v>0</v>
      </c>
      <c r="U201" s="89">
        <f t="shared" si="38"/>
        <v>0</v>
      </c>
      <c r="V201" s="89">
        <f t="shared" si="39"/>
        <v>0</v>
      </c>
      <c r="W201" s="89">
        <f t="shared" si="40"/>
        <v>0</v>
      </c>
      <c r="X201" s="89">
        <f t="shared" si="41"/>
        <v>0</v>
      </c>
      <c r="Y201" s="89">
        <f t="shared" si="42"/>
        <v>0</v>
      </c>
      <c r="Z201" s="89">
        <f t="shared" si="43"/>
        <v>0</v>
      </c>
      <c r="AA201" s="41">
        <f t="shared" si="44"/>
        <v>0</v>
      </c>
      <c r="AB201" s="49"/>
      <c r="AC201" s="50"/>
      <c r="AD201" s="49"/>
      <c r="AE201" s="50"/>
      <c r="AF201" s="49"/>
      <c r="AG201" s="50"/>
      <c r="AH201" s="49" t="s">
        <v>5</v>
      </c>
      <c r="AI201" s="50" t="s">
        <v>137</v>
      </c>
      <c r="AJ201" s="49"/>
      <c r="AK201" s="50"/>
      <c r="AL201" s="49"/>
      <c r="AM201" s="50"/>
      <c r="AN201" s="49"/>
      <c r="AO201" s="50"/>
      <c r="AP201" s="49"/>
      <c r="AQ201" s="50"/>
      <c r="AR201" s="49"/>
      <c r="AS201" s="50"/>
      <c r="AT201" s="49"/>
      <c r="AU201" s="50"/>
      <c r="AV201" s="49" t="s">
        <v>5</v>
      </c>
      <c r="AW201" s="50" t="s">
        <v>476</v>
      </c>
      <c r="AX201" s="49"/>
      <c r="AY201" s="50"/>
      <c r="AZ201" s="49"/>
      <c r="BA201" s="50"/>
      <c r="BB201" s="49"/>
      <c r="BC201" s="50"/>
      <c r="BD201" s="49"/>
      <c r="BE201" s="50"/>
      <c r="BF201" s="49" t="s">
        <v>1</v>
      </c>
      <c r="BG201" s="50" t="s">
        <v>77</v>
      </c>
      <c r="BH201" s="49" t="s">
        <v>5</v>
      </c>
      <c r="BI201" s="50" t="s">
        <v>136</v>
      </c>
      <c r="BJ201" s="49"/>
      <c r="BK201" s="50"/>
      <c r="BL201" s="49"/>
      <c r="BM201" s="50"/>
      <c r="BN201" s="49"/>
      <c r="BO201" s="50"/>
      <c r="BP201" s="49"/>
      <c r="BQ201" s="50"/>
      <c r="BR201" s="49"/>
      <c r="BS201" s="50"/>
      <c r="BT201" s="49"/>
      <c r="BU201" s="50"/>
      <c r="BV201" s="49"/>
      <c r="BW201" s="50"/>
      <c r="BX201" s="49"/>
      <c r="BY201" s="50"/>
      <c r="BZ201" s="49"/>
      <c r="CA201" s="50"/>
      <c r="CB201" s="49"/>
      <c r="CC201" s="50"/>
    </row>
    <row r="202" spans="1:81" s="120" customFormat="1" ht="14.25" customHeight="1" x14ac:dyDescent="0.25">
      <c r="A202" s="79">
        <v>152154</v>
      </c>
      <c r="B202" s="77" t="s">
        <v>1614</v>
      </c>
      <c r="C202" s="98" t="s">
        <v>1440</v>
      </c>
      <c r="D202" s="90" t="s">
        <v>70</v>
      </c>
      <c r="E202" s="79" t="s">
        <v>14</v>
      </c>
      <c r="F202" s="79" t="s">
        <v>71</v>
      </c>
      <c r="G202" s="78" t="s">
        <v>14</v>
      </c>
      <c r="H202" s="121" t="s">
        <v>14</v>
      </c>
      <c r="I202" s="79" t="s">
        <v>14</v>
      </c>
      <c r="J202" s="122">
        <v>7.2</v>
      </c>
      <c r="K202" s="123">
        <v>0</v>
      </c>
      <c r="L202" s="124">
        <v>0</v>
      </c>
      <c r="M202" s="125">
        <v>0</v>
      </c>
      <c r="N202" s="118">
        <v>90.65</v>
      </c>
      <c r="O202" s="118">
        <v>91.43</v>
      </c>
      <c r="P202" s="119">
        <v>0</v>
      </c>
      <c r="Q202" s="87">
        <f t="shared" si="34"/>
        <v>1</v>
      </c>
      <c r="R202" s="88">
        <f t="shared" si="35"/>
        <v>3</v>
      </c>
      <c r="S202" s="89">
        <f t="shared" si="36"/>
        <v>0</v>
      </c>
      <c r="T202" s="89">
        <f t="shared" si="37"/>
        <v>0</v>
      </c>
      <c r="U202" s="89">
        <f t="shared" si="38"/>
        <v>0</v>
      </c>
      <c r="V202" s="89">
        <f t="shared" si="39"/>
        <v>0</v>
      </c>
      <c r="W202" s="89">
        <f t="shared" si="40"/>
        <v>0</v>
      </c>
      <c r="X202" s="89">
        <f t="shared" si="41"/>
        <v>0</v>
      </c>
      <c r="Y202" s="89">
        <f t="shared" si="42"/>
        <v>0</v>
      </c>
      <c r="Z202" s="89">
        <f t="shared" si="43"/>
        <v>0</v>
      </c>
      <c r="AA202" s="41">
        <f t="shared" si="44"/>
        <v>0</v>
      </c>
      <c r="AB202" s="49"/>
      <c r="AC202" s="50"/>
      <c r="AD202" s="49"/>
      <c r="AE202" s="50"/>
      <c r="AF202" s="49"/>
      <c r="AG202" s="50"/>
      <c r="AH202" s="49"/>
      <c r="AI202" s="50"/>
      <c r="AJ202" s="49"/>
      <c r="AK202" s="50"/>
      <c r="AL202" s="49"/>
      <c r="AM202" s="50"/>
      <c r="AN202" s="49"/>
      <c r="AO202" s="50"/>
      <c r="AP202" s="49"/>
      <c r="AQ202" s="50"/>
      <c r="AR202" s="49" t="s">
        <v>5</v>
      </c>
      <c r="AS202" s="50" t="s">
        <v>459</v>
      </c>
      <c r="AT202" s="49"/>
      <c r="AU202" s="50"/>
      <c r="AV202" s="49" t="s">
        <v>1</v>
      </c>
      <c r="AW202" s="50" t="s">
        <v>433</v>
      </c>
      <c r="AX202" s="49"/>
      <c r="AY202" s="50"/>
      <c r="AZ202" s="49"/>
      <c r="BA202" s="50"/>
      <c r="BB202" s="49"/>
      <c r="BC202" s="50"/>
      <c r="BD202" s="49"/>
      <c r="BE202" s="50"/>
      <c r="BF202" s="49"/>
      <c r="BG202" s="50"/>
      <c r="BH202" s="49"/>
      <c r="BI202" s="50"/>
      <c r="BJ202" s="49"/>
      <c r="BK202" s="50"/>
      <c r="BL202" s="49"/>
      <c r="BM202" s="50"/>
      <c r="BN202" s="49"/>
      <c r="BO202" s="50"/>
      <c r="BP202" s="49"/>
      <c r="BQ202" s="50"/>
      <c r="BR202" s="49"/>
      <c r="BS202" s="50"/>
      <c r="BT202" s="49"/>
      <c r="BU202" s="50"/>
      <c r="BV202" s="49" t="s">
        <v>5</v>
      </c>
      <c r="BW202" s="50" t="s">
        <v>93</v>
      </c>
      <c r="BX202" s="49" t="s">
        <v>5</v>
      </c>
      <c r="BY202" s="50" t="s">
        <v>425</v>
      </c>
      <c r="BZ202" s="49"/>
      <c r="CA202" s="50"/>
      <c r="CB202" s="49"/>
      <c r="CC202" s="50"/>
    </row>
    <row r="203" spans="1:81" s="120" customFormat="1" ht="14.25" customHeight="1" x14ac:dyDescent="0.25">
      <c r="A203" s="79">
        <v>152155</v>
      </c>
      <c r="B203" s="77" t="s">
        <v>1615</v>
      </c>
      <c r="C203" s="98" t="s">
        <v>1410</v>
      </c>
      <c r="D203" s="90" t="s">
        <v>70</v>
      </c>
      <c r="E203" s="79" t="s">
        <v>87</v>
      </c>
      <c r="F203" s="79" t="s">
        <v>279</v>
      </c>
      <c r="G203" s="78" t="s">
        <v>14</v>
      </c>
      <c r="H203" s="121" t="s">
        <v>14</v>
      </c>
      <c r="I203" s="79" t="s">
        <v>14</v>
      </c>
      <c r="J203" s="122">
        <v>6</v>
      </c>
      <c r="K203" s="123">
        <v>0</v>
      </c>
      <c r="L203" s="124">
        <v>0</v>
      </c>
      <c r="M203" s="125">
        <v>0</v>
      </c>
      <c r="N203" s="118">
        <v>82.86</v>
      </c>
      <c r="O203" s="118">
        <v>72.22</v>
      </c>
      <c r="P203" s="119">
        <v>11</v>
      </c>
      <c r="Q203" s="87">
        <f t="shared" si="34"/>
        <v>0</v>
      </c>
      <c r="R203" s="88">
        <f t="shared" si="35"/>
        <v>3</v>
      </c>
      <c r="S203" s="89">
        <f t="shared" si="36"/>
        <v>0</v>
      </c>
      <c r="T203" s="89">
        <f t="shared" si="37"/>
        <v>0</v>
      </c>
      <c r="U203" s="89">
        <f t="shared" si="38"/>
        <v>1</v>
      </c>
      <c r="V203" s="89">
        <f t="shared" si="39"/>
        <v>1</v>
      </c>
      <c r="W203" s="89">
        <f t="shared" si="40"/>
        <v>0</v>
      </c>
      <c r="X203" s="89">
        <f t="shared" si="41"/>
        <v>0</v>
      </c>
      <c r="Y203" s="89">
        <f t="shared" si="42"/>
        <v>0</v>
      </c>
      <c r="Z203" s="89">
        <f t="shared" si="43"/>
        <v>0</v>
      </c>
      <c r="AA203" s="41">
        <f t="shared" si="44"/>
        <v>0</v>
      </c>
      <c r="AB203" s="49"/>
      <c r="AC203" s="50"/>
      <c r="AD203" s="49" t="s">
        <v>5</v>
      </c>
      <c r="AE203" s="50" t="s">
        <v>133</v>
      </c>
      <c r="AF203" s="49"/>
      <c r="AG203" s="50"/>
      <c r="AH203" s="49" t="s">
        <v>5</v>
      </c>
      <c r="AI203" s="50" t="s">
        <v>206</v>
      </c>
      <c r="AJ203" s="49"/>
      <c r="AK203" s="50"/>
      <c r="AL203" s="49"/>
      <c r="AM203" s="50"/>
      <c r="AN203" s="49"/>
      <c r="AO203" s="50"/>
      <c r="AP203" s="49"/>
      <c r="AQ203" s="50"/>
      <c r="AR203" s="49"/>
      <c r="AS203" s="50"/>
      <c r="AT203" s="49"/>
      <c r="AU203" s="50"/>
      <c r="AV203" s="49" t="s">
        <v>32</v>
      </c>
      <c r="AW203" s="50" t="s">
        <v>602</v>
      </c>
      <c r="AX203" s="49"/>
      <c r="AY203" s="50"/>
      <c r="AZ203" s="49"/>
      <c r="BA203" s="50"/>
      <c r="BB203" s="49"/>
      <c r="BC203" s="50"/>
      <c r="BD203" s="49"/>
      <c r="BE203" s="50"/>
      <c r="BF203" s="49"/>
      <c r="BG203" s="50"/>
      <c r="BH203" s="49"/>
      <c r="BI203" s="50"/>
      <c r="BJ203" s="49"/>
      <c r="BK203" s="50"/>
      <c r="BL203" s="49"/>
      <c r="BM203" s="50"/>
      <c r="BN203" s="49"/>
      <c r="BO203" s="50"/>
      <c r="BP203" s="49"/>
      <c r="BQ203" s="50"/>
      <c r="BR203" s="49"/>
      <c r="BS203" s="50"/>
      <c r="BT203" s="49"/>
      <c r="BU203" s="50"/>
      <c r="BV203" s="49"/>
      <c r="BW203" s="50"/>
      <c r="BX203" s="49"/>
      <c r="BY203" s="50"/>
      <c r="BZ203" s="49" t="s">
        <v>5</v>
      </c>
      <c r="CA203" s="50" t="s">
        <v>462</v>
      </c>
      <c r="CB203" s="49"/>
      <c r="CC203" s="50"/>
    </row>
    <row r="204" spans="1:81" x14ac:dyDescent="0.25">
      <c r="N204" s="84"/>
      <c r="O204" s="84"/>
      <c r="P204" s="85"/>
      <c r="Q204" s="87"/>
      <c r="R204" s="88"/>
      <c r="S204" s="89"/>
      <c r="T204" s="89"/>
      <c r="U204" s="89"/>
      <c r="V204" s="89"/>
      <c r="W204" s="89"/>
      <c r="X204" s="89"/>
      <c r="Y204" s="89"/>
      <c r="Z204" s="126"/>
      <c r="AA204" s="126"/>
      <c r="AB204" s="49"/>
      <c r="AC204" s="50"/>
      <c r="AD204" s="49"/>
      <c r="AE204" s="50"/>
      <c r="AF204" s="49"/>
      <c r="AG204" s="50"/>
      <c r="AH204" s="49"/>
      <c r="AI204" s="50"/>
      <c r="AJ204" s="49"/>
      <c r="AK204" s="50"/>
      <c r="AL204" s="49"/>
      <c r="AM204" s="50"/>
      <c r="AN204" s="49"/>
      <c r="AO204" s="50"/>
      <c r="AP204" s="49"/>
      <c r="AQ204" s="50"/>
      <c r="AR204" s="49"/>
      <c r="AS204" s="50"/>
      <c r="AT204" s="49"/>
      <c r="AU204" s="50"/>
      <c r="AV204" s="49"/>
      <c r="AW204" s="50"/>
      <c r="AX204" s="49"/>
      <c r="AY204" s="50"/>
      <c r="AZ204" s="49"/>
      <c r="BA204" s="50"/>
      <c r="BB204" s="49"/>
      <c r="BC204" s="50"/>
      <c r="BD204" s="49"/>
      <c r="BE204" s="50"/>
      <c r="BF204" s="49"/>
      <c r="BG204" s="50"/>
      <c r="BH204" s="49"/>
      <c r="BI204" s="50"/>
      <c r="BJ204" s="49"/>
      <c r="BK204" s="50"/>
      <c r="BL204" s="49"/>
      <c r="BM204" s="50"/>
      <c r="BN204" s="49"/>
      <c r="BO204" s="50"/>
      <c r="BP204" s="49"/>
      <c r="BQ204" s="50"/>
      <c r="BR204" s="49"/>
      <c r="BS204" s="50"/>
      <c r="BT204" s="49"/>
      <c r="BU204" s="50"/>
      <c r="BV204" s="49"/>
      <c r="BW204" s="50"/>
      <c r="BX204" s="49"/>
      <c r="BY204" s="50"/>
      <c r="BZ204" s="49"/>
      <c r="CA204" s="50"/>
      <c r="CB204" s="49"/>
      <c r="CC204" s="50"/>
    </row>
    <row r="205" spans="1:81" x14ac:dyDescent="0.25">
      <c r="N205" s="84"/>
      <c r="O205" s="84"/>
      <c r="P205" s="85"/>
      <c r="Q205" s="87"/>
      <c r="R205" s="88"/>
      <c r="S205" s="89"/>
      <c r="T205" s="89"/>
      <c r="U205" s="89"/>
      <c r="V205" s="89"/>
      <c r="W205" s="89"/>
      <c r="X205" s="89"/>
      <c r="Y205" s="89"/>
      <c r="Z205" s="126"/>
      <c r="AA205" s="126"/>
      <c r="AB205" s="49"/>
      <c r="AC205" s="50"/>
      <c r="AD205" s="49"/>
      <c r="AE205" s="50"/>
      <c r="AF205" s="49"/>
      <c r="AG205" s="50"/>
      <c r="AH205" s="49"/>
      <c r="AI205" s="50"/>
      <c r="AJ205" s="49"/>
      <c r="AK205" s="50"/>
      <c r="AL205" s="49"/>
      <c r="AM205" s="50"/>
      <c r="AN205" s="49"/>
      <c r="AO205" s="50"/>
      <c r="AP205" s="49"/>
      <c r="AQ205" s="50"/>
      <c r="AR205" s="49"/>
      <c r="AS205" s="50"/>
      <c r="AT205" s="49"/>
      <c r="AU205" s="50"/>
      <c r="AV205" s="49"/>
      <c r="AW205" s="50"/>
      <c r="AX205" s="49"/>
      <c r="AY205" s="50"/>
      <c r="AZ205" s="49"/>
      <c r="BA205" s="50"/>
      <c r="BB205" s="49"/>
      <c r="BC205" s="50"/>
      <c r="BD205" s="49"/>
      <c r="BE205" s="50"/>
      <c r="BF205" s="49"/>
      <c r="BG205" s="50"/>
      <c r="BH205" s="49"/>
      <c r="BI205" s="50"/>
      <c r="BJ205" s="49"/>
      <c r="BK205" s="50"/>
      <c r="BL205" s="49"/>
      <c r="BM205" s="50"/>
      <c r="BN205" s="49"/>
      <c r="BO205" s="50"/>
      <c r="BP205" s="49"/>
      <c r="BQ205" s="50"/>
      <c r="BR205" s="49"/>
      <c r="BS205" s="50"/>
      <c r="BT205" s="49"/>
      <c r="BU205" s="50"/>
      <c r="BV205" s="49"/>
      <c r="BW205" s="50"/>
      <c r="BX205" s="49"/>
      <c r="BY205" s="50"/>
      <c r="BZ205" s="49"/>
      <c r="CA205" s="50"/>
      <c r="CB205" s="49"/>
      <c r="CC205" s="50"/>
    </row>
    <row r="206" spans="1:81" x14ac:dyDescent="0.25">
      <c r="N206" s="84"/>
      <c r="O206" s="84"/>
      <c r="P206" s="85"/>
      <c r="Q206" s="87"/>
      <c r="R206" s="88"/>
      <c r="S206" s="89"/>
      <c r="T206" s="89"/>
      <c r="U206" s="89"/>
      <c r="V206" s="89"/>
      <c r="W206" s="89"/>
      <c r="X206" s="89"/>
      <c r="Y206" s="89"/>
      <c r="Z206" s="126"/>
      <c r="AA206" s="126"/>
      <c r="AB206" s="49"/>
      <c r="AC206" s="50"/>
      <c r="AD206" s="49"/>
      <c r="AE206" s="50"/>
      <c r="AF206" s="49"/>
      <c r="AG206" s="50"/>
      <c r="AH206" s="49"/>
      <c r="AI206" s="50"/>
      <c r="AJ206" s="49"/>
      <c r="AK206" s="50"/>
      <c r="AL206" s="49"/>
      <c r="AM206" s="50"/>
      <c r="AN206" s="49"/>
      <c r="AO206" s="50"/>
      <c r="AP206" s="49"/>
      <c r="AQ206" s="50"/>
      <c r="AR206" s="49"/>
      <c r="AS206" s="50"/>
      <c r="AT206" s="49"/>
      <c r="AU206" s="50"/>
      <c r="AV206" s="49"/>
      <c r="AW206" s="50"/>
      <c r="AX206" s="49"/>
      <c r="AY206" s="50"/>
      <c r="AZ206" s="49"/>
      <c r="BA206" s="50"/>
      <c r="BB206" s="49"/>
      <c r="BC206" s="50"/>
      <c r="BD206" s="49"/>
      <c r="BE206" s="50"/>
      <c r="BF206" s="49"/>
      <c r="BG206" s="50"/>
      <c r="BH206" s="49"/>
      <c r="BI206" s="50"/>
      <c r="BJ206" s="49"/>
      <c r="BK206" s="50"/>
      <c r="BL206" s="49"/>
      <c r="BM206" s="50"/>
      <c r="BN206" s="49"/>
      <c r="BO206" s="50"/>
      <c r="BP206" s="49"/>
      <c r="BQ206" s="50"/>
      <c r="BR206" s="49"/>
      <c r="BS206" s="50"/>
      <c r="BT206" s="49"/>
      <c r="BU206" s="50"/>
      <c r="BV206" s="49"/>
      <c r="BW206" s="50"/>
      <c r="BX206" s="49"/>
      <c r="BY206" s="50"/>
      <c r="BZ206" s="49"/>
      <c r="CA206" s="50"/>
      <c r="CB206" s="49"/>
      <c r="CC206" s="50"/>
    </row>
    <row r="207" spans="1:81" x14ac:dyDescent="0.25">
      <c r="N207" s="84"/>
      <c r="O207" s="84"/>
      <c r="P207" s="85"/>
      <c r="Q207" s="87"/>
      <c r="R207" s="88"/>
      <c r="S207" s="89"/>
      <c r="T207" s="89"/>
      <c r="U207" s="89"/>
      <c r="V207" s="89"/>
      <c r="W207" s="89"/>
      <c r="X207" s="89"/>
      <c r="Y207" s="89"/>
      <c r="Z207" s="126"/>
      <c r="AA207" s="126"/>
      <c r="AB207" s="49"/>
      <c r="AC207" s="50"/>
      <c r="AD207" s="49"/>
      <c r="AE207" s="50"/>
      <c r="AF207" s="49"/>
      <c r="AG207" s="50"/>
      <c r="AH207" s="49"/>
      <c r="AI207" s="50"/>
      <c r="AJ207" s="49"/>
      <c r="AK207" s="50"/>
      <c r="AL207" s="49"/>
      <c r="AM207" s="50"/>
      <c r="AN207" s="49"/>
      <c r="AO207" s="50"/>
      <c r="AP207" s="49"/>
      <c r="AQ207" s="50"/>
      <c r="AR207" s="49"/>
      <c r="AS207" s="50"/>
      <c r="AT207" s="49"/>
      <c r="AU207" s="50"/>
      <c r="AV207" s="49"/>
      <c r="AW207" s="50"/>
      <c r="AX207" s="49"/>
      <c r="AY207" s="50"/>
      <c r="AZ207" s="49"/>
      <c r="BA207" s="50"/>
      <c r="BB207" s="49"/>
      <c r="BC207" s="50"/>
      <c r="BD207" s="49"/>
      <c r="BE207" s="50"/>
      <c r="BF207" s="49"/>
      <c r="BG207" s="50"/>
      <c r="BH207" s="49"/>
      <c r="BI207" s="50"/>
      <c r="BJ207" s="49"/>
      <c r="BK207" s="50"/>
      <c r="BL207" s="49"/>
      <c r="BM207" s="50"/>
      <c r="BN207" s="49"/>
      <c r="BO207" s="50"/>
      <c r="BP207" s="49"/>
      <c r="BQ207" s="50"/>
      <c r="BR207" s="49"/>
      <c r="BS207" s="50"/>
      <c r="BT207" s="49"/>
      <c r="BU207" s="50"/>
      <c r="BV207" s="49"/>
      <c r="BW207" s="50"/>
      <c r="BX207" s="49"/>
      <c r="BY207" s="50"/>
      <c r="BZ207" s="49"/>
      <c r="CA207" s="50"/>
      <c r="CB207" s="49"/>
      <c r="CC207" s="50"/>
    </row>
    <row r="208" spans="1:81" x14ac:dyDescent="0.25">
      <c r="N208" s="84"/>
      <c r="O208" s="84"/>
      <c r="P208" s="85"/>
      <c r="Q208" s="87"/>
      <c r="R208" s="88"/>
      <c r="S208" s="89"/>
      <c r="T208" s="89"/>
      <c r="U208" s="89"/>
      <c r="V208" s="89"/>
      <c r="W208" s="89"/>
      <c r="X208" s="89"/>
      <c r="Y208" s="89"/>
      <c r="Z208" s="126"/>
      <c r="AA208" s="126"/>
      <c r="AB208" s="49"/>
      <c r="AC208" s="50"/>
      <c r="AD208" s="49"/>
      <c r="AE208" s="50"/>
      <c r="AF208" s="49"/>
      <c r="AG208" s="50"/>
      <c r="AH208" s="49"/>
      <c r="AI208" s="50"/>
      <c r="AJ208" s="49"/>
      <c r="AK208" s="50"/>
      <c r="AL208" s="49"/>
      <c r="AM208" s="50"/>
      <c r="AN208" s="49"/>
      <c r="AO208" s="50"/>
      <c r="AP208" s="49"/>
      <c r="AQ208" s="50"/>
      <c r="AR208" s="49"/>
      <c r="AS208" s="50"/>
      <c r="AT208" s="49"/>
      <c r="AU208" s="50"/>
      <c r="AV208" s="49"/>
      <c r="AW208" s="50"/>
      <c r="AX208" s="49"/>
      <c r="AY208" s="50"/>
      <c r="AZ208" s="49"/>
      <c r="BA208" s="50"/>
      <c r="BB208" s="49"/>
      <c r="BC208" s="50"/>
      <c r="BD208" s="49"/>
      <c r="BE208" s="50"/>
      <c r="BF208" s="49"/>
      <c r="BG208" s="50"/>
      <c r="BH208" s="49"/>
      <c r="BI208" s="50"/>
      <c r="BJ208" s="49"/>
      <c r="BK208" s="50"/>
      <c r="BL208" s="49"/>
      <c r="BM208" s="50"/>
      <c r="BN208" s="49"/>
      <c r="BO208" s="50"/>
      <c r="BP208" s="49"/>
      <c r="BQ208" s="50"/>
      <c r="BR208" s="49"/>
      <c r="BS208" s="50"/>
      <c r="BT208" s="49"/>
      <c r="BU208" s="50"/>
      <c r="BV208" s="49"/>
      <c r="BW208" s="50"/>
      <c r="BX208" s="49"/>
      <c r="BY208" s="50"/>
      <c r="BZ208" s="49"/>
      <c r="CA208" s="50"/>
      <c r="CB208" s="49"/>
      <c r="CC208" s="50"/>
    </row>
    <row r="209" spans="14:81" x14ac:dyDescent="0.25">
      <c r="N209" s="84"/>
      <c r="O209" s="84"/>
      <c r="P209" s="85"/>
      <c r="Q209" s="87"/>
      <c r="R209" s="88"/>
      <c r="S209" s="89"/>
      <c r="T209" s="89"/>
      <c r="U209" s="89"/>
      <c r="V209" s="89"/>
      <c r="W209" s="89"/>
      <c r="X209" s="89"/>
      <c r="Y209" s="89"/>
      <c r="Z209" s="126"/>
      <c r="AA209" s="126"/>
      <c r="AB209" s="49"/>
      <c r="AC209" s="50"/>
      <c r="AD209" s="49"/>
      <c r="AE209" s="50"/>
      <c r="AF209" s="49"/>
      <c r="AG209" s="50"/>
      <c r="AH209" s="49"/>
      <c r="AI209" s="50"/>
      <c r="AJ209" s="49"/>
      <c r="AK209" s="50"/>
      <c r="AL209" s="49"/>
      <c r="AM209" s="50"/>
      <c r="AN209" s="49"/>
      <c r="AO209" s="50"/>
      <c r="AP209" s="49"/>
      <c r="AQ209" s="50"/>
      <c r="AR209" s="49"/>
      <c r="AS209" s="50"/>
      <c r="AT209" s="49"/>
      <c r="AU209" s="50"/>
      <c r="AV209" s="49"/>
      <c r="AW209" s="50"/>
      <c r="AX209" s="49"/>
      <c r="AY209" s="50"/>
      <c r="AZ209" s="49"/>
      <c r="BA209" s="50"/>
      <c r="BB209" s="49"/>
      <c r="BC209" s="50"/>
      <c r="BD209" s="49"/>
      <c r="BE209" s="50"/>
      <c r="BF209" s="49"/>
      <c r="BG209" s="50"/>
      <c r="BH209" s="49"/>
      <c r="BI209" s="50"/>
      <c r="BJ209" s="49"/>
      <c r="BK209" s="50"/>
      <c r="BL209" s="49"/>
      <c r="BM209" s="50"/>
      <c r="BN209" s="49"/>
      <c r="BO209" s="50"/>
      <c r="BP209" s="49"/>
      <c r="BQ209" s="50"/>
      <c r="BR209" s="49"/>
      <c r="BS209" s="50"/>
      <c r="BT209" s="49"/>
      <c r="BU209" s="50"/>
      <c r="BV209" s="49"/>
      <c r="BW209" s="50"/>
      <c r="BX209" s="49"/>
      <c r="BY209" s="50"/>
      <c r="BZ209" s="49"/>
      <c r="CA209" s="50"/>
      <c r="CB209" s="49"/>
      <c r="CC209" s="50"/>
    </row>
    <row r="210" spans="14:81" x14ac:dyDescent="0.25">
      <c r="N210" s="84"/>
      <c r="O210" s="84"/>
      <c r="P210" s="85"/>
      <c r="Q210" s="87"/>
      <c r="R210" s="88"/>
      <c r="S210" s="89"/>
      <c r="T210" s="89"/>
      <c r="U210" s="89"/>
      <c r="V210" s="89"/>
      <c r="W210" s="89"/>
      <c r="X210" s="89"/>
      <c r="Y210" s="89"/>
      <c r="Z210" s="126"/>
      <c r="AA210" s="126"/>
      <c r="AB210" s="49"/>
      <c r="AC210" s="50"/>
      <c r="AD210" s="49"/>
      <c r="AE210" s="50"/>
      <c r="AF210" s="49"/>
      <c r="AG210" s="50"/>
      <c r="AH210" s="49"/>
      <c r="AI210" s="50"/>
      <c r="AJ210" s="49"/>
      <c r="AK210" s="50"/>
      <c r="AL210" s="49"/>
      <c r="AM210" s="50"/>
      <c r="AN210" s="49"/>
      <c r="AO210" s="50"/>
      <c r="AP210" s="49"/>
      <c r="AQ210" s="50"/>
      <c r="AR210" s="49"/>
      <c r="AS210" s="50"/>
      <c r="AT210" s="49"/>
      <c r="AU210" s="50"/>
      <c r="AV210" s="49"/>
      <c r="AW210" s="50"/>
      <c r="AX210" s="49"/>
      <c r="AY210" s="50"/>
      <c r="AZ210" s="49"/>
      <c r="BA210" s="50"/>
      <c r="BB210" s="49"/>
      <c r="BC210" s="50"/>
      <c r="BD210" s="49"/>
      <c r="BE210" s="50"/>
      <c r="BF210" s="49"/>
      <c r="BG210" s="50"/>
      <c r="BH210" s="49"/>
      <c r="BI210" s="50"/>
      <c r="BJ210" s="49"/>
      <c r="BK210" s="50"/>
      <c r="BL210" s="49"/>
      <c r="BM210" s="50"/>
      <c r="BN210" s="49"/>
      <c r="BO210" s="50"/>
      <c r="BP210" s="49"/>
      <c r="BQ210" s="50"/>
      <c r="BR210" s="49"/>
      <c r="BS210" s="50"/>
      <c r="BT210" s="49"/>
      <c r="BU210" s="50"/>
      <c r="BV210" s="49"/>
      <c r="BW210" s="50"/>
      <c r="BX210" s="49"/>
      <c r="BY210" s="50"/>
      <c r="BZ210" s="49"/>
      <c r="CA210" s="50"/>
      <c r="CB210" s="49"/>
      <c r="CC210" s="50"/>
    </row>
    <row r="211" spans="14:81" x14ac:dyDescent="0.25">
      <c r="N211" s="84"/>
      <c r="O211" s="84"/>
      <c r="P211" s="85"/>
      <c r="Q211" s="87"/>
      <c r="R211" s="88"/>
      <c r="S211" s="89"/>
      <c r="T211" s="89"/>
      <c r="U211" s="89"/>
      <c r="V211" s="89"/>
      <c r="W211" s="89"/>
      <c r="X211" s="89"/>
      <c r="Y211" s="89"/>
      <c r="Z211" s="126"/>
      <c r="AA211" s="126"/>
      <c r="AB211" s="49"/>
      <c r="AC211" s="50"/>
      <c r="AD211" s="49"/>
      <c r="AE211" s="50"/>
      <c r="AF211" s="49"/>
      <c r="AG211" s="50"/>
      <c r="AH211" s="49"/>
      <c r="AI211" s="50"/>
      <c r="AJ211" s="49"/>
      <c r="AK211" s="50"/>
      <c r="AL211" s="49"/>
      <c r="AM211" s="50"/>
      <c r="AN211" s="49"/>
      <c r="AO211" s="50"/>
      <c r="AP211" s="49"/>
      <c r="AQ211" s="50"/>
      <c r="AR211" s="49"/>
      <c r="AS211" s="50"/>
      <c r="AT211" s="49"/>
      <c r="AU211" s="50"/>
      <c r="AV211" s="49"/>
      <c r="AW211" s="50"/>
      <c r="AX211" s="49"/>
      <c r="AY211" s="50"/>
      <c r="AZ211" s="49"/>
      <c r="BA211" s="50"/>
      <c r="BB211" s="49"/>
      <c r="BC211" s="50"/>
      <c r="BD211" s="49"/>
      <c r="BE211" s="50"/>
      <c r="BF211" s="49"/>
      <c r="BG211" s="50"/>
      <c r="BH211" s="49"/>
      <c r="BI211" s="50"/>
      <c r="BJ211" s="49"/>
      <c r="BK211" s="50"/>
      <c r="BL211" s="49"/>
      <c r="BM211" s="50"/>
      <c r="BN211" s="49"/>
      <c r="BO211" s="50"/>
      <c r="BP211" s="49"/>
      <c r="BQ211" s="50"/>
      <c r="BR211" s="49"/>
      <c r="BS211" s="50"/>
      <c r="BT211" s="49"/>
      <c r="BU211" s="50"/>
      <c r="BV211" s="49"/>
      <c r="BW211" s="50"/>
      <c r="BX211" s="49"/>
      <c r="BY211" s="50"/>
      <c r="BZ211" s="49"/>
      <c r="CA211" s="50"/>
      <c r="CB211" s="49"/>
      <c r="CC211" s="50"/>
    </row>
    <row r="212" spans="14:81" x14ac:dyDescent="0.25">
      <c r="N212" s="84"/>
      <c r="O212" s="84"/>
      <c r="P212" s="85"/>
      <c r="Q212" s="87"/>
      <c r="R212" s="88"/>
      <c r="S212" s="89"/>
      <c r="T212" s="89"/>
      <c r="U212" s="89"/>
      <c r="V212" s="89"/>
      <c r="W212" s="89"/>
      <c r="X212" s="89"/>
      <c r="Y212" s="89"/>
      <c r="Z212" s="126"/>
      <c r="AA212" s="126"/>
      <c r="AB212" s="49"/>
      <c r="AC212" s="50"/>
      <c r="AD212" s="49"/>
      <c r="AE212" s="50"/>
      <c r="AF212" s="49"/>
      <c r="AG212" s="50"/>
      <c r="AH212" s="49"/>
      <c r="AI212" s="50"/>
      <c r="AJ212" s="49"/>
      <c r="AK212" s="50"/>
      <c r="AL212" s="49"/>
      <c r="AM212" s="50"/>
      <c r="AN212" s="49"/>
      <c r="AO212" s="50"/>
      <c r="AP212" s="49"/>
      <c r="AQ212" s="50"/>
      <c r="AR212" s="49"/>
      <c r="AS212" s="50"/>
      <c r="AT212" s="49"/>
      <c r="AU212" s="50"/>
      <c r="AV212" s="49"/>
      <c r="AW212" s="50"/>
      <c r="AX212" s="49"/>
      <c r="AY212" s="50"/>
      <c r="AZ212" s="49"/>
      <c r="BA212" s="50"/>
      <c r="BB212" s="49"/>
      <c r="BC212" s="50"/>
      <c r="BD212" s="49"/>
      <c r="BE212" s="50"/>
      <c r="BF212" s="49"/>
      <c r="BG212" s="50"/>
      <c r="BH212" s="49"/>
      <c r="BI212" s="50"/>
      <c r="BJ212" s="49"/>
      <c r="BK212" s="50"/>
      <c r="BL212" s="49"/>
      <c r="BM212" s="50"/>
      <c r="BN212" s="49"/>
      <c r="BO212" s="50"/>
      <c r="BP212" s="49"/>
      <c r="BQ212" s="50"/>
      <c r="BR212" s="49"/>
      <c r="BS212" s="50"/>
      <c r="BT212" s="49"/>
      <c r="BU212" s="50"/>
      <c r="BV212" s="49"/>
      <c r="BW212" s="50"/>
      <c r="BX212" s="49"/>
      <c r="BY212" s="50"/>
      <c r="BZ212" s="49"/>
      <c r="CA212" s="50"/>
      <c r="CB212" s="49"/>
      <c r="CC212" s="50"/>
    </row>
    <row r="213" spans="14:81" x14ac:dyDescent="0.25">
      <c r="N213" s="84"/>
      <c r="O213" s="84"/>
      <c r="P213" s="85"/>
      <c r="Q213" s="87"/>
      <c r="R213" s="88"/>
      <c r="S213" s="89"/>
      <c r="T213" s="89"/>
      <c r="U213" s="89"/>
      <c r="V213" s="89"/>
      <c r="W213" s="89"/>
      <c r="X213" s="89"/>
      <c r="Y213" s="89"/>
      <c r="Z213" s="126"/>
      <c r="AA213" s="126"/>
      <c r="AB213" s="49"/>
      <c r="AC213" s="50"/>
      <c r="AD213" s="49"/>
      <c r="AE213" s="50"/>
      <c r="AF213" s="49"/>
      <c r="AG213" s="50"/>
      <c r="AH213" s="49"/>
      <c r="AI213" s="50"/>
      <c r="AJ213" s="49"/>
      <c r="AK213" s="50"/>
      <c r="AL213" s="49"/>
      <c r="AM213" s="50"/>
      <c r="AN213" s="49"/>
      <c r="AO213" s="50"/>
      <c r="AP213" s="49"/>
      <c r="AQ213" s="50"/>
      <c r="AR213" s="49"/>
      <c r="AS213" s="50"/>
      <c r="AT213" s="49"/>
      <c r="AU213" s="50"/>
      <c r="AV213" s="49"/>
      <c r="AW213" s="50"/>
      <c r="AX213" s="49"/>
      <c r="AY213" s="50"/>
      <c r="AZ213" s="49"/>
      <c r="BA213" s="50"/>
      <c r="BB213" s="49"/>
      <c r="BC213" s="50"/>
      <c r="BD213" s="49"/>
      <c r="BE213" s="50"/>
      <c r="BF213" s="49"/>
      <c r="BG213" s="50"/>
      <c r="BH213" s="49"/>
      <c r="BI213" s="50"/>
      <c r="BJ213" s="49"/>
      <c r="BK213" s="50"/>
      <c r="BL213" s="49"/>
      <c r="BM213" s="50"/>
      <c r="BN213" s="49"/>
      <c r="BO213" s="50"/>
      <c r="BP213" s="49"/>
      <c r="BQ213" s="50"/>
      <c r="BR213" s="49"/>
      <c r="BS213" s="50"/>
      <c r="BT213" s="49"/>
      <c r="BU213" s="50"/>
      <c r="BV213" s="49"/>
      <c r="BW213" s="50"/>
      <c r="BX213" s="49"/>
      <c r="BY213" s="50"/>
      <c r="BZ213" s="49"/>
      <c r="CA213" s="50"/>
      <c r="CB213" s="49"/>
      <c r="CC213" s="50"/>
    </row>
    <row r="214" spans="14:81" x14ac:dyDescent="0.25">
      <c r="N214" s="84"/>
      <c r="O214" s="84"/>
      <c r="P214" s="85"/>
      <c r="Q214" s="87"/>
      <c r="R214" s="88"/>
      <c r="S214" s="89"/>
      <c r="T214" s="89"/>
      <c r="U214" s="89"/>
      <c r="V214" s="89"/>
      <c r="W214" s="89"/>
      <c r="X214" s="89"/>
      <c r="Y214" s="89"/>
      <c r="Z214" s="126"/>
      <c r="AA214" s="126"/>
      <c r="AB214" s="49"/>
      <c r="AC214" s="50"/>
      <c r="AD214" s="49"/>
      <c r="AE214" s="50"/>
      <c r="AF214" s="49"/>
      <c r="AG214" s="50"/>
      <c r="AH214" s="49"/>
      <c r="AI214" s="50"/>
      <c r="AJ214" s="49"/>
      <c r="AK214" s="50"/>
      <c r="AL214" s="49"/>
      <c r="AM214" s="50"/>
      <c r="AN214" s="49"/>
      <c r="AO214" s="50"/>
      <c r="AP214" s="49"/>
      <c r="AQ214" s="50"/>
      <c r="AR214" s="49"/>
      <c r="AS214" s="50"/>
      <c r="AT214" s="49"/>
      <c r="AU214" s="50"/>
      <c r="AV214" s="49"/>
      <c r="AW214" s="50"/>
      <c r="AX214" s="49"/>
      <c r="AY214" s="50"/>
      <c r="AZ214" s="49"/>
      <c r="BA214" s="50"/>
      <c r="BB214" s="49"/>
      <c r="BC214" s="50"/>
      <c r="BD214" s="49"/>
      <c r="BE214" s="50"/>
      <c r="BF214" s="49"/>
      <c r="BG214" s="50"/>
      <c r="BH214" s="49"/>
      <c r="BI214" s="50"/>
      <c r="BJ214" s="49"/>
      <c r="BK214" s="50"/>
      <c r="BL214" s="49"/>
      <c r="BM214" s="50"/>
      <c r="BN214" s="49"/>
      <c r="BO214" s="50"/>
      <c r="BP214" s="49"/>
      <c r="BQ214" s="50"/>
      <c r="BR214" s="49"/>
      <c r="BS214" s="50"/>
      <c r="BT214" s="49"/>
      <c r="BU214" s="50"/>
      <c r="BV214" s="49"/>
      <c r="BW214" s="50"/>
      <c r="BX214" s="49"/>
      <c r="BY214" s="50"/>
      <c r="BZ214" s="49"/>
      <c r="CA214" s="50"/>
      <c r="CB214" s="49"/>
      <c r="CC214" s="50"/>
    </row>
    <row r="215" spans="14:81" x14ac:dyDescent="0.25">
      <c r="N215" s="84"/>
      <c r="O215" s="84"/>
      <c r="P215" s="85"/>
      <c r="Q215" s="87"/>
      <c r="R215" s="88"/>
      <c r="S215" s="89"/>
      <c r="T215" s="89"/>
      <c r="U215" s="89"/>
      <c r="V215" s="89"/>
      <c r="W215" s="89"/>
      <c r="X215" s="89"/>
      <c r="Y215" s="89"/>
      <c r="Z215" s="126"/>
      <c r="AA215" s="126"/>
      <c r="AB215" s="49"/>
      <c r="AC215" s="50"/>
      <c r="AD215" s="49"/>
      <c r="AE215" s="50"/>
      <c r="AF215" s="49"/>
      <c r="AG215" s="50"/>
      <c r="AH215" s="49"/>
      <c r="AI215" s="50"/>
      <c r="AJ215" s="49"/>
      <c r="AK215" s="50"/>
      <c r="AL215" s="49"/>
      <c r="AM215" s="50"/>
      <c r="AN215" s="49"/>
      <c r="AO215" s="50"/>
      <c r="AP215" s="49"/>
      <c r="AQ215" s="50"/>
      <c r="AR215" s="49"/>
      <c r="AS215" s="50"/>
      <c r="AT215" s="49"/>
      <c r="AU215" s="50"/>
      <c r="AV215" s="49"/>
      <c r="AW215" s="50"/>
      <c r="AX215" s="49"/>
      <c r="AY215" s="50"/>
      <c r="AZ215" s="49"/>
      <c r="BA215" s="50"/>
      <c r="BB215" s="49"/>
      <c r="BC215" s="50"/>
      <c r="BD215" s="49"/>
      <c r="BE215" s="50"/>
      <c r="BF215" s="49"/>
      <c r="BG215" s="50"/>
      <c r="BH215" s="49"/>
      <c r="BI215" s="50"/>
      <c r="BJ215" s="49"/>
      <c r="BK215" s="50"/>
      <c r="BL215" s="49"/>
      <c r="BM215" s="50"/>
      <c r="BN215" s="49"/>
      <c r="BO215" s="50"/>
      <c r="BP215" s="49"/>
      <c r="BQ215" s="50"/>
      <c r="BR215" s="49"/>
      <c r="BS215" s="50"/>
      <c r="BT215" s="49"/>
      <c r="BU215" s="50"/>
      <c r="BV215" s="49"/>
      <c r="BW215" s="50"/>
      <c r="BX215" s="49"/>
      <c r="BY215" s="50"/>
      <c r="BZ215" s="49"/>
      <c r="CA215" s="50"/>
      <c r="CB215" s="49"/>
      <c r="CC215" s="50"/>
    </row>
    <row r="216" spans="14:81" x14ac:dyDescent="0.25">
      <c r="N216" s="84"/>
      <c r="O216" s="84"/>
      <c r="P216" s="85"/>
      <c r="Q216" s="87"/>
      <c r="R216" s="88"/>
      <c r="S216" s="89"/>
      <c r="T216" s="89"/>
      <c r="U216" s="89"/>
      <c r="V216" s="89"/>
      <c r="W216" s="89"/>
      <c r="X216" s="89"/>
      <c r="Y216" s="89"/>
      <c r="Z216" s="126"/>
      <c r="AA216" s="126"/>
    </row>
    <row r="217" spans="14:81" x14ac:dyDescent="0.25">
      <c r="N217" s="84"/>
      <c r="O217" s="84"/>
      <c r="P217" s="85"/>
      <c r="Q217" s="87"/>
      <c r="R217" s="88"/>
      <c r="S217" s="89"/>
      <c r="T217" s="89"/>
      <c r="U217" s="89"/>
      <c r="V217" s="89"/>
      <c r="W217" s="89"/>
      <c r="X217" s="89"/>
      <c r="Y217" s="89"/>
      <c r="Z217" s="126"/>
      <c r="AA217" s="126"/>
    </row>
    <row r="218" spans="14:81" x14ac:dyDescent="0.25">
      <c r="N218" s="84"/>
      <c r="O218" s="84"/>
      <c r="P218" s="85"/>
      <c r="Q218" s="87"/>
      <c r="R218" s="88"/>
      <c r="S218" s="89"/>
      <c r="T218" s="89"/>
      <c r="U218" s="89"/>
      <c r="V218" s="89"/>
      <c r="W218" s="89"/>
      <c r="X218" s="89"/>
      <c r="Y218" s="89"/>
      <c r="Z218" s="126"/>
      <c r="AA218" s="126"/>
    </row>
    <row r="219" spans="14:81" x14ac:dyDescent="0.25">
      <c r="N219" s="84"/>
      <c r="O219" s="84"/>
      <c r="P219" s="85"/>
      <c r="Q219" s="87"/>
      <c r="R219" s="88"/>
      <c r="S219" s="89"/>
      <c r="T219" s="89"/>
      <c r="U219" s="89"/>
      <c r="V219" s="89"/>
      <c r="W219" s="89"/>
      <c r="X219" s="89"/>
      <c r="Y219" s="89"/>
      <c r="Z219" s="126"/>
      <c r="AA219" s="126"/>
    </row>
    <row r="220" spans="14:81" x14ac:dyDescent="0.25">
      <c r="N220" s="84"/>
      <c r="O220" s="84"/>
      <c r="P220" s="85"/>
      <c r="Q220" s="87"/>
      <c r="R220" s="88"/>
      <c r="S220" s="89"/>
      <c r="T220" s="89"/>
      <c r="U220" s="89"/>
      <c r="V220" s="89"/>
      <c r="W220" s="89"/>
      <c r="X220" s="89"/>
      <c r="Y220" s="89"/>
      <c r="Z220" s="126"/>
      <c r="AA220" s="126"/>
    </row>
    <row r="221" spans="14:81" x14ac:dyDescent="0.25">
      <c r="N221" s="84"/>
      <c r="O221" s="84"/>
      <c r="P221" s="85"/>
      <c r="Q221" s="87"/>
      <c r="R221" s="88"/>
      <c r="S221" s="89"/>
      <c r="T221" s="89"/>
      <c r="U221" s="89"/>
      <c r="V221" s="89"/>
      <c r="W221" s="89"/>
      <c r="X221" s="89"/>
      <c r="Y221" s="89"/>
      <c r="Z221" s="126"/>
      <c r="AA221" s="126"/>
    </row>
    <row r="222" spans="14:81" x14ac:dyDescent="0.25">
      <c r="N222" s="84"/>
      <c r="O222" s="84"/>
      <c r="P222" s="85"/>
      <c r="Q222" s="87"/>
      <c r="R222" s="88"/>
      <c r="S222" s="89"/>
      <c r="T222" s="89"/>
      <c r="U222" s="89"/>
      <c r="V222" s="89"/>
      <c r="W222" s="89"/>
      <c r="X222" s="89"/>
      <c r="Y222" s="89"/>
      <c r="Z222" s="126"/>
      <c r="AA222" s="126"/>
    </row>
    <row r="223" spans="14:81" x14ac:dyDescent="0.25">
      <c r="N223" s="84"/>
      <c r="O223" s="84"/>
      <c r="P223" s="85"/>
      <c r="Q223" s="87"/>
      <c r="R223" s="88"/>
      <c r="S223" s="89"/>
      <c r="T223" s="89"/>
      <c r="U223" s="89"/>
      <c r="V223" s="89"/>
      <c r="W223" s="89"/>
      <c r="X223" s="89"/>
      <c r="Y223" s="89"/>
      <c r="Z223" s="126"/>
      <c r="AA223" s="126"/>
    </row>
    <row r="224" spans="14:81" x14ac:dyDescent="0.25">
      <c r="N224" s="84"/>
      <c r="O224" s="84"/>
      <c r="P224" s="85"/>
      <c r="Q224" s="87"/>
      <c r="R224" s="88"/>
      <c r="S224" s="89"/>
      <c r="T224" s="89"/>
      <c r="U224" s="89"/>
      <c r="V224" s="89"/>
      <c r="W224" s="89"/>
      <c r="X224" s="89"/>
      <c r="Y224" s="89"/>
      <c r="Z224" s="126"/>
      <c r="AA224" s="126"/>
    </row>
    <row r="225" spans="14:27" x14ac:dyDescent="0.25">
      <c r="N225" s="84"/>
      <c r="O225" s="84"/>
      <c r="P225" s="85"/>
      <c r="Q225" s="87"/>
      <c r="R225" s="88"/>
      <c r="S225" s="89"/>
      <c r="T225" s="89"/>
      <c r="U225" s="89"/>
      <c r="V225" s="89"/>
      <c r="W225" s="89"/>
      <c r="X225" s="89"/>
      <c r="Y225" s="89"/>
      <c r="Z225" s="126"/>
      <c r="AA225" s="126"/>
    </row>
    <row r="226" spans="14:27" x14ac:dyDescent="0.25">
      <c r="N226" s="84"/>
      <c r="O226" s="84"/>
      <c r="P226" s="85"/>
      <c r="Q226" s="87"/>
      <c r="R226" s="88"/>
      <c r="S226" s="89"/>
      <c r="T226" s="89"/>
      <c r="U226" s="89"/>
      <c r="V226" s="89"/>
      <c r="W226" s="89"/>
      <c r="X226" s="89"/>
      <c r="Y226" s="89"/>
      <c r="Z226" s="126"/>
      <c r="AA226" s="126"/>
    </row>
    <row r="227" spans="14:27" x14ac:dyDescent="0.25">
      <c r="N227" s="84"/>
      <c r="O227" s="84"/>
      <c r="P227" s="85"/>
      <c r="Q227" s="87"/>
      <c r="R227" s="88"/>
      <c r="S227" s="89"/>
      <c r="T227" s="89"/>
      <c r="U227" s="89"/>
      <c r="V227" s="89"/>
      <c r="W227" s="89"/>
      <c r="X227" s="89"/>
      <c r="Y227" s="89"/>
      <c r="Z227" s="126"/>
      <c r="AA227" s="126"/>
    </row>
    <row r="228" spans="14:27" x14ac:dyDescent="0.25">
      <c r="N228" s="84"/>
      <c r="O228" s="84"/>
      <c r="P228" s="85"/>
      <c r="Q228" s="87"/>
      <c r="R228" s="88"/>
      <c r="S228" s="89"/>
      <c r="T228" s="89"/>
      <c r="U228" s="89"/>
      <c r="V228" s="89"/>
      <c r="W228" s="89"/>
      <c r="X228" s="89"/>
      <c r="Y228" s="89"/>
      <c r="Z228" s="126"/>
      <c r="AA228" s="126"/>
    </row>
    <row r="229" spans="14:27" x14ac:dyDescent="0.25">
      <c r="N229" s="84"/>
      <c r="O229" s="84"/>
      <c r="P229" s="85"/>
      <c r="Q229" s="87"/>
      <c r="R229" s="88"/>
      <c r="S229" s="89"/>
      <c r="T229" s="89"/>
      <c r="U229" s="89"/>
      <c r="V229" s="89"/>
      <c r="W229" s="89"/>
      <c r="X229" s="89"/>
      <c r="Y229" s="89"/>
      <c r="Z229" s="126"/>
      <c r="AA229" s="126"/>
    </row>
    <row r="230" spans="14:27" x14ac:dyDescent="0.25">
      <c r="N230" s="84"/>
      <c r="O230" s="84"/>
      <c r="P230" s="85"/>
      <c r="Q230" s="87"/>
      <c r="R230" s="88"/>
      <c r="S230" s="89"/>
      <c r="T230" s="89"/>
      <c r="U230" s="89"/>
      <c r="V230" s="89"/>
      <c r="W230" s="89"/>
      <c r="X230" s="89"/>
      <c r="Y230" s="89"/>
      <c r="Z230" s="126"/>
      <c r="AA230" s="126"/>
    </row>
    <row r="231" spans="14:27" x14ac:dyDescent="0.25">
      <c r="N231" s="84"/>
      <c r="O231" s="84"/>
      <c r="P231" s="85"/>
      <c r="Q231" s="87"/>
      <c r="R231" s="88"/>
      <c r="S231" s="89"/>
      <c r="T231" s="89"/>
      <c r="U231" s="89"/>
      <c r="V231" s="89"/>
      <c r="W231" s="89"/>
      <c r="X231" s="89"/>
      <c r="Y231" s="89"/>
      <c r="Z231" s="126"/>
      <c r="AA231" s="126"/>
    </row>
  </sheetData>
  <autoFilter ref="A1:CC203" xr:uid="{00000000-0009-0000-0000-000002000000}"/>
  <conditionalFormatting sqref="K2:K203">
    <cfRule type="top10" dxfId="124" priority="89" stopIfTrue="1" percent="1" rank="10"/>
  </conditionalFormatting>
  <conditionalFormatting sqref="L2:M20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0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231">
    <cfRule type="top10" dxfId="123" priority="81" rank="10"/>
  </conditionalFormatting>
  <conditionalFormatting sqref="S2:S231">
    <cfRule type="top10" dxfId="122" priority="80" rank="10"/>
  </conditionalFormatting>
  <conditionalFormatting sqref="T2:T231">
    <cfRule type="top10" dxfId="121" priority="79" rank="5"/>
  </conditionalFormatting>
  <conditionalFormatting sqref="U204:V231 U2:U203">
    <cfRule type="top10" dxfId="120" priority="78" rank="5"/>
  </conditionalFormatting>
  <conditionalFormatting sqref="W2:W231">
    <cfRule type="top10" dxfId="119" priority="77" rank="5"/>
  </conditionalFormatting>
  <conditionalFormatting sqref="X2:X231">
    <cfRule type="top10" dxfId="118" priority="76" rank="5"/>
  </conditionalFormatting>
  <conditionalFormatting sqref="Y204:AA231 Y2:Y203">
    <cfRule type="top10" dxfId="117" priority="75" rank="5"/>
  </conditionalFormatting>
  <conditionalFormatting sqref="O2:O23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23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3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203">
    <cfRule type="top10" dxfId="114" priority="55" rank="10"/>
  </conditionalFormatting>
  <conditionalFormatting sqref="Z2:Z203">
    <cfRule type="top10" dxfId="113" priority="54" rank="10"/>
  </conditionalFormatting>
  <conditionalFormatting sqref="AB2:AB1048576 AD2:AD1048576 AF2:AF1048576 AH2:AH1048576 AJ2:AJ1048576 AL2:AL1048576 AN2:AN1048576 AP2:AP1048576 AR2:AR1048576 AT2:AT1048576 AV2:AV1048576 AX2:AX1048576 AZ2:AZ1048576 BB2:BB1048576 BD2:BD1048576 BF2:BF1048576 BH2:BH1048576 BJ2:BJ1048576 BL2:BL1048576 BN2:BN1048576 BP2:BP1048576 BR2:BR1048576 BT2:BT1048576 BV2:BV1048576 BX2:BX1048576 BZ2:BZ1048576 CB2:CB1048576">
    <cfRule type="containsText" dxfId="58" priority="8" operator="containsText" text="Serious">
      <formula>NOT(ISERROR(SEARCH("Serious",AB2)))</formula>
    </cfRule>
    <cfRule type="containsText" dxfId="57" priority="9" operator="containsText" text="2">
      <formula>NOT(ISERROR(SEARCH("2",AB2)))</formula>
    </cfRule>
  </conditionalFormatting>
  <conditionalFormatting sqref="AB1:CC1048576">
    <cfRule type="containsText" dxfId="56" priority="3" operator="containsText" text="fixed">
      <formula>NOT(ISERROR(SEARCH("fixed",AB1)))</formula>
    </cfRule>
    <cfRule type="cellIs" dxfId="55" priority="6" operator="equal">
      <formula>"Serious Concern still"</formula>
    </cfRule>
    <cfRule type="cellIs" dxfId="54" priority="7" operator="equal">
      <formula>"N2Improve still"</formula>
    </cfRule>
  </conditionalFormatting>
  <conditionalFormatting sqref="AB1:CC1048576">
    <cfRule type="containsText" dxfId="53" priority="4" operator="containsText" text="Serious Concern still">
      <formula>NOT(ISERROR(SEARCH("Serious Concern still",AB1)))</formula>
    </cfRule>
    <cfRule type="containsText" dxfId="52" priority="5" operator="containsText" text="N2Improve still">
      <formula>NOT(ISERROR(SEARCH("N2Improve still",AB1)))</formula>
    </cfRule>
  </conditionalFormatting>
  <conditionalFormatting sqref="AA1">
    <cfRule type="cellIs" dxfId="41" priority="1" operator="equal">
      <formula>"Serious Concern still"</formula>
    </cfRule>
    <cfRule type="cellIs" dxfId="40" priority="2" operator="equal">
      <formula>"N2Improve still"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AABA99-B8CC-441E-93EA-74C0BF191BB6}">
          <x14:formula1>
            <xm:f>Lookups!$A$1:$A$8</xm:f>
          </x14:formula1>
          <xm:sqref>AB1:AB1048576 AD1:AD1048576 AF1:AF1048576 AH1:AH1048576 AJ1:AJ1048576 AL1:AL1048576 AN1:AN1048576 AP1:AP1048576 AR1:AR1048576 AT1:AT1048576 AV1:AV1048576 AX1:AX1048576 AZ1:AZ1048576 BB1:BB1048576 BD1:BD1048576 BF1:BF1048576 BH1:BH1048576 BJ1:BJ1048576 BL1:BL1048576 BN1:BN1048576 BP1:BP1048576 BR1:BR1048576 BT1:BT1048576 BV1:BV1048576 BX1:BX1048576 BZ1:BZ1048576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1598-3521-4E8F-9EAB-506CFF914819}">
  <sheetPr codeName="Sheet15"/>
  <dimension ref="A1:A8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5</v>
      </c>
    </row>
    <row r="3" spans="1:1" x14ac:dyDescent="0.25">
      <c r="A3" t="s">
        <v>7</v>
      </c>
    </row>
    <row r="4" spans="1:1" x14ac:dyDescent="0.25">
      <c r="A4" t="s">
        <v>8</v>
      </c>
    </row>
    <row r="5" spans="1:1" x14ac:dyDescent="0.25">
      <c r="A5" t="s">
        <v>9</v>
      </c>
    </row>
    <row r="6" spans="1:1" x14ac:dyDescent="0.25">
      <c r="A6" t="s">
        <v>10</v>
      </c>
    </row>
    <row r="7" spans="1:1" x14ac:dyDescent="0.25">
      <c r="A7" t="s">
        <v>11</v>
      </c>
    </row>
    <row r="8" spans="1:1" x14ac:dyDescent="0.25">
      <c r="A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INSTRUCTIONS</vt:lpstr>
      <vt:lpstr>Y7</vt:lpstr>
      <vt:lpstr>Y8</vt:lpstr>
      <vt:lpstr>Y9</vt:lpstr>
      <vt:lpstr>Y10</vt:lpstr>
      <vt:lpstr>Y11</vt:lpstr>
      <vt:lpstr>Y12</vt:lpstr>
      <vt:lpstr>Y13</vt:lpstr>
      <vt:lpstr>Lookups</vt:lpstr>
      <vt:lpstr>'Y8'!_FilterDatabase</vt:lpstr>
      <vt:lpstr>'Y10'!Datasheet</vt:lpstr>
      <vt:lpstr>'Y11'!Datasheet</vt:lpstr>
      <vt:lpstr>'Y13'!Datasheet</vt:lpstr>
      <vt:lpstr>'Y7'!Datasheet</vt:lpstr>
      <vt:lpstr>'Y8'!Datasheet</vt:lpstr>
      <vt:lpstr>'Y9'!Datasheet</vt:lpstr>
      <vt:lpstr>Datasheet</vt:lpstr>
    </vt:vector>
  </TitlesOfParts>
  <Company>Notre Dame High School Sheffield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Bunting, Mr S</dc:creator>
  <cp:lastModifiedBy>Bunting, Mr S</cp:lastModifiedBy>
  <dcterms:created xsi:type="dcterms:W3CDTF">2022-11-01T11:42:10Z</dcterms:created>
  <dcterms:modified xsi:type="dcterms:W3CDTF">2022-11-02T09:58:23Z</dcterms:modified>
</cp:coreProperties>
</file>